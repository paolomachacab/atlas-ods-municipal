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354D1D87-51CD-4D64-BFF6-7BEE2DCE98B9}" xr6:coauthVersionLast="47" xr6:coauthVersionMax="47" xr10:uidLastSave="{00000000-0000-0000-0000-000000000000}"/>
  <bookViews>
    <workbookView xWindow="-108" yWindow="-108" windowWidth="23256" windowHeight="12456" tabRatio="885" activeTab="8" xr2:uid="{00000000-000D-0000-FFFF-FFFF00000000}"/>
  </bookViews>
  <sheets>
    <sheet name="Datos_originales_2015" sheetId="1" r:id="rId1"/>
    <sheet name="Datos_originales_2024" sheetId="2" r:id="rId2"/>
    <sheet name="Datos_emisiones_2024" sheetId="3" r:id="rId3"/>
    <sheet name="Datos_procesados" sheetId="4" r:id="rId4"/>
    <sheet name="Indicador_MUN" sheetId="5" r:id="rId5"/>
    <sheet name="Absoluto_MUN" sheetId="6" r:id="rId6"/>
    <sheet name="Indicador_DEP" sheetId="7" r:id="rId7"/>
    <sheet name="Absoluto_DEP" sheetId="8" r:id="rId8"/>
    <sheet name="Umbral" sheetId="9" r:id="rId9"/>
  </sheets>
  <definedNames>
    <definedName name="_xlnm._FilterDatabase" localSheetId="2" hidden="1">Datos_emisiones_2024!$A$2:$O$12</definedName>
    <definedName name="_xlnm._FilterDatabase" localSheetId="0" hidden="1">Datos_originales_2015!$A$3:$H$2674</definedName>
    <definedName name="_xlnm._FilterDatabase" localSheetId="1" hidden="1">Datos_originales_2024!$A$3:$H$3398</definedName>
    <definedName name="_xlnm._FilterDatabase" localSheetId="3" hidden="1">Datos_procesados!$A$1:$AI$345</definedName>
    <definedName name="_xlnm._FilterDatabase" localSheetId="4" hidden="1">Indicador_MUN!$A$1:$D$344</definedName>
  </definedNames>
  <calcPr calcId="191029"/>
  <extLst>
    <ext uri="GoogleSheetsCustomDataVersion2">
      <go:sheetsCustomData xmlns:go="http://customooxmlschemas.google.com/" r:id="rId13" roundtripDataChecksum="cwR/HnXwWr17tz6VF+CA5ETE66Ihq5zwj5DojUMrZKE="/>
    </ext>
  </extLst>
</workbook>
</file>

<file path=xl/calcChain.xml><?xml version="1.0" encoding="utf-8"?>
<calcChain xmlns="http://schemas.openxmlformats.org/spreadsheetml/2006/main">
  <c r="AM360" i="4" l="1"/>
  <c r="AH360" i="4"/>
  <c r="AC360" i="4"/>
  <c r="T360" i="4"/>
  <c r="O360" i="4"/>
  <c r="J360" i="4"/>
  <c r="AM359" i="4"/>
  <c r="AH359" i="4"/>
  <c r="AC359" i="4"/>
  <c r="T359" i="4"/>
  <c r="O359" i="4"/>
  <c r="J359" i="4"/>
  <c r="AM358" i="4"/>
  <c r="AM361" i="4" s="1"/>
  <c r="AH358" i="4"/>
  <c r="AH361" i="4" s="1"/>
  <c r="AC358" i="4"/>
  <c r="AC361" i="4" s="1"/>
  <c r="T358" i="4"/>
  <c r="T361" i="4" s="1"/>
  <c r="O358" i="4"/>
  <c r="O361" i="4" s="1"/>
  <c r="J358" i="4"/>
  <c r="J361" i="4" s="1"/>
  <c r="AO344" i="4"/>
  <c r="AM344" i="4"/>
  <c r="AL344" i="4"/>
  <c r="AG344" i="4"/>
  <c r="AH344" i="4" s="1"/>
  <c r="AB344" i="4"/>
  <c r="AC344" i="4" s="1"/>
  <c r="AN344" i="4" s="1"/>
  <c r="V344" i="4"/>
  <c r="T344" i="4"/>
  <c r="S344" i="4"/>
  <c r="R344" i="4"/>
  <c r="O344" i="4"/>
  <c r="N344" i="4"/>
  <c r="M344" i="4"/>
  <c r="J344" i="4"/>
  <c r="U344" i="4" s="1"/>
  <c r="I344" i="4"/>
  <c r="H344" i="4"/>
  <c r="AM343" i="4"/>
  <c r="AL343" i="4"/>
  <c r="AG343" i="4"/>
  <c r="AH343" i="4" s="1"/>
  <c r="AB343" i="4"/>
  <c r="T343" i="4"/>
  <c r="S343" i="4"/>
  <c r="R343" i="4"/>
  <c r="O343" i="4"/>
  <c r="N343" i="4"/>
  <c r="M343" i="4"/>
  <c r="I343" i="4"/>
  <c r="H343" i="4"/>
  <c r="V343" i="4" s="1"/>
  <c r="AM342" i="4"/>
  <c r="AL342" i="4"/>
  <c r="AH342" i="4"/>
  <c r="AG342" i="4"/>
  <c r="AB342" i="4"/>
  <c r="AC342" i="4" s="1"/>
  <c r="S342" i="4"/>
  <c r="R342" i="4"/>
  <c r="T342" i="4" s="1"/>
  <c r="N342" i="4"/>
  <c r="M342" i="4"/>
  <c r="O342" i="4" s="1"/>
  <c r="I342" i="4"/>
  <c r="H342" i="4"/>
  <c r="AM341" i="4"/>
  <c r="AL341" i="4"/>
  <c r="AH341" i="4"/>
  <c r="AG341" i="4"/>
  <c r="AB341" i="4"/>
  <c r="U341" i="4"/>
  <c r="S341" i="4"/>
  <c r="R341" i="4"/>
  <c r="T341" i="4" s="1"/>
  <c r="N341" i="4"/>
  <c r="M341" i="4"/>
  <c r="O341" i="4" s="1"/>
  <c r="I341" i="4"/>
  <c r="J341" i="4" s="1"/>
  <c r="H341" i="4"/>
  <c r="V341" i="4" s="1"/>
  <c r="AL340" i="4"/>
  <c r="AM340" i="4" s="1"/>
  <c r="AH340" i="4"/>
  <c r="AG340" i="4"/>
  <c r="AC340" i="4"/>
  <c r="AB340" i="4"/>
  <c r="AO340" i="4" s="1"/>
  <c r="S340" i="4"/>
  <c r="R340" i="4"/>
  <c r="T340" i="4" s="1"/>
  <c r="N340" i="4"/>
  <c r="O340" i="4" s="1"/>
  <c r="M340" i="4"/>
  <c r="I340" i="4"/>
  <c r="J340" i="4" s="1"/>
  <c r="H340" i="4"/>
  <c r="AL339" i="4"/>
  <c r="AH339" i="4"/>
  <c r="AG339" i="4"/>
  <c r="AC339" i="4"/>
  <c r="AB339" i="4"/>
  <c r="S339" i="4"/>
  <c r="R339" i="4"/>
  <c r="T339" i="4" s="1"/>
  <c r="N339" i="4"/>
  <c r="O339" i="4" s="1"/>
  <c r="M339" i="4"/>
  <c r="I339" i="4"/>
  <c r="H339" i="4"/>
  <c r="V339" i="4" s="1"/>
  <c r="AO338" i="4"/>
  <c r="AL338" i="4"/>
  <c r="AM338" i="4" s="1"/>
  <c r="AG338" i="4"/>
  <c r="AH338" i="4" s="1"/>
  <c r="AC338" i="4"/>
  <c r="AB338" i="4"/>
  <c r="S338" i="4"/>
  <c r="T338" i="4" s="1"/>
  <c r="R338" i="4"/>
  <c r="N338" i="4"/>
  <c r="V338" i="4" s="1"/>
  <c r="M338" i="4"/>
  <c r="J338" i="4"/>
  <c r="I338" i="4"/>
  <c r="H338" i="4"/>
  <c r="AL337" i="4"/>
  <c r="AM337" i="4" s="1"/>
  <c r="AG337" i="4"/>
  <c r="AC337" i="4"/>
  <c r="AB337" i="4"/>
  <c r="S337" i="4"/>
  <c r="V337" i="4" s="1"/>
  <c r="R337" i="4"/>
  <c r="O337" i="4"/>
  <c r="N337" i="4"/>
  <c r="M337" i="4"/>
  <c r="J337" i="4"/>
  <c r="I337" i="4"/>
  <c r="H337" i="4"/>
  <c r="AO336" i="4"/>
  <c r="AM336" i="4"/>
  <c r="AL336" i="4"/>
  <c r="AG336" i="4"/>
  <c r="AH336" i="4" s="1"/>
  <c r="AB336" i="4"/>
  <c r="AC336" i="4" s="1"/>
  <c r="AN336" i="4" s="1"/>
  <c r="T336" i="4"/>
  <c r="S336" i="4"/>
  <c r="R336" i="4"/>
  <c r="O336" i="4"/>
  <c r="N336" i="4"/>
  <c r="M336" i="4"/>
  <c r="I336" i="4"/>
  <c r="H336" i="4"/>
  <c r="J336" i="4" s="1"/>
  <c r="U336" i="4" s="1"/>
  <c r="AM335" i="4"/>
  <c r="AL335" i="4"/>
  <c r="AG335" i="4"/>
  <c r="AH335" i="4" s="1"/>
  <c r="AB335" i="4"/>
  <c r="T335" i="4"/>
  <c r="S335" i="4"/>
  <c r="R335" i="4"/>
  <c r="N335" i="4"/>
  <c r="M335" i="4"/>
  <c r="O335" i="4" s="1"/>
  <c r="I335" i="4"/>
  <c r="H335" i="4"/>
  <c r="AM334" i="4"/>
  <c r="AL334" i="4"/>
  <c r="AH334" i="4"/>
  <c r="AG334" i="4"/>
  <c r="AB334" i="4"/>
  <c r="AC334" i="4" s="1"/>
  <c r="AN334" i="4" s="1"/>
  <c r="T334" i="4"/>
  <c r="S334" i="4"/>
  <c r="R334" i="4"/>
  <c r="N334" i="4"/>
  <c r="M334" i="4"/>
  <c r="O334" i="4" s="1"/>
  <c r="I334" i="4"/>
  <c r="H334" i="4"/>
  <c r="AM333" i="4"/>
  <c r="AL333" i="4"/>
  <c r="AH333" i="4"/>
  <c r="AG333" i="4"/>
  <c r="AB333" i="4"/>
  <c r="S333" i="4"/>
  <c r="R333" i="4"/>
  <c r="T333" i="4" s="1"/>
  <c r="N333" i="4"/>
  <c r="M333" i="4"/>
  <c r="O333" i="4" s="1"/>
  <c r="I333" i="4"/>
  <c r="H333" i="4"/>
  <c r="AL332" i="4"/>
  <c r="AM332" i="4" s="1"/>
  <c r="AH332" i="4"/>
  <c r="AG332" i="4"/>
  <c r="AC332" i="4"/>
  <c r="AN332" i="4" s="1"/>
  <c r="AB332" i="4"/>
  <c r="AO332" i="4" s="1"/>
  <c r="S332" i="4"/>
  <c r="R332" i="4"/>
  <c r="T332" i="4" s="1"/>
  <c r="N332" i="4"/>
  <c r="M332" i="4"/>
  <c r="O332" i="4" s="1"/>
  <c r="I332" i="4"/>
  <c r="J332" i="4" s="1"/>
  <c r="U332" i="4" s="1"/>
  <c r="H332" i="4"/>
  <c r="V332" i="4" s="1"/>
  <c r="AN331" i="4"/>
  <c r="AL331" i="4"/>
  <c r="AM331" i="4" s="1"/>
  <c r="AH331" i="4"/>
  <c r="AG331" i="4"/>
  <c r="AC331" i="4"/>
  <c r="AB331" i="4"/>
  <c r="S331" i="4"/>
  <c r="R331" i="4"/>
  <c r="T331" i="4" s="1"/>
  <c r="N331" i="4"/>
  <c r="O331" i="4" s="1"/>
  <c r="M331" i="4"/>
  <c r="I331" i="4"/>
  <c r="H331" i="4"/>
  <c r="AO330" i="4"/>
  <c r="AL330" i="4"/>
  <c r="AM330" i="4" s="1"/>
  <c r="AG330" i="4"/>
  <c r="AH330" i="4" s="1"/>
  <c r="AC330" i="4"/>
  <c r="AN330" i="4" s="1"/>
  <c r="AB330" i="4"/>
  <c r="S330" i="4"/>
  <c r="T330" i="4" s="1"/>
  <c r="R330" i="4"/>
  <c r="N330" i="4"/>
  <c r="V330" i="4" s="1"/>
  <c r="M330" i="4"/>
  <c r="O330" i="4" s="1"/>
  <c r="J330" i="4"/>
  <c r="U330" i="4" s="1"/>
  <c r="I330" i="4"/>
  <c r="H330" i="4"/>
  <c r="AL329" i="4"/>
  <c r="AM329" i="4" s="1"/>
  <c r="AG329" i="4"/>
  <c r="AH329" i="4" s="1"/>
  <c r="AB329" i="4"/>
  <c r="AC329" i="4" s="1"/>
  <c r="S329" i="4"/>
  <c r="R329" i="4"/>
  <c r="T329" i="4" s="1"/>
  <c r="O329" i="4"/>
  <c r="N329" i="4"/>
  <c r="M329" i="4"/>
  <c r="I329" i="4"/>
  <c r="H329" i="4"/>
  <c r="AO328" i="4"/>
  <c r="AM328" i="4"/>
  <c r="AL328" i="4"/>
  <c r="AG328" i="4"/>
  <c r="AH328" i="4" s="1"/>
  <c r="AB328" i="4"/>
  <c r="AC328" i="4" s="1"/>
  <c r="AN328" i="4" s="1"/>
  <c r="V328" i="4"/>
  <c r="T328" i="4"/>
  <c r="S328" i="4"/>
  <c r="R328" i="4"/>
  <c r="O328" i="4"/>
  <c r="N328" i="4"/>
  <c r="M328" i="4"/>
  <c r="J328" i="4"/>
  <c r="U328" i="4" s="1"/>
  <c r="I328" i="4"/>
  <c r="H328" i="4"/>
  <c r="AL327" i="4"/>
  <c r="AM327" i="4" s="1"/>
  <c r="AG327" i="4"/>
  <c r="AH327" i="4" s="1"/>
  <c r="AB327" i="4"/>
  <c r="S327" i="4"/>
  <c r="T327" i="4" s="1"/>
  <c r="R327" i="4"/>
  <c r="O327" i="4"/>
  <c r="N327" i="4"/>
  <c r="M327" i="4"/>
  <c r="V327" i="4" s="1"/>
  <c r="J327" i="4"/>
  <c r="I327" i="4"/>
  <c r="H327" i="4"/>
  <c r="AM326" i="4"/>
  <c r="AL326" i="4"/>
  <c r="AH326" i="4"/>
  <c r="AG326" i="4"/>
  <c r="AB326" i="4"/>
  <c r="AC326" i="4" s="1"/>
  <c r="S326" i="4"/>
  <c r="R326" i="4"/>
  <c r="T326" i="4" s="1"/>
  <c r="O326" i="4"/>
  <c r="N326" i="4"/>
  <c r="M326" i="4"/>
  <c r="I326" i="4"/>
  <c r="H326" i="4"/>
  <c r="AM325" i="4"/>
  <c r="AL325" i="4"/>
  <c r="AG325" i="4"/>
  <c r="AH325" i="4" s="1"/>
  <c r="AB325" i="4"/>
  <c r="T325" i="4"/>
  <c r="S325" i="4"/>
  <c r="R325" i="4"/>
  <c r="N325" i="4"/>
  <c r="M325" i="4"/>
  <c r="O325" i="4" s="1"/>
  <c r="I325" i="4"/>
  <c r="H325" i="4"/>
  <c r="V325" i="4" s="1"/>
  <c r="AL324" i="4"/>
  <c r="AM324" i="4" s="1"/>
  <c r="AH324" i="4"/>
  <c r="AG324" i="4"/>
  <c r="AC324" i="4"/>
  <c r="AB324" i="4"/>
  <c r="AO324" i="4" s="1"/>
  <c r="S324" i="4"/>
  <c r="R324" i="4"/>
  <c r="T324" i="4" s="1"/>
  <c r="N324" i="4"/>
  <c r="M324" i="4"/>
  <c r="O324" i="4" s="1"/>
  <c r="I324" i="4"/>
  <c r="H324" i="4"/>
  <c r="AL323" i="4"/>
  <c r="AM323" i="4" s="1"/>
  <c r="AH323" i="4"/>
  <c r="AG323" i="4"/>
  <c r="AB323" i="4"/>
  <c r="AC323" i="4" s="1"/>
  <c r="AN323" i="4" s="1"/>
  <c r="S323" i="4"/>
  <c r="R323" i="4"/>
  <c r="N323" i="4"/>
  <c r="M323" i="4"/>
  <c r="O323" i="4" s="1"/>
  <c r="I323" i="4"/>
  <c r="H323" i="4"/>
  <c r="AO322" i="4"/>
  <c r="AL322" i="4"/>
  <c r="AM322" i="4" s="1"/>
  <c r="AG322" i="4"/>
  <c r="AH322" i="4" s="1"/>
  <c r="AC322" i="4"/>
  <c r="AB322" i="4"/>
  <c r="S322" i="4"/>
  <c r="R322" i="4"/>
  <c r="T322" i="4" s="1"/>
  <c r="N322" i="4"/>
  <c r="V322" i="4" s="1"/>
  <c r="M322" i="4"/>
  <c r="O322" i="4" s="1"/>
  <c r="J322" i="4"/>
  <c r="I322" i="4"/>
  <c r="H322" i="4"/>
  <c r="AL321" i="4"/>
  <c r="AM321" i="4" s="1"/>
  <c r="AG321" i="4"/>
  <c r="AH321" i="4" s="1"/>
  <c r="AB321" i="4"/>
  <c r="AC321" i="4" s="1"/>
  <c r="AN321" i="4" s="1"/>
  <c r="S321" i="4"/>
  <c r="R321" i="4"/>
  <c r="T321" i="4" s="1"/>
  <c r="O321" i="4"/>
  <c r="N321" i="4"/>
  <c r="M321" i="4"/>
  <c r="I321" i="4"/>
  <c r="H321" i="4"/>
  <c r="AO320" i="4"/>
  <c r="AM320" i="4"/>
  <c r="AL320" i="4"/>
  <c r="AG320" i="4"/>
  <c r="AH320" i="4" s="1"/>
  <c r="AB320" i="4"/>
  <c r="AC320" i="4" s="1"/>
  <c r="T320" i="4"/>
  <c r="S320" i="4"/>
  <c r="R320" i="4"/>
  <c r="N320" i="4"/>
  <c r="M320" i="4"/>
  <c r="O320" i="4" s="1"/>
  <c r="J320" i="4"/>
  <c r="I320" i="4"/>
  <c r="H320" i="4"/>
  <c r="V320" i="4" s="1"/>
  <c r="AL319" i="4"/>
  <c r="AM319" i="4" s="1"/>
  <c r="AG319" i="4"/>
  <c r="AH319" i="4" s="1"/>
  <c r="AB319" i="4"/>
  <c r="S319" i="4"/>
  <c r="R319" i="4"/>
  <c r="T319" i="4" s="1"/>
  <c r="O319" i="4"/>
  <c r="N319" i="4"/>
  <c r="M319" i="4"/>
  <c r="I319" i="4"/>
  <c r="H319" i="4"/>
  <c r="V319" i="4" s="1"/>
  <c r="AM318" i="4"/>
  <c r="AL318" i="4"/>
  <c r="AH318" i="4"/>
  <c r="AG318" i="4"/>
  <c r="AB318" i="4"/>
  <c r="AC318" i="4" s="1"/>
  <c r="S318" i="4"/>
  <c r="R318" i="4"/>
  <c r="T318" i="4" s="1"/>
  <c r="N318" i="4"/>
  <c r="M318" i="4"/>
  <c r="O318" i="4" s="1"/>
  <c r="I318" i="4"/>
  <c r="H318" i="4"/>
  <c r="AL317" i="4"/>
  <c r="AM317" i="4" s="1"/>
  <c r="AG317" i="4"/>
  <c r="AH317" i="4" s="1"/>
  <c r="AB317" i="4"/>
  <c r="S317" i="4"/>
  <c r="R317" i="4"/>
  <c r="T317" i="4" s="1"/>
  <c r="U317" i="4" s="1"/>
  <c r="N317" i="4"/>
  <c r="M317" i="4"/>
  <c r="O317" i="4" s="1"/>
  <c r="I317" i="4"/>
  <c r="J317" i="4" s="1"/>
  <c r="H317" i="4"/>
  <c r="AL316" i="4"/>
  <c r="AM316" i="4" s="1"/>
  <c r="AH316" i="4"/>
  <c r="AG316" i="4"/>
  <c r="AC316" i="4"/>
  <c r="AN316" i="4" s="1"/>
  <c r="AB316" i="4"/>
  <c r="AO316" i="4" s="1"/>
  <c r="S316" i="4"/>
  <c r="R316" i="4"/>
  <c r="T316" i="4" s="1"/>
  <c r="N316" i="4"/>
  <c r="M316" i="4"/>
  <c r="O316" i="4" s="1"/>
  <c r="I316" i="4"/>
  <c r="H316" i="4"/>
  <c r="V316" i="4" s="1"/>
  <c r="AL315" i="4"/>
  <c r="AG315" i="4"/>
  <c r="AH315" i="4" s="1"/>
  <c r="AC315" i="4"/>
  <c r="AB315" i="4"/>
  <c r="S315" i="4"/>
  <c r="R315" i="4"/>
  <c r="T315" i="4" s="1"/>
  <c r="N315" i="4"/>
  <c r="M315" i="4"/>
  <c r="O315" i="4" s="1"/>
  <c r="I315" i="4"/>
  <c r="H315" i="4"/>
  <c r="AO314" i="4"/>
  <c r="AL314" i="4"/>
  <c r="AM314" i="4" s="1"/>
  <c r="AG314" i="4"/>
  <c r="AH314" i="4" s="1"/>
  <c r="AC314" i="4"/>
  <c r="AN314" i="4" s="1"/>
  <c r="AB314" i="4"/>
  <c r="V314" i="4"/>
  <c r="S314" i="4"/>
  <c r="R314" i="4"/>
  <c r="T314" i="4" s="1"/>
  <c r="N314" i="4"/>
  <c r="M314" i="4"/>
  <c r="O314" i="4" s="1"/>
  <c r="J314" i="4"/>
  <c r="U314" i="4" s="1"/>
  <c r="I314" i="4"/>
  <c r="H314" i="4"/>
  <c r="AL313" i="4"/>
  <c r="AM313" i="4" s="1"/>
  <c r="AG313" i="4"/>
  <c r="AH313" i="4" s="1"/>
  <c r="AB313" i="4"/>
  <c r="AC313" i="4" s="1"/>
  <c r="S313" i="4"/>
  <c r="R313" i="4"/>
  <c r="T313" i="4" s="1"/>
  <c r="O313" i="4"/>
  <c r="N313" i="4"/>
  <c r="M313" i="4"/>
  <c r="I313" i="4"/>
  <c r="H313" i="4"/>
  <c r="AO312" i="4"/>
  <c r="AM312" i="4"/>
  <c r="AL312" i="4"/>
  <c r="AG312" i="4"/>
  <c r="AH312" i="4" s="1"/>
  <c r="AB312" i="4"/>
  <c r="AC312" i="4" s="1"/>
  <c r="AN312" i="4" s="1"/>
  <c r="T312" i="4"/>
  <c r="S312" i="4"/>
  <c r="R312" i="4"/>
  <c r="N312" i="4"/>
  <c r="M312" i="4"/>
  <c r="O312" i="4" s="1"/>
  <c r="I312" i="4"/>
  <c r="H312" i="4"/>
  <c r="J312" i="4" s="1"/>
  <c r="U312" i="4" s="1"/>
  <c r="AL311" i="4"/>
  <c r="AM311" i="4" s="1"/>
  <c r="AG311" i="4"/>
  <c r="AH311" i="4" s="1"/>
  <c r="AB311" i="4"/>
  <c r="S311" i="4"/>
  <c r="R311" i="4"/>
  <c r="T311" i="4" s="1"/>
  <c r="N311" i="4"/>
  <c r="M311" i="4"/>
  <c r="O311" i="4" s="1"/>
  <c r="J311" i="4"/>
  <c r="I311" i="4"/>
  <c r="H311" i="4"/>
  <c r="AM310" i="4"/>
  <c r="AL310" i="4"/>
  <c r="AH310" i="4"/>
  <c r="AG310" i="4"/>
  <c r="AB310" i="4"/>
  <c r="AC310" i="4" s="1"/>
  <c r="AN310" i="4" s="1"/>
  <c r="T310" i="4"/>
  <c r="S310" i="4"/>
  <c r="R310" i="4"/>
  <c r="N310" i="4"/>
  <c r="M310" i="4"/>
  <c r="O310" i="4" s="1"/>
  <c r="I310" i="4"/>
  <c r="H310" i="4"/>
  <c r="AL309" i="4"/>
  <c r="AM309" i="4" s="1"/>
  <c r="AG309" i="4"/>
  <c r="AH309" i="4" s="1"/>
  <c r="AB309" i="4"/>
  <c r="S309" i="4"/>
  <c r="R309" i="4"/>
  <c r="T309" i="4" s="1"/>
  <c r="N309" i="4"/>
  <c r="M309" i="4"/>
  <c r="O309" i="4" s="1"/>
  <c r="I309" i="4"/>
  <c r="J309" i="4" s="1"/>
  <c r="H309" i="4"/>
  <c r="AO308" i="4"/>
  <c r="AL308" i="4"/>
  <c r="AM308" i="4" s="1"/>
  <c r="AH308" i="4"/>
  <c r="AG308" i="4"/>
  <c r="AC308" i="4"/>
  <c r="AN308" i="4" s="1"/>
  <c r="AB308" i="4"/>
  <c r="S308" i="4"/>
  <c r="R308" i="4"/>
  <c r="T308" i="4" s="1"/>
  <c r="N308" i="4"/>
  <c r="V308" i="4" s="1"/>
  <c r="M308" i="4"/>
  <c r="J308" i="4"/>
  <c r="I308" i="4"/>
  <c r="H308" i="4"/>
  <c r="AN307" i="4"/>
  <c r="AL307" i="4"/>
  <c r="AM307" i="4" s="1"/>
  <c r="AG307" i="4"/>
  <c r="AH307" i="4" s="1"/>
  <c r="AB307" i="4"/>
  <c r="AC307" i="4" s="1"/>
  <c r="S307" i="4"/>
  <c r="R307" i="4"/>
  <c r="O307" i="4"/>
  <c r="N307" i="4"/>
  <c r="M307" i="4"/>
  <c r="I307" i="4"/>
  <c r="H307" i="4"/>
  <c r="AO306" i="4"/>
  <c r="AM306" i="4"/>
  <c r="AL306" i="4"/>
  <c r="AG306" i="4"/>
  <c r="AH306" i="4" s="1"/>
  <c r="AC306" i="4"/>
  <c r="AN306" i="4" s="1"/>
  <c r="AB306" i="4"/>
  <c r="T306" i="4"/>
  <c r="S306" i="4"/>
  <c r="R306" i="4"/>
  <c r="N306" i="4"/>
  <c r="O306" i="4" s="1"/>
  <c r="M306" i="4"/>
  <c r="J306" i="4"/>
  <c r="U306" i="4" s="1"/>
  <c r="I306" i="4"/>
  <c r="H306" i="4"/>
  <c r="AL305" i="4"/>
  <c r="AM305" i="4" s="1"/>
  <c r="AG305" i="4"/>
  <c r="AH305" i="4" s="1"/>
  <c r="AB305" i="4"/>
  <c r="AC305" i="4" s="1"/>
  <c r="S305" i="4"/>
  <c r="T305" i="4" s="1"/>
  <c r="R305" i="4"/>
  <c r="O305" i="4"/>
  <c r="N305" i="4"/>
  <c r="M305" i="4"/>
  <c r="I305" i="4"/>
  <c r="H305" i="4"/>
  <c r="AO304" i="4"/>
  <c r="AM304" i="4"/>
  <c r="AL304" i="4"/>
  <c r="AH304" i="4"/>
  <c r="AG304" i="4"/>
  <c r="AB304" i="4"/>
  <c r="AC304" i="4" s="1"/>
  <c r="T304" i="4"/>
  <c r="S304" i="4"/>
  <c r="R304" i="4"/>
  <c r="N304" i="4"/>
  <c r="M304" i="4"/>
  <c r="O304" i="4" s="1"/>
  <c r="J304" i="4"/>
  <c r="I304" i="4"/>
  <c r="H304" i="4"/>
  <c r="V304" i="4" s="1"/>
  <c r="AM303" i="4"/>
  <c r="AL303" i="4"/>
  <c r="AG303" i="4"/>
  <c r="AH303" i="4" s="1"/>
  <c r="AB303" i="4"/>
  <c r="S303" i="4"/>
  <c r="R303" i="4"/>
  <c r="T303" i="4" s="1"/>
  <c r="N303" i="4"/>
  <c r="M303" i="4"/>
  <c r="O303" i="4" s="1"/>
  <c r="I303" i="4"/>
  <c r="H303" i="4"/>
  <c r="V303" i="4" s="1"/>
  <c r="AM302" i="4"/>
  <c r="AL302" i="4"/>
  <c r="AH302" i="4"/>
  <c r="AG302" i="4"/>
  <c r="AC302" i="4"/>
  <c r="AB302" i="4"/>
  <c r="AO302" i="4" s="1"/>
  <c r="S302" i="4"/>
  <c r="R302" i="4"/>
  <c r="T302" i="4" s="1"/>
  <c r="N302" i="4"/>
  <c r="M302" i="4"/>
  <c r="O302" i="4" s="1"/>
  <c r="I302" i="4"/>
  <c r="H302" i="4"/>
  <c r="AL301" i="4"/>
  <c r="AM301" i="4" s="1"/>
  <c r="AG301" i="4"/>
  <c r="AH301" i="4" s="1"/>
  <c r="AB301" i="4"/>
  <c r="S301" i="4"/>
  <c r="R301" i="4"/>
  <c r="T301" i="4" s="1"/>
  <c r="N301" i="4"/>
  <c r="M301" i="4"/>
  <c r="O301" i="4" s="1"/>
  <c r="I301" i="4"/>
  <c r="H301" i="4"/>
  <c r="V301" i="4" s="1"/>
  <c r="AO300" i="4"/>
  <c r="AL300" i="4"/>
  <c r="AM300" i="4" s="1"/>
  <c r="AH300" i="4"/>
  <c r="AG300" i="4"/>
  <c r="AC300" i="4"/>
  <c r="AB300" i="4"/>
  <c r="S300" i="4"/>
  <c r="R300" i="4"/>
  <c r="T300" i="4" s="1"/>
  <c r="N300" i="4"/>
  <c r="M300" i="4"/>
  <c r="O300" i="4" s="1"/>
  <c r="J300" i="4"/>
  <c r="I300" i="4"/>
  <c r="H300" i="4"/>
  <c r="AL299" i="4"/>
  <c r="AM299" i="4" s="1"/>
  <c r="AG299" i="4"/>
  <c r="AH299" i="4" s="1"/>
  <c r="AB299" i="4"/>
  <c r="AC299" i="4" s="1"/>
  <c r="AN299" i="4" s="1"/>
  <c r="S299" i="4"/>
  <c r="R299" i="4"/>
  <c r="O299" i="4"/>
  <c r="N299" i="4"/>
  <c r="M299" i="4"/>
  <c r="I299" i="4"/>
  <c r="H299" i="4"/>
  <c r="AO298" i="4"/>
  <c r="AM298" i="4"/>
  <c r="AL298" i="4"/>
  <c r="AG298" i="4"/>
  <c r="AH298" i="4" s="1"/>
  <c r="AC298" i="4"/>
  <c r="AB298" i="4"/>
  <c r="V298" i="4"/>
  <c r="T298" i="4"/>
  <c r="S298" i="4"/>
  <c r="R298" i="4"/>
  <c r="N298" i="4"/>
  <c r="O298" i="4" s="1"/>
  <c r="M298" i="4"/>
  <c r="J298" i="4"/>
  <c r="U298" i="4" s="1"/>
  <c r="I298" i="4"/>
  <c r="H298" i="4"/>
  <c r="AL297" i="4"/>
  <c r="AM297" i="4" s="1"/>
  <c r="AG297" i="4"/>
  <c r="AH297" i="4" s="1"/>
  <c r="AB297" i="4"/>
  <c r="AC297" i="4" s="1"/>
  <c r="S297" i="4"/>
  <c r="T297" i="4" s="1"/>
  <c r="R297" i="4"/>
  <c r="O297" i="4"/>
  <c r="N297" i="4"/>
  <c r="M297" i="4"/>
  <c r="I297" i="4"/>
  <c r="H297" i="4"/>
  <c r="V297" i="4" s="1"/>
  <c r="AO296" i="4"/>
  <c r="AM296" i="4"/>
  <c r="AL296" i="4"/>
  <c r="AH296" i="4"/>
  <c r="AG296" i="4"/>
  <c r="AB296" i="4"/>
  <c r="AC296" i="4" s="1"/>
  <c r="AN296" i="4" s="1"/>
  <c r="T296" i="4"/>
  <c r="S296" i="4"/>
  <c r="R296" i="4"/>
  <c r="N296" i="4"/>
  <c r="M296" i="4"/>
  <c r="O296" i="4" s="1"/>
  <c r="I296" i="4"/>
  <c r="H296" i="4"/>
  <c r="J296" i="4" s="1"/>
  <c r="AM295" i="4"/>
  <c r="AL295" i="4"/>
  <c r="AG295" i="4"/>
  <c r="AH295" i="4" s="1"/>
  <c r="AB295" i="4"/>
  <c r="S295" i="4"/>
  <c r="R295" i="4"/>
  <c r="T295" i="4" s="1"/>
  <c r="N295" i="4"/>
  <c r="M295" i="4"/>
  <c r="O295" i="4" s="1"/>
  <c r="I295" i="4"/>
  <c r="H295" i="4"/>
  <c r="AM294" i="4"/>
  <c r="AL294" i="4"/>
  <c r="AH294" i="4"/>
  <c r="AG294" i="4"/>
  <c r="AC294" i="4"/>
  <c r="AN294" i="4" s="1"/>
  <c r="AB294" i="4"/>
  <c r="AO294" i="4" s="1"/>
  <c r="T294" i="4"/>
  <c r="S294" i="4"/>
  <c r="R294" i="4"/>
  <c r="N294" i="4"/>
  <c r="M294" i="4"/>
  <c r="O294" i="4" s="1"/>
  <c r="I294" i="4"/>
  <c r="H294" i="4"/>
  <c r="AL293" i="4"/>
  <c r="AM293" i="4" s="1"/>
  <c r="AG293" i="4"/>
  <c r="AH293" i="4" s="1"/>
  <c r="AB293" i="4"/>
  <c r="S293" i="4"/>
  <c r="R293" i="4"/>
  <c r="T293" i="4" s="1"/>
  <c r="N293" i="4"/>
  <c r="M293" i="4"/>
  <c r="O293" i="4" s="1"/>
  <c r="I293" i="4"/>
  <c r="H293" i="4"/>
  <c r="AO292" i="4"/>
  <c r="AL292" i="4"/>
  <c r="AM292" i="4" s="1"/>
  <c r="AH292" i="4"/>
  <c r="AG292" i="4"/>
  <c r="AC292" i="4"/>
  <c r="AN292" i="4" s="1"/>
  <c r="AB292" i="4"/>
  <c r="S292" i="4"/>
  <c r="R292" i="4"/>
  <c r="T292" i="4" s="1"/>
  <c r="N292" i="4"/>
  <c r="V292" i="4" s="1"/>
  <c r="M292" i="4"/>
  <c r="J292" i="4"/>
  <c r="I292" i="4"/>
  <c r="H292" i="4"/>
  <c r="AN291" i="4"/>
  <c r="AL291" i="4"/>
  <c r="AM291" i="4" s="1"/>
  <c r="AG291" i="4"/>
  <c r="AH291" i="4" s="1"/>
  <c r="AC291" i="4"/>
  <c r="AB291" i="4"/>
  <c r="S291" i="4"/>
  <c r="R291" i="4"/>
  <c r="O291" i="4"/>
  <c r="N291" i="4"/>
  <c r="M291" i="4"/>
  <c r="I291" i="4"/>
  <c r="H291" i="4"/>
  <c r="AO290" i="4"/>
  <c r="AM290" i="4"/>
  <c r="AL290" i="4"/>
  <c r="AG290" i="4"/>
  <c r="AH290" i="4" s="1"/>
  <c r="AC290" i="4"/>
  <c r="AB290" i="4"/>
  <c r="T290" i="4"/>
  <c r="S290" i="4"/>
  <c r="R290" i="4"/>
  <c r="N290" i="4"/>
  <c r="O290" i="4" s="1"/>
  <c r="M290" i="4"/>
  <c r="J290" i="4"/>
  <c r="U290" i="4" s="1"/>
  <c r="I290" i="4"/>
  <c r="H290" i="4"/>
  <c r="AL289" i="4"/>
  <c r="AM289" i="4" s="1"/>
  <c r="AG289" i="4"/>
  <c r="AH289" i="4" s="1"/>
  <c r="AB289" i="4"/>
  <c r="AC289" i="4" s="1"/>
  <c r="AN289" i="4" s="1"/>
  <c r="S289" i="4"/>
  <c r="T289" i="4" s="1"/>
  <c r="R289" i="4"/>
  <c r="O289" i="4"/>
  <c r="N289" i="4"/>
  <c r="M289" i="4"/>
  <c r="I289" i="4"/>
  <c r="H289" i="4"/>
  <c r="AO288" i="4"/>
  <c r="AM288" i="4"/>
  <c r="AL288" i="4"/>
  <c r="AH288" i="4"/>
  <c r="AG288" i="4"/>
  <c r="AB288" i="4"/>
  <c r="AC288" i="4" s="1"/>
  <c r="T288" i="4"/>
  <c r="S288" i="4"/>
  <c r="R288" i="4"/>
  <c r="N288" i="4"/>
  <c r="M288" i="4"/>
  <c r="O288" i="4" s="1"/>
  <c r="I288" i="4"/>
  <c r="H288" i="4"/>
  <c r="J288" i="4" s="1"/>
  <c r="U288" i="4" s="1"/>
  <c r="AM287" i="4"/>
  <c r="AL287" i="4"/>
  <c r="AG287" i="4"/>
  <c r="AH287" i="4" s="1"/>
  <c r="AB287" i="4"/>
  <c r="S287" i="4"/>
  <c r="R287" i="4"/>
  <c r="T287" i="4" s="1"/>
  <c r="N287" i="4"/>
  <c r="M287" i="4"/>
  <c r="O287" i="4" s="1"/>
  <c r="I287" i="4"/>
  <c r="H287" i="4"/>
  <c r="V287" i="4" s="1"/>
  <c r="AM286" i="4"/>
  <c r="AL286" i="4"/>
  <c r="AH286" i="4"/>
  <c r="AG286" i="4"/>
  <c r="AC286" i="4"/>
  <c r="AB286" i="4"/>
  <c r="AO286" i="4" s="1"/>
  <c r="S286" i="4"/>
  <c r="R286" i="4"/>
  <c r="T286" i="4" s="1"/>
  <c r="N286" i="4"/>
  <c r="M286" i="4"/>
  <c r="O286" i="4" s="1"/>
  <c r="I286" i="4"/>
  <c r="H286" i="4"/>
  <c r="AL285" i="4"/>
  <c r="AM285" i="4" s="1"/>
  <c r="AH285" i="4"/>
  <c r="AG285" i="4"/>
  <c r="AB285" i="4"/>
  <c r="S285" i="4"/>
  <c r="R285" i="4"/>
  <c r="T285" i="4" s="1"/>
  <c r="N285" i="4"/>
  <c r="M285" i="4"/>
  <c r="O285" i="4" s="1"/>
  <c r="I285" i="4"/>
  <c r="H285" i="4"/>
  <c r="V285" i="4" s="1"/>
  <c r="AO284" i="4"/>
  <c r="AL284" i="4"/>
  <c r="AM284" i="4" s="1"/>
  <c r="AH284" i="4"/>
  <c r="AG284" i="4"/>
  <c r="AC284" i="4"/>
  <c r="AN284" i="4" s="1"/>
  <c r="AB284" i="4"/>
  <c r="S284" i="4"/>
  <c r="R284" i="4"/>
  <c r="T284" i="4" s="1"/>
  <c r="N284" i="4"/>
  <c r="M284" i="4"/>
  <c r="J284" i="4"/>
  <c r="I284" i="4"/>
  <c r="H284" i="4"/>
  <c r="AL283" i="4"/>
  <c r="AM283" i="4" s="1"/>
  <c r="AG283" i="4"/>
  <c r="AH283" i="4" s="1"/>
  <c r="AN283" i="4" s="1"/>
  <c r="AC283" i="4"/>
  <c r="AB283" i="4"/>
  <c r="S283" i="4"/>
  <c r="R283" i="4"/>
  <c r="T283" i="4" s="1"/>
  <c r="O283" i="4"/>
  <c r="N283" i="4"/>
  <c r="M283" i="4"/>
  <c r="I283" i="4"/>
  <c r="H283" i="4"/>
  <c r="AO282" i="4"/>
  <c r="AM282" i="4"/>
  <c r="AL282" i="4"/>
  <c r="AG282" i="4"/>
  <c r="AH282" i="4" s="1"/>
  <c r="AC282" i="4"/>
  <c r="AN282" i="4" s="1"/>
  <c r="AB282" i="4"/>
  <c r="T282" i="4"/>
  <c r="S282" i="4"/>
  <c r="R282" i="4"/>
  <c r="N282" i="4"/>
  <c r="O282" i="4" s="1"/>
  <c r="M282" i="4"/>
  <c r="I282" i="4"/>
  <c r="H282" i="4"/>
  <c r="J282" i="4" s="1"/>
  <c r="U282" i="4" s="1"/>
  <c r="AL281" i="4"/>
  <c r="AM281" i="4" s="1"/>
  <c r="AG281" i="4"/>
  <c r="AH281" i="4" s="1"/>
  <c r="AB281" i="4"/>
  <c r="S281" i="4"/>
  <c r="T281" i="4" s="1"/>
  <c r="R281" i="4"/>
  <c r="N281" i="4"/>
  <c r="M281" i="4"/>
  <c r="O281" i="4" s="1"/>
  <c r="I281" i="4"/>
  <c r="H281" i="4"/>
  <c r="AO280" i="4"/>
  <c r="AM280" i="4"/>
  <c r="AL280" i="4"/>
  <c r="AH280" i="4"/>
  <c r="AG280" i="4"/>
  <c r="AB280" i="4"/>
  <c r="AC280" i="4" s="1"/>
  <c r="AN280" i="4" s="1"/>
  <c r="S280" i="4"/>
  <c r="R280" i="4"/>
  <c r="T280" i="4" s="1"/>
  <c r="N280" i="4"/>
  <c r="M280" i="4"/>
  <c r="O280" i="4" s="1"/>
  <c r="J280" i="4"/>
  <c r="U280" i="4" s="1"/>
  <c r="I280" i="4"/>
  <c r="H280" i="4"/>
  <c r="V280" i="4" s="1"/>
  <c r="AM279" i="4"/>
  <c r="AL279" i="4"/>
  <c r="AG279" i="4"/>
  <c r="AH279" i="4" s="1"/>
  <c r="AB279" i="4"/>
  <c r="S279" i="4"/>
  <c r="R279" i="4"/>
  <c r="T279" i="4" s="1"/>
  <c r="N279" i="4"/>
  <c r="M279" i="4"/>
  <c r="O279" i="4" s="1"/>
  <c r="I279" i="4"/>
  <c r="H279" i="4"/>
  <c r="AM278" i="4"/>
  <c r="AL278" i="4"/>
  <c r="AH278" i="4"/>
  <c r="AG278" i="4"/>
  <c r="AB278" i="4"/>
  <c r="AO278" i="4" s="1"/>
  <c r="T278" i="4"/>
  <c r="S278" i="4"/>
  <c r="R278" i="4"/>
  <c r="N278" i="4"/>
  <c r="M278" i="4"/>
  <c r="O278" i="4" s="1"/>
  <c r="I278" i="4"/>
  <c r="H278" i="4"/>
  <c r="AL277" i="4"/>
  <c r="AM277" i="4" s="1"/>
  <c r="AG277" i="4"/>
  <c r="AH277" i="4" s="1"/>
  <c r="AC277" i="4"/>
  <c r="AB277" i="4"/>
  <c r="AO277" i="4" s="1"/>
  <c r="S277" i="4"/>
  <c r="R277" i="4"/>
  <c r="T277" i="4" s="1"/>
  <c r="N277" i="4"/>
  <c r="M277" i="4"/>
  <c r="O277" i="4" s="1"/>
  <c r="I277" i="4"/>
  <c r="H277" i="4"/>
  <c r="AL276" i="4"/>
  <c r="AH276" i="4"/>
  <c r="AG276" i="4"/>
  <c r="AC276" i="4"/>
  <c r="AB276" i="4"/>
  <c r="S276" i="4"/>
  <c r="R276" i="4"/>
  <c r="N276" i="4"/>
  <c r="M276" i="4"/>
  <c r="O276" i="4" s="1"/>
  <c r="I276" i="4"/>
  <c r="H276" i="4"/>
  <c r="AO275" i="4"/>
  <c r="AL275" i="4"/>
  <c r="AM275" i="4" s="1"/>
  <c r="AG275" i="4"/>
  <c r="AH275" i="4" s="1"/>
  <c r="AB275" i="4"/>
  <c r="AC275" i="4" s="1"/>
  <c r="V275" i="4"/>
  <c r="S275" i="4"/>
  <c r="R275" i="4"/>
  <c r="T275" i="4" s="1"/>
  <c r="N275" i="4"/>
  <c r="M275" i="4"/>
  <c r="O275" i="4" s="1"/>
  <c r="J275" i="4"/>
  <c r="U275" i="4" s="1"/>
  <c r="I275" i="4"/>
  <c r="H275" i="4"/>
  <c r="AM274" i="4"/>
  <c r="AL274" i="4"/>
  <c r="AG274" i="4"/>
  <c r="AC274" i="4"/>
  <c r="AB274" i="4"/>
  <c r="S274" i="4"/>
  <c r="R274" i="4"/>
  <c r="T274" i="4" s="1"/>
  <c r="O274" i="4"/>
  <c r="N274" i="4"/>
  <c r="M274" i="4"/>
  <c r="I274" i="4"/>
  <c r="H274" i="4"/>
  <c r="V274" i="4" s="1"/>
  <c r="AM273" i="4"/>
  <c r="AL273" i="4"/>
  <c r="AG273" i="4"/>
  <c r="AH273" i="4" s="1"/>
  <c r="AB273" i="4"/>
  <c r="AC273" i="4" s="1"/>
  <c r="T273" i="4"/>
  <c r="S273" i="4"/>
  <c r="R273" i="4"/>
  <c r="N273" i="4"/>
  <c r="M273" i="4"/>
  <c r="O273" i="4" s="1"/>
  <c r="I273" i="4"/>
  <c r="H273" i="4"/>
  <c r="AM272" i="4"/>
  <c r="AL272" i="4"/>
  <c r="AH272" i="4"/>
  <c r="AG272" i="4"/>
  <c r="AB272" i="4"/>
  <c r="S272" i="4"/>
  <c r="R272" i="4"/>
  <c r="T272" i="4" s="1"/>
  <c r="N272" i="4"/>
  <c r="M272" i="4"/>
  <c r="J272" i="4"/>
  <c r="I272" i="4"/>
  <c r="H272" i="4"/>
  <c r="AL271" i="4"/>
  <c r="AM271" i="4" s="1"/>
  <c r="AH271" i="4"/>
  <c r="AG271" i="4"/>
  <c r="AB271" i="4"/>
  <c r="AC271" i="4" s="1"/>
  <c r="AN271" i="4" s="1"/>
  <c r="S271" i="4"/>
  <c r="R271" i="4"/>
  <c r="T271" i="4" s="1"/>
  <c r="O271" i="4"/>
  <c r="N271" i="4"/>
  <c r="M271" i="4"/>
  <c r="I271" i="4"/>
  <c r="H271" i="4"/>
  <c r="V271" i="4" s="1"/>
  <c r="AO270" i="4"/>
  <c r="AN270" i="4"/>
  <c r="AM270" i="4"/>
  <c r="AL270" i="4"/>
  <c r="AH270" i="4"/>
  <c r="AG270" i="4"/>
  <c r="AC270" i="4"/>
  <c r="AB270" i="4"/>
  <c r="T270" i="4"/>
  <c r="S270" i="4"/>
  <c r="R270" i="4"/>
  <c r="N270" i="4"/>
  <c r="M270" i="4"/>
  <c r="O270" i="4" s="1"/>
  <c r="I270" i="4"/>
  <c r="H270" i="4"/>
  <c r="V270" i="4" s="1"/>
  <c r="AL269" i="4"/>
  <c r="AM269" i="4" s="1"/>
  <c r="AG269" i="4"/>
  <c r="AH269" i="4" s="1"/>
  <c r="AC269" i="4"/>
  <c r="AB269" i="4"/>
  <c r="AO269" i="4" s="1"/>
  <c r="S269" i="4"/>
  <c r="R269" i="4"/>
  <c r="T269" i="4" s="1"/>
  <c r="N269" i="4"/>
  <c r="M269" i="4"/>
  <c r="O269" i="4" s="1"/>
  <c r="I269" i="4"/>
  <c r="H269" i="4"/>
  <c r="V269" i="4" s="1"/>
  <c r="AL268" i="4"/>
  <c r="AH268" i="4"/>
  <c r="AG268" i="4"/>
  <c r="AC268" i="4"/>
  <c r="AB268" i="4"/>
  <c r="S268" i="4"/>
  <c r="R268" i="4"/>
  <c r="T268" i="4" s="1"/>
  <c r="N268" i="4"/>
  <c r="M268" i="4"/>
  <c r="O268" i="4" s="1"/>
  <c r="I268" i="4"/>
  <c r="H268" i="4"/>
  <c r="AO267" i="4"/>
  <c r="AL267" i="4"/>
  <c r="AM267" i="4" s="1"/>
  <c r="AG267" i="4"/>
  <c r="AH267" i="4" s="1"/>
  <c r="AB267" i="4"/>
  <c r="AC267" i="4" s="1"/>
  <c r="AN267" i="4" s="1"/>
  <c r="V267" i="4"/>
  <c r="S267" i="4"/>
  <c r="R267" i="4"/>
  <c r="T267" i="4" s="1"/>
  <c r="N267" i="4"/>
  <c r="M267" i="4"/>
  <c r="O267" i="4" s="1"/>
  <c r="J267" i="4"/>
  <c r="U267" i="4" s="1"/>
  <c r="I267" i="4"/>
  <c r="H267" i="4"/>
  <c r="AM266" i="4"/>
  <c r="AL266" i="4"/>
  <c r="AG266" i="4"/>
  <c r="AC266" i="4"/>
  <c r="AB266" i="4"/>
  <c r="S266" i="4"/>
  <c r="R266" i="4"/>
  <c r="T266" i="4" s="1"/>
  <c r="O266" i="4"/>
  <c r="N266" i="4"/>
  <c r="M266" i="4"/>
  <c r="I266" i="4"/>
  <c r="H266" i="4"/>
  <c r="V266" i="4" s="1"/>
  <c r="AM265" i="4"/>
  <c r="AL265" i="4"/>
  <c r="AG265" i="4"/>
  <c r="AH265" i="4" s="1"/>
  <c r="AB265" i="4"/>
  <c r="AC265" i="4" s="1"/>
  <c r="AN265" i="4" s="1"/>
  <c r="T265" i="4"/>
  <c r="S265" i="4"/>
  <c r="R265" i="4"/>
  <c r="N265" i="4"/>
  <c r="M265" i="4"/>
  <c r="O265" i="4" s="1"/>
  <c r="I265" i="4"/>
  <c r="H265" i="4"/>
  <c r="AM264" i="4"/>
  <c r="AL264" i="4"/>
  <c r="AH264" i="4"/>
  <c r="AG264" i="4"/>
  <c r="AB264" i="4"/>
  <c r="S264" i="4"/>
  <c r="R264" i="4"/>
  <c r="T264" i="4" s="1"/>
  <c r="N264" i="4"/>
  <c r="M264" i="4"/>
  <c r="J264" i="4"/>
  <c r="I264" i="4"/>
  <c r="H264" i="4"/>
  <c r="AL263" i="4"/>
  <c r="AM263" i="4" s="1"/>
  <c r="AH263" i="4"/>
  <c r="AG263" i="4"/>
  <c r="AB263" i="4"/>
  <c r="AC263" i="4" s="1"/>
  <c r="AN263" i="4" s="1"/>
  <c r="S263" i="4"/>
  <c r="R263" i="4"/>
  <c r="T263" i="4" s="1"/>
  <c r="O263" i="4"/>
  <c r="N263" i="4"/>
  <c r="M263" i="4"/>
  <c r="I263" i="4"/>
  <c r="H263" i="4"/>
  <c r="AO262" i="4"/>
  <c r="AN262" i="4"/>
  <c r="AM262" i="4"/>
  <c r="AL262" i="4"/>
  <c r="AH262" i="4"/>
  <c r="AG262" i="4"/>
  <c r="AC262" i="4"/>
  <c r="AB262" i="4"/>
  <c r="T262" i="4"/>
  <c r="S262" i="4"/>
  <c r="R262" i="4"/>
  <c r="N262" i="4"/>
  <c r="M262" i="4"/>
  <c r="O262" i="4" s="1"/>
  <c r="I262" i="4"/>
  <c r="H262" i="4"/>
  <c r="AL261" i="4"/>
  <c r="AM261" i="4" s="1"/>
  <c r="AG261" i="4"/>
  <c r="AH261" i="4" s="1"/>
  <c r="AC261" i="4"/>
  <c r="AB261" i="4"/>
  <c r="AO261" i="4" s="1"/>
  <c r="S261" i="4"/>
  <c r="R261" i="4"/>
  <c r="T261" i="4" s="1"/>
  <c r="N261" i="4"/>
  <c r="M261" i="4"/>
  <c r="I261" i="4"/>
  <c r="J261" i="4" s="1"/>
  <c r="H261" i="4"/>
  <c r="V261" i="4" s="1"/>
  <c r="AL260" i="4"/>
  <c r="AH260" i="4"/>
  <c r="AG260" i="4"/>
  <c r="AC260" i="4"/>
  <c r="AB260" i="4"/>
  <c r="S260" i="4"/>
  <c r="R260" i="4"/>
  <c r="T260" i="4" s="1"/>
  <c r="N260" i="4"/>
  <c r="O260" i="4" s="1"/>
  <c r="M260" i="4"/>
  <c r="I260" i="4"/>
  <c r="H260" i="4"/>
  <c r="AO259" i="4"/>
  <c r="AL259" i="4"/>
  <c r="AM259" i="4" s="1"/>
  <c r="AG259" i="4"/>
  <c r="AH259" i="4" s="1"/>
  <c r="AB259" i="4"/>
  <c r="AC259" i="4" s="1"/>
  <c r="AN259" i="4" s="1"/>
  <c r="V259" i="4"/>
  <c r="S259" i="4"/>
  <c r="T259" i="4" s="1"/>
  <c r="R259" i="4"/>
  <c r="N259" i="4"/>
  <c r="M259" i="4"/>
  <c r="O259" i="4" s="1"/>
  <c r="J259" i="4"/>
  <c r="I259" i="4"/>
  <c r="H259" i="4"/>
  <c r="AM258" i="4"/>
  <c r="AL258" i="4"/>
  <c r="AG258" i="4"/>
  <c r="AC258" i="4"/>
  <c r="AB258" i="4"/>
  <c r="S258" i="4"/>
  <c r="R258" i="4"/>
  <c r="T258" i="4" s="1"/>
  <c r="O258" i="4"/>
  <c r="N258" i="4"/>
  <c r="M258" i="4"/>
  <c r="I258" i="4"/>
  <c r="H258" i="4"/>
  <c r="V258" i="4" s="1"/>
  <c r="AM257" i="4"/>
  <c r="AL257" i="4"/>
  <c r="AG257" i="4"/>
  <c r="AH257" i="4" s="1"/>
  <c r="AB257" i="4"/>
  <c r="AC257" i="4" s="1"/>
  <c r="AN257" i="4" s="1"/>
  <c r="T257" i="4"/>
  <c r="S257" i="4"/>
  <c r="R257" i="4"/>
  <c r="N257" i="4"/>
  <c r="M257" i="4"/>
  <c r="O257" i="4" s="1"/>
  <c r="I257" i="4"/>
  <c r="H257" i="4"/>
  <c r="AM256" i="4"/>
  <c r="AL256" i="4"/>
  <c r="AH256" i="4"/>
  <c r="AG256" i="4"/>
  <c r="AB256" i="4"/>
  <c r="S256" i="4"/>
  <c r="R256" i="4"/>
  <c r="T256" i="4" s="1"/>
  <c r="N256" i="4"/>
  <c r="M256" i="4"/>
  <c r="J256" i="4"/>
  <c r="I256" i="4"/>
  <c r="H256" i="4"/>
  <c r="AL255" i="4"/>
  <c r="AM255" i="4" s="1"/>
  <c r="AH255" i="4"/>
  <c r="AG255" i="4"/>
  <c r="AB255" i="4"/>
  <c r="AC255" i="4" s="1"/>
  <c r="AN255" i="4" s="1"/>
  <c r="S255" i="4"/>
  <c r="R255" i="4"/>
  <c r="T255" i="4" s="1"/>
  <c r="O255" i="4"/>
  <c r="N255" i="4"/>
  <c r="M255" i="4"/>
  <c r="I255" i="4"/>
  <c r="H255" i="4"/>
  <c r="AO254" i="4"/>
  <c r="AN254" i="4"/>
  <c r="AM254" i="4"/>
  <c r="AL254" i="4"/>
  <c r="AH254" i="4"/>
  <c r="AG254" i="4"/>
  <c r="AC254" i="4"/>
  <c r="AB254" i="4"/>
  <c r="T254" i="4"/>
  <c r="S254" i="4"/>
  <c r="R254" i="4"/>
  <c r="N254" i="4"/>
  <c r="M254" i="4"/>
  <c r="O254" i="4" s="1"/>
  <c r="I254" i="4"/>
  <c r="H254" i="4"/>
  <c r="V254" i="4" s="1"/>
  <c r="AL253" i="4"/>
  <c r="AM253" i="4" s="1"/>
  <c r="AG253" i="4"/>
  <c r="AH253" i="4" s="1"/>
  <c r="AC253" i="4"/>
  <c r="AN253" i="4" s="1"/>
  <c r="AB253" i="4"/>
  <c r="AO253" i="4" s="1"/>
  <c r="S253" i="4"/>
  <c r="R253" i="4"/>
  <c r="T253" i="4" s="1"/>
  <c r="N253" i="4"/>
  <c r="M253" i="4"/>
  <c r="O253" i="4" s="1"/>
  <c r="I253" i="4"/>
  <c r="H253" i="4"/>
  <c r="V253" i="4" s="1"/>
  <c r="AL252" i="4"/>
  <c r="AH252" i="4"/>
  <c r="AG252" i="4"/>
  <c r="AC252" i="4"/>
  <c r="AB252" i="4"/>
  <c r="S252" i="4"/>
  <c r="R252" i="4"/>
  <c r="N252" i="4"/>
  <c r="M252" i="4"/>
  <c r="O252" i="4" s="1"/>
  <c r="I252" i="4"/>
  <c r="H252" i="4"/>
  <c r="AO251" i="4"/>
  <c r="AL251" i="4"/>
  <c r="AM251" i="4" s="1"/>
  <c r="AG251" i="4"/>
  <c r="AH251" i="4" s="1"/>
  <c r="AB251" i="4"/>
  <c r="AC251" i="4" s="1"/>
  <c r="AN251" i="4" s="1"/>
  <c r="V251" i="4"/>
  <c r="S251" i="4"/>
  <c r="R251" i="4"/>
  <c r="T251" i="4" s="1"/>
  <c r="N251" i="4"/>
  <c r="M251" i="4"/>
  <c r="O251" i="4" s="1"/>
  <c r="J251" i="4"/>
  <c r="I251" i="4"/>
  <c r="H251" i="4"/>
  <c r="AM250" i="4"/>
  <c r="AL250" i="4"/>
  <c r="AG250" i="4"/>
  <c r="AC250" i="4"/>
  <c r="AB250" i="4"/>
  <c r="S250" i="4"/>
  <c r="R250" i="4"/>
  <c r="T250" i="4" s="1"/>
  <c r="O250" i="4"/>
  <c r="N250" i="4"/>
  <c r="M250" i="4"/>
  <c r="I250" i="4"/>
  <c r="H250" i="4"/>
  <c r="V250" i="4" s="1"/>
  <c r="AM249" i="4"/>
  <c r="AL249" i="4"/>
  <c r="AG249" i="4"/>
  <c r="AH249" i="4" s="1"/>
  <c r="AB249" i="4"/>
  <c r="AC249" i="4" s="1"/>
  <c r="AN249" i="4" s="1"/>
  <c r="T249" i="4"/>
  <c r="S249" i="4"/>
  <c r="R249" i="4"/>
  <c r="N249" i="4"/>
  <c r="M249" i="4"/>
  <c r="O249" i="4" s="1"/>
  <c r="I249" i="4"/>
  <c r="H249" i="4"/>
  <c r="AM248" i="4"/>
  <c r="AL248" i="4"/>
  <c r="AH248" i="4"/>
  <c r="AG248" i="4"/>
  <c r="AB248" i="4"/>
  <c r="S248" i="4"/>
  <c r="R248" i="4"/>
  <c r="T248" i="4" s="1"/>
  <c r="N248" i="4"/>
  <c r="M248" i="4"/>
  <c r="J248" i="4"/>
  <c r="I248" i="4"/>
  <c r="H248" i="4"/>
  <c r="AL247" i="4"/>
  <c r="AM247" i="4" s="1"/>
  <c r="AH247" i="4"/>
  <c r="AG247" i="4"/>
  <c r="AB247" i="4"/>
  <c r="AC247" i="4" s="1"/>
  <c r="AN247" i="4" s="1"/>
  <c r="S247" i="4"/>
  <c r="R247" i="4"/>
  <c r="T247" i="4" s="1"/>
  <c r="O247" i="4"/>
  <c r="N247" i="4"/>
  <c r="M247" i="4"/>
  <c r="I247" i="4"/>
  <c r="H247" i="4"/>
  <c r="AO246" i="4"/>
  <c r="AN246" i="4"/>
  <c r="AM246" i="4"/>
  <c r="AL246" i="4"/>
  <c r="AH246" i="4"/>
  <c r="AG246" i="4"/>
  <c r="AC246" i="4"/>
  <c r="AB246" i="4"/>
  <c r="T246" i="4"/>
  <c r="S246" i="4"/>
  <c r="R246" i="4"/>
  <c r="N246" i="4"/>
  <c r="M246" i="4"/>
  <c r="O246" i="4" s="1"/>
  <c r="I246" i="4"/>
  <c r="H246" i="4"/>
  <c r="AL245" i="4"/>
  <c r="AM245" i="4" s="1"/>
  <c r="AG245" i="4"/>
  <c r="AH245" i="4" s="1"/>
  <c r="AC245" i="4"/>
  <c r="AN245" i="4" s="1"/>
  <c r="AB245" i="4"/>
  <c r="AO245" i="4" s="1"/>
  <c r="S245" i="4"/>
  <c r="R245" i="4"/>
  <c r="T245" i="4" s="1"/>
  <c r="N245" i="4"/>
  <c r="M245" i="4"/>
  <c r="I245" i="4"/>
  <c r="H245" i="4"/>
  <c r="V245" i="4" s="1"/>
  <c r="AL244" i="4"/>
  <c r="AH244" i="4"/>
  <c r="AG244" i="4"/>
  <c r="AC244" i="4"/>
  <c r="AB244" i="4"/>
  <c r="S244" i="4"/>
  <c r="R244" i="4"/>
  <c r="T244" i="4" s="1"/>
  <c r="N244" i="4"/>
  <c r="M244" i="4"/>
  <c r="O244" i="4" s="1"/>
  <c r="I244" i="4"/>
  <c r="H244" i="4"/>
  <c r="V244" i="4" s="1"/>
  <c r="AO243" i="4"/>
  <c r="AL243" i="4"/>
  <c r="AM243" i="4" s="1"/>
  <c r="AG243" i="4"/>
  <c r="AH243" i="4" s="1"/>
  <c r="AB243" i="4"/>
  <c r="AC243" i="4" s="1"/>
  <c r="AN243" i="4" s="1"/>
  <c r="V243" i="4"/>
  <c r="S243" i="4"/>
  <c r="R243" i="4"/>
  <c r="T243" i="4" s="1"/>
  <c r="N243" i="4"/>
  <c r="M243" i="4"/>
  <c r="O243" i="4" s="1"/>
  <c r="I243" i="4"/>
  <c r="J243" i="4" s="1"/>
  <c r="U243" i="4" s="1"/>
  <c r="H243" i="4"/>
  <c r="AM242" i="4"/>
  <c r="AL242" i="4"/>
  <c r="AG242" i="4"/>
  <c r="AC242" i="4"/>
  <c r="AB242" i="4"/>
  <c r="S242" i="4"/>
  <c r="R242" i="4"/>
  <c r="T242" i="4" s="1"/>
  <c r="N242" i="4"/>
  <c r="O242" i="4" s="1"/>
  <c r="M242" i="4"/>
  <c r="I242" i="4"/>
  <c r="H242" i="4"/>
  <c r="AL241" i="4"/>
  <c r="AM241" i="4" s="1"/>
  <c r="AG241" i="4"/>
  <c r="AH241" i="4" s="1"/>
  <c r="AB241" i="4"/>
  <c r="AC241" i="4" s="1"/>
  <c r="T241" i="4"/>
  <c r="S241" i="4"/>
  <c r="R241" i="4"/>
  <c r="N241" i="4"/>
  <c r="M241" i="4"/>
  <c r="O241" i="4" s="1"/>
  <c r="I241" i="4"/>
  <c r="H241" i="4"/>
  <c r="AO240" i="4"/>
  <c r="AM240" i="4"/>
  <c r="AL240" i="4"/>
  <c r="AG240" i="4"/>
  <c r="AH240" i="4" s="1"/>
  <c r="AC240" i="4"/>
  <c r="AN240" i="4" s="1"/>
  <c r="AB240" i="4"/>
  <c r="S240" i="4"/>
  <c r="R240" i="4"/>
  <c r="T240" i="4" s="1"/>
  <c r="N240" i="4"/>
  <c r="M240" i="4"/>
  <c r="J240" i="4"/>
  <c r="I240" i="4"/>
  <c r="H240" i="4"/>
  <c r="AL239" i="4"/>
  <c r="AM239" i="4" s="1"/>
  <c r="AH239" i="4"/>
  <c r="AN239" i="4" s="1"/>
  <c r="AG239" i="4"/>
  <c r="AB239" i="4"/>
  <c r="AC239" i="4" s="1"/>
  <c r="S239" i="4"/>
  <c r="R239" i="4"/>
  <c r="T239" i="4" s="1"/>
  <c r="O239" i="4"/>
  <c r="N239" i="4"/>
  <c r="M239" i="4"/>
  <c r="I239" i="4"/>
  <c r="H239" i="4"/>
  <c r="AM238" i="4"/>
  <c r="AL238" i="4"/>
  <c r="AH238" i="4"/>
  <c r="AG238" i="4"/>
  <c r="AB238" i="4"/>
  <c r="AC238" i="4" s="1"/>
  <c r="AN238" i="4" s="1"/>
  <c r="S238" i="4"/>
  <c r="R238" i="4"/>
  <c r="T238" i="4" s="1"/>
  <c r="N238" i="4"/>
  <c r="M238" i="4"/>
  <c r="I238" i="4"/>
  <c r="H238" i="4"/>
  <c r="J238" i="4" s="1"/>
  <c r="AL237" i="4"/>
  <c r="AM237" i="4" s="1"/>
  <c r="AH237" i="4"/>
  <c r="AG237" i="4"/>
  <c r="AB237" i="4"/>
  <c r="S237" i="4"/>
  <c r="R237" i="4"/>
  <c r="N237" i="4"/>
  <c r="O237" i="4" s="1"/>
  <c r="M237" i="4"/>
  <c r="I237" i="4"/>
  <c r="H237" i="4"/>
  <c r="AL236" i="4"/>
  <c r="AO236" i="4" s="1"/>
  <c r="AH236" i="4"/>
  <c r="AG236" i="4"/>
  <c r="AC236" i="4"/>
  <c r="AB236" i="4"/>
  <c r="S236" i="4"/>
  <c r="R236" i="4"/>
  <c r="T236" i="4" s="1"/>
  <c r="N236" i="4"/>
  <c r="M236" i="4"/>
  <c r="I236" i="4"/>
  <c r="H236" i="4"/>
  <c r="J236" i="4" s="1"/>
  <c r="AL235" i="4"/>
  <c r="AM235" i="4" s="1"/>
  <c r="AG235" i="4"/>
  <c r="AH235" i="4" s="1"/>
  <c r="AB235" i="4"/>
  <c r="AC235" i="4" s="1"/>
  <c r="AN235" i="4" s="1"/>
  <c r="S235" i="4"/>
  <c r="R235" i="4"/>
  <c r="T235" i="4" s="1"/>
  <c r="O235" i="4"/>
  <c r="U235" i="4" s="1"/>
  <c r="N235" i="4"/>
  <c r="M235" i="4"/>
  <c r="J235" i="4"/>
  <c r="I235" i="4"/>
  <c r="V235" i="4" s="1"/>
  <c r="H235" i="4"/>
  <c r="AL234" i="4"/>
  <c r="AH234" i="4"/>
  <c r="AG234" i="4"/>
  <c r="AC234" i="4"/>
  <c r="AB234" i="4"/>
  <c r="S234" i="4"/>
  <c r="R234" i="4"/>
  <c r="T234" i="4" s="1"/>
  <c r="O234" i="4"/>
  <c r="N234" i="4"/>
  <c r="M234" i="4"/>
  <c r="I234" i="4"/>
  <c r="H234" i="4"/>
  <c r="J234" i="4" s="1"/>
  <c r="AO233" i="4"/>
  <c r="AN233" i="4"/>
  <c r="AM233" i="4"/>
  <c r="AL233" i="4"/>
  <c r="AG233" i="4"/>
  <c r="AH233" i="4" s="1"/>
  <c r="AB233" i="4"/>
  <c r="AC233" i="4" s="1"/>
  <c r="S233" i="4"/>
  <c r="T233" i="4" s="1"/>
  <c r="R233" i="4"/>
  <c r="N233" i="4"/>
  <c r="M233" i="4"/>
  <c r="O233" i="4" s="1"/>
  <c r="I233" i="4"/>
  <c r="H233" i="4"/>
  <c r="V233" i="4" s="1"/>
  <c r="AO232" i="4"/>
  <c r="AM232" i="4"/>
  <c r="AL232" i="4"/>
  <c r="AH232" i="4"/>
  <c r="AG232" i="4"/>
  <c r="AB232" i="4"/>
  <c r="AC232" i="4" s="1"/>
  <c r="AN232" i="4" s="1"/>
  <c r="T232" i="4"/>
  <c r="S232" i="4"/>
  <c r="R232" i="4"/>
  <c r="N232" i="4"/>
  <c r="M232" i="4"/>
  <c r="O232" i="4" s="1"/>
  <c r="I232" i="4"/>
  <c r="H232" i="4"/>
  <c r="AM231" i="4"/>
  <c r="AL231" i="4"/>
  <c r="AG231" i="4"/>
  <c r="AH231" i="4" s="1"/>
  <c r="AB231" i="4"/>
  <c r="AC231" i="4" s="1"/>
  <c r="V231" i="4"/>
  <c r="S231" i="4"/>
  <c r="R231" i="4"/>
  <c r="T231" i="4" s="1"/>
  <c r="N231" i="4"/>
  <c r="M231" i="4"/>
  <c r="O231" i="4" s="1"/>
  <c r="J231" i="4"/>
  <c r="I231" i="4"/>
  <c r="H231" i="4"/>
  <c r="AL230" i="4"/>
  <c r="AM230" i="4" s="1"/>
  <c r="AG230" i="4"/>
  <c r="AC230" i="4"/>
  <c r="AB230" i="4"/>
  <c r="S230" i="4"/>
  <c r="R230" i="4"/>
  <c r="T230" i="4" s="1"/>
  <c r="O230" i="4"/>
  <c r="N230" i="4"/>
  <c r="V230" i="4" s="1"/>
  <c r="M230" i="4"/>
  <c r="J230" i="4"/>
  <c r="I230" i="4"/>
  <c r="H230" i="4"/>
  <c r="AM229" i="4"/>
  <c r="AL229" i="4"/>
  <c r="AO229" i="4" s="1"/>
  <c r="AG229" i="4"/>
  <c r="AH229" i="4" s="1"/>
  <c r="AB229" i="4"/>
  <c r="AC229" i="4" s="1"/>
  <c r="T229" i="4"/>
  <c r="S229" i="4"/>
  <c r="R229" i="4"/>
  <c r="O229" i="4"/>
  <c r="N229" i="4"/>
  <c r="M229" i="4"/>
  <c r="I229" i="4"/>
  <c r="H229" i="4"/>
  <c r="AM228" i="4"/>
  <c r="AL228" i="4"/>
  <c r="AG228" i="4"/>
  <c r="AH228" i="4" s="1"/>
  <c r="AB228" i="4"/>
  <c r="T228" i="4"/>
  <c r="S228" i="4"/>
  <c r="R228" i="4"/>
  <c r="N228" i="4"/>
  <c r="M228" i="4"/>
  <c r="J228" i="4"/>
  <c r="I228" i="4"/>
  <c r="H228" i="4"/>
  <c r="AL227" i="4"/>
  <c r="AM227" i="4" s="1"/>
  <c r="AH227" i="4"/>
  <c r="AG227" i="4"/>
  <c r="AB227" i="4"/>
  <c r="AC227" i="4" s="1"/>
  <c r="S227" i="4"/>
  <c r="R227" i="4"/>
  <c r="T227" i="4" s="1"/>
  <c r="O227" i="4"/>
  <c r="N227" i="4"/>
  <c r="M227" i="4"/>
  <c r="I227" i="4"/>
  <c r="H227" i="4"/>
  <c r="V227" i="4" s="1"/>
  <c r="AO226" i="4"/>
  <c r="AM226" i="4"/>
  <c r="AL226" i="4"/>
  <c r="AH226" i="4"/>
  <c r="AG226" i="4"/>
  <c r="AB226" i="4"/>
  <c r="AC226" i="4" s="1"/>
  <c r="AN226" i="4" s="1"/>
  <c r="T226" i="4"/>
  <c r="S226" i="4"/>
  <c r="R226" i="4"/>
  <c r="N226" i="4"/>
  <c r="M226" i="4"/>
  <c r="O226" i="4" s="1"/>
  <c r="I226" i="4"/>
  <c r="H226" i="4"/>
  <c r="AL225" i="4"/>
  <c r="AM225" i="4" s="1"/>
  <c r="AG225" i="4"/>
  <c r="AH225" i="4" s="1"/>
  <c r="AC225" i="4"/>
  <c r="AB225" i="4"/>
  <c r="AO225" i="4" s="1"/>
  <c r="S225" i="4"/>
  <c r="R225" i="4"/>
  <c r="T225" i="4" s="1"/>
  <c r="N225" i="4"/>
  <c r="O225" i="4" s="1"/>
  <c r="M225" i="4"/>
  <c r="I225" i="4"/>
  <c r="H225" i="4"/>
  <c r="AL224" i="4"/>
  <c r="AM224" i="4" s="1"/>
  <c r="AH224" i="4"/>
  <c r="AN224" i="4" s="1"/>
  <c r="AG224" i="4"/>
  <c r="AC224" i="4"/>
  <c r="AB224" i="4"/>
  <c r="AO224" i="4" s="1"/>
  <c r="S224" i="4"/>
  <c r="T224" i="4" s="1"/>
  <c r="R224" i="4"/>
  <c r="N224" i="4"/>
  <c r="M224" i="4"/>
  <c r="O224" i="4" s="1"/>
  <c r="I224" i="4"/>
  <c r="H224" i="4"/>
  <c r="AO223" i="4"/>
  <c r="AL223" i="4"/>
  <c r="AM223" i="4" s="1"/>
  <c r="AG223" i="4"/>
  <c r="AH223" i="4" s="1"/>
  <c r="AB223" i="4"/>
  <c r="AC223" i="4" s="1"/>
  <c r="AN223" i="4" s="1"/>
  <c r="V223" i="4"/>
  <c r="S223" i="4"/>
  <c r="R223" i="4"/>
  <c r="T223" i="4" s="1"/>
  <c r="N223" i="4"/>
  <c r="M223" i="4"/>
  <c r="O223" i="4" s="1"/>
  <c r="J223" i="4"/>
  <c r="U223" i="4" s="1"/>
  <c r="I223" i="4"/>
  <c r="H223" i="4"/>
  <c r="AL222" i="4"/>
  <c r="AM222" i="4" s="1"/>
  <c r="AG222" i="4"/>
  <c r="AC222" i="4"/>
  <c r="AB222" i="4"/>
  <c r="S222" i="4"/>
  <c r="R222" i="4"/>
  <c r="T222" i="4" s="1"/>
  <c r="O222" i="4"/>
  <c r="N222" i="4"/>
  <c r="V222" i="4" s="1"/>
  <c r="M222" i="4"/>
  <c r="J222" i="4"/>
  <c r="I222" i="4"/>
  <c r="H222" i="4"/>
  <c r="AM221" i="4"/>
  <c r="AL221" i="4"/>
  <c r="AO221" i="4" s="1"/>
  <c r="AG221" i="4"/>
  <c r="AH221" i="4" s="1"/>
  <c r="AB221" i="4"/>
  <c r="AC221" i="4" s="1"/>
  <c r="AN221" i="4" s="1"/>
  <c r="T221" i="4"/>
  <c r="S221" i="4"/>
  <c r="R221" i="4"/>
  <c r="O221" i="4"/>
  <c r="N221" i="4"/>
  <c r="M221" i="4"/>
  <c r="I221" i="4"/>
  <c r="H221" i="4"/>
  <c r="AO220" i="4"/>
  <c r="AM220" i="4"/>
  <c r="AL220" i="4"/>
  <c r="AG220" i="4"/>
  <c r="AH220" i="4" s="1"/>
  <c r="AB220" i="4"/>
  <c r="AC220" i="4" s="1"/>
  <c r="AN220" i="4" s="1"/>
  <c r="V220" i="4"/>
  <c r="T220" i="4"/>
  <c r="S220" i="4"/>
  <c r="R220" i="4"/>
  <c r="N220" i="4"/>
  <c r="M220" i="4"/>
  <c r="O220" i="4" s="1"/>
  <c r="J220" i="4"/>
  <c r="U220" i="4" s="1"/>
  <c r="I220" i="4"/>
  <c r="H220" i="4"/>
  <c r="AL219" i="4"/>
  <c r="AM219" i="4" s="1"/>
  <c r="AH219" i="4"/>
  <c r="AG219" i="4"/>
  <c r="AB219" i="4"/>
  <c r="AC219" i="4" s="1"/>
  <c r="S219" i="4"/>
  <c r="R219" i="4"/>
  <c r="T219" i="4" s="1"/>
  <c r="O219" i="4"/>
  <c r="N219" i="4"/>
  <c r="M219" i="4"/>
  <c r="I219" i="4"/>
  <c r="H219" i="4"/>
  <c r="V219" i="4" s="1"/>
  <c r="AO218" i="4"/>
  <c r="AM218" i="4"/>
  <c r="AL218" i="4"/>
  <c r="AH218" i="4"/>
  <c r="AG218" i="4"/>
  <c r="AB218" i="4"/>
  <c r="AC218" i="4" s="1"/>
  <c r="AN218" i="4" s="1"/>
  <c r="T218" i="4"/>
  <c r="S218" i="4"/>
  <c r="R218" i="4"/>
  <c r="N218" i="4"/>
  <c r="M218" i="4"/>
  <c r="O218" i="4" s="1"/>
  <c r="I218" i="4"/>
  <c r="H218" i="4"/>
  <c r="AL217" i="4"/>
  <c r="AM217" i="4" s="1"/>
  <c r="AG217" i="4"/>
  <c r="AH217" i="4" s="1"/>
  <c r="AB217" i="4"/>
  <c r="AO217" i="4" s="1"/>
  <c r="S217" i="4"/>
  <c r="R217" i="4"/>
  <c r="T217" i="4" s="1"/>
  <c r="N217" i="4"/>
  <c r="M217" i="4"/>
  <c r="O217" i="4" s="1"/>
  <c r="I217" i="4"/>
  <c r="H217" i="4"/>
  <c r="AL216" i="4"/>
  <c r="AM216" i="4" s="1"/>
  <c r="AH216" i="4"/>
  <c r="AN216" i="4" s="1"/>
  <c r="AG216" i="4"/>
  <c r="AC216" i="4"/>
  <c r="AB216" i="4"/>
  <c r="AO216" i="4" s="1"/>
  <c r="S216" i="4"/>
  <c r="R216" i="4"/>
  <c r="N216" i="4"/>
  <c r="M216" i="4"/>
  <c r="O216" i="4" s="1"/>
  <c r="I216" i="4"/>
  <c r="H216" i="4"/>
  <c r="AO215" i="4"/>
  <c r="AL215" i="4"/>
  <c r="AM215" i="4" s="1"/>
  <c r="AG215" i="4"/>
  <c r="AH215" i="4" s="1"/>
  <c r="AB215" i="4"/>
  <c r="AC215" i="4" s="1"/>
  <c r="V215" i="4"/>
  <c r="S215" i="4"/>
  <c r="R215" i="4"/>
  <c r="T215" i="4" s="1"/>
  <c r="N215" i="4"/>
  <c r="M215" i="4"/>
  <c r="O215" i="4" s="1"/>
  <c r="J215" i="4"/>
  <c r="I215" i="4"/>
  <c r="H215" i="4"/>
  <c r="AL214" i="4"/>
  <c r="AM214" i="4" s="1"/>
  <c r="AG214" i="4"/>
  <c r="AC214" i="4"/>
  <c r="AB214" i="4"/>
  <c r="S214" i="4"/>
  <c r="R214" i="4"/>
  <c r="T214" i="4" s="1"/>
  <c r="N214" i="4"/>
  <c r="V214" i="4" s="1"/>
  <c r="M214" i="4"/>
  <c r="J214" i="4"/>
  <c r="I214" i="4"/>
  <c r="H214" i="4"/>
  <c r="AM213" i="4"/>
  <c r="AL213" i="4"/>
  <c r="AO213" i="4" s="1"/>
  <c r="AG213" i="4"/>
  <c r="AH213" i="4" s="1"/>
  <c r="AB213" i="4"/>
  <c r="AC213" i="4" s="1"/>
  <c r="S213" i="4"/>
  <c r="T213" i="4" s="1"/>
  <c r="R213" i="4"/>
  <c r="O213" i="4"/>
  <c r="N213" i="4"/>
  <c r="M213" i="4"/>
  <c r="I213" i="4"/>
  <c r="H213" i="4"/>
  <c r="AM212" i="4"/>
  <c r="AL212" i="4"/>
  <c r="AG212" i="4"/>
  <c r="AH212" i="4" s="1"/>
  <c r="AB212" i="4"/>
  <c r="T212" i="4"/>
  <c r="S212" i="4"/>
  <c r="R212" i="4"/>
  <c r="N212" i="4"/>
  <c r="M212" i="4"/>
  <c r="O212" i="4" s="1"/>
  <c r="J212" i="4"/>
  <c r="I212" i="4"/>
  <c r="H212" i="4"/>
  <c r="AL211" i="4"/>
  <c r="AM211" i="4" s="1"/>
  <c r="AG211" i="4"/>
  <c r="AH211" i="4" s="1"/>
  <c r="AB211" i="4"/>
  <c r="AC211" i="4" s="1"/>
  <c r="S211" i="4"/>
  <c r="R211" i="4"/>
  <c r="T211" i="4" s="1"/>
  <c r="O211" i="4"/>
  <c r="N211" i="4"/>
  <c r="M211" i="4"/>
  <c r="I211" i="4"/>
  <c r="H211" i="4"/>
  <c r="AO210" i="4"/>
  <c r="AN210" i="4"/>
  <c r="AM210" i="4"/>
  <c r="AL210" i="4"/>
  <c r="AH210" i="4"/>
  <c r="AG210" i="4"/>
  <c r="AB210" i="4"/>
  <c r="AC210" i="4" s="1"/>
  <c r="T210" i="4"/>
  <c r="S210" i="4"/>
  <c r="R210" i="4"/>
  <c r="N210" i="4"/>
  <c r="M210" i="4"/>
  <c r="O210" i="4" s="1"/>
  <c r="I210" i="4"/>
  <c r="H210" i="4"/>
  <c r="AL209" i="4"/>
  <c r="AM209" i="4" s="1"/>
  <c r="AG209" i="4"/>
  <c r="AH209" i="4" s="1"/>
  <c r="AC209" i="4"/>
  <c r="AN209" i="4" s="1"/>
  <c r="AB209" i="4"/>
  <c r="AO209" i="4" s="1"/>
  <c r="S209" i="4"/>
  <c r="R209" i="4"/>
  <c r="T209" i="4" s="1"/>
  <c r="N209" i="4"/>
  <c r="M209" i="4"/>
  <c r="O209" i="4" s="1"/>
  <c r="I209" i="4"/>
  <c r="H209" i="4"/>
  <c r="V209" i="4" s="1"/>
  <c r="AL208" i="4"/>
  <c r="AH208" i="4"/>
  <c r="AG208" i="4"/>
  <c r="AC208" i="4"/>
  <c r="AB208" i="4"/>
  <c r="S208" i="4"/>
  <c r="R208" i="4"/>
  <c r="T208" i="4" s="1"/>
  <c r="N208" i="4"/>
  <c r="M208" i="4"/>
  <c r="O208" i="4" s="1"/>
  <c r="I208" i="4"/>
  <c r="H208" i="4"/>
  <c r="V208" i="4" s="1"/>
  <c r="AO207" i="4"/>
  <c r="AL207" i="4"/>
  <c r="AM207" i="4" s="1"/>
  <c r="AG207" i="4"/>
  <c r="AH207" i="4" s="1"/>
  <c r="AB207" i="4"/>
  <c r="AC207" i="4" s="1"/>
  <c r="AN207" i="4" s="1"/>
  <c r="V207" i="4"/>
  <c r="S207" i="4"/>
  <c r="R207" i="4"/>
  <c r="T207" i="4" s="1"/>
  <c r="N207" i="4"/>
  <c r="M207" i="4"/>
  <c r="O207" i="4" s="1"/>
  <c r="I207" i="4"/>
  <c r="J207" i="4" s="1"/>
  <c r="U207" i="4" s="1"/>
  <c r="H207" i="4"/>
  <c r="AL206" i="4"/>
  <c r="AM206" i="4" s="1"/>
  <c r="AG206" i="4"/>
  <c r="AC206" i="4"/>
  <c r="AB206" i="4"/>
  <c r="S206" i="4"/>
  <c r="R206" i="4"/>
  <c r="T206" i="4" s="1"/>
  <c r="N206" i="4"/>
  <c r="V206" i="4" s="1"/>
  <c r="M206" i="4"/>
  <c r="J206" i="4"/>
  <c r="I206" i="4"/>
  <c r="H206" i="4"/>
  <c r="AL205" i="4"/>
  <c r="AO205" i="4" s="1"/>
  <c r="AG205" i="4"/>
  <c r="AH205" i="4" s="1"/>
  <c r="AB205" i="4"/>
  <c r="AC205" i="4" s="1"/>
  <c r="S205" i="4"/>
  <c r="T205" i="4" s="1"/>
  <c r="R205" i="4"/>
  <c r="O205" i="4"/>
  <c r="N205" i="4"/>
  <c r="M205" i="4"/>
  <c r="I205" i="4"/>
  <c r="H205" i="4"/>
  <c r="AO204" i="4"/>
  <c r="AM204" i="4"/>
  <c r="AL204" i="4"/>
  <c r="AG204" i="4"/>
  <c r="AH204" i="4" s="1"/>
  <c r="AB204" i="4"/>
  <c r="AC204" i="4" s="1"/>
  <c r="AN204" i="4" s="1"/>
  <c r="T204" i="4"/>
  <c r="S204" i="4"/>
  <c r="R204" i="4"/>
  <c r="N204" i="4"/>
  <c r="M204" i="4"/>
  <c r="O204" i="4" s="1"/>
  <c r="J204" i="4"/>
  <c r="I204" i="4"/>
  <c r="H204" i="4"/>
  <c r="AL203" i="4"/>
  <c r="AM203" i="4" s="1"/>
  <c r="AH203" i="4"/>
  <c r="AG203" i="4"/>
  <c r="AB203" i="4"/>
  <c r="AC203" i="4" s="1"/>
  <c r="AN203" i="4" s="1"/>
  <c r="S203" i="4"/>
  <c r="R203" i="4"/>
  <c r="T203" i="4" s="1"/>
  <c r="O203" i="4"/>
  <c r="N203" i="4"/>
  <c r="M203" i="4"/>
  <c r="I203" i="4"/>
  <c r="H203" i="4"/>
  <c r="V203" i="4" s="1"/>
  <c r="AO202" i="4"/>
  <c r="AM202" i="4"/>
  <c r="AL202" i="4"/>
  <c r="AH202" i="4"/>
  <c r="AG202" i="4"/>
  <c r="AB202" i="4"/>
  <c r="AC202" i="4" s="1"/>
  <c r="AN202" i="4" s="1"/>
  <c r="T202" i="4"/>
  <c r="S202" i="4"/>
  <c r="R202" i="4"/>
  <c r="N202" i="4"/>
  <c r="M202" i="4"/>
  <c r="O202" i="4" s="1"/>
  <c r="I202" i="4"/>
  <c r="H202" i="4"/>
  <c r="AL201" i="4"/>
  <c r="AM201" i="4" s="1"/>
  <c r="AG201" i="4"/>
  <c r="AH201" i="4" s="1"/>
  <c r="AC201" i="4"/>
  <c r="AB201" i="4"/>
  <c r="AO201" i="4" s="1"/>
  <c r="S201" i="4"/>
  <c r="R201" i="4"/>
  <c r="T201" i="4" s="1"/>
  <c r="N201" i="4"/>
  <c r="M201" i="4"/>
  <c r="O201" i="4" s="1"/>
  <c r="I201" i="4"/>
  <c r="H201" i="4"/>
  <c r="V201" i="4" s="1"/>
  <c r="AL200" i="4"/>
  <c r="AH200" i="4"/>
  <c r="AG200" i="4"/>
  <c r="AC200" i="4"/>
  <c r="AB200" i="4"/>
  <c r="S200" i="4"/>
  <c r="R200" i="4"/>
  <c r="N200" i="4"/>
  <c r="M200" i="4"/>
  <c r="O200" i="4" s="1"/>
  <c r="I200" i="4"/>
  <c r="H200" i="4"/>
  <c r="AO199" i="4"/>
  <c r="AL199" i="4"/>
  <c r="AM199" i="4" s="1"/>
  <c r="AG199" i="4"/>
  <c r="AH199" i="4" s="1"/>
  <c r="AB199" i="4"/>
  <c r="AC199" i="4" s="1"/>
  <c r="AN199" i="4" s="1"/>
  <c r="S199" i="4"/>
  <c r="R199" i="4"/>
  <c r="T199" i="4" s="1"/>
  <c r="N199" i="4"/>
  <c r="M199" i="4"/>
  <c r="O199" i="4" s="1"/>
  <c r="I199" i="4"/>
  <c r="H199" i="4"/>
  <c r="AL198" i="4"/>
  <c r="AM198" i="4" s="1"/>
  <c r="AG198" i="4"/>
  <c r="AC198" i="4"/>
  <c r="AB198" i="4"/>
  <c r="S198" i="4"/>
  <c r="R198" i="4"/>
  <c r="T198" i="4" s="1"/>
  <c r="O198" i="4"/>
  <c r="N198" i="4"/>
  <c r="V198" i="4" s="1"/>
  <c r="M198" i="4"/>
  <c r="J198" i="4"/>
  <c r="I198" i="4"/>
  <c r="H198" i="4"/>
  <c r="AM197" i="4"/>
  <c r="AL197" i="4"/>
  <c r="AG197" i="4"/>
  <c r="AH197" i="4" s="1"/>
  <c r="AB197" i="4"/>
  <c r="AC197" i="4" s="1"/>
  <c r="S197" i="4"/>
  <c r="T197" i="4" s="1"/>
  <c r="R197" i="4"/>
  <c r="O197" i="4"/>
  <c r="N197" i="4"/>
  <c r="M197" i="4"/>
  <c r="I197" i="4"/>
  <c r="H197" i="4"/>
  <c r="AM196" i="4"/>
  <c r="AL196" i="4"/>
  <c r="AG196" i="4"/>
  <c r="AH196" i="4" s="1"/>
  <c r="AB196" i="4"/>
  <c r="AC196" i="4" s="1"/>
  <c r="AN196" i="4" s="1"/>
  <c r="V196" i="4"/>
  <c r="T196" i="4"/>
  <c r="S196" i="4"/>
  <c r="R196" i="4"/>
  <c r="N196" i="4"/>
  <c r="M196" i="4"/>
  <c r="O196" i="4" s="1"/>
  <c r="J196" i="4"/>
  <c r="I196" i="4"/>
  <c r="H196" i="4"/>
  <c r="AL195" i="4"/>
  <c r="AM195" i="4" s="1"/>
  <c r="AH195" i="4"/>
  <c r="AG195" i="4"/>
  <c r="AB195" i="4"/>
  <c r="AC195" i="4" s="1"/>
  <c r="S195" i="4"/>
  <c r="R195" i="4"/>
  <c r="T195" i="4" s="1"/>
  <c r="O195" i="4"/>
  <c r="N195" i="4"/>
  <c r="M195" i="4"/>
  <c r="I195" i="4"/>
  <c r="H195" i="4"/>
  <c r="AO194" i="4"/>
  <c r="AM194" i="4"/>
  <c r="AL194" i="4"/>
  <c r="AH194" i="4"/>
  <c r="AG194" i="4"/>
  <c r="AB194" i="4"/>
  <c r="AC194" i="4" s="1"/>
  <c r="AN194" i="4" s="1"/>
  <c r="T194" i="4"/>
  <c r="S194" i="4"/>
  <c r="R194" i="4"/>
  <c r="N194" i="4"/>
  <c r="M194" i="4"/>
  <c r="O194" i="4" s="1"/>
  <c r="I194" i="4"/>
  <c r="H194" i="4"/>
  <c r="AL193" i="4"/>
  <c r="AM193" i="4" s="1"/>
  <c r="AG193" i="4"/>
  <c r="AH193" i="4" s="1"/>
  <c r="AC193" i="4"/>
  <c r="AN193" i="4" s="1"/>
  <c r="AB193" i="4"/>
  <c r="AO193" i="4" s="1"/>
  <c r="S193" i="4"/>
  <c r="R193" i="4"/>
  <c r="T193" i="4" s="1"/>
  <c r="N193" i="4"/>
  <c r="M193" i="4"/>
  <c r="I193" i="4"/>
  <c r="H193" i="4"/>
  <c r="AL192" i="4"/>
  <c r="AH192" i="4"/>
  <c r="AG192" i="4"/>
  <c r="AC192" i="4"/>
  <c r="AB192" i="4"/>
  <c r="S192" i="4"/>
  <c r="R192" i="4"/>
  <c r="N192" i="4"/>
  <c r="M192" i="4"/>
  <c r="O192" i="4" s="1"/>
  <c r="I192" i="4"/>
  <c r="H192" i="4"/>
  <c r="V192" i="4" s="1"/>
  <c r="AO191" i="4"/>
  <c r="AN191" i="4"/>
  <c r="AL191" i="4"/>
  <c r="AM191" i="4" s="1"/>
  <c r="AG191" i="4"/>
  <c r="AH191" i="4" s="1"/>
  <c r="AB191" i="4"/>
  <c r="AC191" i="4" s="1"/>
  <c r="V191" i="4"/>
  <c r="S191" i="4"/>
  <c r="R191" i="4"/>
  <c r="T191" i="4" s="1"/>
  <c r="N191" i="4"/>
  <c r="M191" i="4"/>
  <c r="O191" i="4" s="1"/>
  <c r="I191" i="4"/>
  <c r="J191" i="4" s="1"/>
  <c r="U191" i="4" s="1"/>
  <c r="H191" i="4"/>
  <c r="AL190" i="4"/>
  <c r="AM190" i="4" s="1"/>
  <c r="AH190" i="4"/>
  <c r="AG190" i="4"/>
  <c r="AO190" i="4" s="1"/>
  <c r="AC190" i="4"/>
  <c r="AN190" i="4" s="1"/>
  <c r="AB190" i="4"/>
  <c r="S190" i="4"/>
  <c r="R190" i="4"/>
  <c r="T190" i="4" s="1"/>
  <c r="O190" i="4"/>
  <c r="N190" i="4"/>
  <c r="V190" i="4" s="1"/>
  <c r="M190" i="4"/>
  <c r="J190" i="4"/>
  <c r="U190" i="4" s="1"/>
  <c r="I190" i="4"/>
  <c r="H190" i="4"/>
  <c r="AL189" i="4"/>
  <c r="AM189" i="4" s="1"/>
  <c r="AG189" i="4"/>
  <c r="AH189" i="4" s="1"/>
  <c r="AB189" i="4"/>
  <c r="AC189" i="4" s="1"/>
  <c r="T189" i="4"/>
  <c r="S189" i="4"/>
  <c r="R189" i="4"/>
  <c r="O189" i="4"/>
  <c r="N189" i="4"/>
  <c r="M189" i="4"/>
  <c r="I189" i="4"/>
  <c r="H189" i="4"/>
  <c r="AO188" i="4"/>
  <c r="AM188" i="4"/>
  <c r="AL188" i="4"/>
  <c r="AG188" i="4"/>
  <c r="AH188" i="4" s="1"/>
  <c r="AC188" i="4"/>
  <c r="AN188" i="4" s="1"/>
  <c r="AB188" i="4"/>
  <c r="V188" i="4"/>
  <c r="T188" i="4"/>
  <c r="S188" i="4"/>
  <c r="R188" i="4"/>
  <c r="N188" i="4"/>
  <c r="M188" i="4"/>
  <c r="O188" i="4" s="1"/>
  <c r="J188" i="4"/>
  <c r="U188" i="4" s="1"/>
  <c r="I188" i="4"/>
  <c r="H188" i="4"/>
  <c r="AL187" i="4"/>
  <c r="AM187" i="4" s="1"/>
  <c r="AH187" i="4"/>
  <c r="AG187" i="4"/>
  <c r="AB187" i="4"/>
  <c r="AC187" i="4" s="1"/>
  <c r="S187" i="4"/>
  <c r="R187" i="4"/>
  <c r="T187" i="4" s="1"/>
  <c r="O187" i="4"/>
  <c r="N187" i="4"/>
  <c r="M187" i="4"/>
  <c r="I187" i="4"/>
  <c r="H187" i="4"/>
  <c r="V187" i="4" s="1"/>
  <c r="AO186" i="4"/>
  <c r="AM186" i="4"/>
  <c r="AL186" i="4"/>
  <c r="AH186" i="4"/>
  <c r="AG186" i="4"/>
  <c r="AB186" i="4"/>
  <c r="AC186" i="4" s="1"/>
  <c r="AN186" i="4" s="1"/>
  <c r="T186" i="4"/>
  <c r="S186" i="4"/>
  <c r="R186" i="4"/>
  <c r="N186" i="4"/>
  <c r="M186" i="4"/>
  <c r="O186" i="4" s="1"/>
  <c r="J186" i="4"/>
  <c r="U186" i="4" s="1"/>
  <c r="I186" i="4"/>
  <c r="V186" i="4" s="1"/>
  <c r="H186" i="4"/>
  <c r="AL185" i="4"/>
  <c r="AM185" i="4" s="1"/>
  <c r="AG185" i="4"/>
  <c r="AH185" i="4" s="1"/>
  <c r="AB185" i="4"/>
  <c r="AO185" i="4" s="1"/>
  <c r="S185" i="4"/>
  <c r="R185" i="4"/>
  <c r="T185" i="4" s="1"/>
  <c r="O185" i="4"/>
  <c r="N185" i="4"/>
  <c r="M185" i="4"/>
  <c r="I185" i="4"/>
  <c r="H185" i="4"/>
  <c r="AM184" i="4"/>
  <c r="AL184" i="4"/>
  <c r="AO184" i="4" s="1"/>
  <c r="AH184" i="4"/>
  <c r="AG184" i="4"/>
  <c r="AC184" i="4"/>
  <c r="AB184" i="4"/>
  <c r="S184" i="4"/>
  <c r="R184" i="4"/>
  <c r="T184" i="4" s="1"/>
  <c r="N184" i="4"/>
  <c r="M184" i="4"/>
  <c r="O184" i="4" s="1"/>
  <c r="I184" i="4"/>
  <c r="H184" i="4"/>
  <c r="AL183" i="4"/>
  <c r="AM183" i="4" s="1"/>
  <c r="AG183" i="4"/>
  <c r="AH183" i="4" s="1"/>
  <c r="AB183" i="4"/>
  <c r="AC183" i="4" s="1"/>
  <c r="AN183" i="4" s="1"/>
  <c r="V183" i="4"/>
  <c r="S183" i="4"/>
  <c r="R183" i="4"/>
  <c r="T183" i="4" s="1"/>
  <c r="N183" i="4"/>
  <c r="M183" i="4"/>
  <c r="O183" i="4" s="1"/>
  <c r="J183" i="4"/>
  <c r="U183" i="4" s="1"/>
  <c r="I183" i="4"/>
  <c r="H183" i="4"/>
  <c r="AL182" i="4"/>
  <c r="AM182" i="4" s="1"/>
  <c r="AG182" i="4"/>
  <c r="AO182" i="4" s="1"/>
  <c r="AC182" i="4"/>
  <c r="AB182" i="4"/>
  <c r="S182" i="4"/>
  <c r="R182" i="4"/>
  <c r="O182" i="4"/>
  <c r="N182" i="4"/>
  <c r="M182" i="4"/>
  <c r="J182" i="4"/>
  <c r="I182" i="4"/>
  <c r="H182" i="4"/>
  <c r="AO181" i="4"/>
  <c r="AN181" i="4"/>
  <c r="AM181" i="4"/>
  <c r="AL181" i="4"/>
  <c r="AG181" i="4"/>
  <c r="AH181" i="4" s="1"/>
  <c r="AB181" i="4"/>
  <c r="AC181" i="4" s="1"/>
  <c r="S181" i="4"/>
  <c r="T181" i="4" s="1"/>
  <c r="R181" i="4"/>
  <c r="O181" i="4"/>
  <c r="N181" i="4"/>
  <c r="M181" i="4"/>
  <c r="I181" i="4"/>
  <c r="H181" i="4"/>
  <c r="V181" i="4" s="1"/>
  <c r="AO180" i="4"/>
  <c r="AM180" i="4"/>
  <c r="AL180" i="4"/>
  <c r="AG180" i="4"/>
  <c r="AH180" i="4" s="1"/>
  <c r="AB180" i="4"/>
  <c r="AC180" i="4" s="1"/>
  <c r="T180" i="4"/>
  <c r="S180" i="4"/>
  <c r="R180" i="4"/>
  <c r="N180" i="4"/>
  <c r="O180" i="4" s="1"/>
  <c r="M180" i="4"/>
  <c r="I180" i="4"/>
  <c r="H180" i="4"/>
  <c r="AL179" i="4"/>
  <c r="AM179" i="4" s="1"/>
  <c r="AH179" i="4"/>
  <c r="AG179" i="4"/>
  <c r="AB179" i="4"/>
  <c r="T179" i="4"/>
  <c r="S179" i="4"/>
  <c r="R179" i="4"/>
  <c r="O179" i="4"/>
  <c r="N179" i="4"/>
  <c r="M179" i="4"/>
  <c r="I179" i="4"/>
  <c r="H179" i="4"/>
  <c r="AO178" i="4"/>
  <c r="AM178" i="4"/>
  <c r="AL178" i="4"/>
  <c r="AH178" i="4"/>
  <c r="AG178" i="4"/>
  <c r="AC178" i="4"/>
  <c r="AN178" i="4" s="1"/>
  <c r="AB178" i="4"/>
  <c r="V178" i="4"/>
  <c r="S178" i="4"/>
  <c r="R178" i="4"/>
  <c r="T178" i="4" s="1"/>
  <c r="N178" i="4"/>
  <c r="M178" i="4"/>
  <c r="O178" i="4" s="1"/>
  <c r="J178" i="4"/>
  <c r="I178" i="4"/>
  <c r="H178" i="4"/>
  <c r="AM177" i="4"/>
  <c r="AL177" i="4"/>
  <c r="AH177" i="4"/>
  <c r="AG177" i="4"/>
  <c r="AC177" i="4"/>
  <c r="AN177" i="4" s="1"/>
  <c r="AB177" i="4"/>
  <c r="S177" i="4"/>
  <c r="T177" i="4" s="1"/>
  <c r="R177" i="4"/>
  <c r="N177" i="4"/>
  <c r="M177" i="4"/>
  <c r="O177" i="4" s="1"/>
  <c r="I177" i="4"/>
  <c r="H177" i="4"/>
  <c r="AL176" i="4"/>
  <c r="AO176" i="4" s="1"/>
  <c r="AH176" i="4"/>
  <c r="AG176" i="4"/>
  <c r="AC176" i="4"/>
  <c r="AB176" i="4"/>
  <c r="S176" i="4"/>
  <c r="R176" i="4"/>
  <c r="T176" i="4" s="1"/>
  <c r="O176" i="4"/>
  <c r="N176" i="4"/>
  <c r="M176" i="4"/>
  <c r="I176" i="4"/>
  <c r="J176" i="4" s="1"/>
  <c r="H176" i="4"/>
  <c r="V176" i="4" s="1"/>
  <c r="AO175" i="4"/>
  <c r="AM175" i="4"/>
  <c r="AL175" i="4"/>
  <c r="AG175" i="4"/>
  <c r="AH175" i="4" s="1"/>
  <c r="AN175" i="4" s="1"/>
  <c r="AC175" i="4"/>
  <c r="AB175" i="4"/>
  <c r="T175" i="4"/>
  <c r="S175" i="4"/>
  <c r="R175" i="4"/>
  <c r="N175" i="4"/>
  <c r="O175" i="4" s="1"/>
  <c r="M175" i="4"/>
  <c r="I175" i="4"/>
  <c r="H175" i="4"/>
  <c r="AL174" i="4"/>
  <c r="AM174" i="4" s="1"/>
  <c r="AG174" i="4"/>
  <c r="AH174" i="4" s="1"/>
  <c r="AB174" i="4"/>
  <c r="S174" i="4"/>
  <c r="T174" i="4" s="1"/>
  <c r="R174" i="4"/>
  <c r="N174" i="4"/>
  <c r="M174" i="4"/>
  <c r="J174" i="4"/>
  <c r="I174" i="4"/>
  <c r="H174" i="4"/>
  <c r="AM173" i="4"/>
  <c r="AL173" i="4"/>
  <c r="AH173" i="4"/>
  <c r="AG173" i="4"/>
  <c r="AO173" i="4" s="1"/>
  <c r="AB173" i="4"/>
  <c r="AC173" i="4" s="1"/>
  <c r="AN173" i="4" s="1"/>
  <c r="S173" i="4"/>
  <c r="R173" i="4"/>
  <c r="T173" i="4" s="1"/>
  <c r="O173" i="4"/>
  <c r="N173" i="4"/>
  <c r="M173" i="4"/>
  <c r="I173" i="4"/>
  <c r="H173" i="4"/>
  <c r="V173" i="4" s="1"/>
  <c r="AN172" i="4"/>
  <c r="AM172" i="4"/>
  <c r="AL172" i="4"/>
  <c r="AG172" i="4"/>
  <c r="AH172" i="4" s="1"/>
  <c r="AB172" i="4"/>
  <c r="AC172" i="4" s="1"/>
  <c r="T172" i="4"/>
  <c r="S172" i="4"/>
  <c r="R172" i="4"/>
  <c r="N172" i="4"/>
  <c r="M172" i="4"/>
  <c r="O172" i="4" s="1"/>
  <c r="I172" i="4"/>
  <c r="H172" i="4"/>
  <c r="V172" i="4" s="1"/>
  <c r="AM171" i="4"/>
  <c r="AL171" i="4"/>
  <c r="AH171" i="4"/>
  <c r="AG171" i="4"/>
  <c r="AC171" i="4"/>
  <c r="AN171" i="4" s="1"/>
  <c r="AB171" i="4"/>
  <c r="AO171" i="4" s="1"/>
  <c r="S171" i="4"/>
  <c r="R171" i="4"/>
  <c r="T171" i="4" s="1"/>
  <c r="N171" i="4"/>
  <c r="M171" i="4"/>
  <c r="O171" i="4" s="1"/>
  <c r="I171" i="4"/>
  <c r="H171" i="4"/>
  <c r="V171" i="4" s="1"/>
  <c r="AL170" i="4"/>
  <c r="AM170" i="4" s="1"/>
  <c r="AH170" i="4"/>
  <c r="AG170" i="4"/>
  <c r="AB170" i="4"/>
  <c r="AC170" i="4" s="1"/>
  <c r="S170" i="4"/>
  <c r="R170" i="4"/>
  <c r="T170" i="4" s="1"/>
  <c r="N170" i="4"/>
  <c r="M170" i="4"/>
  <c r="O170" i="4" s="1"/>
  <c r="I170" i="4"/>
  <c r="H170" i="4"/>
  <c r="AO169" i="4"/>
  <c r="AL169" i="4"/>
  <c r="AM169" i="4" s="1"/>
  <c r="AH169" i="4"/>
  <c r="AG169" i="4"/>
  <c r="AC169" i="4"/>
  <c r="AB169" i="4"/>
  <c r="V169" i="4"/>
  <c r="S169" i="4"/>
  <c r="R169" i="4"/>
  <c r="T169" i="4" s="1"/>
  <c r="N169" i="4"/>
  <c r="M169" i="4"/>
  <c r="O169" i="4" s="1"/>
  <c r="J169" i="4"/>
  <c r="U169" i="4" s="1"/>
  <c r="I169" i="4"/>
  <c r="H169" i="4"/>
  <c r="AL168" i="4"/>
  <c r="AM168" i="4" s="1"/>
  <c r="AG168" i="4"/>
  <c r="AC168" i="4"/>
  <c r="AB168" i="4"/>
  <c r="S168" i="4"/>
  <c r="R168" i="4"/>
  <c r="T168" i="4" s="1"/>
  <c r="O168" i="4"/>
  <c r="N168" i="4"/>
  <c r="M168" i="4"/>
  <c r="I168" i="4"/>
  <c r="V168" i="4" s="1"/>
  <c r="H168" i="4"/>
  <c r="AO167" i="4"/>
  <c r="AM167" i="4"/>
  <c r="AL167" i="4"/>
  <c r="AG167" i="4"/>
  <c r="AH167" i="4" s="1"/>
  <c r="AC167" i="4"/>
  <c r="AN167" i="4" s="1"/>
  <c r="AB167" i="4"/>
  <c r="T167" i="4"/>
  <c r="S167" i="4"/>
  <c r="R167" i="4"/>
  <c r="N167" i="4"/>
  <c r="O167" i="4" s="1"/>
  <c r="M167" i="4"/>
  <c r="I167" i="4"/>
  <c r="H167" i="4"/>
  <c r="AL166" i="4"/>
  <c r="AM166" i="4" s="1"/>
  <c r="AG166" i="4"/>
  <c r="AH166" i="4" s="1"/>
  <c r="AB166" i="4"/>
  <c r="S166" i="4"/>
  <c r="T166" i="4" s="1"/>
  <c r="R166" i="4"/>
  <c r="N166" i="4"/>
  <c r="M166" i="4"/>
  <c r="J166" i="4"/>
  <c r="I166" i="4"/>
  <c r="H166" i="4"/>
  <c r="AM165" i="4"/>
  <c r="AL165" i="4"/>
  <c r="AH165" i="4"/>
  <c r="AG165" i="4"/>
  <c r="AO165" i="4" s="1"/>
  <c r="AB165" i="4"/>
  <c r="AC165" i="4" s="1"/>
  <c r="AN165" i="4" s="1"/>
  <c r="S165" i="4"/>
  <c r="R165" i="4"/>
  <c r="T165" i="4" s="1"/>
  <c r="O165" i="4"/>
  <c r="N165" i="4"/>
  <c r="M165" i="4"/>
  <c r="I165" i="4"/>
  <c r="H165" i="4"/>
  <c r="AN164" i="4"/>
  <c r="AM164" i="4"/>
  <c r="AL164" i="4"/>
  <c r="AG164" i="4"/>
  <c r="AH164" i="4" s="1"/>
  <c r="AB164" i="4"/>
  <c r="AC164" i="4" s="1"/>
  <c r="T164" i="4"/>
  <c r="S164" i="4"/>
  <c r="R164" i="4"/>
  <c r="N164" i="4"/>
  <c r="M164" i="4"/>
  <c r="O164" i="4" s="1"/>
  <c r="I164" i="4"/>
  <c r="H164" i="4"/>
  <c r="AM163" i="4"/>
  <c r="AL163" i="4"/>
  <c r="AH163" i="4"/>
  <c r="AG163" i="4"/>
  <c r="AC163" i="4"/>
  <c r="AN163" i="4" s="1"/>
  <c r="AB163" i="4"/>
  <c r="AO163" i="4" s="1"/>
  <c r="S163" i="4"/>
  <c r="R163" i="4"/>
  <c r="T163" i="4" s="1"/>
  <c r="N163" i="4"/>
  <c r="M163" i="4"/>
  <c r="I163" i="4"/>
  <c r="H163" i="4"/>
  <c r="AL162" i="4"/>
  <c r="AM162" i="4" s="1"/>
  <c r="AH162" i="4"/>
  <c r="AG162" i="4"/>
  <c r="AB162" i="4"/>
  <c r="AC162" i="4" s="1"/>
  <c r="S162" i="4"/>
  <c r="R162" i="4"/>
  <c r="N162" i="4"/>
  <c r="M162" i="4"/>
  <c r="O162" i="4" s="1"/>
  <c r="I162" i="4"/>
  <c r="H162" i="4"/>
  <c r="V162" i="4" s="1"/>
  <c r="AO161" i="4"/>
  <c r="AL161" i="4"/>
  <c r="AM161" i="4" s="1"/>
  <c r="AH161" i="4"/>
  <c r="AG161" i="4"/>
  <c r="AC161" i="4"/>
  <c r="AN161" i="4" s="1"/>
  <c r="AB161" i="4"/>
  <c r="V161" i="4"/>
  <c r="S161" i="4"/>
  <c r="R161" i="4"/>
  <c r="T161" i="4" s="1"/>
  <c r="N161" i="4"/>
  <c r="M161" i="4"/>
  <c r="O161" i="4" s="1"/>
  <c r="J161" i="4"/>
  <c r="I161" i="4"/>
  <c r="H161" i="4"/>
  <c r="AL160" i="4"/>
  <c r="AM160" i="4" s="1"/>
  <c r="AG160" i="4"/>
  <c r="AC160" i="4"/>
  <c r="AB160" i="4"/>
  <c r="S160" i="4"/>
  <c r="R160" i="4"/>
  <c r="T160" i="4" s="1"/>
  <c r="O160" i="4"/>
  <c r="N160" i="4"/>
  <c r="M160" i="4"/>
  <c r="I160" i="4"/>
  <c r="J160" i="4" s="1"/>
  <c r="U160" i="4" s="1"/>
  <c r="H160" i="4"/>
  <c r="V160" i="4" s="1"/>
  <c r="AO159" i="4"/>
  <c r="AM159" i="4"/>
  <c r="AL159" i="4"/>
  <c r="AG159" i="4"/>
  <c r="AH159" i="4" s="1"/>
  <c r="AC159" i="4"/>
  <c r="AB159" i="4"/>
  <c r="T159" i="4"/>
  <c r="S159" i="4"/>
  <c r="R159" i="4"/>
  <c r="N159" i="4"/>
  <c r="O159" i="4" s="1"/>
  <c r="M159" i="4"/>
  <c r="I159" i="4"/>
  <c r="H159" i="4"/>
  <c r="AL158" i="4"/>
  <c r="AM158" i="4" s="1"/>
  <c r="AG158" i="4"/>
  <c r="AH158" i="4" s="1"/>
  <c r="AB158" i="4"/>
  <c r="S158" i="4"/>
  <c r="T158" i="4" s="1"/>
  <c r="R158" i="4"/>
  <c r="N158" i="4"/>
  <c r="M158" i="4"/>
  <c r="J158" i="4"/>
  <c r="I158" i="4"/>
  <c r="H158" i="4"/>
  <c r="AM157" i="4"/>
  <c r="AL157" i="4"/>
  <c r="AH157" i="4"/>
  <c r="AG157" i="4"/>
  <c r="AO157" i="4" s="1"/>
  <c r="AB157" i="4"/>
  <c r="AC157" i="4" s="1"/>
  <c r="AN157" i="4" s="1"/>
  <c r="S157" i="4"/>
  <c r="R157" i="4"/>
  <c r="T157" i="4" s="1"/>
  <c r="O157" i="4"/>
  <c r="N157" i="4"/>
  <c r="M157" i="4"/>
  <c r="I157" i="4"/>
  <c r="H157" i="4"/>
  <c r="AM156" i="4"/>
  <c r="AL156" i="4"/>
  <c r="AG156" i="4"/>
  <c r="AH156" i="4" s="1"/>
  <c r="AN156" i="4" s="1"/>
  <c r="AB156" i="4"/>
  <c r="AC156" i="4" s="1"/>
  <c r="T156" i="4"/>
  <c r="S156" i="4"/>
  <c r="R156" i="4"/>
  <c r="N156" i="4"/>
  <c r="M156" i="4"/>
  <c r="O156" i="4" s="1"/>
  <c r="I156" i="4"/>
  <c r="H156" i="4"/>
  <c r="AM155" i="4"/>
  <c r="AL155" i="4"/>
  <c r="AH155" i="4"/>
  <c r="AG155" i="4"/>
  <c r="AC155" i="4"/>
  <c r="AN155" i="4" s="1"/>
  <c r="AB155" i="4"/>
  <c r="AO155" i="4" s="1"/>
  <c r="S155" i="4"/>
  <c r="R155" i="4"/>
  <c r="T155" i="4" s="1"/>
  <c r="N155" i="4"/>
  <c r="M155" i="4"/>
  <c r="O155" i="4" s="1"/>
  <c r="I155" i="4"/>
  <c r="H155" i="4"/>
  <c r="V155" i="4" s="1"/>
  <c r="AL154" i="4"/>
  <c r="AM154" i="4" s="1"/>
  <c r="AH154" i="4"/>
  <c r="AG154" i="4"/>
  <c r="AB154" i="4"/>
  <c r="AC154" i="4" s="1"/>
  <c r="AN154" i="4" s="1"/>
  <c r="S154" i="4"/>
  <c r="R154" i="4"/>
  <c r="T154" i="4" s="1"/>
  <c r="N154" i="4"/>
  <c r="M154" i="4"/>
  <c r="O154" i="4" s="1"/>
  <c r="I154" i="4"/>
  <c r="H154" i="4"/>
  <c r="V154" i="4" s="1"/>
  <c r="AO153" i="4"/>
  <c r="AL153" i="4"/>
  <c r="AM153" i="4" s="1"/>
  <c r="AH153" i="4"/>
  <c r="AG153" i="4"/>
  <c r="AC153" i="4"/>
  <c r="AB153" i="4"/>
  <c r="V153" i="4"/>
  <c r="S153" i="4"/>
  <c r="R153" i="4"/>
  <c r="T153" i="4" s="1"/>
  <c r="N153" i="4"/>
  <c r="M153" i="4"/>
  <c r="O153" i="4" s="1"/>
  <c r="J153" i="4"/>
  <c r="I153" i="4"/>
  <c r="H153" i="4"/>
  <c r="AL152" i="4"/>
  <c r="AM152" i="4" s="1"/>
  <c r="AG152" i="4"/>
  <c r="AC152" i="4"/>
  <c r="AB152" i="4"/>
  <c r="S152" i="4"/>
  <c r="R152" i="4"/>
  <c r="T152" i="4" s="1"/>
  <c r="O152" i="4"/>
  <c r="N152" i="4"/>
  <c r="M152" i="4"/>
  <c r="I152" i="4"/>
  <c r="V152" i="4" s="1"/>
  <c r="H152" i="4"/>
  <c r="AO151" i="4"/>
  <c r="AM151" i="4"/>
  <c r="AL151" i="4"/>
  <c r="AG151" i="4"/>
  <c r="AH151" i="4" s="1"/>
  <c r="AC151" i="4"/>
  <c r="AN151" i="4" s="1"/>
  <c r="AB151" i="4"/>
  <c r="T151" i="4"/>
  <c r="S151" i="4"/>
  <c r="R151" i="4"/>
  <c r="N151" i="4"/>
  <c r="O151" i="4" s="1"/>
  <c r="M151" i="4"/>
  <c r="I151" i="4"/>
  <c r="H151" i="4"/>
  <c r="AL150" i="4"/>
  <c r="AM150" i="4" s="1"/>
  <c r="AG150" i="4"/>
  <c r="AH150" i="4" s="1"/>
  <c r="AB150" i="4"/>
  <c r="S150" i="4"/>
  <c r="T150" i="4" s="1"/>
  <c r="R150" i="4"/>
  <c r="N150" i="4"/>
  <c r="M150" i="4"/>
  <c r="J150" i="4"/>
  <c r="I150" i="4"/>
  <c r="H150" i="4"/>
  <c r="AM149" i="4"/>
  <c r="AL149" i="4"/>
  <c r="AH149" i="4"/>
  <c r="AG149" i="4"/>
  <c r="AO149" i="4" s="1"/>
  <c r="AB149" i="4"/>
  <c r="AC149" i="4" s="1"/>
  <c r="AN149" i="4" s="1"/>
  <c r="S149" i="4"/>
  <c r="R149" i="4"/>
  <c r="T149" i="4" s="1"/>
  <c r="O149" i="4"/>
  <c r="N149" i="4"/>
  <c r="M149" i="4"/>
  <c r="I149" i="4"/>
  <c r="H149" i="4"/>
  <c r="V149" i="4" s="1"/>
  <c r="AM148" i="4"/>
  <c r="AL148" i="4"/>
  <c r="AG148" i="4"/>
  <c r="AH148" i="4" s="1"/>
  <c r="AB148" i="4"/>
  <c r="AC148" i="4" s="1"/>
  <c r="AN148" i="4" s="1"/>
  <c r="T148" i="4"/>
  <c r="S148" i="4"/>
  <c r="R148" i="4"/>
  <c r="N148" i="4"/>
  <c r="M148" i="4"/>
  <c r="O148" i="4" s="1"/>
  <c r="I148" i="4"/>
  <c r="H148" i="4"/>
  <c r="AM147" i="4"/>
  <c r="AL147" i="4"/>
  <c r="AH147" i="4"/>
  <c r="AG147" i="4"/>
  <c r="AC147" i="4"/>
  <c r="AN147" i="4" s="1"/>
  <c r="AB147" i="4"/>
  <c r="AO147" i="4" s="1"/>
  <c r="S147" i="4"/>
  <c r="R147" i="4"/>
  <c r="T147" i="4" s="1"/>
  <c r="N147" i="4"/>
  <c r="M147" i="4"/>
  <c r="I147" i="4"/>
  <c r="H147" i="4"/>
  <c r="AL146" i="4"/>
  <c r="AM146" i="4" s="1"/>
  <c r="AH146" i="4"/>
  <c r="AG146" i="4"/>
  <c r="AB146" i="4"/>
  <c r="AC146" i="4" s="1"/>
  <c r="AN146" i="4" s="1"/>
  <c r="S146" i="4"/>
  <c r="R146" i="4"/>
  <c r="N146" i="4"/>
  <c r="M146" i="4"/>
  <c r="O146" i="4" s="1"/>
  <c r="I146" i="4"/>
  <c r="H146" i="4"/>
  <c r="V146" i="4" s="1"/>
  <c r="AO145" i="4"/>
  <c r="AL145" i="4"/>
  <c r="AM145" i="4" s="1"/>
  <c r="AH145" i="4"/>
  <c r="AG145" i="4"/>
  <c r="AC145" i="4"/>
  <c r="AB145" i="4"/>
  <c r="V145" i="4"/>
  <c r="S145" i="4"/>
  <c r="R145" i="4"/>
  <c r="T145" i="4" s="1"/>
  <c r="N145" i="4"/>
  <c r="M145" i="4"/>
  <c r="O145" i="4" s="1"/>
  <c r="J145" i="4"/>
  <c r="I145" i="4"/>
  <c r="H145" i="4"/>
  <c r="AL144" i="4"/>
  <c r="AM144" i="4" s="1"/>
  <c r="AG144" i="4"/>
  <c r="AC144" i="4"/>
  <c r="AB144" i="4"/>
  <c r="S144" i="4"/>
  <c r="R144" i="4"/>
  <c r="T144" i="4" s="1"/>
  <c r="O144" i="4"/>
  <c r="N144" i="4"/>
  <c r="M144" i="4"/>
  <c r="I144" i="4"/>
  <c r="V144" i="4" s="1"/>
  <c r="H144" i="4"/>
  <c r="AO143" i="4"/>
  <c r="AM143" i="4"/>
  <c r="AL143" i="4"/>
  <c r="AG143" i="4"/>
  <c r="AH143" i="4" s="1"/>
  <c r="AC143" i="4"/>
  <c r="AB143" i="4"/>
  <c r="T143" i="4"/>
  <c r="S143" i="4"/>
  <c r="R143" i="4"/>
  <c r="N143" i="4"/>
  <c r="O143" i="4" s="1"/>
  <c r="M143" i="4"/>
  <c r="I143" i="4"/>
  <c r="H143" i="4"/>
  <c r="AL142" i="4"/>
  <c r="AM142" i="4" s="1"/>
  <c r="AG142" i="4"/>
  <c r="AH142" i="4" s="1"/>
  <c r="AB142" i="4"/>
  <c r="S142" i="4"/>
  <c r="T142" i="4" s="1"/>
  <c r="R142" i="4"/>
  <c r="N142" i="4"/>
  <c r="M142" i="4"/>
  <c r="J142" i="4"/>
  <c r="I142" i="4"/>
  <c r="H142" i="4"/>
  <c r="AM141" i="4"/>
  <c r="AL141" i="4"/>
  <c r="AH141" i="4"/>
  <c r="AG141" i="4"/>
  <c r="AO141" i="4" s="1"/>
  <c r="AB141" i="4"/>
  <c r="AC141" i="4" s="1"/>
  <c r="AN141" i="4" s="1"/>
  <c r="S141" i="4"/>
  <c r="R141" i="4"/>
  <c r="T141" i="4" s="1"/>
  <c r="O141" i="4"/>
  <c r="N141" i="4"/>
  <c r="M141" i="4"/>
  <c r="I141" i="4"/>
  <c r="H141" i="4"/>
  <c r="AM140" i="4"/>
  <c r="AL140" i="4"/>
  <c r="AG140" i="4"/>
  <c r="AH140" i="4" s="1"/>
  <c r="AB140" i="4"/>
  <c r="AC140" i="4" s="1"/>
  <c r="AN140" i="4" s="1"/>
  <c r="T140" i="4"/>
  <c r="S140" i="4"/>
  <c r="R140" i="4"/>
  <c r="N140" i="4"/>
  <c r="M140" i="4"/>
  <c r="O140" i="4" s="1"/>
  <c r="I140" i="4"/>
  <c r="H140" i="4"/>
  <c r="V140" i="4" s="1"/>
  <c r="AM139" i="4"/>
  <c r="AL139" i="4"/>
  <c r="AH139" i="4"/>
  <c r="AG139" i="4"/>
  <c r="AC139" i="4"/>
  <c r="AN139" i="4" s="1"/>
  <c r="AB139" i="4"/>
  <c r="AO139" i="4" s="1"/>
  <c r="S139" i="4"/>
  <c r="R139" i="4"/>
  <c r="T139" i="4" s="1"/>
  <c r="N139" i="4"/>
  <c r="M139" i="4"/>
  <c r="I139" i="4"/>
  <c r="H139" i="4"/>
  <c r="AL138" i="4"/>
  <c r="AM138" i="4" s="1"/>
  <c r="AH138" i="4"/>
  <c r="AG138" i="4"/>
  <c r="AB138" i="4"/>
  <c r="AC138" i="4" s="1"/>
  <c r="AN138" i="4" s="1"/>
  <c r="S138" i="4"/>
  <c r="R138" i="4"/>
  <c r="N138" i="4"/>
  <c r="M138" i="4"/>
  <c r="O138" i="4" s="1"/>
  <c r="I138" i="4"/>
  <c r="J138" i="4" s="1"/>
  <c r="H138" i="4"/>
  <c r="AO137" i="4"/>
  <c r="AL137" i="4"/>
  <c r="AM137" i="4" s="1"/>
  <c r="AH137" i="4"/>
  <c r="AG137" i="4"/>
  <c r="AC137" i="4"/>
  <c r="AB137" i="4"/>
  <c r="V137" i="4"/>
  <c r="S137" i="4"/>
  <c r="R137" i="4"/>
  <c r="T137" i="4" s="1"/>
  <c r="N137" i="4"/>
  <c r="O137" i="4" s="1"/>
  <c r="M137" i="4"/>
  <c r="J137" i="4"/>
  <c r="I137" i="4"/>
  <c r="H137" i="4"/>
  <c r="AL136" i="4"/>
  <c r="AM136" i="4" s="1"/>
  <c r="AG136" i="4"/>
  <c r="AC136" i="4"/>
  <c r="AB136" i="4"/>
  <c r="S136" i="4"/>
  <c r="T136" i="4" s="1"/>
  <c r="R136" i="4"/>
  <c r="O136" i="4"/>
  <c r="N136" i="4"/>
  <c r="M136" i="4"/>
  <c r="I136" i="4"/>
  <c r="H136" i="4"/>
  <c r="V136" i="4" s="1"/>
  <c r="AO135" i="4"/>
  <c r="AM135" i="4"/>
  <c r="AL135" i="4"/>
  <c r="AG135" i="4"/>
  <c r="AH135" i="4" s="1"/>
  <c r="AC135" i="4"/>
  <c r="AB135" i="4"/>
  <c r="T135" i="4"/>
  <c r="S135" i="4"/>
  <c r="R135" i="4"/>
  <c r="N135" i="4"/>
  <c r="M135" i="4"/>
  <c r="O135" i="4" s="1"/>
  <c r="I135" i="4"/>
  <c r="H135" i="4"/>
  <c r="AL134" i="4"/>
  <c r="AM134" i="4" s="1"/>
  <c r="AG134" i="4"/>
  <c r="AH134" i="4" s="1"/>
  <c r="AB134" i="4"/>
  <c r="S134" i="4"/>
  <c r="R134" i="4"/>
  <c r="T134" i="4" s="1"/>
  <c r="N134" i="4"/>
  <c r="M134" i="4"/>
  <c r="J134" i="4"/>
  <c r="I134" i="4"/>
  <c r="H134" i="4"/>
  <c r="AM133" i="4"/>
  <c r="AL133" i="4"/>
  <c r="AH133" i="4"/>
  <c r="AG133" i="4"/>
  <c r="AO133" i="4" s="1"/>
  <c r="AB133" i="4"/>
  <c r="AC133" i="4" s="1"/>
  <c r="S133" i="4"/>
  <c r="R133" i="4"/>
  <c r="T133" i="4" s="1"/>
  <c r="O133" i="4"/>
  <c r="N133" i="4"/>
  <c r="M133" i="4"/>
  <c r="I133" i="4"/>
  <c r="H133" i="4"/>
  <c r="AM132" i="4"/>
  <c r="AL132" i="4"/>
  <c r="AG132" i="4"/>
  <c r="AH132" i="4" s="1"/>
  <c r="AB132" i="4"/>
  <c r="AC132" i="4" s="1"/>
  <c r="AN132" i="4" s="1"/>
  <c r="T132" i="4"/>
  <c r="S132" i="4"/>
  <c r="R132" i="4"/>
  <c r="N132" i="4"/>
  <c r="M132" i="4"/>
  <c r="O132" i="4" s="1"/>
  <c r="I132" i="4"/>
  <c r="H132" i="4"/>
  <c r="AM131" i="4"/>
  <c r="AL131" i="4"/>
  <c r="AH131" i="4"/>
  <c r="AG131" i="4"/>
  <c r="AC131" i="4"/>
  <c r="AB131" i="4"/>
  <c r="AO131" i="4" s="1"/>
  <c r="S131" i="4"/>
  <c r="R131" i="4"/>
  <c r="T131" i="4" s="1"/>
  <c r="N131" i="4"/>
  <c r="M131" i="4"/>
  <c r="I131" i="4"/>
  <c r="H131" i="4"/>
  <c r="AL130" i="4"/>
  <c r="AM130" i="4" s="1"/>
  <c r="AH130" i="4"/>
  <c r="AG130" i="4"/>
  <c r="AB130" i="4"/>
  <c r="AC130" i="4" s="1"/>
  <c r="AN130" i="4" s="1"/>
  <c r="S130" i="4"/>
  <c r="R130" i="4"/>
  <c r="N130" i="4"/>
  <c r="M130" i="4"/>
  <c r="O130" i="4" s="1"/>
  <c r="I130" i="4"/>
  <c r="H130" i="4"/>
  <c r="AO129" i="4"/>
  <c r="AN129" i="4"/>
  <c r="AL129" i="4"/>
  <c r="AM129" i="4" s="1"/>
  <c r="AH129" i="4"/>
  <c r="AG129" i="4"/>
  <c r="AC129" i="4"/>
  <c r="AB129" i="4"/>
  <c r="S129" i="4"/>
  <c r="R129" i="4"/>
  <c r="T129" i="4" s="1"/>
  <c r="N129" i="4"/>
  <c r="O129" i="4" s="1"/>
  <c r="M129" i="4"/>
  <c r="I129" i="4"/>
  <c r="J129" i="4" s="1"/>
  <c r="U129" i="4" s="1"/>
  <c r="H129" i="4"/>
  <c r="AL128" i="4"/>
  <c r="AM128" i="4" s="1"/>
  <c r="AG128" i="4"/>
  <c r="AC128" i="4"/>
  <c r="AB128" i="4"/>
  <c r="S128" i="4"/>
  <c r="T128" i="4" s="1"/>
  <c r="R128" i="4"/>
  <c r="O128" i="4"/>
  <c r="N128" i="4"/>
  <c r="M128" i="4"/>
  <c r="I128" i="4"/>
  <c r="H128" i="4"/>
  <c r="AO127" i="4"/>
  <c r="AM127" i="4"/>
  <c r="AL127" i="4"/>
  <c r="AG127" i="4"/>
  <c r="AH127" i="4" s="1"/>
  <c r="AC127" i="4"/>
  <c r="AB127" i="4"/>
  <c r="S127" i="4"/>
  <c r="T127" i="4" s="1"/>
  <c r="R127" i="4"/>
  <c r="N127" i="4"/>
  <c r="M127" i="4"/>
  <c r="O127" i="4" s="1"/>
  <c r="J127" i="4"/>
  <c r="I127" i="4"/>
  <c r="H127" i="4"/>
  <c r="AL126" i="4"/>
  <c r="AM126" i="4" s="1"/>
  <c r="AH126" i="4"/>
  <c r="AG126" i="4"/>
  <c r="AB126" i="4"/>
  <c r="V126" i="4"/>
  <c r="T126" i="4"/>
  <c r="S126" i="4"/>
  <c r="R126" i="4"/>
  <c r="O126" i="4"/>
  <c r="N126" i="4"/>
  <c r="M126" i="4"/>
  <c r="J126" i="4"/>
  <c r="U126" i="4" s="1"/>
  <c r="I126" i="4"/>
  <c r="H126" i="4"/>
  <c r="AL125" i="4"/>
  <c r="AM125" i="4" s="1"/>
  <c r="AG125" i="4"/>
  <c r="AH125" i="4" s="1"/>
  <c r="AB125" i="4"/>
  <c r="AC125" i="4" s="1"/>
  <c r="S125" i="4"/>
  <c r="R125" i="4"/>
  <c r="T125" i="4" s="1"/>
  <c r="N125" i="4"/>
  <c r="M125" i="4"/>
  <c r="V125" i="4" s="1"/>
  <c r="J125" i="4"/>
  <c r="I125" i="4"/>
  <c r="H125" i="4"/>
  <c r="AO124" i="4"/>
  <c r="AM124" i="4"/>
  <c r="AL124" i="4"/>
  <c r="AH124" i="4"/>
  <c r="AG124" i="4"/>
  <c r="AB124" i="4"/>
  <c r="AC124" i="4" s="1"/>
  <c r="AN124" i="4" s="1"/>
  <c r="S124" i="4"/>
  <c r="R124" i="4"/>
  <c r="O124" i="4"/>
  <c r="N124" i="4"/>
  <c r="M124" i="4"/>
  <c r="I124" i="4"/>
  <c r="H124" i="4"/>
  <c r="AO123" i="4"/>
  <c r="AM123" i="4"/>
  <c r="AL123" i="4"/>
  <c r="AG123" i="4"/>
  <c r="AH123" i="4" s="1"/>
  <c r="AN123" i="4" s="1"/>
  <c r="AC123" i="4"/>
  <c r="AB123" i="4"/>
  <c r="V123" i="4"/>
  <c r="T123" i="4"/>
  <c r="S123" i="4"/>
  <c r="R123" i="4"/>
  <c r="N123" i="4"/>
  <c r="O123" i="4" s="1"/>
  <c r="M123" i="4"/>
  <c r="J123" i="4"/>
  <c r="I123" i="4"/>
  <c r="H123" i="4"/>
  <c r="AL122" i="4"/>
  <c r="AM122" i="4" s="1"/>
  <c r="AG122" i="4"/>
  <c r="AH122" i="4" s="1"/>
  <c r="AC122" i="4"/>
  <c r="AB122" i="4"/>
  <c r="S122" i="4"/>
  <c r="T122" i="4" s="1"/>
  <c r="R122" i="4"/>
  <c r="O122" i="4"/>
  <c r="N122" i="4"/>
  <c r="M122" i="4"/>
  <c r="I122" i="4"/>
  <c r="H122" i="4"/>
  <c r="V122" i="4" s="1"/>
  <c r="AM121" i="4"/>
  <c r="AL121" i="4"/>
  <c r="AO121" i="4" s="1"/>
  <c r="AH121" i="4"/>
  <c r="AG121" i="4"/>
  <c r="AB121" i="4"/>
  <c r="AC121" i="4" s="1"/>
  <c r="AN121" i="4" s="1"/>
  <c r="T121" i="4"/>
  <c r="S121" i="4"/>
  <c r="R121" i="4"/>
  <c r="N121" i="4"/>
  <c r="M121" i="4"/>
  <c r="O121" i="4" s="1"/>
  <c r="I121" i="4"/>
  <c r="H121" i="4"/>
  <c r="AM120" i="4"/>
  <c r="AL120" i="4"/>
  <c r="AG120" i="4"/>
  <c r="AH120" i="4" s="1"/>
  <c r="AB120" i="4"/>
  <c r="S120" i="4"/>
  <c r="R120" i="4"/>
  <c r="T120" i="4" s="1"/>
  <c r="N120" i="4"/>
  <c r="M120" i="4"/>
  <c r="J120" i="4"/>
  <c r="I120" i="4"/>
  <c r="H120" i="4"/>
  <c r="AM119" i="4"/>
  <c r="AL119" i="4"/>
  <c r="AH119" i="4"/>
  <c r="AN119" i="4" s="1"/>
  <c r="AG119" i="4"/>
  <c r="AC119" i="4"/>
  <c r="AB119" i="4"/>
  <c r="AO119" i="4" s="1"/>
  <c r="S119" i="4"/>
  <c r="R119" i="4"/>
  <c r="T119" i="4" s="1"/>
  <c r="O119" i="4"/>
  <c r="N119" i="4"/>
  <c r="M119" i="4"/>
  <c r="I119" i="4"/>
  <c r="H119" i="4"/>
  <c r="AM118" i="4"/>
  <c r="AL118" i="4"/>
  <c r="AH118" i="4"/>
  <c r="AG118" i="4"/>
  <c r="AB118" i="4"/>
  <c r="AC118" i="4" s="1"/>
  <c r="AN118" i="4" s="1"/>
  <c r="T118" i="4"/>
  <c r="S118" i="4"/>
  <c r="R118" i="4"/>
  <c r="N118" i="4"/>
  <c r="M118" i="4"/>
  <c r="O118" i="4" s="1"/>
  <c r="I118" i="4"/>
  <c r="H118" i="4"/>
  <c r="V118" i="4" s="1"/>
  <c r="AL117" i="4"/>
  <c r="AM117" i="4" s="1"/>
  <c r="AH117" i="4"/>
  <c r="AG117" i="4"/>
  <c r="AC117" i="4"/>
  <c r="AN117" i="4" s="1"/>
  <c r="AB117" i="4"/>
  <c r="AO117" i="4" s="1"/>
  <c r="S117" i="4"/>
  <c r="R117" i="4"/>
  <c r="T117" i="4" s="1"/>
  <c r="N117" i="4"/>
  <c r="M117" i="4"/>
  <c r="I117" i="4"/>
  <c r="H117" i="4"/>
  <c r="AL116" i="4"/>
  <c r="AH116" i="4"/>
  <c r="AG116" i="4"/>
  <c r="AC116" i="4"/>
  <c r="AB116" i="4"/>
  <c r="S116" i="4"/>
  <c r="R116" i="4"/>
  <c r="V116" i="4" s="1"/>
  <c r="N116" i="4"/>
  <c r="O116" i="4" s="1"/>
  <c r="M116" i="4"/>
  <c r="J116" i="4"/>
  <c r="I116" i="4"/>
  <c r="H116" i="4"/>
  <c r="AO115" i="4"/>
  <c r="AL115" i="4"/>
  <c r="AM115" i="4" s="1"/>
  <c r="AG115" i="4"/>
  <c r="AH115" i="4" s="1"/>
  <c r="AN115" i="4" s="1"/>
  <c r="AC115" i="4"/>
  <c r="AB115" i="4"/>
  <c r="V115" i="4"/>
  <c r="S115" i="4"/>
  <c r="T115" i="4" s="1"/>
  <c r="R115" i="4"/>
  <c r="O115" i="4"/>
  <c r="N115" i="4"/>
  <c r="M115" i="4"/>
  <c r="J115" i="4"/>
  <c r="I115" i="4"/>
  <c r="H115" i="4"/>
  <c r="AM114" i="4"/>
  <c r="AL114" i="4"/>
  <c r="AG114" i="4"/>
  <c r="AC114" i="4"/>
  <c r="AB114" i="4"/>
  <c r="T114" i="4"/>
  <c r="S114" i="4"/>
  <c r="R114" i="4"/>
  <c r="O114" i="4"/>
  <c r="N114" i="4"/>
  <c r="M114" i="4"/>
  <c r="I114" i="4"/>
  <c r="H114" i="4"/>
  <c r="V114" i="4" s="1"/>
  <c r="AM113" i="4"/>
  <c r="AL113" i="4"/>
  <c r="AG113" i="4"/>
  <c r="AH113" i="4" s="1"/>
  <c r="AB113" i="4"/>
  <c r="AC113" i="4" s="1"/>
  <c r="T113" i="4"/>
  <c r="S113" i="4"/>
  <c r="R113" i="4"/>
  <c r="N113" i="4"/>
  <c r="M113" i="4"/>
  <c r="O113" i="4" s="1"/>
  <c r="I113" i="4"/>
  <c r="H113" i="4"/>
  <c r="AM112" i="4"/>
  <c r="AL112" i="4"/>
  <c r="AH112" i="4"/>
  <c r="AG112" i="4"/>
  <c r="AB112" i="4"/>
  <c r="S112" i="4"/>
  <c r="R112" i="4"/>
  <c r="T112" i="4" s="1"/>
  <c r="N112" i="4"/>
  <c r="M112" i="4"/>
  <c r="J112" i="4"/>
  <c r="I112" i="4"/>
  <c r="H112" i="4"/>
  <c r="AM111" i="4"/>
  <c r="AL111" i="4"/>
  <c r="AH111" i="4"/>
  <c r="AG111" i="4"/>
  <c r="AB111" i="4"/>
  <c r="AC111" i="4" s="1"/>
  <c r="AN111" i="4" s="1"/>
  <c r="S111" i="4"/>
  <c r="R111" i="4"/>
  <c r="T111" i="4" s="1"/>
  <c r="O111" i="4"/>
  <c r="N111" i="4"/>
  <c r="M111" i="4"/>
  <c r="I111" i="4"/>
  <c r="H111" i="4"/>
  <c r="V111" i="4" s="1"/>
  <c r="AN110" i="4"/>
  <c r="AM110" i="4"/>
  <c r="AL110" i="4"/>
  <c r="AH110" i="4"/>
  <c r="AG110" i="4"/>
  <c r="AC110" i="4"/>
  <c r="AB110" i="4"/>
  <c r="AO110" i="4" s="1"/>
  <c r="T110" i="4"/>
  <c r="S110" i="4"/>
  <c r="R110" i="4"/>
  <c r="N110" i="4"/>
  <c r="M110" i="4"/>
  <c r="O110" i="4" s="1"/>
  <c r="I110" i="4"/>
  <c r="H110" i="4"/>
  <c r="V110" i="4" s="1"/>
  <c r="AL109" i="4"/>
  <c r="AM109" i="4" s="1"/>
  <c r="AG109" i="4"/>
  <c r="AH109" i="4" s="1"/>
  <c r="AC109" i="4"/>
  <c r="AB109" i="4"/>
  <c r="AO109" i="4" s="1"/>
  <c r="S109" i="4"/>
  <c r="R109" i="4"/>
  <c r="T109" i="4" s="1"/>
  <c r="N109" i="4"/>
  <c r="O109" i="4" s="1"/>
  <c r="M109" i="4"/>
  <c r="I109" i="4"/>
  <c r="V109" i="4" s="1"/>
  <c r="H109" i="4"/>
  <c r="AM108" i="4"/>
  <c r="AL108" i="4"/>
  <c r="AO108" i="4" s="1"/>
  <c r="AH108" i="4"/>
  <c r="AG108" i="4"/>
  <c r="AC108" i="4"/>
  <c r="AN108" i="4" s="1"/>
  <c r="AB108" i="4"/>
  <c r="T108" i="4"/>
  <c r="S108" i="4"/>
  <c r="R108" i="4"/>
  <c r="N108" i="4"/>
  <c r="O108" i="4" s="1"/>
  <c r="M108" i="4"/>
  <c r="I108" i="4"/>
  <c r="H108" i="4"/>
  <c r="AO107" i="4"/>
  <c r="AL107" i="4"/>
  <c r="AM107" i="4" s="1"/>
  <c r="AG107" i="4"/>
  <c r="AH107" i="4" s="1"/>
  <c r="AB107" i="4"/>
  <c r="AC107" i="4" s="1"/>
  <c r="S107" i="4"/>
  <c r="T107" i="4" s="1"/>
  <c r="R107" i="4"/>
  <c r="N107" i="4"/>
  <c r="M107" i="4"/>
  <c r="J107" i="4"/>
  <c r="I107" i="4"/>
  <c r="H107" i="4"/>
  <c r="AM106" i="4"/>
  <c r="AL106" i="4"/>
  <c r="AG106" i="4"/>
  <c r="AO106" i="4" s="1"/>
  <c r="AC106" i="4"/>
  <c r="AB106" i="4"/>
  <c r="S106" i="4"/>
  <c r="R106" i="4"/>
  <c r="T106" i="4" s="1"/>
  <c r="O106" i="4"/>
  <c r="N106" i="4"/>
  <c r="M106" i="4"/>
  <c r="I106" i="4"/>
  <c r="H106" i="4"/>
  <c r="V106" i="4" s="1"/>
  <c r="AN105" i="4"/>
  <c r="AM105" i="4"/>
  <c r="AL105" i="4"/>
  <c r="AG105" i="4"/>
  <c r="AH105" i="4" s="1"/>
  <c r="AB105" i="4"/>
  <c r="AC105" i="4" s="1"/>
  <c r="T105" i="4"/>
  <c r="S105" i="4"/>
  <c r="R105" i="4"/>
  <c r="N105" i="4"/>
  <c r="M105" i="4"/>
  <c r="O105" i="4" s="1"/>
  <c r="I105" i="4"/>
  <c r="H105" i="4"/>
  <c r="AM104" i="4"/>
  <c r="AL104" i="4"/>
  <c r="AH104" i="4"/>
  <c r="AG104" i="4"/>
  <c r="AB104" i="4"/>
  <c r="AO104" i="4" s="1"/>
  <c r="S104" i="4"/>
  <c r="R104" i="4"/>
  <c r="T104" i="4" s="1"/>
  <c r="N104" i="4"/>
  <c r="M104" i="4"/>
  <c r="J104" i="4"/>
  <c r="I104" i="4"/>
  <c r="H104" i="4"/>
  <c r="AL103" i="4"/>
  <c r="AM103" i="4" s="1"/>
  <c r="AH103" i="4"/>
  <c r="AG103" i="4"/>
  <c r="AB103" i="4"/>
  <c r="AC103" i="4" s="1"/>
  <c r="S103" i="4"/>
  <c r="R103" i="4"/>
  <c r="T103" i="4" s="1"/>
  <c r="O103" i="4"/>
  <c r="N103" i="4"/>
  <c r="M103" i="4"/>
  <c r="I103" i="4"/>
  <c r="H103" i="4"/>
  <c r="AO102" i="4"/>
  <c r="AN102" i="4"/>
  <c r="AM102" i="4"/>
  <c r="AL102" i="4"/>
  <c r="AH102" i="4"/>
  <c r="AG102" i="4"/>
  <c r="AC102" i="4"/>
  <c r="AB102" i="4"/>
  <c r="T102" i="4"/>
  <c r="S102" i="4"/>
  <c r="R102" i="4"/>
  <c r="N102" i="4"/>
  <c r="M102" i="4"/>
  <c r="O102" i="4" s="1"/>
  <c r="I102" i="4"/>
  <c r="J102" i="4" s="1"/>
  <c r="U102" i="4" s="1"/>
  <c r="H102" i="4"/>
  <c r="AL101" i="4"/>
  <c r="AM101" i="4" s="1"/>
  <c r="AG101" i="4"/>
  <c r="AH101" i="4" s="1"/>
  <c r="AC101" i="4"/>
  <c r="AB101" i="4"/>
  <c r="S101" i="4"/>
  <c r="R101" i="4"/>
  <c r="T101" i="4" s="1"/>
  <c r="N101" i="4"/>
  <c r="O101" i="4" s="1"/>
  <c r="M101" i="4"/>
  <c r="I101" i="4"/>
  <c r="V101" i="4" s="1"/>
  <c r="H101" i="4"/>
  <c r="AM100" i="4"/>
  <c r="AL100" i="4"/>
  <c r="AO100" i="4" s="1"/>
  <c r="AH100" i="4"/>
  <c r="AG100" i="4"/>
  <c r="AC100" i="4"/>
  <c r="AN100" i="4" s="1"/>
  <c r="AB100" i="4"/>
  <c r="T100" i="4"/>
  <c r="S100" i="4"/>
  <c r="R100" i="4"/>
  <c r="N100" i="4"/>
  <c r="O100" i="4" s="1"/>
  <c r="M100" i="4"/>
  <c r="I100" i="4"/>
  <c r="H100" i="4"/>
  <c r="AO99" i="4"/>
  <c r="AL99" i="4"/>
  <c r="AM99" i="4" s="1"/>
  <c r="AG99" i="4"/>
  <c r="AH99" i="4" s="1"/>
  <c r="AB99" i="4"/>
  <c r="AC99" i="4" s="1"/>
  <c r="S99" i="4"/>
  <c r="T99" i="4" s="1"/>
  <c r="R99" i="4"/>
  <c r="N99" i="4"/>
  <c r="M99" i="4"/>
  <c r="J99" i="4"/>
  <c r="I99" i="4"/>
  <c r="H99" i="4"/>
  <c r="AM98" i="4"/>
  <c r="AL98" i="4"/>
  <c r="AG98" i="4"/>
  <c r="AO98" i="4" s="1"/>
  <c r="AC98" i="4"/>
  <c r="AB98" i="4"/>
  <c r="S98" i="4"/>
  <c r="R98" i="4"/>
  <c r="T98" i="4" s="1"/>
  <c r="O98" i="4"/>
  <c r="N98" i="4"/>
  <c r="M98" i="4"/>
  <c r="I98" i="4"/>
  <c r="H98" i="4"/>
  <c r="V98" i="4" s="1"/>
  <c r="AN97" i="4"/>
  <c r="AM97" i="4"/>
  <c r="AL97" i="4"/>
  <c r="AG97" i="4"/>
  <c r="AH97" i="4" s="1"/>
  <c r="AB97" i="4"/>
  <c r="AC97" i="4" s="1"/>
  <c r="T97" i="4"/>
  <c r="S97" i="4"/>
  <c r="R97" i="4"/>
  <c r="N97" i="4"/>
  <c r="M97" i="4"/>
  <c r="O97" i="4" s="1"/>
  <c r="I97" i="4"/>
  <c r="H97" i="4"/>
  <c r="AM96" i="4"/>
  <c r="AL96" i="4"/>
  <c r="AH96" i="4"/>
  <c r="AG96" i="4"/>
  <c r="AB96" i="4"/>
  <c r="AO96" i="4" s="1"/>
  <c r="S96" i="4"/>
  <c r="R96" i="4"/>
  <c r="T96" i="4" s="1"/>
  <c r="N96" i="4"/>
  <c r="M96" i="4"/>
  <c r="J96" i="4"/>
  <c r="I96" i="4"/>
  <c r="H96" i="4"/>
  <c r="AL95" i="4"/>
  <c r="AM95" i="4" s="1"/>
  <c r="AH95" i="4"/>
  <c r="AG95" i="4"/>
  <c r="AB95" i="4"/>
  <c r="AC95" i="4" s="1"/>
  <c r="S95" i="4"/>
  <c r="R95" i="4"/>
  <c r="T95" i="4" s="1"/>
  <c r="O95" i="4"/>
  <c r="N95" i="4"/>
  <c r="M95" i="4"/>
  <c r="I95" i="4"/>
  <c r="H95" i="4"/>
  <c r="AO94" i="4"/>
  <c r="AN94" i="4"/>
  <c r="AM94" i="4"/>
  <c r="AL94" i="4"/>
  <c r="AH94" i="4"/>
  <c r="AG94" i="4"/>
  <c r="AC94" i="4"/>
  <c r="AB94" i="4"/>
  <c r="T94" i="4"/>
  <c r="S94" i="4"/>
  <c r="R94" i="4"/>
  <c r="N94" i="4"/>
  <c r="M94" i="4"/>
  <c r="O94" i="4" s="1"/>
  <c r="I94" i="4"/>
  <c r="J94" i="4" s="1"/>
  <c r="U94" i="4" s="1"/>
  <c r="H94" i="4"/>
  <c r="AL93" i="4"/>
  <c r="AM93" i="4" s="1"/>
  <c r="AG93" i="4"/>
  <c r="AH93" i="4" s="1"/>
  <c r="AC93" i="4"/>
  <c r="AB93" i="4"/>
  <c r="S93" i="4"/>
  <c r="R93" i="4"/>
  <c r="T93" i="4" s="1"/>
  <c r="N93" i="4"/>
  <c r="O93" i="4" s="1"/>
  <c r="M93" i="4"/>
  <c r="I93" i="4"/>
  <c r="V93" i="4" s="1"/>
  <c r="H93" i="4"/>
  <c r="AM92" i="4"/>
  <c r="AL92" i="4"/>
  <c r="AO92" i="4" s="1"/>
  <c r="AH92" i="4"/>
  <c r="AG92" i="4"/>
  <c r="AC92" i="4"/>
  <c r="AN92" i="4" s="1"/>
  <c r="AB92" i="4"/>
  <c r="T92" i="4"/>
  <c r="S92" i="4"/>
  <c r="R92" i="4"/>
  <c r="N92" i="4"/>
  <c r="O92" i="4" s="1"/>
  <c r="M92" i="4"/>
  <c r="I92" i="4"/>
  <c r="H92" i="4"/>
  <c r="AO91" i="4"/>
  <c r="AL91" i="4"/>
  <c r="AM91" i="4" s="1"/>
  <c r="AG91" i="4"/>
  <c r="AH91" i="4" s="1"/>
  <c r="AB91" i="4"/>
  <c r="AC91" i="4" s="1"/>
  <c r="S91" i="4"/>
  <c r="T91" i="4" s="1"/>
  <c r="R91" i="4"/>
  <c r="N91" i="4"/>
  <c r="M91" i="4"/>
  <c r="J91" i="4"/>
  <c r="I91" i="4"/>
  <c r="H91" i="4"/>
  <c r="AM90" i="4"/>
  <c r="AL90" i="4"/>
  <c r="AG90" i="4"/>
  <c r="AO90" i="4" s="1"/>
  <c r="AC90" i="4"/>
  <c r="AB90" i="4"/>
  <c r="S90" i="4"/>
  <c r="R90" i="4"/>
  <c r="T90" i="4" s="1"/>
  <c r="O90" i="4"/>
  <c r="N90" i="4"/>
  <c r="M90" i="4"/>
  <c r="I90" i="4"/>
  <c r="H90" i="4"/>
  <c r="V90" i="4" s="1"/>
  <c r="AN89" i="4"/>
  <c r="AM89" i="4"/>
  <c r="AL89" i="4"/>
  <c r="AG89" i="4"/>
  <c r="AH89" i="4" s="1"/>
  <c r="AB89" i="4"/>
  <c r="AC89" i="4" s="1"/>
  <c r="T89" i="4"/>
  <c r="S89" i="4"/>
  <c r="R89" i="4"/>
  <c r="N89" i="4"/>
  <c r="M89" i="4"/>
  <c r="O89" i="4" s="1"/>
  <c r="I89" i="4"/>
  <c r="H89" i="4"/>
  <c r="AM88" i="4"/>
  <c r="AL88" i="4"/>
  <c r="AH88" i="4"/>
  <c r="AG88" i="4"/>
  <c r="AB88" i="4"/>
  <c r="AO88" i="4" s="1"/>
  <c r="S88" i="4"/>
  <c r="R88" i="4"/>
  <c r="T88" i="4" s="1"/>
  <c r="N88" i="4"/>
  <c r="M88" i="4"/>
  <c r="J88" i="4"/>
  <c r="I88" i="4"/>
  <c r="H88" i="4"/>
  <c r="AL87" i="4"/>
  <c r="AM87" i="4" s="1"/>
  <c r="AH87" i="4"/>
  <c r="AG87" i="4"/>
  <c r="AB87" i="4"/>
  <c r="AC87" i="4" s="1"/>
  <c r="S87" i="4"/>
  <c r="R87" i="4"/>
  <c r="T87" i="4" s="1"/>
  <c r="O87" i="4"/>
  <c r="N87" i="4"/>
  <c r="M87" i="4"/>
  <c r="I87" i="4"/>
  <c r="H87" i="4"/>
  <c r="AO86" i="4"/>
  <c r="AN86" i="4"/>
  <c r="AM86" i="4"/>
  <c r="AL86" i="4"/>
  <c r="AH86" i="4"/>
  <c r="AG86" i="4"/>
  <c r="AC86" i="4"/>
  <c r="AB86" i="4"/>
  <c r="T86" i="4"/>
  <c r="S86" i="4"/>
  <c r="R86" i="4"/>
  <c r="N86" i="4"/>
  <c r="M86" i="4"/>
  <c r="O86" i="4" s="1"/>
  <c r="I86" i="4"/>
  <c r="J86" i="4" s="1"/>
  <c r="U86" i="4" s="1"/>
  <c r="H86" i="4"/>
  <c r="AL85" i="4"/>
  <c r="AM85" i="4" s="1"/>
  <c r="AG85" i="4"/>
  <c r="AH85" i="4" s="1"/>
  <c r="AC85" i="4"/>
  <c r="AB85" i="4"/>
  <c r="S85" i="4"/>
  <c r="R85" i="4"/>
  <c r="T85" i="4" s="1"/>
  <c r="N85" i="4"/>
  <c r="O85" i="4" s="1"/>
  <c r="M85" i="4"/>
  <c r="I85" i="4"/>
  <c r="V85" i="4" s="1"/>
  <c r="H85" i="4"/>
  <c r="AM84" i="4"/>
  <c r="AL84" i="4"/>
  <c r="AO84" i="4" s="1"/>
  <c r="AH84" i="4"/>
  <c r="AG84" i="4"/>
  <c r="AC84" i="4"/>
  <c r="AN84" i="4" s="1"/>
  <c r="AB84" i="4"/>
  <c r="T84" i="4"/>
  <c r="S84" i="4"/>
  <c r="R84" i="4"/>
  <c r="O84" i="4"/>
  <c r="N84" i="4"/>
  <c r="M84" i="4"/>
  <c r="I84" i="4"/>
  <c r="H84" i="4"/>
  <c r="AO83" i="4"/>
  <c r="AL83" i="4"/>
  <c r="AM83" i="4" s="1"/>
  <c r="AG83" i="4"/>
  <c r="AH83" i="4" s="1"/>
  <c r="AB83" i="4"/>
  <c r="AC83" i="4" s="1"/>
  <c r="S83" i="4"/>
  <c r="T83" i="4" s="1"/>
  <c r="R83" i="4"/>
  <c r="N83" i="4"/>
  <c r="M83" i="4"/>
  <c r="O83" i="4" s="1"/>
  <c r="J83" i="4"/>
  <c r="I83" i="4"/>
  <c r="H83" i="4"/>
  <c r="AM82" i="4"/>
  <c r="AL82" i="4"/>
  <c r="AG82" i="4"/>
  <c r="AH82" i="4" s="1"/>
  <c r="AC82" i="4"/>
  <c r="AB82" i="4"/>
  <c r="S82" i="4"/>
  <c r="R82" i="4"/>
  <c r="T82" i="4" s="1"/>
  <c r="O82" i="4"/>
  <c r="N82" i="4"/>
  <c r="M82" i="4"/>
  <c r="I82" i="4"/>
  <c r="H82" i="4"/>
  <c r="V82" i="4" s="1"/>
  <c r="AM81" i="4"/>
  <c r="AL81" i="4"/>
  <c r="AG81" i="4"/>
  <c r="AH81" i="4" s="1"/>
  <c r="AB81" i="4"/>
  <c r="AC81" i="4" s="1"/>
  <c r="AN81" i="4" s="1"/>
  <c r="T81" i="4"/>
  <c r="S81" i="4"/>
  <c r="R81" i="4"/>
  <c r="N81" i="4"/>
  <c r="M81" i="4"/>
  <c r="O81" i="4" s="1"/>
  <c r="I81" i="4"/>
  <c r="H81" i="4"/>
  <c r="AM80" i="4"/>
  <c r="AL80" i="4"/>
  <c r="AH80" i="4"/>
  <c r="AG80" i="4"/>
  <c r="AC80" i="4"/>
  <c r="AN80" i="4" s="1"/>
  <c r="AB80" i="4"/>
  <c r="AO80" i="4" s="1"/>
  <c r="S80" i="4"/>
  <c r="R80" i="4"/>
  <c r="T80" i="4" s="1"/>
  <c r="N80" i="4"/>
  <c r="M80" i="4"/>
  <c r="J80" i="4"/>
  <c r="I80" i="4"/>
  <c r="H80" i="4"/>
  <c r="AL79" i="4"/>
  <c r="AM79" i="4" s="1"/>
  <c r="AH79" i="4"/>
  <c r="AG79" i="4"/>
  <c r="AB79" i="4"/>
  <c r="AC79" i="4" s="1"/>
  <c r="AN79" i="4" s="1"/>
  <c r="S79" i="4"/>
  <c r="R79" i="4"/>
  <c r="O79" i="4"/>
  <c r="N79" i="4"/>
  <c r="M79" i="4"/>
  <c r="I79" i="4"/>
  <c r="H79" i="4"/>
  <c r="AO78" i="4"/>
  <c r="AN78" i="4"/>
  <c r="AM78" i="4"/>
  <c r="AL78" i="4"/>
  <c r="AH78" i="4"/>
  <c r="AG78" i="4"/>
  <c r="AC78" i="4"/>
  <c r="AB78" i="4"/>
  <c r="U78" i="4"/>
  <c r="T78" i="4"/>
  <c r="S78" i="4"/>
  <c r="R78" i="4"/>
  <c r="N78" i="4"/>
  <c r="M78" i="4"/>
  <c r="O78" i="4" s="1"/>
  <c r="I78" i="4"/>
  <c r="J78" i="4" s="1"/>
  <c r="H78" i="4"/>
  <c r="AL77" i="4"/>
  <c r="AM77" i="4" s="1"/>
  <c r="AG77" i="4"/>
  <c r="AH77" i="4" s="1"/>
  <c r="AC77" i="4"/>
  <c r="AB77" i="4"/>
  <c r="AO77" i="4" s="1"/>
  <c r="S77" i="4"/>
  <c r="R77" i="4"/>
  <c r="T77" i="4" s="1"/>
  <c r="N77" i="4"/>
  <c r="O77" i="4" s="1"/>
  <c r="M77" i="4"/>
  <c r="J77" i="4"/>
  <c r="I77" i="4"/>
  <c r="H77" i="4"/>
  <c r="AL76" i="4"/>
  <c r="AO76" i="4" s="1"/>
  <c r="AH76" i="4"/>
  <c r="AG76" i="4"/>
  <c r="AC76" i="4"/>
  <c r="AB76" i="4"/>
  <c r="T76" i="4"/>
  <c r="S76" i="4"/>
  <c r="R76" i="4"/>
  <c r="O76" i="4"/>
  <c r="N76" i="4"/>
  <c r="M76" i="4"/>
  <c r="I76" i="4"/>
  <c r="H76" i="4"/>
  <c r="AM75" i="4"/>
  <c r="AL75" i="4"/>
  <c r="AG75" i="4"/>
  <c r="AH75" i="4" s="1"/>
  <c r="AB75" i="4"/>
  <c r="AC75" i="4" s="1"/>
  <c r="AN75" i="4" s="1"/>
  <c r="V75" i="4"/>
  <c r="T75" i="4"/>
  <c r="S75" i="4"/>
  <c r="R75" i="4"/>
  <c r="N75" i="4"/>
  <c r="M75" i="4"/>
  <c r="O75" i="4" s="1"/>
  <c r="J75" i="4"/>
  <c r="U75" i="4" s="1"/>
  <c r="I75" i="4"/>
  <c r="H75" i="4"/>
  <c r="AM74" i="4"/>
  <c r="AL74" i="4"/>
  <c r="AH74" i="4"/>
  <c r="AG74" i="4"/>
  <c r="AC74" i="4"/>
  <c r="AB74" i="4"/>
  <c r="S74" i="4"/>
  <c r="R74" i="4"/>
  <c r="T74" i="4" s="1"/>
  <c r="O74" i="4"/>
  <c r="N74" i="4"/>
  <c r="M74" i="4"/>
  <c r="I74" i="4"/>
  <c r="H74" i="4"/>
  <c r="AM73" i="4"/>
  <c r="AL73" i="4"/>
  <c r="AH73" i="4"/>
  <c r="AG73" i="4"/>
  <c r="AB73" i="4"/>
  <c r="AC73" i="4" s="1"/>
  <c r="AN73" i="4" s="1"/>
  <c r="T73" i="4"/>
  <c r="S73" i="4"/>
  <c r="R73" i="4"/>
  <c r="N73" i="4"/>
  <c r="M73" i="4"/>
  <c r="O73" i="4" s="1"/>
  <c r="I73" i="4"/>
  <c r="H73" i="4"/>
  <c r="AM72" i="4"/>
  <c r="AL72" i="4"/>
  <c r="AH72" i="4"/>
  <c r="AG72" i="4"/>
  <c r="AC72" i="4"/>
  <c r="AN72" i="4" s="1"/>
  <c r="AB72" i="4"/>
  <c r="AO72" i="4" s="1"/>
  <c r="S72" i="4"/>
  <c r="R72" i="4"/>
  <c r="T72" i="4" s="1"/>
  <c r="N72" i="4"/>
  <c r="M72" i="4"/>
  <c r="J72" i="4"/>
  <c r="I72" i="4"/>
  <c r="H72" i="4"/>
  <c r="AL71" i="4"/>
  <c r="AM71" i="4" s="1"/>
  <c r="AH71" i="4"/>
  <c r="AG71" i="4"/>
  <c r="AC71" i="4"/>
  <c r="AB71" i="4"/>
  <c r="S71" i="4"/>
  <c r="R71" i="4"/>
  <c r="T71" i="4" s="1"/>
  <c r="O71" i="4"/>
  <c r="N71" i="4"/>
  <c r="M71" i="4"/>
  <c r="I71" i="4"/>
  <c r="H71" i="4"/>
  <c r="AO70" i="4"/>
  <c r="AN70" i="4"/>
  <c r="AM70" i="4"/>
  <c r="AL70" i="4"/>
  <c r="AH70" i="4"/>
  <c r="AG70" i="4"/>
  <c r="AC70" i="4"/>
  <c r="AB70" i="4"/>
  <c r="T70" i="4"/>
  <c r="S70" i="4"/>
  <c r="R70" i="4"/>
  <c r="N70" i="4"/>
  <c r="M70" i="4"/>
  <c r="O70" i="4" s="1"/>
  <c r="J70" i="4"/>
  <c r="U70" i="4" s="1"/>
  <c r="I70" i="4"/>
  <c r="V70" i="4" s="1"/>
  <c r="H70" i="4"/>
  <c r="AL69" i="4"/>
  <c r="AM69" i="4" s="1"/>
  <c r="AG69" i="4"/>
  <c r="AH69" i="4" s="1"/>
  <c r="AC69" i="4"/>
  <c r="AB69" i="4"/>
  <c r="S69" i="4"/>
  <c r="R69" i="4"/>
  <c r="T69" i="4" s="1"/>
  <c r="N69" i="4"/>
  <c r="O69" i="4" s="1"/>
  <c r="M69" i="4"/>
  <c r="V69" i="4" s="1"/>
  <c r="J69" i="4"/>
  <c r="U69" i="4" s="1"/>
  <c r="I69" i="4"/>
  <c r="H69" i="4"/>
  <c r="AM68" i="4"/>
  <c r="AL68" i="4"/>
  <c r="AO68" i="4" s="1"/>
  <c r="AH68" i="4"/>
  <c r="AG68" i="4"/>
  <c r="AC68" i="4"/>
  <c r="AN68" i="4" s="1"/>
  <c r="AB68" i="4"/>
  <c r="T68" i="4"/>
  <c r="S68" i="4"/>
  <c r="R68" i="4"/>
  <c r="O68" i="4"/>
  <c r="N68" i="4"/>
  <c r="M68" i="4"/>
  <c r="I68" i="4"/>
  <c r="H68" i="4"/>
  <c r="AO67" i="4"/>
  <c r="AM67" i="4"/>
  <c r="AL67" i="4"/>
  <c r="AG67" i="4"/>
  <c r="AH67" i="4" s="1"/>
  <c r="AB67" i="4"/>
  <c r="AC67" i="4" s="1"/>
  <c r="T67" i="4"/>
  <c r="S67" i="4"/>
  <c r="R67" i="4"/>
  <c r="N67" i="4"/>
  <c r="M67" i="4"/>
  <c r="O67" i="4" s="1"/>
  <c r="J67" i="4"/>
  <c r="I67" i="4"/>
  <c r="H67" i="4"/>
  <c r="AM66" i="4"/>
  <c r="AL66" i="4"/>
  <c r="AH66" i="4"/>
  <c r="AG66" i="4"/>
  <c r="AC66" i="4"/>
  <c r="AB66" i="4"/>
  <c r="AO66" i="4" s="1"/>
  <c r="S66" i="4"/>
  <c r="R66" i="4"/>
  <c r="T66" i="4" s="1"/>
  <c r="O66" i="4"/>
  <c r="N66" i="4"/>
  <c r="M66" i="4"/>
  <c r="I66" i="4"/>
  <c r="H66" i="4"/>
  <c r="V66" i="4" s="1"/>
  <c r="AM65" i="4"/>
  <c r="AL65" i="4"/>
  <c r="AH65" i="4"/>
  <c r="AG65" i="4"/>
  <c r="AB65" i="4"/>
  <c r="AC65" i="4" s="1"/>
  <c r="AN65" i="4" s="1"/>
  <c r="T65" i="4"/>
  <c r="S65" i="4"/>
  <c r="R65" i="4"/>
  <c r="N65" i="4"/>
  <c r="M65" i="4"/>
  <c r="O65" i="4" s="1"/>
  <c r="I65" i="4"/>
  <c r="H65" i="4"/>
  <c r="AM64" i="4"/>
  <c r="AL64" i="4"/>
  <c r="AH64" i="4"/>
  <c r="AG64" i="4"/>
  <c r="AB64" i="4"/>
  <c r="AO64" i="4" s="1"/>
  <c r="S64" i="4"/>
  <c r="R64" i="4"/>
  <c r="T64" i="4" s="1"/>
  <c r="N64" i="4"/>
  <c r="M64" i="4"/>
  <c r="J64" i="4"/>
  <c r="I64" i="4"/>
  <c r="H64" i="4"/>
  <c r="AL63" i="4"/>
  <c r="AM63" i="4" s="1"/>
  <c r="AH63" i="4"/>
  <c r="AN63" i="4" s="1"/>
  <c r="AG63" i="4"/>
  <c r="AC63" i="4"/>
  <c r="AB63" i="4"/>
  <c r="S63" i="4"/>
  <c r="R63" i="4"/>
  <c r="O63" i="4"/>
  <c r="N63" i="4"/>
  <c r="M63" i="4"/>
  <c r="I63" i="4"/>
  <c r="H63" i="4"/>
  <c r="AO62" i="4"/>
  <c r="AM62" i="4"/>
  <c r="AL62" i="4"/>
  <c r="AG62" i="4"/>
  <c r="AH62" i="4" s="1"/>
  <c r="AN62" i="4" s="1"/>
  <c r="AC62" i="4"/>
  <c r="AB62" i="4"/>
  <c r="T62" i="4"/>
  <c r="S62" i="4"/>
  <c r="R62" i="4"/>
  <c r="N62" i="4"/>
  <c r="M62" i="4"/>
  <c r="O62" i="4" s="1"/>
  <c r="J62" i="4"/>
  <c r="I62" i="4"/>
  <c r="V62" i="4" s="1"/>
  <c r="H62" i="4"/>
  <c r="AL61" i="4"/>
  <c r="AM61" i="4" s="1"/>
  <c r="AG61" i="4"/>
  <c r="AH61" i="4" s="1"/>
  <c r="AC61" i="4"/>
  <c r="AB61" i="4"/>
  <c r="AO61" i="4" s="1"/>
  <c r="S61" i="4"/>
  <c r="R61" i="4"/>
  <c r="T61" i="4" s="1"/>
  <c r="N61" i="4"/>
  <c r="M61" i="4"/>
  <c r="J61" i="4"/>
  <c r="I61" i="4"/>
  <c r="H61" i="4"/>
  <c r="AM60" i="4"/>
  <c r="AL60" i="4"/>
  <c r="AO60" i="4" s="1"/>
  <c r="AH60" i="4"/>
  <c r="AG60" i="4"/>
  <c r="AB60" i="4"/>
  <c r="AC60" i="4" s="1"/>
  <c r="S60" i="4"/>
  <c r="R60" i="4"/>
  <c r="T60" i="4" s="1"/>
  <c r="O60" i="4"/>
  <c r="N60" i="4"/>
  <c r="M60" i="4"/>
  <c r="I60" i="4"/>
  <c r="H60" i="4"/>
  <c r="AO59" i="4"/>
  <c r="AM59" i="4"/>
  <c r="AL59" i="4"/>
  <c r="AG59" i="4"/>
  <c r="AH59" i="4" s="1"/>
  <c r="AN59" i="4" s="1"/>
  <c r="AB59" i="4"/>
  <c r="AC59" i="4" s="1"/>
  <c r="T59" i="4"/>
  <c r="S59" i="4"/>
  <c r="R59" i="4"/>
  <c r="N59" i="4"/>
  <c r="M59" i="4"/>
  <c r="O59" i="4" s="1"/>
  <c r="I59" i="4"/>
  <c r="J59" i="4" s="1"/>
  <c r="U59" i="4" s="1"/>
  <c r="H59" i="4"/>
  <c r="AM58" i="4"/>
  <c r="AL58" i="4"/>
  <c r="AG58" i="4"/>
  <c r="AH58" i="4" s="1"/>
  <c r="AC58" i="4"/>
  <c r="AB58" i="4"/>
  <c r="S58" i="4"/>
  <c r="R58" i="4"/>
  <c r="T58" i="4" s="1"/>
  <c r="N58" i="4"/>
  <c r="O58" i="4" s="1"/>
  <c r="M58" i="4"/>
  <c r="I58" i="4"/>
  <c r="H58" i="4"/>
  <c r="V58" i="4" s="1"/>
  <c r="AM57" i="4"/>
  <c r="AL57" i="4"/>
  <c r="AH57" i="4"/>
  <c r="AG57" i="4"/>
  <c r="AB57" i="4"/>
  <c r="AC57" i="4" s="1"/>
  <c r="AN57" i="4" s="1"/>
  <c r="T57" i="4"/>
  <c r="S57" i="4"/>
  <c r="R57" i="4"/>
  <c r="N57" i="4"/>
  <c r="M57" i="4"/>
  <c r="O57" i="4" s="1"/>
  <c r="I57" i="4"/>
  <c r="H57" i="4"/>
  <c r="AO56" i="4"/>
  <c r="AL56" i="4"/>
  <c r="AM56" i="4" s="1"/>
  <c r="AH56" i="4"/>
  <c r="AG56" i="4"/>
  <c r="AC56" i="4"/>
  <c r="AB56" i="4"/>
  <c r="S56" i="4"/>
  <c r="R56" i="4"/>
  <c r="T56" i="4" s="1"/>
  <c r="N56" i="4"/>
  <c r="V56" i="4" s="1"/>
  <c r="M56" i="4"/>
  <c r="J56" i="4"/>
  <c r="I56" i="4"/>
  <c r="H56" i="4"/>
  <c r="AL55" i="4"/>
  <c r="AM55" i="4" s="1"/>
  <c r="AG55" i="4"/>
  <c r="AH55" i="4" s="1"/>
  <c r="AC55" i="4"/>
  <c r="AB55" i="4"/>
  <c r="S55" i="4"/>
  <c r="R55" i="4"/>
  <c r="O55" i="4"/>
  <c r="N55" i="4"/>
  <c r="M55" i="4"/>
  <c r="I55" i="4"/>
  <c r="H55" i="4"/>
  <c r="V55" i="4" s="1"/>
  <c r="AO54" i="4"/>
  <c r="AN54" i="4"/>
  <c r="AM54" i="4"/>
  <c r="AL54" i="4"/>
  <c r="AG54" i="4"/>
  <c r="AH54" i="4" s="1"/>
  <c r="AC54" i="4"/>
  <c r="AB54" i="4"/>
  <c r="T54" i="4"/>
  <c r="S54" i="4"/>
  <c r="R54" i="4"/>
  <c r="N54" i="4"/>
  <c r="M54" i="4"/>
  <c r="O54" i="4" s="1"/>
  <c r="J54" i="4"/>
  <c r="U54" i="4" s="1"/>
  <c r="I54" i="4"/>
  <c r="V54" i="4" s="1"/>
  <c r="H54" i="4"/>
  <c r="AL53" i="4"/>
  <c r="AM53" i="4" s="1"/>
  <c r="AG53" i="4"/>
  <c r="AH53" i="4" s="1"/>
  <c r="AB53" i="4"/>
  <c r="S53" i="4"/>
  <c r="R53" i="4"/>
  <c r="T53" i="4" s="1"/>
  <c r="O53" i="4"/>
  <c r="N53" i="4"/>
  <c r="M53" i="4"/>
  <c r="V53" i="4" s="1"/>
  <c r="J53" i="4"/>
  <c r="I53" i="4"/>
  <c r="H53" i="4"/>
  <c r="AL52" i="4"/>
  <c r="AM52" i="4" s="1"/>
  <c r="AH52" i="4"/>
  <c r="AG52" i="4"/>
  <c r="AC52" i="4"/>
  <c r="AB52" i="4"/>
  <c r="S52" i="4"/>
  <c r="R52" i="4"/>
  <c r="T52" i="4" s="1"/>
  <c r="O52" i="4"/>
  <c r="N52" i="4"/>
  <c r="M52" i="4"/>
  <c r="I52" i="4"/>
  <c r="H52" i="4"/>
  <c r="AO51" i="4"/>
  <c r="AM51" i="4"/>
  <c r="AL51" i="4"/>
  <c r="AG51" i="4"/>
  <c r="AH51" i="4" s="1"/>
  <c r="AN51" i="4" s="1"/>
  <c r="AB51" i="4"/>
  <c r="AC51" i="4" s="1"/>
  <c r="T51" i="4"/>
  <c r="S51" i="4"/>
  <c r="R51" i="4"/>
  <c r="N51" i="4"/>
  <c r="M51" i="4"/>
  <c r="O51" i="4" s="1"/>
  <c r="I51" i="4"/>
  <c r="J51" i="4" s="1"/>
  <c r="U51" i="4" s="1"/>
  <c r="H51" i="4"/>
  <c r="AM50" i="4"/>
  <c r="AL50" i="4"/>
  <c r="AG50" i="4"/>
  <c r="AH50" i="4" s="1"/>
  <c r="AC50" i="4"/>
  <c r="AB50" i="4"/>
  <c r="S50" i="4"/>
  <c r="R50" i="4"/>
  <c r="T50" i="4" s="1"/>
  <c r="N50" i="4"/>
  <c r="O50" i="4" s="1"/>
  <c r="M50" i="4"/>
  <c r="I50" i="4"/>
  <c r="H50" i="4"/>
  <c r="V50" i="4" s="1"/>
  <c r="AM49" i="4"/>
  <c r="AL49" i="4"/>
  <c r="AH49" i="4"/>
  <c r="AG49" i="4"/>
  <c r="AB49" i="4"/>
  <c r="AC49" i="4" s="1"/>
  <c r="AN49" i="4" s="1"/>
  <c r="T49" i="4"/>
  <c r="S49" i="4"/>
  <c r="R49" i="4"/>
  <c r="N49" i="4"/>
  <c r="M49" i="4"/>
  <c r="O49" i="4" s="1"/>
  <c r="I49" i="4"/>
  <c r="H49" i="4"/>
  <c r="AO48" i="4"/>
  <c r="AL48" i="4"/>
  <c r="AM48" i="4" s="1"/>
  <c r="AH48" i="4"/>
  <c r="AG48" i="4"/>
  <c r="AC48" i="4"/>
  <c r="AB48" i="4"/>
  <c r="S48" i="4"/>
  <c r="R48" i="4"/>
  <c r="T48" i="4" s="1"/>
  <c r="N48" i="4"/>
  <c r="V48" i="4" s="1"/>
  <c r="M48" i="4"/>
  <c r="J48" i="4"/>
  <c r="I48" i="4"/>
  <c r="H48" i="4"/>
  <c r="AL47" i="4"/>
  <c r="AM47" i="4" s="1"/>
  <c r="AH47" i="4"/>
  <c r="AG47" i="4"/>
  <c r="AO47" i="4" s="1"/>
  <c r="AC47" i="4"/>
  <c r="AB47" i="4"/>
  <c r="S47" i="4"/>
  <c r="R47" i="4"/>
  <c r="T47" i="4" s="1"/>
  <c r="O47" i="4"/>
  <c r="N47" i="4"/>
  <c r="M47" i="4"/>
  <c r="J47" i="4"/>
  <c r="U47" i="4" s="1"/>
  <c r="I47" i="4"/>
  <c r="V47" i="4" s="1"/>
  <c r="H47" i="4"/>
  <c r="AM46" i="4"/>
  <c r="AL46" i="4"/>
  <c r="AG46" i="4"/>
  <c r="AH46" i="4" s="1"/>
  <c r="AC46" i="4"/>
  <c r="AB46" i="4"/>
  <c r="T46" i="4"/>
  <c r="S46" i="4"/>
  <c r="R46" i="4"/>
  <c r="O46" i="4"/>
  <c r="N46" i="4"/>
  <c r="M46" i="4"/>
  <c r="I46" i="4"/>
  <c r="H46" i="4"/>
  <c r="AM45" i="4"/>
  <c r="AL45" i="4"/>
  <c r="AG45" i="4"/>
  <c r="AH45" i="4" s="1"/>
  <c r="AB45" i="4"/>
  <c r="T45" i="4"/>
  <c r="S45" i="4"/>
  <c r="R45" i="4"/>
  <c r="N45" i="4"/>
  <c r="M45" i="4"/>
  <c r="J45" i="4"/>
  <c r="I45" i="4"/>
  <c r="H45" i="4"/>
  <c r="AL44" i="4"/>
  <c r="AM44" i="4" s="1"/>
  <c r="AH44" i="4"/>
  <c r="AG44" i="4"/>
  <c r="AB44" i="4"/>
  <c r="AC44" i="4" s="1"/>
  <c r="S44" i="4"/>
  <c r="R44" i="4"/>
  <c r="T44" i="4" s="1"/>
  <c r="O44" i="4"/>
  <c r="N44" i="4"/>
  <c r="M44" i="4"/>
  <c r="V44" i="4" s="1"/>
  <c r="J44" i="4"/>
  <c r="I44" i="4"/>
  <c r="H44" i="4"/>
  <c r="AO43" i="4"/>
  <c r="AN43" i="4"/>
  <c r="AM43" i="4"/>
  <c r="AL43" i="4"/>
  <c r="AH43" i="4"/>
  <c r="AG43" i="4"/>
  <c r="AB43" i="4"/>
  <c r="AC43" i="4" s="1"/>
  <c r="T43" i="4"/>
  <c r="S43" i="4"/>
  <c r="R43" i="4"/>
  <c r="O43" i="4"/>
  <c r="N43" i="4"/>
  <c r="M43" i="4"/>
  <c r="I43" i="4"/>
  <c r="H43" i="4"/>
  <c r="AM42" i="4"/>
  <c r="AL42" i="4"/>
  <c r="AG42" i="4"/>
  <c r="AH42" i="4" s="1"/>
  <c r="AC42" i="4"/>
  <c r="AN42" i="4" s="1"/>
  <c r="AB42" i="4"/>
  <c r="AO42" i="4" s="1"/>
  <c r="T42" i="4"/>
  <c r="S42" i="4"/>
  <c r="R42" i="4"/>
  <c r="N42" i="4"/>
  <c r="M42" i="4"/>
  <c r="I42" i="4"/>
  <c r="H42" i="4"/>
  <c r="V42" i="4" s="1"/>
  <c r="AL41" i="4"/>
  <c r="AM41" i="4" s="1"/>
  <c r="AH41" i="4"/>
  <c r="AG41" i="4"/>
  <c r="AC41" i="4"/>
  <c r="AB41" i="4"/>
  <c r="AO41" i="4" s="1"/>
  <c r="S41" i="4"/>
  <c r="R41" i="4"/>
  <c r="N41" i="4"/>
  <c r="M41" i="4"/>
  <c r="O41" i="4" s="1"/>
  <c r="I41" i="4"/>
  <c r="H41" i="4"/>
  <c r="AO40" i="4"/>
  <c r="AL40" i="4"/>
  <c r="AM40" i="4" s="1"/>
  <c r="AH40" i="4"/>
  <c r="AG40" i="4"/>
  <c r="AB40" i="4"/>
  <c r="AC40" i="4" s="1"/>
  <c r="AN40" i="4" s="1"/>
  <c r="V40" i="4"/>
  <c r="S40" i="4"/>
  <c r="R40" i="4"/>
  <c r="T40" i="4" s="1"/>
  <c r="N40" i="4"/>
  <c r="M40" i="4"/>
  <c r="O40" i="4" s="1"/>
  <c r="J40" i="4"/>
  <c r="I40" i="4"/>
  <c r="H40" i="4"/>
  <c r="AL39" i="4"/>
  <c r="AM39" i="4" s="1"/>
  <c r="AG39" i="4"/>
  <c r="AC39" i="4"/>
  <c r="AB39" i="4"/>
  <c r="S39" i="4"/>
  <c r="R39" i="4"/>
  <c r="T39" i="4" s="1"/>
  <c r="O39" i="4"/>
  <c r="N39" i="4"/>
  <c r="V39" i="4" s="1"/>
  <c r="M39" i="4"/>
  <c r="J39" i="4"/>
  <c r="I39" i="4"/>
  <c r="H39" i="4"/>
  <c r="AM38" i="4"/>
  <c r="AL38" i="4"/>
  <c r="AG38" i="4"/>
  <c r="AH38" i="4" s="1"/>
  <c r="AC38" i="4"/>
  <c r="AB38" i="4"/>
  <c r="T38" i="4"/>
  <c r="S38" i="4"/>
  <c r="R38" i="4"/>
  <c r="O38" i="4"/>
  <c r="N38" i="4"/>
  <c r="M38" i="4"/>
  <c r="I38" i="4"/>
  <c r="H38" i="4"/>
  <c r="AM37" i="4"/>
  <c r="AL37" i="4"/>
  <c r="AG37" i="4"/>
  <c r="AH37" i="4" s="1"/>
  <c r="AB37" i="4"/>
  <c r="T37" i="4"/>
  <c r="S37" i="4"/>
  <c r="R37" i="4"/>
  <c r="N37" i="4"/>
  <c r="M37" i="4"/>
  <c r="J37" i="4"/>
  <c r="I37" i="4"/>
  <c r="H37" i="4"/>
  <c r="AL36" i="4"/>
  <c r="AM36" i="4" s="1"/>
  <c r="AH36" i="4"/>
  <c r="AG36" i="4"/>
  <c r="AB36" i="4"/>
  <c r="AC36" i="4" s="1"/>
  <c r="AN36" i="4" s="1"/>
  <c r="S36" i="4"/>
  <c r="R36" i="4"/>
  <c r="T36" i="4" s="1"/>
  <c r="O36" i="4"/>
  <c r="N36" i="4"/>
  <c r="M36" i="4"/>
  <c r="V36" i="4" s="1"/>
  <c r="J36" i="4"/>
  <c r="I36" i="4"/>
  <c r="H36" i="4"/>
  <c r="AO35" i="4"/>
  <c r="AM35" i="4"/>
  <c r="AL35" i="4"/>
  <c r="AH35" i="4"/>
  <c r="AG35" i="4"/>
  <c r="AB35" i="4"/>
  <c r="AC35" i="4" s="1"/>
  <c r="AN35" i="4" s="1"/>
  <c r="T35" i="4"/>
  <c r="S35" i="4"/>
  <c r="R35" i="4"/>
  <c r="O35" i="4"/>
  <c r="N35" i="4"/>
  <c r="M35" i="4"/>
  <c r="I35" i="4"/>
  <c r="H35" i="4"/>
  <c r="AM34" i="4"/>
  <c r="AL34" i="4"/>
  <c r="AG34" i="4"/>
  <c r="AH34" i="4" s="1"/>
  <c r="AC34" i="4"/>
  <c r="AN34" i="4" s="1"/>
  <c r="AB34" i="4"/>
  <c r="AO34" i="4" s="1"/>
  <c r="T34" i="4"/>
  <c r="S34" i="4"/>
  <c r="R34" i="4"/>
  <c r="N34" i="4"/>
  <c r="M34" i="4"/>
  <c r="O34" i="4" s="1"/>
  <c r="I34" i="4"/>
  <c r="H34" i="4"/>
  <c r="V34" i="4" s="1"/>
  <c r="AL33" i="4"/>
  <c r="AM33" i="4" s="1"/>
  <c r="AH33" i="4"/>
  <c r="AG33" i="4"/>
  <c r="AC33" i="4"/>
  <c r="AN33" i="4" s="1"/>
  <c r="AB33" i="4"/>
  <c r="S33" i="4"/>
  <c r="R33" i="4"/>
  <c r="N33" i="4"/>
  <c r="M33" i="4"/>
  <c r="O33" i="4" s="1"/>
  <c r="I33" i="4"/>
  <c r="H33" i="4"/>
  <c r="V33" i="4" s="1"/>
  <c r="AO32" i="4"/>
  <c r="AL32" i="4"/>
  <c r="AM32" i="4" s="1"/>
  <c r="AH32" i="4"/>
  <c r="AG32" i="4"/>
  <c r="AB32" i="4"/>
  <c r="AC32" i="4" s="1"/>
  <c r="AN32" i="4" s="1"/>
  <c r="V32" i="4"/>
  <c r="S32" i="4"/>
  <c r="R32" i="4"/>
  <c r="T32" i="4" s="1"/>
  <c r="N32" i="4"/>
  <c r="M32" i="4"/>
  <c r="O32" i="4" s="1"/>
  <c r="J32" i="4"/>
  <c r="I32" i="4"/>
  <c r="H32" i="4"/>
  <c r="AL31" i="4"/>
  <c r="AM31" i="4" s="1"/>
  <c r="AG31" i="4"/>
  <c r="AC31" i="4"/>
  <c r="AB31" i="4"/>
  <c r="S31" i="4"/>
  <c r="R31" i="4"/>
  <c r="T31" i="4" s="1"/>
  <c r="O31" i="4"/>
  <c r="N31" i="4"/>
  <c r="V31" i="4" s="1"/>
  <c r="M31" i="4"/>
  <c r="J31" i="4"/>
  <c r="I31" i="4"/>
  <c r="H31" i="4"/>
  <c r="AM30" i="4"/>
  <c r="AL30" i="4"/>
  <c r="AG30" i="4"/>
  <c r="AH30" i="4" s="1"/>
  <c r="AN30" i="4" s="1"/>
  <c r="AC30" i="4"/>
  <c r="AB30" i="4"/>
  <c r="T30" i="4"/>
  <c r="S30" i="4"/>
  <c r="R30" i="4"/>
  <c r="O30" i="4"/>
  <c r="N30" i="4"/>
  <c r="M30" i="4"/>
  <c r="I30" i="4"/>
  <c r="H30" i="4"/>
  <c r="AM29" i="4"/>
  <c r="AL29" i="4"/>
  <c r="AG29" i="4"/>
  <c r="AH29" i="4" s="1"/>
  <c r="AB29" i="4"/>
  <c r="T29" i="4"/>
  <c r="S29" i="4"/>
  <c r="R29" i="4"/>
  <c r="N29" i="4"/>
  <c r="M29" i="4"/>
  <c r="J29" i="4"/>
  <c r="I29" i="4"/>
  <c r="H29" i="4"/>
  <c r="AL28" i="4"/>
  <c r="AM28" i="4" s="1"/>
  <c r="AH28" i="4"/>
  <c r="AG28" i="4"/>
  <c r="AB28" i="4"/>
  <c r="AC28" i="4" s="1"/>
  <c r="AN28" i="4" s="1"/>
  <c r="S28" i="4"/>
  <c r="R28" i="4"/>
  <c r="T28" i="4" s="1"/>
  <c r="O28" i="4"/>
  <c r="N28" i="4"/>
  <c r="M28" i="4"/>
  <c r="J28" i="4"/>
  <c r="I28" i="4"/>
  <c r="H28" i="4"/>
  <c r="AO27" i="4"/>
  <c r="AN27" i="4"/>
  <c r="AM27" i="4"/>
  <c r="AL27" i="4"/>
  <c r="AH27" i="4"/>
  <c r="AG27" i="4"/>
  <c r="AB27" i="4"/>
  <c r="AC27" i="4" s="1"/>
  <c r="T27" i="4"/>
  <c r="S27" i="4"/>
  <c r="R27" i="4"/>
  <c r="O27" i="4"/>
  <c r="N27" i="4"/>
  <c r="M27" i="4"/>
  <c r="I27" i="4"/>
  <c r="H27" i="4"/>
  <c r="AM26" i="4"/>
  <c r="AL26" i="4"/>
  <c r="AG26" i="4"/>
  <c r="AH26" i="4" s="1"/>
  <c r="AC26" i="4"/>
  <c r="AB26" i="4"/>
  <c r="AO26" i="4" s="1"/>
  <c r="T26" i="4"/>
  <c r="S26" i="4"/>
  <c r="R26" i="4"/>
  <c r="N26" i="4"/>
  <c r="M26" i="4"/>
  <c r="O26" i="4" s="1"/>
  <c r="I26" i="4"/>
  <c r="H26" i="4"/>
  <c r="V26" i="4" s="1"/>
  <c r="AL25" i="4"/>
  <c r="AM25" i="4" s="1"/>
  <c r="AH25" i="4"/>
  <c r="AG25" i="4"/>
  <c r="AC25" i="4"/>
  <c r="AN25" i="4" s="1"/>
  <c r="AB25" i="4"/>
  <c r="S25" i="4"/>
  <c r="R25" i="4"/>
  <c r="N25" i="4"/>
  <c r="M25" i="4"/>
  <c r="O25" i="4" s="1"/>
  <c r="I25" i="4"/>
  <c r="H25" i="4"/>
  <c r="AO24" i="4"/>
  <c r="AL24" i="4"/>
  <c r="AM24" i="4" s="1"/>
  <c r="AH24" i="4"/>
  <c r="AG24" i="4"/>
  <c r="AB24" i="4"/>
  <c r="AC24" i="4" s="1"/>
  <c r="AN24" i="4" s="1"/>
  <c r="V24" i="4"/>
  <c r="S24" i="4"/>
  <c r="R24" i="4"/>
  <c r="T24" i="4" s="1"/>
  <c r="N24" i="4"/>
  <c r="M24" i="4"/>
  <c r="O24" i="4" s="1"/>
  <c r="J24" i="4"/>
  <c r="U24" i="4" s="1"/>
  <c r="I24" i="4"/>
  <c r="H24" i="4"/>
  <c r="AL23" i="4"/>
  <c r="AM23" i="4" s="1"/>
  <c r="AG23" i="4"/>
  <c r="AC23" i="4"/>
  <c r="AB23" i="4"/>
  <c r="S23" i="4"/>
  <c r="R23" i="4"/>
  <c r="T23" i="4" s="1"/>
  <c r="O23" i="4"/>
  <c r="N23" i="4"/>
  <c r="V23" i="4" s="1"/>
  <c r="M23" i="4"/>
  <c r="J23" i="4"/>
  <c r="I23" i="4"/>
  <c r="H23" i="4"/>
  <c r="AM22" i="4"/>
  <c r="AL22" i="4"/>
  <c r="AG22" i="4"/>
  <c r="AH22" i="4" s="1"/>
  <c r="AN22" i="4" s="1"/>
  <c r="AC22" i="4"/>
  <c r="AB22" i="4"/>
  <c r="T22" i="4"/>
  <c r="S22" i="4"/>
  <c r="R22" i="4"/>
  <c r="O22" i="4"/>
  <c r="N22" i="4"/>
  <c r="M22" i="4"/>
  <c r="I22" i="4"/>
  <c r="H22" i="4"/>
  <c r="AM21" i="4"/>
  <c r="AL21" i="4"/>
  <c r="AG21" i="4"/>
  <c r="AH21" i="4" s="1"/>
  <c r="AB21" i="4"/>
  <c r="T21" i="4"/>
  <c r="S21" i="4"/>
  <c r="R21" i="4"/>
  <c r="N21" i="4"/>
  <c r="M21" i="4"/>
  <c r="J21" i="4"/>
  <c r="I21" i="4"/>
  <c r="H21" i="4"/>
  <c r="AL20" i="4"/>
  <c r="AM20" i="4" s="1"/>
  <c r="AH20" i="4"/>
  <c r="AG20" i="4"/>
  <c r="AB20" i="4"/>
  <c r="AC20" i="4" s="1"/>
  <c r="S20" i="4"/>
  <c r="R20" i="4"/>
  <c r="T20" i="4" s="1"/>
  <c r="O20" i="4"/>
  <c r="N20" i="4"/>
  <c r="M20" i="4"/>
  <c r="V20" i="4" s="1"/>
  <c r="J20" i="4"/>
  <c r="I20" i="4"/>
  <c r="H20" i="4"/>
  <c r="AO19" i="4"/>
  <c r="AN19" i="4"/>
  <c r="AM19" i="4"/>
  <c r="AL19" i="4"/>
  <c r="AH19" i="4"/>
  <c r="AG19" i="4"/>
  <c r="AB19" i="4"/>
  <c r="AC19" i="4" s="1"/>
  <c r="T19" i="4"/>
  <c r="S19" i="4"/>
  <c r="R19" i="4"/>
  <c r="O19" i="4"/>
  <c r="N19" i="4"/>
  <c r="M19" i="4"/>
  <c r="I19" i="4"/>
  <c r="H19" i="4"/>
  <c r="V19" i="4" s="1"/>
  <c r="AM18" i="4"/>
  <c r="AL18" i="4"/>
  <c r="AG18" i="4"/>
  <c r="AH18" i="4" s="1"/>
  <c r="AC18" i="4"/>
  <c r="AB18" i="4"/>
  <c r="AO18" i="4" s="1"/>
  <c r="T18" i="4"/>
  <c r="S18" i="4"/>
  <c r="R18" i="4"/>
  <c r="N18" i="4"/>
  <c r="M18" i="4"/>
  <c r="O18" i="4" s="1"/>
  <c r="I18" i="4"/>
  <c r="H18" i="4"/>
  <c r="AL17" i="4"/>
  <c r="AM17" i="4" s="1"/>
  <c r="AH17" i="4"/>
  <c r="AG17" i="4"/>
  <c r="AC17" i="4"/>
  <c r="AB17" i="4"/>
  <c r="S17" i="4"/>
  <c r="R17" i="4"/>
  <c r="N17" i="4"/>
  <c r="M17" i="4"/>
  <c r="O17" i="4" s="1"/>
  <c r="I17" i="4"/>
  <c r="H17" i="4"/>
  <c r="BX16" i="4"/>
  <c r="BU16" i="4"/>
  <c r="BT16" i="4"/>
  <c r="BQ16" i="4"/>
  <c r="BP16" i="4"/>
  <c r="BM16" i="4"/>
  <c r="BL16" i="4"/>
  <c r="BD16" i="4"/>
  <c r="AZ16" i="4"/>
  <c r="AV16" i="4"/>
  <c r="AO16" i="4"/>
  <c r="AL16" i="4"/>
  <c r="AM16" i="4" s="1"/>
  <c r="AH16" i="4"/>
  <c r="AG16" i="4"/>
  <c r="AB16" i="4"/>
  <c r="AC16" i="4" s="1"/>
  <c r="AN16" i="4" s="1"/>
  <c r="V16" i="4"/>
  <c r="S16" i="4"/>
  <c r="R16" i="4"/>
  <c r="T16" i="4" s="1"/>
  <c r="N16" i="4"/>
  <c r="M16" i="4"/>
  <c r="O16" i="4" s="1"/>
  <c r="J16" i="4"/>
  <c r="U16" i="4" s="1"/>
  <c r="I16" i="4"/>
  <c r="H16" i="4"/>
  <c r="BX15" i="4"/>
  <c r="BU15" i="4"/>
  <c r="BV15" i="4" s="1"/>
  <c r="BT15" i="4"/>
  <c r="BS15" i="4"/>
  <c r="BR15" i="4"/>
  <c r="BQ15" i="4"/>
  <c r="BO15" i="4"/>
  <c r="BM15" i="4"/>
  <c r="BK15" i="4"/>
  <c r="BJ15" i="4"/>
  <c r="BN15" i="4" s="1"/>
  <c r="BW15" i="4" s="1"/>
  <c r="BI15" i="4"/>
  <c r="BH15" i="4"/>
  <c r="BF15" i="4"/>
  <c r="BE15" i="4"/>
  <c r="BC15" i="4"/>
  <c r="BA15" i="4"/>
  <c r="BB15" i="4" s="1"/>
  <c r="AY15" i="4"/>
  <c r="AX15" i="4"/>
  <c r="BG15" i="4" s="1"/>
  <c r="AW15" i="4"/>
  <c r="AU15" i="4"/>
  <c r="AT15" i="4"/>
  <c r="AS15" i="4"/>
  <c r="AM15" i="4"/>
  <c r="AL15" i="4"/>
  <c r="AG15" i="4"/>
  <c r="AH15" i="4" s="1"/>
  <c r="AC15" i="4"/>
  <c r="AB15" i="4"/>
  <c r="T15" i="4"/>
  <c r="S15" i="4"/>
  <c r="R15" i="4"/>
  <c r="O15" i="4"/>
  <c r="N15" i="4"/>
  <c r="M15" i="4"/>
  <c r="I15" i="4"/>
  <c r="H15" i="4"/>
  <c r="BX14" i="4"/>
  <c r="BS14" i="4"/>
  <c r="BO14" i="4"/>
  <c r="BK14" i="4"/>
  <c r="BJ14" i="4"/>
  <c r="BV14" i="4" s="1"/>
  <c r="BI14" i="4"/>
  <c r="BC14" i="4"/>
  <c r="BA14" i="4"/>
  <c r="BB14" i="4" s="1"/>
  <c r="AY14" i="4"/>
  <c r="AW14" i="4"/>
  <c r="AX14" i="4" s="1"/>
  <c r="AU14" i="4"/>
  <c r="AT14" i="4"/>
  <c r="BF14" i="4" s="1"/>
  <c r="AS14" i="4"/>
  <c r="AO14" i="4"/>
  <c r="AM14" i="4"/>
  <c r="AL14" i="4"/>
  <c r="AH14" i="4"/>
  <c r="AG14" i="4"/>
  <c r="AB14" i="4"/>
  <c r="AC14" i="4" s="1"/>
  <c r="AN14" i="4" s="1"/>
  <c r="T14" i="4"/>
  <c r="S14" i="4"/>
  <c r="R14" i="4"/>
  <c r="O14" i="4"/>
  <c r="N14" i="4"/>
  <c r="M14" i="4"/>
  <c r="I14" i="4"/>
  <c r="H14" i="4"/>
  <c r="BX13" i="4"/>
  <c r="BV13" i="4"/>
  <c r="BS13" i="4"/>
  <c r="BR13" i="4"/>
  <c r="BO13" i="4"/>
  <c r="BN13" i="4"/>
  <c r="BW13" i="4" s="1"/>
  <c r="BK13" i="4"/>
  <c r="BJ13" i="4"/>
  <c r="BI13" i="4"/>
  <c r="BC13" i="4"/>
  <c r="BB13" i="4"/>
  <c r="BA13" i="4"/>
  <c r="AY13" i="4"/>
  <c r="AX13" i="4"/>
  <c r="BG13" i="4" s="1"/>
  <c r="AW13" i="4"/>
  <c r="BH13" i="4" s="1"/>
  <c r="AU13" i="4"/>
  <c r="AT13" i="4"/>
  <c r="BF13" i="4" s="1"/>
  <c r="AS13" i="4"/>
  <c r="AO13" i="4"/>
  <c r="AL13" i="4"/>
  <c r="AM13" i="4" s="1"/>
  <c r="AH13" i="4"/>
  <c r="AG13" i="4"/>
  <c r="AB13" i="4"/>
  <c r="AC13" i="4" s="1"/>
  <c r="AN13" i="4" s="1"/>
  <c r="V13" i="4"/>
  <c r="S13" i="4"/>
  <c r="R13" i="4"/>
  <c r="T13" i="4" s="1"/>
  <c r="N13" i="4"/>
  <c r="M13" i="4"/>
  <c r="O13" i="4" s="1"/>
  <c r="J13" i="4"/>
  <c r="I13" i="4"/>
  <c r="H13" i="4"/>
  <c r="BX12" i="4"/>
  <c r="BS12" i="4"/>
  <c r="BO12" i="4"/>
  <c r="BN12" i="4"/>
  <c r="BK12" i="4"/>
  <c r="BJ12" i="4"/>
  <c r="BV12" i="4" s="1"/>
  <c r="BI12" i="4"/>
  <c r="BE12" i="4"/>
  <c r="BF12" i="4" s="1"/>
  <c r="BC12" i="4"/>
  <c r="BA12" i="4"/>
  <c r="BB12" i="4" s="1"/>
  <c r="AY12" i="4"/>
  <c r="AW12" i="4"/>
  <c r="BH12" i="4" s="1"/>
  <c r="AU12" i="4"/>
  <c r="AT12" i="4"/>
  <c r="AS12" i="4"/>
  <c r="AM12" i="4"/>
  <c r="AL12" i="4"/>
  <c r="AG12" i="4"/>
  <c r="AH12" i="4" s="1"/>
  <c r="AC12" i="4"/>
  <c r="AB12" i="4"/>
  <c r="AO12" i="4" s="1"/>
  <c r="T12" i="4"/>
  <c r="S12" i="4"/>
  <c r="R12" i="4"/>
  <c r="N12" i="4"/>
  <c r="M12" i="4"/>
  <c r="I12" i="4"/>
  <c r="H12" i="4"/>
  <c r="BX11" i="4"/>
  <c r="BV11" i="4"/>
  <c r="BS11" i="4"/>
  <c r="BR11" i="4"/>
  <c r="BO11" i="4"/>
  <c r="BN11" i="4"/>
  <c r="BW11" i="4" s="1"/>
  <c r="BK11" i="4"/>
  <c r="BJ11" i="4"/>
  <c r="BI11" i="4"/>
  <c r="BF11" i="4"/>
  <c r="BE11" i="4"/>
  <c r="BC11" i="4"/>
  <c r="BB11" i="4"/>
  <c r="BA11" i="4"/>
  <c r="AY11" i="4"/>
  <c r="AW11" i="4"/>
  <c r="AU11" i="4"/>
  <c r="AT11" i="4"/>
  <c r="AS11" i="4"/>
  <c r="AL11" i="4"/>
  <c r="AM11" i="4" s="1"/>
  <c r="AH11" i="4"/>
  <c r="AG11" i="4"/>
  <c r="AB11" i="4"/>
  <c r="AC11" i="4" s="1"/>
  <c r="S11" i="4"/>
  <c r="R11" i="4"/>
  <c r="T11" i="4" s="1"/>
  <c r="O11" i="4"/>
  <c r="N11" i="4"/>
  <c r="M11" i="4"/>
  <c r="V11" i="4" s="1"/>
  <c r="J11" i="4"/>
  <c r="I11" i="4"/>
  <c r="H11" i="4"/>
  <c r="BX10" i="4"/>
  <c r="BV10" i="4"/>
  <c r="BS10" i="4"/>
  <c r="BO10" i="4"/>
  <c r="BK10" i="4"/>
  <c r="BJ10" i="4"/>
  <c r="BR10" i="4" s="1"/>
  <c r="BI10" i="4"/>
  <c r="BH10" i="4"/>
  <c r="BF10" i="4"/>
  <c r="BE10" i="4"/>
  <c r="BC10" i="4"/>
  <c r="BA10" i="4"/>
  <c r="BB10" i="4" s="1"/>
  <c r="AY10" i="4"/>
  <c r="AX10" i="4"/>
  <c r="AW10" i="4"/>
  <c r="AU10" i="4"/>
  <c r="AT10" i="4"/>
  <c r="AS10" i="4"/>
  <c r="AM10" i="4"/>
  <c r="AL10" i="4"/>
  <c r="AG10" i="4"/>
  <c r="AH10" i="4" s="1"/>
  <c r="AC10" i="4"/>
  <c r="AB10" i="4"/>
  <c r="AO10" i="4" s="1"/>
  <c r="T10" i="4"/>
  <c r="S10" i="4"/>
  <c r="R10" i="4"/>
  <c r="O10" i="4"/>
  <c r="N10" i="4"/>
  <c r="M10" i="4"/>
  <c r="I10" i="4"/>
  <c r="H10" i="4"/>
  <c r="BX9" i="4"/>
  <c r="BS9" i="4"/>
  <c r="BO9" i="4"/>
  <c r="BK9" i="4"/>
  <c r="BJ9" i="4"/>
  <c r="BV9" i="4" s="1"/>
  <c r="BI9" i="4"/>
  <c r="BE9" i="4"/>
  <c r="BF9" i="4" s="1"/>
  <c r="BC9" i="4"/>
  <c r="BB9" i="4"/>
  <c r="BA9" i="4"/>
  <c r="BH9" i="4" s="1"/>
  <c r="AY9" i="4"/>
  <c r="AX9" i="4"/>
  <c r="BG9" i="4" s="1"/>
  <c r="AW9" i="4"/>
  <c r="AU9" i="4"/>
  <c r="AT9" i="4"/>
  <c r="AS9" i="4"/>
  <c r="AO9" i="4"/>
  <c r="AL9" i="4"/>
  <c r="AM9" i="4" s="1"/>
  <c r="AH9" i="4"/>
  <c r="AG9" i="4"/>
  <c r="AB9" i="4"/>
  <c r="AC9" i="4" s="1"/>
  <c r="AN9" i="4" s="1"/>
  <c r="V9" i="4"/>
  <c r="S9" i="4"/>
  <c r="R9" i="4"/>
  <c r="T9" i="4" s="1"/>
  <c r="N9" i="4"/>
  <c r="M9" i="4"/>
  <c r="O9" i="4" s="1"/>
  <c r="J9" i="4"/>
  <c r="I9" i="4"/>
  <c r="H9" i="4"/>
  <c r="BX8" i="4"/>
  <c r="BS8" i="4"/>
  <c r="BO8" i="4"/>
  <c r="BN8" i="4"/>
  <c r="BK8" i="4"/>
  <c r="BJ8" i="4"/>
  <c r="BV8" i="4" s="1"/>
  <c r="BI8" i="4"/>
  <c r="BE8" i="4"/>
  <c r="BF8" i="4" s="1"/>
  <c r="BC8" i="4"/>
  <c r="BA8" i="4"/>
  <c r="BB8" i="4" s="1"/>
  <c r="AY8" i="4"/>
  <c r="AW8" i="4"/>
  <c r="BH8" i="4" s="1"/>
  <c r="AU8" i="4"/>
  <c r="AT8" i="4"/>
  <c r="AS8" i="4"/>
  <c r="AM8" i="4"/>
  <c r="AL8" i="4"/>
  <c r="AG8" i="4"/>
  <c r="AH8" i="4" s="1"/>
  <c r="AC8" i="4"/>
  <c r="AB8" i="4"/>
  <c r="AO8" i="4" s="1"/>
  <c r="T8" i="4"/>
  <c r="S8" i="4"/>
  <c r="R8" i="4"/>
  <c r="N8" i="4"/>
  <c r="M8" i="4"/>
  <c r="I8" i="4"/>
  <c r="H8" i="4"/>
  <c r="BX7" i="4"/>
  <c r="BV7" i="4"/>
  <c r="BS7" i="4"/>
  <c r="BR7" i="4"/>
  <c r="BO7" i="4"/>
  <c r="BN7" i="4"/>
  <c r="BW7" i="4" s="1"/>
  <c r="BK7" i="4"/>
  <c r="BJ7" i="4"/>
  <c r="BI7" i="4"/>
  <c r="BF7" i="4"/>
  <c r="BE7" i="4"/>
  <c r="BC7" i="4"/>
  <c r="BB7" i="4"/>
  <c r="BA7" i="4"/>
  <c r="AY7" i="4"/>
  <c r="AW7" i="4"/>
  <c r="AU7" i="4"/>
  <c r="AT7" i="4"/>
  <c r="AS7" i="4"/>
  <c r="AL7" i="4"/>
  <c r="AM7" i="4" s="1"/>
  <c r="AH7" i="4"/>
  <c r="AG7" i="4"/>
  <c r="AB7" i="4"/>
  <c r="AC7" i="4" s="1"/>
  <c r="S7" i="4"/>
  <c r="R7" i="4"/>
  <c r="T7" i="4" s="1"/>
  <c r="O7" i="4"/>
  <c r="N7" i="4"/>
  <c r="M7" i="4"/>
  <c r="V7" i="4" s="1"/>
  <c r="J7" i="4"/>
  <c r="I7" i="4"/>
  <c r="H7" i="4"/>
  <c r="BX6" i="4"/>
  <c r="BV6" i="4"/>
  <c r="BS6" i="4"/>
  <c r="BS16" i="4" s="1"/>
  <c r="BR6" i="4"/>
  <c r="BO6" i="4"/>
  <c r="BO16" i="4" s="1"/>
  <c r="BK6" i="4"/>
  <c r="BJ6" i="4"/>
  <c r="BN6" i="4" s="1"/>
  <c r="BW6" i="4" s="1"/>
  <c r="BI6" i="4"/>
  <c r="BI16" i="4" s="1"/>
  <c r="BH6" i="4"/>
  <c r="BF6" i="4"/>
  <c r="BE6" i="4"/>
  <c r="BE16" i="4" s="1"/>
  <c r="BF16" i="4" s="1"/>
  <c r="BC6" i="4"/>
  <c r="BC16" i="4" s="1"/>
  <c r="BA6" i="4"/>
  <c r="BB6" i="4" s="1"/>
  <c r="AY6" i="4"/>
  <c r="AY16" i="4" s="1"/>
  <c r="AX6" i="4"/>
  <c r="AW6" i="4"/>
  <c r="AW16" i="4" s="1"/>
  <c r="AX16" i="4" s="1"/>
  <c r="AU6" i="4"/>
  <c r="AU16" i="4" s="1"/>
  <c r="AT6" i="4"/>
  <c r="AT16" i="4" s="1"/>
  <c r="AS6" i="4"/>
  <c r="AS16" i="4" s="1"/>
  <c r="AM6" i="4"/>
  <c r="AL6" i="4"/>
  <c r="AG6" i="4"/>
  <c r="AH6" i="4" s="1"/>
  <c r="AC6" i="4"/>
  <c r="AB6" i="4"/>
  <c r="AO6" i="4" s="1"/>
  <c r="T6" i="4"/>
  <c r="S6" i="4"/>
  <c r="R6" i="4"/>
  <c r="O6" i="4"/>
  <c r="N6" i="4"/>
  <c r="M6" i="4"/>
  <c r="I6" i="4"/>
  <c r="H6" i="4"/>
  <c r="AM5" i="4"/>
  <c r="AL5" i="4"/>
  <c r="AH5" i="4"/>
  <c r="AG5" i="4"/>
  <c r="AB5" i="4"/>
  <c r="T5" i="4"/>
  <c r="S5" i="4"/>
  <c r="R5" i="4"/>
  <c r="N5" i="4"/>
  <c r="M5" i="4"/>
  <c r="J5" i="4"/>
  <c r="I5" i="4"/>
  <c r="H5" i="4"/>
  <c r="AL4" i="4"/>
  <c r="AM4" i="4" s="1"/>
  <c r="AH4" i="4"/>
  <c r="AG4" i="4"/>
  <c r="AB4" i="4"/>
  <c r="AC4" i="4" s="1"/>
  <c r="S4" i="4"/>
  <c r="R4" i="4"/>
  <c r="T4" i="4" s="1"/>
  <c r="O4" i="4"/>
  <c r="N4" i="4"/>
  <c r="M4" i="4"/>
  <c r="J4" i="4"/>
  <c r="I4" i="4"/>
  <c r="H4" i="4"/>
  <c r="AO3" i="4"/>
  <c r="AN3" i="4"/>
  <c r="AM3" i="4"/>
  <c r="AL3" i="4"/>
  <c r="AH3" i="4"/>
  <c r="AG3" i="4"/>
  <c r="AC3" i="4"/>
  <c r="AB3" i="4"/>
  <c r="T3" i="4"/>
  <c r="S3" i="4"/>
  <c r="R3" i="4"/>
  <c r="O3" i="4"/>
  <c r="N3" i="4"/>
  <c r="M3" i="4"/>
  <c r="I3" i="4"/>
  <c r="H3" i="4"/>
  <c r="AM2" i="4"/>
  <c r="AL2" i="4"/>
  <c r="AG2" i="4"/>
  <c r="AH2" i="4" s="1"/>
  <c r="AC2" i="4"/>
  <c r="AB2" i="4"/>
  <c r="AO2" i="4" s="1"/>
  <c r="T2" i="4"/>
  <c r="S2" i="4"/>
  <c r="R2" i="4"/>
  <c r="N2" i="4"/>
  <c r="M2" i="4"/>
  <c r="I2" i="4"/>
  <c r="H2" i="4"/>
  <c r="D38" i="3"/>
  <c r="D37" i="3"/>
  <c r="D36" i="3"/>
  <c r="D35" i="3"/>
  <c r="D34" i="3"/>
  <c r="D33" i="3"/>
  <c r="D32" i="3"/>
  <c r="D31" i="3"/>
  <c r="D30" i="3"/>
  <c r="D29" i="3"/>
  <c r="J25" i="3"/>
  <c r="K25" i="3" s="1"/>
  <c r="K24" i="3"/>
  <c r="J24" i="3"/>
  <c r="K23" i="3"/>
  <c r="J23" i="3"/>
  <c r="K22" i="3"/>
  <c r="J22" i="3"/>
  <c r="J21" i="3"/>
  <c r="K21" i="3" s="1"/>
  <c r="K20" i="3"/>
  <c r="J20" i="3"/>
  <c r="K19" i="3"/>
  <c r="J19" i="3"/>
  <c r="K18" i="3"/>
  <c r="J18" i="3"/>
  <c r="J17" i="3"/>
  <c r="K17" i="3" s="1"/>
  <c r="K16" i="3"/>
  <c r="J16" i="3"/>
  <c r="O12" i="3"/>
  <c r="N12" i="3"/>
  <c r="O11" i="3"/>
  <c r="N11" i="3"/>
  <c r="N10" i="3"/>
  <c r="O10" i="3" s="1"/>
  <c r="O9" i="3"/>
  <c r="N9" i="3"/>
  <c r="O8" i="3"/>
  <c r="N8" i="3"/>
  <c r="O7" i="3"/>
  <c r="N7" i="3"/>
  <c r="N6" i="3"/>
  <c r="O6" i="3" s="1"/>
  <c r="O5" i="3"/>
  <c r="N5" i="3"/>
  <c r="O4" i="3"/>
  <c r="N4" i="3"/>
  <c r="N3" i="3"/>
  <c r="O3" i="3" s="1"/>
  <c r="H3398" i="2"/>
  <c r="G3398" i="2"/>
  <c r="F3398" i="2"/>
  <c r="F3392" i="2" s="1"/>
  <c r="F3397" i="2"/>
  <c r="H3396" i="2"/>
  <c r="G3396" i="2"/>
  <c r="F3396" i="2"/>
  <c r="H3395" i="2"/>
  <c r="G3395" i="2"/>
  <c r="F3395" i="2"/>
  <c r="H3394" i="2"/>
  <c r="H3392" i="2" s="1"/>
  <c r="G3394" i="2"/>
  <c r="F3394" i="2"/>
  <c r="H3393" i="2"/>
  <c r="G3393" i="2"/>
  <c r="F3393" i="2"/>
  <c r="G3392" i="2"/>
  <c r="C3392" i="2"/>
  <c r="H3390" i="2"/>
  <c r="G3390" i="2"/>
  <c r="F3390" i="2"/>
  <c r="G3389" i="2"/>
  <c r="F3388" i="2"/>
  <c r="F3387" i="2"/>
  <c r="H3386" i="2"/>
  <c r="G3386" i="2"/>
  <c r="F3386" i="2"/>
  <c r="G3385" i="2"/>
  <c r="F3385" i="2"/>
  <c r="G3384" i="2"/>
  <c r="G3383" i="2"/>
  <c r="F3383" i="2"/>
  <c r="F3376" i="2" s="1"/>
  <c r="F3382" i="2"/>
  <c r="H3381" i="2"/>
  <c r="G3381" i="2"/>
  <c r="F3381" i="2"/>
  <c r="H3380" i="2"/>
  <c r="G3380" i="2"/>
  <c r="F3380" i="2"/>
  <c r="H3379" i="2"/>
  <c r="G3379" i="2"/>
  <c r="G3376" i="2" s="1"/>
  <c r="F3379" i="2"/>
  <c r="H3378" i="2"/>
  <c r="G3378" i="2"/>
  <c r="F3378" i="2"/>
  <c r="G3377" i="2"/>
  <c r="C3376" i="2"/>
  <c r="H3375" i="2"/>
  <c r="G3375" i="2"/>
  <c r="F3375" i="2"/>
  <c r="G3374" i="2"/>
  <c r="F3373" i="2"/>
  <c r="H3372" i="2"/>
  <c r="G3372" i="2"/>
  <c r="F3372" i="2"/>
  <c r="H3371" i="2"/>
  <c r="G3371" i="2"/>
  <c r="F3371" i="2"/>
  <c r="G3370" i="2"/>
  <c r="F3370" i="2"/>
  <c r="H3369" i="2"/>
  <c r="G3369" i="2"/>
  <c r="F3369" i="2"/>
  <c r="G3368" i="2"/>
  <c r="F3368" i="2"/>
  <c r="H3367" i="2"/>
  <c r="G3367" i="2"/>
  <c r="F3367" i="2"/>
  <c r="H3366" i="2"/>
  <c r="G3366" i="2"/>
  <c r="F3366" i="2"/>
  <c r="F3362" i="2" s="1"/>
  <c r="G3365" i="2"/>
  <c r="F3365" i="2"/>
  <c r="H3364" i="2"/>
  <c r="G3364" i="2"/>
  <c r="F3364" i="2"/>
  <c r="G3363" i="2"/>
  <c r="H3362" i="2"/>
  <c r="C3362" i="2"/>
  <c r="H3360" i="2"/>
  <c r="G3360" i="2"/>
  <c r="F3360" i="2"/>
  <c r="F3359" i="2"/>
  <c r="H3358" i="2"/>
  <c r="G3358" i="2"/>
  <c r="F3358" i="2"/>
  <c r="H3357" i="2"/>
  <c r="G3357" i="2"/>
  <c r="F3357" i="2"/>
  <c r="H3356" i="2"/>
  <c r="G3356" i="2"/>
  <c r="F3356" i="2"/>
  <c r="H3355" i="2"/>
  <c r="G3355" i="2"/>
  <c r="F3355" i="2"/>
  <c r="H3354" i="2"/>
  <c r="G3354" i="2"/>
  <c r="F3354" i="2"/>
  <c r="H3353" i="2"/>
  <c r="H3351" i="2" s="1"/>
  <c r="G3353" i="2"/>
  <c r="F3353" i="2"/>
  <c r="G3352" i="2"/>
  <c r="G3351" i="2" s="1"/>
  <c r="C3351" i="2"/>
  <c r="H3349" i="2"/>
  <c r="H3348" i="2" s="1"/>
  <c r="G3349" i="2"/>
  <c r="G3348" i="2" s="1"/>
  <c r="F3349" i="2"/>
  <c r="F3348" i="2" s="1"/>
  <c r="C3348" i="2"/>
  <c r="H3346" i="2"/>
  <c r="G3346" i="2"/>
  <c r="G3345" i="2" s="1"/>
  <c r="F3346" i="2"/>
  <c r="F3345" i="2" s="1"/>
  <c r="H3345" i="2"/>
  <c r="C3345" i="2"/>
  <c r="H3343" i="2"/>
  <c r="G3343" i="2"/>
  <c r="F3343" i="2"/>
  <c r="G3342" i="2"/>
  <c r="F3341" i="2"/>
  <c r="H3340" i="2"/>
  <c r="G3340" i="2"/>
  <c r="F3340" i="2"/>
  <c r="H3339" i="2"/>
  <c r="G3339" i="2"/>
  <c r="F3339" i="2"/>
  <c r="F3337" i="2" s="1"/>
  <c r="H3338" i="2"/>
  <c r="H3337" i="2" s="1"/>
  <c r="G3338" i="2"/>
  <c r="F3338" i="2"/>
  <c r="C3337" i="2"/>
  <c r="H3335" i="2"/>
  <c r="H3333" i="2" s="1"/>
  <c r="G3335" i="2"/>
  <c r="F3335" i="2"/>
  <c r="H3334" i="2"/>
  <c r="G3334" i="2"/>
  <c r="F3334" i="2"/>
  <c r="F3333" i="2"/>
  <c r="C3333" i="2"/>
  <c r="H3331" i="2"/>
  <c r="G3331" i="2"/>
  <c r="F3331" i="2"/>
  <c r="F3330" i="2"/>
  <c r="H3329" i="2"/>
  <c r="G3329" i="2"/>
  <c r="F3329" i="2"/>
  <c r="H3328" i="2"/>
  <c r="G3328" i="2"/>
  <c r="F3328" i="2"/>
  <c r="H3327" i="2"/>
  <c r="G3327" i="2"/>
  <c r="F3327" i="2"/>
  <c r="G3326" i="2"/>
  <c r="F3326" i="2"/>
  <c r="H3325" i="2"/>
  <c r="G3325" i="2"/>
  <c r="F3325" i="2"/>
  <c r="H3324" i="2"/>
  <c r="G3324" i="2"/>
  <c r="F3324" i="2"/>
  <c r="G3323" i="2"/>
  <c r="F3323" i="2"/>
  <c r="F3321" i="2" s="1"/>
  <c r="G3322" i="2"/>
  <c r="H3321" i="2"/>
  <c r="C3321" i="2"/>
  <c r="H3319" i="2"/>
  <c r="G3319" i="2"/>
  <c r="F3319" i="2"/>
  <c r="F3318" i="2"/>
  <c r="H3317" i="2"/>
  <c r="G3317" i="2"/>
  <c r="F3317" i="2"/>
  <c r="H3316" i="2"/>
  <c r="G3316" i="2"/>
  <c r="F3316" i="2"/>
  <c r="H3315" i="2"/>
  <c r="G3315" i="2"/>
  <c r="G3313" i="2" s="1"/>
  <c r="F3315" i="2"/>
  <c r="H3314" i="2"/>
  <c r="H3313" i="2" s="1"/>
  <c r="G3314" i="2"/>
  <c r="F3314" i="2"/>
  <c r="F3313" i="2" s="1"/>
  <c r="C3313" i="2"/>
  <c r="H3311" i="2"/>
  <c r="G3311" i="2"/>
  <c r="F3311" i="2"/>
  <c r="G3310" i="2"/>
  <c r="F3309" i="2"/>
  <c r="H3308" i="2"/>
  <c r="G3308" i="2"/>
  <c r="F3308" i="2"/>
  <c r="H3307" i="2"/>
  <c r="G3307" i="2"/>
  <c r="F3307" i="2"/>
  <c r="G3306" i="2"/>
  <c r="H3305" i="2"/>
  <c r="G3305" i="2"/>
  <c r="F3305" i="2"/>
  <c r="G3304" i="2"/>
  <c r="F3304" i="2"/>
  <c r="H3303" i="2"/>
  <c r="G3303" i="2"/>
  <c r="F3303" i="2"/>
  <c r="H3302" i="2"/>
  <c r="G3302" i="2"/>
  <c r="F3302" i="2"/>
  <c r="G3301" i="2"/>
  <c r="G3299" i="2" s="1"/>
  <c r="F3301" i="2"/>
  <c r="H3300" i="2"/>
  <c r="H3299" i="2" s="1"/>
  <c r="G3300" i="2"/>
  <c r="F3300" i="2"/>
  <c r="C3299" i="2"/>
  <c r="H3297" i="2"/>
  <c r="G3297" i="2"/>
  <c r="F3297" i="2"/>
  <c r="G3296" i="2"/>
  <c r="F3295" i="2"/>
  <c r="H3294" i="2"/>
  <c r="G3294" i="2"/>
  <c r="F3294" i="2"/>
  <c r="H3293" i="2"/>
  <c r="G3293" i="2"/>
  <c r="F3293" i="2"/>
  <c r="G3292" i="2"/>
  <c r="F3292" i="2"/>
  <c r="H3291" i="2"/>
  <c r="G3291" i="2"/>
  <c r="F3291" i="2"/>
  <c r="F3287" i="2" s="1"/>
  <c r="H3290" i="2"/>
  <c r="G3290" i="2"/>
  <c r="F3290" i="2"/>
  <c r="H3289" i="2"/>
  <c r="G3289" i="2"/>
  <c r="G3287" i="2" s="1"/>
  <c r="F3289" i="2"/>
  <c r="G3288" i="2"/>
  <c r="H3287" i="2"/>
  <c r="C3287" i="2"/>
  <c r="H3285" i="2"/>
  <c r="G3285" i="2"/>
  <c r="F3285" i="2"/>
  <c r="H3284" i="2"/>
  <c r="G3284" i="2"/>
  <c r="G3278" i="2" s="1"/>
  <c r="F3284" i="2"/>
  <c r="H3283" i="2"/>
  <c r="G3283" i="2"/>
  <c r="F3283" i="2"/>
  <c r="H3282" i="2"/>
  <c r="G3282" i="2"/>
  <c r="F3282" i="2"/>
  <c r="H3281" i="2"/>
  <c r="G3281" i="2"/>
  <c r="F3281" i="2"/>
  <c r="G3280" i="2"/>
  <c r="F3280" i="2"/>
  <c r="H3279" i="2"/>
  <c r="G3279" i="2"/>
  <c r="F3279" i="2"/>
  <c r="H3278" i="2"/>
  <c r="F3278" i="2"/>
  <c r="C3278" i="2"/>
  <c r="H3277" i="2"/>
  <c r="G3277" i="2"/>
  <c r="F3277" i="2"/>
  <c r="H3276" i="2"/>
  <c r="G3276" i="2"/>
  <c r="F3276" i="2"/>
  <c r="H3275" i="2"/>
  <c r="G3275" i="2"/>
  <c r="F3275" i="2"/>
  <c r="H3274" i="2"/>
  <c r="G3274" i="2"/>
  <c r="F3274" i="2"/>
  <c r="H3273" i="2"/>
  <c r="G3273" i="2"/>
  <c r="F3273" i="2"/>
  <c r="H3272" i="2"/>
  <c r="G3272" i="2"/>
  <c r="F3272" i="2"/>
  <c r="G3271" i="2"/>
  <c r="H3270" i="2"/>
  <c r="G3270" i="2"/>
  <c r="F3270" i="2"/>
  <c r="H3269" i="2"/>
  <c r="G3269" i="2"/>
  <c r="F3269" i="2"/>
  <c r="H3268" i="2"/>
  <c r="G3268" i="2"/>
  <c r="F3268" i="2"/>
  <c r="H3267" i="2"/>
  <c r="H3263" i="2" s="1"/>
  <c r="G3267" i="2"/>
  <c r="F3267" i="2"/>
  <c r="H3266" i="2"/>
  <c r="G3266" i="2"/>
  <c r="F3266" i="2"/>
  <c r="H3265" i="2"/>
  <c r="G3265" i="2"/>
  <c r="F3265" i="2"/>
  <c r="F3263" i="2" s="1"/>
  <c r="G3264" i="2"/>
  <c r="G3263" i="2" s="1"/>
  <c r="C3263" i="2"/>
  <c r="H3261" i="2"/>
  <c r="G3261" i="2"/>
  <c r="F3261" i="2"/>
  <c r="G3260" i="2"/>
  <c r="F3260" i="2"/>
  <c r="H3259" i="2"/>
  <c r="G3259" i="2"/>
  <c r="F3259" i="2"/>
  <c r="G3258" i="2"/>
  <c r="H3257" i="2"/>
  <c r="G3257" i="2"/>
  <c r="F3257" i="2"/>
  <c r="H3256" i="2"/>
  <c r="G3256" i="2"/>
  <c r="F3256" i="2"/>
  <c r="H3255" i="2"/>
  <c r="G3255" i="2"/>
  <c r="F3255" i="2"/>
  <c r="H3254" i="2"/>
  <c r="G3254" i="2"/>
  <c r="F3254" i="2"/>
  <c r="H3253" i="2"/>
  <c r="G3253" i="2"/>
  <c r="F3253" i="2"/>
  <c r="H3252" i="2"/>
  <c r="G3252" i="2"/>
  <c r="F3252" i="2"/>
  <c r="F3246" i="2" s="1"/>
  <c r="H3251" i="2"/>
  <c r="G3251" i="2"/>
  <c r="F3251" i="2"/>
  <c r="H3250" i="2"/>
  <c r="G3250" i="2"/>
  <c r="F3250" i="2"/>
  <c r="H3249" i="2"/>
  <c r="G3249" i="2"/>
  <c r="F3249" i="2"/>
  <c r="H3248" i="2"/>
  <c r="H3246" i="2" s="1"/>
  <c r="G3248" i="2"/>
  <c r="F3248" i="2"/>
  <c r="G3247" i="2"/>
  <c r="C3246" i="2"/>
  <c r="H3244" i="2"/>
  <c r="G3244" i="2"/>
  <c r="F3244" i="2"/>
  <c r="H3243" i="2"/>
  <c r="G3243" i="2"/>
  <c r="F3243" i="2"/>
  <c r="G3242" i="2"/>
  <c r="H3241" i="2"/>
  <c r="G3241" i="2"/>
  <c r="F3241" i="2"/>
  <c r="H3240" i="2"/>
  <c r="G3240" i="2"/>
  <c r="F3240" i="2"/>
  <c r="H3239" i="2"/>
  <c r="G3239" i="2"/>
  <c r="F3239" i="2"/>
  <c r="H3238" i="2"/>
  <c r="G3238" i="2"/>
  <c r="F3238" i="2"/>
  <c r="G3237" i="2"/>
  <c r="H3236" i="2"/>
  <c r="G3236" i="2"/>
  <c r="F3236" i="2"/>
  <c r="H3235" i="2"/>
  <c r="G3235" i="2"/>
  <c r="F3235" i="2"/>
  <c r="H3234" i="2"/>
  <c r="G3234" i="2"/>
  <c r="F3234" i="2"/>
  <c r="H3233" i="2"/>
  <c r="G3233" i="2"/>
  <c r="F3233" i="2"/>
  <c r="F3229" i="2" s="1"/>
  <c r="H3232" i="2"/>
  <c r="G3232" i="2"/>
  <c r="F3232" i="2"/>
  <c r="H3231" i="2"/>
  <c r="H3229" i="2" s="1"/>
  <c r="G3231" i="2"/>
  <c r="F3231" i="2"/>
  <c r="G3230" i="2"/>
  <c r="G3229" i="2" s="1"/>
  <c r="C3229" i="2"/>
  <c r="H3227" i="2"/>
  <c r="G3227" i="2"/>
  <c r="F3227" i="2"/>
  <c r="H3226" i="2"/>
  <c r="G3226" i="2"/>
  <c r="F3226" i="2"/>
  <c r="C3226" i="2"/>
  <c r="H3224" i="2"/>
  <c r="G3224" i="2"/>
  <c r="F3224" i="2"/>
  <c r="H3223" i="2"/>
  <c r="G3223" i="2"/>
  <c r="G3218" i="2" s="1"/>
  <c r="F3223" i="2"/>
  <c r="H3222" i="2"/>
  <c r="G3222" i="2"/>
  <c r="F3222" i="2"/>
  <c r="H3221" i="2"/>
  <c r="G3221" i="2"/>
  <c r="F3221" i="2"/>
  <c r="H3220" i="2"/>
  <c r="H3218" i="2" s="1"/>
  <c r="G3220" i="2"/>
  <c r="F3220" i="2"/>
  <c r="F3218" i="2" s="1"/>
  <c r="G3219" i="2"/>
  <c r="C3218" i="2"/>
  <c r="H3216" i="2"/>
  <c r="G3216" i="2"/>
  <c r="F3216" i="2"/>
  <c r="H3215" i="2"/>
  <c r="G3215" i="2"/>
  <c r="F3215" i="2"/>
  <c r="H3214" i="2"/>
  <c r="G3214" i="2"/>
  <c r="F3214" i="2"/>
  <c r="H3213" i="2"/>
  <c r="G3213" i="2"/>
  <c r="F3213" i="2"/>
  <c r="H3212" i="2"/>
  <c r="G3212" i="2"/>
  <c r="F3212" i="2"/>
  <c r="H3211" i="2"/>
  <c r="G3211" i="2"/>
  <c r="G3206" i="2" s="1"/>
  <c r="F3211" i="2"/>
  <c r="H3210" i="2"/>
  <c r="G3210" i="2"/>
  <c r="F3210" i="2"/>
  <c r="H3209" i="2"/>
  <c r="G3209" i="2"/>
  <c r="F3209" i="2"/>
  <c r="H3208" i="2"/>
  <c r="H3206" i="2" s="1"/>
  <c r="G3208" i="2"/>
  <c r="F3208" i="2"/>
  <c r="F3206" i="2" s="1"/>
  <c r="G3207" i="2"/>
  <c r="C3206" i="2"/>
  <c r="H3204" i="2"/>
  <c r="G3204" i="2"/>
  <c r="F3204" i="2"/>
  <c r="H3203" i="2"/>
  <c r="G3203" i="2"/>
  <c r="F3203" i="2"/>
  <c r="G3202" i="2"/>
  <c r="F3202" i="2"/>
  <c r="G3201" i="2"/>
  <c r="H3200" i="2"/>
  <c r="G3200" i="2"/>
  <c r="F3200" i="2"/>
  <c r="H3199" i="2"/>
  <c r="G3199" i="2"/>
  <c r="F3199" i="2"/>
  <c r="H3198" i="2"/>
  <c r="G3198" i="2"/>
  <c r="F3198" i="2"/>
  <c r="H3197" i="2"/>
  <c r="G3197" i="2"/>
  <c r="F3197" i="2"/>
  <c r="G3196" i="2"/>
  <c r="H3195" i="2"/>
  <c r="G3195" i="2"/>
  <c r="F3195" i="2"/>
  <c r="H3194" i="2"/>
  <c r="G3194" i="2"/>
  <c r="F3194" i="2"/>
  <c r="H3193" i="2"/>
  <c r="G3193" i="2"/>
  <c r="F3193" i="2"/>
  <c r="H3192" i="2"/>
  <c r="G3192" i="2"/>
  <c r="F3192" i="2"/>
  <c r="H3191" i="2"/>
  <c r="G3191" i="2"/>
  <c r="F3191" i="2"/>
  <c r="H3190" i="2"/>
  <c r="H3188" i="2" s="1"/>
  <c r="G3190" i="2"/>
  <c r="F3190" i="2"/>
  <c r="G3189" i="2"/>
  <c r="G3188" i="2" s="1"/>
  <c r="C3188" i="2"/>
  <c r="H3186" i="2"/>
  <c r="G3186" i="2"/>
  <c r="F3186" i="2"/>
  <c r="H3185" i="2"/>
  <c r="G3185" i="2"/>
  <c r="F3185" i="2"/>
  <c r="H3184" i="2"/>
  <c r="G3184" i="2"/>
  <c r="F3184" i="2"/>
  <c r="H3183" i="2"/>
  <c r="G3183" i="2"/>
  <c r="F3183" i="2"/>
  <c r="H3182" i="2"/>
  <c r="G3182" i="2"/>
  <c r="F3182" i="2"/>
  <c r="H3181" i="2"/>
  <c r="G3181" i="2"/>
  <c r="F3181" i="2"/>
  <c r="H3180" i="2"/>
  <c r="G3180" i="2"/>
  <c r="F3180" i="2"/>
  <c r="H3179" i="2"/>
  <c r="G3179" i="2"/>
  <c r="F3179" i="2"/>
  <c r="C3178" i="2"/>
  <c r="H3176" i="2"/>
  <c r="G3176" i="2"/>
  <c r="F3176" i="2"/>
  <c r="H3175" i="2"/>
  <c r="G3175" i="2"/>
  <c r="F3175" i="2"/>
  <c r="H3174" i="2"/>
  <c r="G3174" i="2"/>
  <c r="F3174" i="2"/>
  <c r="H3173" i="2"/>
  <c r="G3173" i="2"/>
  <c r="F3173" i="2"/>
  <c r="H3172" i="2"/>
  <c r="G3172" i="2"/>
  <c r="F3172" i="2"/>
  <c r="H3171" i="2"/>
  <c r="G3171" i="2"/>
  <c r="F3171" i="2"/>
  <c r="H3170" i="2"/>
  <c r="G3170" i="2"/>
  <c r="F3170" i="2"/>
  <c r="H3169" i="2"/>
  <c r="G3169" i="2"/>
  <c r="F3169" i="2"/>
  <c r="F3163" i="2" s="1"/>
  <c r="H3168" i="2"/>
  <c r="G3168" i="2"/>
  <c r="F3168" i="2"/>
  <c r="H3167" i="2"/>
  <c r="G3167" i="2"/>
  <c r="F3167" i="2"/>
  <c r="H3166" i="2"/>
  <c r="G3166" i="2"/>
  <c r="F3166" i="2"/>
  <c r="H3165" i="2"/>
  <c r="G3165" i="2"/>
  <c r="F3165" i="2"/>
  <c r="G3164" i="2"/>
  <c r="C3163" i="2"/>
  <c r="H3161" i="2"/>
  <c r="G3161" i="2"/>
  <c r="F3161" i="2"/>
  <c r="H3160" i="2"/>
  <c r="G3160" i="2"/>
  <c r="F3160" i="2"/>
  <c r="H3159" i="2"/>
  <c r="H3155" i="2" s="1"/>
  <c r="G3159" i="2"/>
  <c r="F3159" i="2"/>
  <c r="H3158" i="2"/>
  <c r="G3158" i="2"/>
  <c r="F3158" i="2"/>
  <c r="H3157" i="2"/>
  <c r="G3157" i="2"/>
  <c r="F3157" i="2"/>
  <c r="F3155" i="2" s="1"/>
  <c r="G3156" i="2"/>
  <c r="G3155" i="2" s="1"/>
  <c r="C3155" i="2"/>
  <c r="H3153" i="2"/>
  <c r="G3153" i="2"/>
  <c r="F3153" i="2"/>
  <c r="F3152" i="2" s="1"/>
  <c r="H3152" i="2"/>
  <c r="G3152" i="2"/>
  <c r="C3152" i="2"/>
  <c r="H3150" i="2"/>
  <c r="G3150" i="2"/>
  <c r="F3150" i="2"/>
  <c r="H3149" i="2"/>
  <c r="G3149" i="2"/>
  <c r="F3149" i="2"/>
  <c r="H3148" i="2"/>
  <c r="G3148" i="2"/>
  <c r="F3148" i="2"/>
  <c r="H3147" i="2"/>
  <c r="G3147" i="2"/>
  <c r="F3147" i="2"/>
  <c r="H3146" i="2"/>
  <c r="G3146" i="2"/>
  <c r="F3146" i="2"/>
  <c r="H3145" i="2"/>
  <c r="G3145" i="2"/>
  <c r="F3145" i="2"/>
  <c r="H3144" i="2"/>
  <c r="G3144" i="2"/>
  <c r="G3138" i="2" s="1"/>
  <c r="F3144" i="2"/>
  <c r="H3143" i="2"/>
  <c r="G3143" i="2"/>
  <c r="F3143" i="2"/>
  <c r="H3142" i="2"/>
  <c r="G3142" i="2"/>
  <c r="F3142" i="2"/>
  <c r="H3141" i="2"/>
  <c r="H3138" i="2" s="1"/>
  <c r="G3141" i="2"/>
  <c r="F3141" i="2"/>
  <c r="H3140" i="2"/>
  <c r="G3140" i="2"/>
  <c r="F3140" i="2"/>
  <c r="H3139" i="2"/>
  <c r="G3139" i="2"/>
  <c r="F3139" i="2"/>
  <c r="F3138" i="2" s="1"/>
  <c r="C3138" i="2"/>
  <c r="H3136" i="2"/>
  <c r="G3136" i="2"/>
  <c r="F3136" i="2"/>
  <c r="H3135" i="2"/>
  <c r="G3135" i="2"/>
  <c r="F3135" i="2"/>
  <c r="H3134" i="2"/>
  <c r="G3134" i="2"/>
  <c r="F3134" i="2"/>
  <c r="H3133" i="2"/>
  <c r="G3133" i="2"/>
  <c r="F3133" i="2"/>
  <c r="H3132" i="2"/>
  <c r="G3132" i="2"/>
  <c r="F3132" i="2"/>
  <c r="H3131" i="2"/>
  <c r="G3131" i="2"/>
  <c r="F3131" i="2"/>
  <c r="G3130" i="2"/>
  <c r="H3129" i="2"/>
  <c r="G3129" i="2"/>
  <c r="F3129" i="2"/>
  <c r="H3128" i="2"/>
  <c r="G3128" i="2"/>
  <c r="F3128" i="2"/>
  <c r="H3127" i="2"/>
  <c r="G3127" i="2"/>
  <c r="F3127" i="2"/>
  <c r="F3122" i="2" s="1"/>
  <c r="H3126" i="2"/>
  <c r="G3126" i="2"/>
  <c r="F3126" i="2"/>
  <c r="H3125" i="2"/>
  <c r="H3122" i="2" s="1"/>
  <c r="G3125" i="2"/>
  <c r="F3125" i="2"/>
  <c r="H3124" i="2"/>
  <c r="G3124" i="2"/>
  <c r="F3124" i="2"/>
  <c r="G3123" i="2"/>
  <c r="C3122" i="2"/>
  <c r="H3120" i="2"/>
  <c r="G3120" i="2"/>
  <c r="F3120" i="2"/>
  <c r="H3119" i="2"/>
  <c r="G3119" i="2"/>
  <c r="F3119" i="2"/>
  <c r="H3118" i="2"/>
  <c r="G3118" i="2"/>
  <c r="F3118" i="2"/>
  <c r="H3117" i="2"/>
  <c r="G3117" i="2"/>
  <c r="F3117" i="2"/>
  <c r="H3116" i="2"/>
  <c r="G3116" i="2"/>
  <c r="F3116" i="2"/>
  <c r="H3115" i="2"/>
  <c r="G3115" i="2"/>
  <c r="F3115" i="2"/>
  <c r="H3114" i="2"/>
  <c r="G3114" i="2"/>
  <c r="F3114" i="2"/>
  <c r="H3113" i="2"/>
  <c r="G3113" i="2"/>
  <c r="F3113" i="2"/>
  <c r="H3112" i="2"/>
  <c r="G3112" i="2"/>
  <c r="G3107" i="2" s="1"/>
  <c r="F3112" i="2"/>
  <c r="H3111" i="2"/>
  <c r="G3111" i="2"/>
  <c r="F3111" i="2"/>
  <c r="H3110" i="2"/>
  <c r="G3110" i="2"/>
  <c r="F3110" i="2"/>
  <c r="H3109" i="2"/>
  <c r="H3107" i="2" s="1"/>
  <c r="G3109" i="2"/>
  <c r="F3109" i="2"/>
  <c r="F3107" i="2" s="1"/>
  <c r="G3108" i="2"/>
  <c r="C3107" i="2"/>
  <c r="H3105" i="2"/>
  <c r="G3105" i="2"/>
  <c r="F3105" i="2"/>
  <c r="H3104" i="2"/>
  <c r="G3104" i="2"/>
  <c r="F3104" i="2"/>
  <c r="H3103" i="2"/>
  <c r="G3103" i="2"/>
  <c r="F3103" i="2"/>
  <c r="H3102" i="2"/>
  <c r="G3102" i="2"/>
  <c r="F3102" i="2"/>
  <c r="H3101" i="2"/>
  <c r="G3101" i="2"/>
  <c r="F3101" i="2"/>
  <c r="H3100" i="2"/>
  <c r="G3100" i="2"/>
  <c r="F3100" i="2"/>
  <c r="H3099" i="2"/>
  <c r="G3099" i="2"/>
  <c r="F3099" i="2"/>
  <c r="H3098" i="2"/>
  <c r="G3098" i="2"/>
  <c r="F3098" i="2"/>
  <c r="H3097" i="2"/>
  <c r="H3093" i="2" s="1"/>
  <c r="G3097" i="2"/>
  <c r="F3097" i="2"/>
  <c r="H3096" i="2"/>
  <c r="G3096" i="2"/>
  <c r="F3096" i="2"/>
  <c r="H3095" i="2"/>
  <c r="G3095" i="2"/>
  <c r="F3095" i="2"/>
  <c r="F3093" i="2" s="1"/>
  <c r="G3094" i="2"/>
  <c r="G3093" i="2" s="1"/>
  <c r="C3093" i="2"/>
  <c r="H3091" i="2"/>
  <c r="G3091" i="2"/>
  <c r="F3091" i="2"/>
  <c r="H3090" i="2"/>
  <c r="G3090" i="2"/>
  <c r="F3090" i="2"/>
  <c r="H3089" i="2"/>
  <c r="G3089" i="2"/>
  <c r="F3089" i="2"/>
  <c r="H3088" i="2"/>
  <c r="G3088" i="2"/>
  <c r="F3088" i="2"/>
  <c r="H3087" i="2"/>
  <c r="G3087" i="2"/>
  <c r="F3087" i="2"/>
  <c r="G3086" i="2"/>
  <c r="H3085" i="2"/>
  <c r="G3085" i="2"/>
  <c r="F3085" i="2"/>
  <c r="H3084" i="2"/>
  <c r="G3084" i="2"/>
  <c r="F3084" i="2"/>
  <c r="H3083" i="2"/>
  <c r="G3083" i="2"/>
  <c r="F3083" i="2"/>
  <c r="H3082" i="2"/>
  <c r="G3082" i="2"/>
  <c r="F3082" i="2"/>
  <c r="H3081" i="2"/>
  <c r="G3081" i="2"/>
  <c r="F3081" i="2"/>
  <c r="F3078" i="2" s="1"/>
  <c r="H3080" i="2"/>
  <c r="H3078" i="2" s="1"/>
  <c r="G3080" i="2"/>
  <c r="F3080" i="2"/>
  <c r="G3079" i="2"/>
  <c r="G3078" i="2" s="1"/>
  <c r="C3078" i="2"/>
  <c r="H3076" i="2"/>
  <c r="G3076" i="2"/>
  <c r="F3076" i="2"/>
  <c r="H3075" i="2"/>
  <c r="G3075" i="2"/>
  <c r="F3075" i="2"/>
  <c r="H3074" i="2"/>
  <c r="G3074" i="2"/>
  <c r="F3074" i="2"/>
  <c r="H3073" i="2"/>
  <c r="G3073" i="2"/>
  <c r="F3073" i="2"/>
  <c r="H3072" i="2"/>
  <c r="G3072" i="2"/>
  <c r="F3072" i="2"/>
  <c r="H3071" i="2"/>
  <c r="G3071" i="2"/>
  <c r="F3071" i="2"/>
  <c r="G3070" i="2"/>
  <c r="H3069" i="2"/>
  <c r="G3069" i="2"/>
  <c r="F3069" i="2"/>
  <c r="H3068" i="2"/>
  <c r="G3068" i="2"/>
  <c r="F3068" i="2"/>
  <c r="H3067" i="2"/>
  <c r="G3067" i="2"/>
  <c r="F3067" i="2"/>
  <c r="F3062" i="2" s="1"/>
  <c r="H3066" i="2"/>
  <c r="G3066" i="2"/>
  <c r="F3066" i="2"/>
  <c r="H3065" i="2"/>
  <c r="G3065" i="2"/>
  <c r="F3065" i="2"/>
  <c r="H3064" i="2"/>
  <c r="G3064" i="2"/>
  <c r="F3064" i="2"/>
  <c r="G3063" i="2"/>
  <c r="C3062" i="2"/>
  <c r="H3060" i="2"/>
  <c r="G3060" i="2"/>
  <c r="G3052" i="2" s="1"/>
  <c r="F3060" i="2"/>
  <c r="H3059" i="2"/>
  <c r="G3059" i="2"/>
  <c r="F3059" i="2"/>
  <c r="H3058" i="2"/>
  <c r="G3058" i="2"/>
  <c r="F3058" i="2"/>
  <c r="H3057" i="2"/>
  <c r="G3057" i="2"/>
  <c r="F3057" i="2"/>
  <c r="H3056" i="2"/>
  <c r="G3056" i="2"/>
  <c r="F3056" i="2"/>
  <c r="H3055" i="2"/>
  <c r="G3055" i="2"/>
  <c r="F3055" i="2"/>
  <c r="H3054" i="2"/>
  <c r="G3054" i="2"/>
  <c r="F3054" i="2"/>
  <c r="H3053" i="2"/>
  <c r="G3053" i="2"/>
  <c r="F3053" i="2"/>
  <c r="C3052" i="2"/>
  <c r="H3050" i="2"/>
  <c r="G3050" i="2"/>
  <c r="F3050" i="2"/>
  <c r="H3049" i="2"/>
  <c r="G3049" i="2"/>
  <c r="F3049" i="2"/>
  <c r="H3048" i="2"/>
  <c r="G3048" i="2"/>
  <c r="F3048" i="2"/>
  <c r="H3047" i="2"/>
  <c r="G3047" i="2"/>
  <c r="F3047" i="2"/>
  <c r="H3046" i="2"/>
  <c r="G3046" i="2"/>
  <c r="F3046" i="2"/>
  <c r="H3045" i="2"/>
  <c r="G3045" i="2"/>
  <c r="F3045" i="2"/>
  <c r="H3044" i="2"/>
  <c r="G3044" i="2"/>
  <c r="F3044" i="2"/>
  <c r="H3043" i="2"/>
  <c r="H3042" i="2" s="1"/>
  <c r="G3043" i="2"/>
  <c r="F3043" i="2"/>
  <c r="F3042" i="2" s="1"/>
  <c r="C3042" i="2"/>
  <c r="H3040" i="2"/>
  <c r="G3040" i="2"/>
  <c r="F3040" i="2"/>
  <c r="H3039" i="2"/>
  <c r="G3039" i="2"/>
  <c r="F3039" i="2"/>
  <c r="H3038" i="2"/>
  <c r="G3038" i="2"/>
  <c r="F3038" i="2"/>
  <c r="H3037" i="2"/>
  <c r="H3036" i="2" s="1"/>
  <c r="G3037" i="2"/>
  <c r="F3037" i="2"/>
  <c r="F3036" i="2" s="1"/>
  <c r="C3036" i="2"/>
  <c r="H3034" i="2"/>
  <c r="G3034" i="2"/>
  <c r="F3034" i="2"/>
  <c r="H3033" i="2"/>
  <c r="G3033" i="2"/>
  <c r="F3033" i="2"/>
  <c r="H3032" i="2"/>
  <c r="G3032" i="2"/>
  <c r="F3032" i="2"/>
  <c r="H3031" i="2"/>
  <c r="G3031" i="2"/>
  <c r="F3031" i="2"/>
  <c r="H3030" i="2"/>
  <c r="G3030" i="2"/>
  <c r="F3030" i="2"/>
  <c r="H3029" i="2"/>
  <c r="G3029" i="2"/>
  <c r="F3029" i="2"/>
  <c r="H3028" i="2"/>
  <c r="G3028" i="2"/>
  <c r="F3028" i="2"/>
  <c r="H3027" i="2"/>
  <c r="G3027" i="2"/>
  <c r="F3027" i="2"/>
  <c r="H3026" i="2"/>
  <c r="G3026" i="2"/>
  <c r="F3026" i="2"/>
  <c r="H3025" i="2"/>
  <c r="G3025" i="2"/>
  <c r="F3025" i="2"/>
  <c r="H3024" i="2"/>
  <c r="G3024" i="2"/>
  <c r="F3024" i="2"/>
  <c r="G3023" i="2"/>
  <c r="G3022" i="2" s="1"/>
  <c r="C3022" i="2"/>
  <c r="H3020" i="2"/>
  <c r="G3020" i="2"/>
  <c r="F3020" i="2"/>
  <c r="H3019" i="2"/>
  <c r="G3019" i="2"/>
  <c r="F3019" i="2"/>
  <c r="H3018" i="2"/>
  <c r="G3018" i="2"/>
  <c r="F3018" i="2"/>
  <c r="H3017" i="2"/>
  <c r="G3017" i="2"/>
  <c r="F3017" i="2"/>
  <c r="H3016" i="2"/>
  <c r="G3016" i="2"/>
  <c r="F3016" i="2"/>
  <c r="H3015" i="2"/>
  <c r="G3015" i="2"/>
  <c r="F3015" i="2"/>
  <c r="H3014" i="2"/>
  <c r="G3014" i="2"/>
  <c r="G3009" i="2" s="1"/>
  <c r="F3014" i="2"/>
  <c r="H3013" i="2"/>
  <c r="G3013" i="2"/>
  <c r="F3013" i="2"/>
  <c r="H3012" i="2"/>
  <c r="G3012" i="2"/>
  <c r="F3012" i="2"/>
  <c r="H3011" i="2"/>
  <c r="H3009" i="2" s="1"/>
  <c r="G3011" i="2"/>
  <c r="F3011" i="2"/>
  <c r="F3009" i="2" s="1"/>
  <c r="G3010" i="2"/>
  <c r="C3009" i="2"/>
  <c r="H3007" i="2"/>
  <c r="G3007" i="2"/>
  <c r="F3007" i="2"/>
  <c r="G3006" i="2"/>
  <c r="F3006" i="2"/>
  <c r="H3005" i="2"/>
  <c r="G3005" i="2"/>
  <c r="F3005" i="2"/>
  <c r="G3004" i="2"/>
  <c r="H3003" i="2"/>
  <c r="G3003" i="2"/>
  <c r="F3003" i="2"/>
  <c r="H3002" i="2"/>
  <c r="G3002" i="2"/>
  <c r="F3002" i="2"/>
  <c r="H3001" i="2"/>
  <c r="G3001" i="2"/>
  <c r="F3001" i="2"/>
  <c r="H3000" i="2"/>
  <c r="G3000" i="2"/>
  <c r="F3000" i="2"/>
  <c r="H2999" i="2"/>
  <c r="G2999" i="2"/>
  <c r="F2999" i="2"/>
  <c r="H2998" i="2"/>
  <c r="G2998" i="2"/>
  <c r="F2998" i="2"/>
  <c r="H2997" i="2"/>
  <c r="G2997" i="2"/>
  <c r="F2997" i="2"/>
  <c r="H2996" i="2"/>
  <c r="G2996" i="2"/>
  <c r="F2996" i="2"/>
  <c r="F2992" i="2" s="1"/>
  <c r="H2995" i="2"/>
  <c r="G2995" i="2"/>
  <c r="F2995" i="2"/>
  <c r="H2994" i="2"/>
  <c r="G2994" i="2"/>
  <c r="F2994" i="2"/>
  <c r="G2993" i="2"/>
  <c r="G2992" i="2" s="1"/>
  <c r="H2992" i="2"/>
  <c r="C2992" i="2"/>
  <c r="H2990" i="2"/>
  <c r="G2990" i="2"/>
  <c r="F2990" i="2"/>
  <c r="G2989" i="2"/>
  <c r="F2989" i="2"/>
  <c r="H2988" i="2"/>
  <c r="G2988" i="2"/>
  <c r="F2988" i="2"/>
  <c r="H2987" i="2"/>
  <c r="G2987" i="2"/>
  <c r="F2987" i="2"/>
  <c r="H2986" i="2"/>
  <c r="G2986" i="2"/>
  <c r="F2986" i="2"/>
  <c r="H2985" i="2"/>
  <c r="G2985" i="2"/>
  <c r="F2985" i="2"/>
  <c r="H2984" i="2"/>
  <c r="G2984" i="2"/>
  <c r="F2984" i="2"/>
  <c r="H2983" i="2"/>
  <c r="G2983" i="2"/>
  <c r="F2983" i="2"/>
  <c r="H2982" i="2"/>
  <c r="G2982" i="2"/>
  <c r="F2982" i="2"/>
  <c r="H2981" i="2"/>
  <c r="G2981" i="2"/>
  <c r="F2981" i="2"/>
  <c r="F2976" i="2" s="1"/>
  <c r="H2980" i="2"/>
  <c r="G2980" i="2"/>
  <c r="F2980" i="2"/>
  <c r="H2979" i="2"/>
  <c r="G2979" i="2"/>
  <c r="F2979" i="2"/>
  <c r="H2978" i="2"/>
  <c r="G2978" i="2"/>
  <c r="F2978" i="2"/>
  <c r="G2977" i="2"/>
  <c r="C2976" i="2"/>
  <c r="H2974" i="2"/>
  <c r="G2974" i="2"/>
  <c r="F2974" i="2"/>
  <c r="H2973" i="2"/>
  <c r="G2973" i="2"/>
  <c r="F2973" i="2"/>
  <c r="H2972" i="2"/>
  <c r="G2972" i="2"/>
  <c r="F2972" i="2"/>
  <c r="G2971" i="2"/>
  <c r="H2970" i="2"/>
  <c r="G2970" i="2"/>
  <c r="F2970" i="2"/>
  <c r="H2969" i="2"/>
  <c r="G2969" i="2"/>
  <c r="F2969" i="2"/>
  <c r="H2968" i="2"/>
  <c r="G2968" i="2"/>
  <c r="F2968" i="2"/>
  <c r="H2967" i="2"/>
  <c r="H2965" i="2" s="1"/>
  <c r="G2967" i="2"/>
  <c r="F2967" i="2"/>
  <c r="G2966" i="2"/>
  <c r="G2965" i="2" s="1"/>
  <c r="F2965" i="2"/>
  <c r="C2965" i="2"/>
  <c r="H2963" i="2"/>
  <c r="G2963" i="2"/>
  <c r="F2963" i="2"/>
  <c r="H2962" i="2"/>
  <c r="G2962" i="2"/>
  <c r="F2962" i="2"/>
  <c r="G2961" i="2"/>
  <c r="H2960" i="2"/>
  <c r="G2960" i="2"/>
  <c r="F2960" i="2"/>
  <c r="H2959" i="2"/>
  <c r="G2959" i="2"/>
  <c r="F2959" i="2"/>
  <c r="H2958" i="2"/>
  <c r="G2958" i="2"/>
  <c r="F2958" i="2"/>
  <c r="H2957" i="2"/>
  <c r="G2957" i="2"/>
  <c r="F2957" i="2"/>
  <c r="H2956" i="2"/>
  <c r="G2956" i="2"/>
  <c r="F2956" i="2"/>
  <c r="H2955" i="2"/>
  <c r="G2955" i="2"/>
  <c r="F2955" i="2"/>
  <c r="H2954" i="2"/>
  <c r="G2954" i="2"/>
  <c r="F2954" i="2"/>
  <c r="H2953" i="2"/>
  <c r="G2953" i="2"/>
  <c r="F2953" i="2"/>
  <c r="F2949" i="2" s="1"/>
  <c r="H2952" i="2"/>
  <c r="G2952" i="2"/>
  <c r="F2952" i="2"/>
  <c r="H2951" i="2"/>
  <c r="G2951" i="2"/>
  <c r="G2949" i="2" s="1"/>
  <c r="F2951" i="2"/>
  <c r="G2950" i="2"/>
  <c r="H2949" i="2"/>
  <c r="C2949" i="2"/>
  <c r="H2947" i="2"/>
  <c r="G2947" i="2"/>
  <c r="F2947" i="2"/>
  <c r="H2946" i="2"/>
  <c r="G2946" i="2"/>
  <c r="F2946" i="2"/>
  <c r="H2945" i="2"/>
  <c r="G2945" i="2"/>
  <c r="F2945" i="2"/>
  <c r="H2944" i="2"/>
  <c r="G2944" i="2"/>
  <c r="F2944" i="2"/>
  <c r="H2943" i="2"/>
  <c r="G2943" i="2"/>
  <c r="F2943" i="2"/>
  <c r="H2942" i="2"/>
  <c r="G2942" i="2"/>
  <c r="F2942" i="2"/>
  <c r="G2941" i="2"/>
  <c r="H2940" i="2"/>
  <c r="G2940" i="2"/>
  <c r="G2933" i="2" s="1"/>
  <c r="F2940" i="2"/>
  <c r="H2939" i="2"/>
  <c r="G2939" i="2"/>
  <c r="F2939" i="2"/>
  <c r="H2938" i="2"/>
  <c r="G2938" i="2"/>
  <c r="F2938" i="2"/>
  <c r="H2937" i="2"/>
  <c r="H2933" i="2" s="1"/>
  <c r="G2937" i="2"/>
  <c r="F2937" i="2"/>
  <c r="H2936" i="2"/>
  <c r="G2936" i="2"/>
  <c r="F2936" i="2"/>
  <c r="H2935" i="2"/>
  <c r="G2935" i="2"/>
  <c r="F2935" i="2"/>
  <c r="F2933" i="2" s="1"/>
  <c r="G2934" i="2"/>
  <c r="C2933" i="2"/>
  <c r="H2931" i="2"/>
  <c r="G2931" i="2"/>
  <c r="F2931" i="2"/>
  <c r="H2930" i="2"/>
  <c r="G2930" i="2"/>
  <c r="F2930" i="2"/>
  <c r="H2929" i="2"/>
  <c r="G2929" i="2"/>
  <c r="F2929" i="2"/>
  <c r="H2928" i="2"/>
  <c r="G2928" i="2"/>
  <c r="G2921" i="2" s="1"/>
  <c r="F2928" i="2"/>
  <c r="H2927" i="2"/>
  <c r="G2927" i="2"/>
  <c r="F2927" i="2"/>
  <c r="H2926" i="2"/>
  <c r="G2926" i="2"/>
  <c r="F2926" i="2"/>
  <c r="H2925" i="2"/>
  <c r="H2921" i="2" s="1"/>
  <c r="G2925" i="2"/>
  <c r="F2925" i="2"/>
  <c r="H2924" i="2"/>
  <c r="G2924" i="2"/>
  <c r="F2924" i="2"/>
  <c r="H2923" i="2"/>
  <c r="G2923" i="2"/>
  <c r="F2923" i="2"/>
  <c r="F2921" i="2" s="1"/>
  <c r="G2922" i="2"/>
  <c r="C2921" i="2"/>
  <c r="H2919" i="2"/>
  <c r="G2919" i="2"/>
  <c r="F2919" i="2"/>
  <c r="G2918" i="2"/>
  <c r="F2918" i="2"/>
  <c r="H2917" i="2"/>
  <c r="G2917" i="2"/>
  <c r="F2917" i="2"/>
  <c r="G2916" i="2"/>
  <c r="H2915" i="2"/>
  <c r="G2915" i="2"/>
  <c r="F2915" i="2"/>
  <c r="H2914" i="2"/>
  <c r="G2914" i="2"/>
  <c r="F2914" i="2"/>
  <c r="H2913" i="2"/>
  <c r="G2913" i="2"/>
  <c r="F2913" i="2"/>
  <c r="H2912" i="2"/>
  <c r="G2912" i="2"/>
  <c r="F2912" i="2"/>
  <c r="H2911" i="2"/>
  <c r="G2911" i="2"/>
  <c r="F2911" i="2"/>
  <c r="H2910" i="2"/>
  <c r="G2910" i="2"/>
  <c r="F2910" i="2"/>
  <c r="F2904" i="2" s="1"/>
  <c r="H2909" i="2"/>
  <c r="G2909" i="2"/>
  <c r="F2909" i="2"/>
  <c r="H2908" i="2"/>
  <c r="G2908" i="2"/>
  <c r="F2908" i="2"/>
  <c r="H2907" i="2"/>
  <c r="G2907" i="2"/>
  <c r="F2907" i="2"/>
  <c r="H2906" i="2"/>
  <c r="G2906" i="2"/>
  <c r="F2906" i="2"/>
  <c r="G2905" i="2"/>
  <c r="G2904" i="2" s="1"/>
  <c r="C2904" i="2"/>
  <c r="H2902" i="2"/>
  <c r="G2902" i="2"/>
  <c r="F2902" i="2"/>
  <c r="H2901" i="2"/>
  <c r="G2901" i="2"/>
  <c r="F2901" i="2"/>
  <c r="H2900" i="2"/>
  <c r="G2900" i="2"/>
  <c r="F2900" i="2"/>
  <c r="H2899" i="2"/>
  <c r="G2899" i="2"/>
  <c r="F2899" i="2"/>
  <c r="H2898" i="2"/>
  <c r="G2898" i="2"/>
  <c r="F2898" i="2"/>
  <c r="H2897" i="2"/>
  <c r="G2897" i="2"/>
  <c r="F2897" i="2"/>
  <c r="G2896" i="2"/>
  <c r="H2895" i="2"/>
  <c r="G2895" i="2"/>
  <c r="F2895" i="2"/>
  <c r="H2894" i="2"/>
  <c r="G2894" i="2"/>
  <c r="F2894" i="2"/>
  <c r="H2893" i="2"/>
  <c r="G2893" i="2"/>
  <c r="F2893" i="2"/>
  <c r="H2892" i="2"/>
  <c r="G2892" i="2"/>
  <c r="F2892" i="2"/>
  <c r="F2888" i="2" s="1"/>
  <c r="H2891" i="2"/>
  <c r="G2891" i="2"/>
  <c r="F2891" i="2"/>
  <c r="H2890" i="2"/>
  <c r="G2890" i="2"/>
  <c r="G2888" i="2" s="1"/>
  <c r="F2890" i="2"/>
  <c r="G2889" i="2"/>
  <c r="H2888" i="2"/>
  <c r="C2888" i="2"/>
  <c r="H2886" i="2"/>
  <c r="G2886" i="2"/>
  <c r="F2886" i="2"/>
  <c r="H2885" i="2"/>
  <c r="G2885" i="2"/>
  <c r="F2885" i="2"/>
  <c r="H2884" i="2"/>
  <c r="G2884" i="2"/>
  <c r="F2884" i="2"/>
  <c r="H2883" i="2"/>
  <c r="G2883" i="2"/>
  <c r="F2883" i="2"/>
  <c r="H2882" i="2"/>
  <c r="G2882" i="2"/>
  <c r="F2882" i="2"/>
  <c r="H2881" i="2"/>
  <c r="G2881" i="2"/>
  <c r="F2881" i="2"/>
  <c r="H2880" i="2"/>
  <c r="G2880" i="2"/>
  <c r="F2880" i="2"/>
  <c r="F2874" i="2" s="1"/>
  <c r="H2879" i="2"/>
  <c r="G2879" i="2"/>
  <c r="F2879" i="2"/>
  <c r="H2878" i="2"/>
  <c r="G2878" i="2"/>
  <c r="F2878" i="2"/>
  <c r="H2877" i="2"/>
  <c r="G2877" i="2"/>
  <c r="F2877" i="2"/>
  <c r="H2876" i="2"/>
  <c r="H2874" i="2" s="1"/>
  <c r="G2876" i="2"/>
  <c r="F2876" i="2"/>
  <c r="G2875" i="2"/>
  <c r="C2874" i="2"/>
  <c r="H2872" i="2"/>
  <c r="G2872" i="2"/>
  <c r="F2872" i="2"/>
  <c r="H2871" i="2"/>
  <c r="G2871" i="2"/>
  <c r="F2871" i="2"/>
  <c r="H2870" i="2"/>
  <c r="G2870" i="2"/>
  <c r="F2870" i="2"/>
  <c r="H2869" i="2"/>
  <c r="G2869" i="2"/>
  <c r="F2869" i="2"/>
  <c r="H2868" i="2"/>
  <c r="G2868" i="2"/>
  <c r="F2868" i="2"/>
  <c r="H2867" i="2"/>
  <c r="G2867" i="2"/>
  <c r="F2867" i="2"/>
  <c r="H2866" i="2"/>
  <c r="G2866" i="2"/>
  <c r="F2866" i="2"/>
  <c r="H2865" i="2"/>
  <c r="G2865" i="2"/>
  <c r="G2860" i="2" s="1"/>
  <c r="F2865" i="2"/>
  <c r="H2864" i="2"/>
  <c r="G2864" i="2"/>
  <c r="F2864" i="2"/>
  <c r="H2863" i="2"/>
  <c r="G2863" i="2"/>
  <c r="F2863" i="2"/>
  <c r="H2862" i="2"/>
  <c r="H2860" i="2" s="1"/>
  <c r="G2862" i="2"/>
  <c r="F2862" i="2"/>
  <c r="F2860" i="2" s="1"/>
  <c r="G2861" i="2"/>
  <c r="C2860" i="2"/>
  <c r="H2858" i="2"/>
  <c r="G2858" i="2"/>
  <c r="F2858" i="2"/>
  <c r="H2857" i="2"/>
  <c r="G2857" i="2"/>
  <c r="F2857" i="2"/>
  <c r="H2856" i="2"/>
  <c r="G2856" i="2"/>
  <c r="F2856" i="2"/>
  <c r="H2855" i="2"/>
  <c r="G2855" i="2"/>
  <c r="F2855" i="2"/>
  <c r="H2854" i="2"/>
  <c r="G2854" i="2"/>
  <c r="F2854" i="2"/>
  <c r="H2853" i="2"/>
  <c r="G2853" i="2"/>
  <c r="F2853" i="2"/>
  <c r="H2852" i="2"/>
  <c r="G2852" i="2"/>
  <c r="F2852" i="2"/>
  <c r="H2851" i="2"/>
  <c r="G2851" i="2"/>
  <c r="F2851" i="2"/>
  <c r="H2850" i="2"/>
  <c r="H2845" i="2" s="1"/>
  <c r="G2850" i="2"/>
  <c r="F2850" i="2"/>
  <c r="H2849" i="2"/>
  <c r="G2849" i="2"/>
  <c r="F2849" i="2"/>
  <c r="H2848" i="2"/>
  <c r="G2848" i="2"/>
  <c r="F2848" i="2"/>
  <c r="F2845" i="2" s="1"/>
  <c r="H2847" i="2"/>
  <c r="G2847" i="2"/>
  <c r="F2847" i="2"/>
  <c r="G2846" i="2"/>
  <c r="C2845" i="2"/>
  <c r="H2843" i="2"/>
  <c r="H2842" i="2" s="1"/>
  <c r="G2843" i="2"/>
  <c r="G2842" i="2" s="1"/>
  <c r="F2843" i="2"/>
  <c r="F2842" i="2"/>
  <c r="C2842" i="2"/>
  <c r="H2840" i="2"/>
  <c r="G2840" i="2"/>
  <c r="F2840" i="2"/>
  <c r="H2839" i="2"/>
  <c r="G2839" i="2"/>
  <c r="F2839" i="2"/>
  <c r="H2838" i="2"/>
  <c r="G2838" i="2"/>
  <c r="F2838" i="2"/>
  <c r="H2837" i="2"/>
  <c r="G2837" i="2"/>
  <c r="F2837" i="2"/>
  <c r="H2836" i="2"/>
  <c r="G2836" i="2"/>
  <c r="F2836" i="2"/>
  <c r="H2835" i="2"/>
  <c r="G2835" i="2"/>
  <c r="F2835" i="2"/>
  <c r="G2834" i="2"/>
  <c r="H2833" i="2"/>
  <c r="G2833" i="2"/>
  <c r="F2833" i="2"/>
  <c r="H2832" i="2"/>
  <c r="G2832" i="2"/>
  <c r="F2832" i="2"/>
  <c r="H2831" i="2"/>
  <c r="G2831" i="2"/>
  <c r="F2831" i="2"/>
  <c r="H2830" i="2"/>
  <c r="G2830" i="2"/>
  <c r="F2830" i="2"/>
  <c r="H2829" i="2"/>
  <c r="G2829" i="2"/>
  <c r="F2829" i="2"/>
  <c r="H2828" i="2"/>
  <c r="H2826" i="2" s="1"/>
  <c r="G2828" i="2"/>
  <c r="F2828" i="2"/>
  <c r="G2827" i="2"/>
  <c r="F2826" i="2"/>
  <c r="C2826" i="2"/>
  <c r="H2824" i="2"/>
  <c r="G2824" i="2"/>
  <c r="F2824" i="2"/>
  <c r="H2823" i="2"/>
  <c r="G2823" i="2"/>
  <c r="F2823" i="2"/>
  <c r="H2822" i="2"/>
  <c r="G2822" i="2"/>
  <c r="F2822" i="2"/>
  <c r="H2821" i="2"/>
  <c r="G2821" i="2"/>
  <c r="F2821" i="2"/>
  <c r="H2820" i="2"/>
  <c r="G2820" i="2"/>
  <c r="F2820" i="2"/>
  <c r="H2819" i="2"/>
  <c r="G2819" i="2"/>
  <c r="F2819" i="2"/>
  <c r="H2818" i="2"/>
  <c r="G2818" i="2"/>
  <c r="F2818" i="2"/>
  <c r="H2817" i="2"/>
  <c r="G2817" i="2"/>
  <c r="G2811" i="2" s="1"/>
  <c r="F2817" i="2"/>
  <c r="H2816" i="2"/>
  <c r="G2816" i="2"/>
  <c r="F2816" i="2"/>
  <c r="H2815" i="2"/>
  <c r="G2815" i="2"/>
  <c r="F2815" i="2"/>
  <c r="H2814" i="2"/>
  <c r="H2811" i="2" s="1"/>
  <c r="G2814" i="2"/>
  <c r="F2814" i="2"/>
  <c r="H2813" i="2"/>
  <c r="G2813" i="2"/>
  <c r="F2813" i="2"/>
  <c r="F2811" i="2" s="1"/>
  <c r="G2812" i="2"/>
  <c r="C2811" i="2"/>
  <c r="H2809" i="2"/>
  <c r="G2809" i="2"/>
  <c r="F2809" i="2"/>
  <c r="H2808" i="2"/>
  <c r="G2808" i="2"/>
  <c r="F2808" i="2"/>
  <c r="G2807" i="2"/>
  <c r="H2806" i="2"/>
  <c r="G2806" i="2"/>
  <c r="F2806" i="2"/>
  <c r="H2805" i="2"/>
  <c r="G2805" i="2"/>
  <c r="F2805" i="2"/>
  <c r="H2804" i="2"/>
  <c r="G2804" i="2"/>
  <c r="F2804" i="2"/>
  <c r="H2803" i="2"/>
  <c r="G2803" i="2"/>
  <c r="F2803" i="2"/>
  <c r="G2802" i="2"/>
  <c r="H2801" i="2"/>
  <c r="G2801" i="2"/>
  <c r="G2794" i="2" s="1"/>
  <c r="F2801" i="2"/>
  <c r="H2800" i="2"/>
  <c r="G2800" i="2"/>
  <c r="F2800" i="2"/>
  <c r="H2799" i="2"/>
  <c r="G2799" i="2"/>
  <c r="F2799" i="2"/>
  <c r="H2798" i="2"/>
  <c r="H2794" i="2" s="1"/>
  <c r="G2798" i="2"/>
  <c r="F2798" i="2"/>
  <c r="H2797" i="2"/>
  <c r="G2797" i="2"/>
  <c r="F2797" i="2"/>
  <c r="H2796" i="2"/>
  <c r="G2796" i="2"/>
  <c r="F2796" i="2"/>
  <c r="F2794" i="2" s="1"/>
  <c r="G2795" i="2"/>
  <c r="C2794" i="2"/>
  <c r="H2792" i="2"/>
  <c r="G2792" i="2"/>
  <c r="F2792" i="2"/>
  <c r="H2791" i="2"/>
  <c r="G2791" i="2"/>
  <c r="F2791" i="2"/>
  <c r="H2790" i="2"/>
  <c r="G2790" i="2"/>
  <c r="F2790" i="2"/>
  <c r="H2789" i="2"/>
  <c r="G2789" i="2"/>
  <c r="F2789" i="2"/>
  <c r="H2788" i="2"/>
  <c r="G2788" i="2"/>
  <c r="F2788" i="2"/>
  <c r="H2787" i="2"/>
  <c r="G2787" i="2"/>
  <c r="F2787" i="2"/>
  <c r="H2786" i="2"/>
  <c r="H2782" i="2" s="1"/>
  <c r="G2786" i="2"/>
  <c r="F2786" i="2"/>
  <c r="H2785" i="2"/>
  <c r="G2785" i="2"/>
  <c r="F2785" i="2"/>
  <c r="H2784" i="2"/>
  <c r="G2784" i="2"/>
  <c r="F2784" i="2"/>
  <c r="H2783" i="2"/>
  <c r="G2783" i="2"/>
  <c r="G2782" i="2" s="1"/>
  <c r="F2783" i="2"/>
  <c r="F2782" i="2" s="1"/>
  <c r="C2782" i="2"/>
  <c r="H2780" i="2"/>
  <c r="G2780" i="2"/>
  <c r="F2780" i="2"/>
  <c r="H2779" i="2"/>
  <c r="G2779" i="2"/>
  <c r="F2779" i="2"/>
  <c r="H2778" i="2"/>
  <c r="G2778" i="2"/>
  <c r="F2778" i="2"/>
  <c r="H2777" i="2"/>
  <c r="G2777" i="2"/>
  <c r="F2777" i="2"/>
  <c r="H2776" i="2"/>
  <c r="G2776" i="2"/>
  <c r="F2776" i="2"/>
  <c r="H2775" i="2"/>
  <c r="G2775" i="2"/>
  <c r="F2775" i="2"/>
  <c r="H2774" i="2"/>
  <c r="G2774" i="2"/>
  <c r="F2774" i="2"/>
  <c r="H2773" i="2"/>
  <c r="G2773" i="2"/>
  <c r="F2773" i="2"/>
  <c r="H2772" i="2"/>
  <c r="H2767" i="2" s="1"/>
  <c r="G2772" i="2"/>
  <c r="F2772" i="2"/>
  <c r="H2771" i="2"/>
  <c r="G2771" i="2"/>
  <c r="F2771" i="2"/>
  <c r="H2770" i="2"/>
  <c r="G2770" i="2"/>
  <c r="F2770" i="2"/>
  <c r="F2767" i="2" s="1"/>
  <c r="H2769" i="2"/>
  <c r="G2769" i="2"/>
  <c r="F2769" i="2"/>
  <c r="G2768" i="2"/>
  <c r="C2767" i="2"/>
  <c r="H2765" i="2"/>
  <c r="G2765" i="2"/>
  <c r="F2765" i="2"/>
  <c r="G2764" i="2"/>
  <c r="F2764" i="2"/>
  <c r="H2763" i="2"/>
  <c r="G2763" i="2"/>
  <c r="F2763" i="2"/>
  <c r="H2762" i="2"/>
  <c r="G2762" i="2"/>
  <c r="F2762" i="2"/>
  <c r="H2761" i="2"/>
  <c r="G2761" i="2"/>
  <c r="F2761" i="2"/>
  <c r="H2760" i="2"/>
  <c r="G2760" i="2"/>
  <c r="F2760" i="2"/>
  <c r="H2759" i="2"/>
  <c r="G2759" i="2"/>
  <c r="F2759" i="2"/>
  <c r="H2758" i="2"/>
  <c r="G2758" i="2"/>
  <c r="F2758" i="2"/>
  <c r="H2757" i="2"/>
  <c r="G2757" i="2"/>
  <c r="F2757" i="2"/>
  <c r="H2756" i="2"/>
  <c r="G2756" i="2"/>
  <c r="F2756" i="2"/>
  <c r="H2755" i="2"/>
  <c r="G2755" i="2"/>
  <c r="F2755" i="2"/>
  <c r="F2751" i="2" s="1"/>
  <c r="H2754" i="2"/>
  <c r="G2754" i="2"/>
  <c r="F2754" i="2"/>
  <c r="H2753" i="2"/>
  <c r="G2753" i="2"/>
  <c r="F2753" i="2"/>
  <c r="G2752" i="2"/>
  <c r="H2751" i="2"/>
  <c r="C2751" i="2"/>
  <c r="H2749" i="2"/>
  <c r="G2749" i="2"/>
  <c r="F2749" i="2"/>
  <c r="H2748" i="2"/>
  <c r="G2748" i="2"/>
  <c r="F2748" i="2"/>
  <c r="H2747" i="2"/>
  <c r="G2747" i="2"/>
  <c r="F2747" i="2"/>
  <c r="H2746" i="2"/>
  <c r="G2746" i="2"/>
  <c r="F2746" i="2"/>
  <c r="H2745" i="2"/>
  <c r="G2745" i="2"/>
  <c r="F2745" i="2"/>
  <c r="H2744" i="2"/>
  <c r="G2744" i="2"/>
  <c r="F2744" i="2"/>
  <c r="H2743" i="2"/>
  <c r="G2743" i="2"/>
  <c r="F2743" i="2"/>
  <c r="F2736" i="2" s="1"/>
  <c r="H2742" i="2"/>
  <c r="G2742" i="2"/>
  <c r="F2742" i="2"/>
  <c r="H2741" i="2"/>
  <c r="G2741" i="2"/>
  <c r="F2741" i="2"/>
  <c r="H2740" i="2"/>
  <c r="G2740" i="2"/>
  <c r="F2740" i="2"/>
  <c r="H2739" i="2"/>
  <c r="G2739" i="2"/>
  <c r="F2739" i="2"/>
  <c r="H2738" i="2"/>
  <c r="H2736" i="2" s="1"/>
  <c r="G2738" i="2"/>
  <c r="F2738" i="2"/>
  <c r="G2737" i="2"/>
  <c r="G2736" i="2" s="1"/>
  <c r="C2736" i="2"/>
  <c r="H2734" i="2"/>
  <c r="G2734" i="2"/>
  <c r="F2734" i="2"/>
  <c r="H2733" i="2"/>
  <c r="G2733" i="2"/>
  <c r="F2733" i="2"/>
  <c r="H2732" i="2"/>
  <c r="G2732" i="2"/>
  <c r="F2732" i="2"/>
  <c r="H2731" i="2"/>
  <c r="G2731" i="2"/>
  <c r="F2731" i="2"/>
  <c r="H2730" i="2"/>
  <c r="G2730" i="2"/>
  <c r="F2730" i="2"/>
  <c r="H2729" i="2"/>
  <c r="G2729" i="2"/>
  <c r="F2729" i="2"/>
  <c r="H2728" i="2"/>
  <c r="G2728" i="2"/>
  <c r="G2721" i="2" s="1"/>
  <c r="F2728" i="2"/>
  <c r="H2727" i="2"/>
  <c r="G2727" i="2"/>
  <c r="F2727" i="2"/>
  <c r="H2726" i="2"/>
  <c r="G2726" i="2"/>
  <c r="F2726" i="2"/>
  <c r="H2725" i="2"/>
  <c r="H2721" i="2" s="1"/>
  <c r="G2725" i="2"/>
  <c r="F2725" i="2"/>
  <c r="H2724" i="2"/>
  <c r="G2724" i="2"/>
  <c r="F2724" i="2"/>
  <c r="H2723" i="2"/>
  <c r="G2723" i="2"/>
  <c r="F2723" i="2"/>
  <c r="F2721" i="2" s="1"/>
  <c r="G2722" i="2"/>
  <c r="C2721" i="2"/>
  <c r="H2719" i="2"/>
  <c r="G2719" i="2"/>
  <c r="F2719" i="2"/>
  <c r="H2718" i="2"/>
  <c r="G2718" i="2"/>
  <c r="F2718" i="2"/>
  <c r="G2717" i="2"/>
  <c r="H2716" i="2"/>
  <c r="G2716" i="2"/>
  <c r="F2716" i="2"/>
  <c r="H2715" i="2"/>
  <c r="G2715" i="2"/>
  <c r="F2715" i="2"/>
  <c r="H2714" i="2"/>
  <c r="G2714" i="2"/>
  <c r="F2714" i="2"/>
  <c r="H2713" i="2"/>
  <c r="G2713" i="2"/>
  <c r="F2713" i="2"/>
  <c r="H2712" i="2"/>
  <c r="G2712" i="2"/>
  <c r="F2712" i="2"/>
  <c r="G2711" i="2"/>
  <c r="H2710" i="2"/>
  <c r="G2710" i="2"/>
  <c r="F2710" i="2"/>
  <c r="H2709" i="2"/>
  <c r="H2704" i="2" s="1"/>
  <c r="G2709" i="2"/>
  <c r="F2709" i="2"/>
  <c r="H2708" i="2"/>
  <c r="G2708" i="2"/>
  <c r="F2708" i="2"/>
  <c r="H2707" i="2"/>
  <c r="G2707" i="2"/>
  <c r="F2707" i="2"/>
  <c r="F2704" i="2" s="1"/>
  <c r="H2706" i="2"/>
  <c r="G2706" i="2"/>
  <c r="G2704" i="2" s="1"/>
  <c r="F2706" i="2"/>
  <c r="G2705" i="2"/>
  <c r="C2704" i="2"/>
  <c r="H2702" i="2"/>
  <c r="G2702" i="2"/>
  <c r="F2702" i="2"/>
  <c r="H2701" i="2"/>
  <c r="G2701" i="2"/>
  <c r="F2701" i="2"/>
  <c r="H2700" i="2"/>
  <c r="G2700" i="2"/>
  <c r="F2700" i="2"/>
  <c r="H2699" i="2"/>
  <c r="G2699" i="2"/>
  <c r="F2699" i="2"/>
  <c r="H2698" i="2"/>
  <c r="G2698" i="2"/>
  <c r="F2698" i="2"/>
  <c r="H2697" i="2"/>
  <c r="G2697" i="2"/>
  <c r="F2697" i="2"/>
  <c r="H2696" i="2"/>
  <c r="G2696" i="2"/>
  <c r="F2696" i="2"/>
  <c r="H2695" i="2"/>
  <c r="G2695" i="2"/>
  <c r="F2695" i="2"/>
  <c r="H2694" i="2"/>
  <c r="G2694" i="2"/>
  <c r="F2694" i="2"/>
  <c r="H2693" i="2"/>
  <c r="G2693" i="2"/>
  <c r="F2693" i="2"/>
  <c r="H2692" i="2"/>
  <c r="G2692" i="2"/>
  <c r="F2692" i="2"/>
  <c r="H2691" i="2"/>
  <c r="G2691" i="2"/>
  <c r="F2691" i="2"/>
  <c r="G2690" i="2"/>
  <c r="F2689" i="2"/>
  <c r="C2689" i="2"/>
  <c r="H2687" i="2"/>
  <c r="G2687" i="2"/>
  <c r="F2687" i="2"/>
  <c r="H2686" i="2"/>
  <c r="G2686" i="2"/>
  <c r="F2686" i="2"/>
  <c r="H2685" i="2"/>
  <c r="G2685" i="2"/>
  <c r="F2685" i="2"/>
  <c r="H2684" i="2"/>
  <c r="G2684" i="2"/>
  <c r="F2684" i="2"/>
  <c r="H2683" i="2"/>
  <c r="G2683" i="2"/>
  <c r="F2683" i="2"/>
  <c r="H2682" i="2"/>
  <c r="G2682" i="2"/>
  <c r="F2682" i="2"/>
  <c r="H2681" i="2"/>
  <c r="G2681" i="2"/>
  <c r="F2681" i="2"/>
  <c r="H2680" i="2"/>
  <c r="G2680" i="2"/>
  <c r="G2674" i="2" s="1"/>
  <c r="F2680" i="2"/>
  <c r="H2679" i="2"/>
  <c r="G2679" i="2"/>
  <c r="F2679" i="2"/>
  <c r="H2678" i="2"/>
  <c r="G2678" i="2"/>
  <c r="F2678" i="2"/>
  <c r="H2677" i="2"/>
  <c r="H2674" i="2" s="1"/>
  <c r="G2677" i="2"/>
  <c r="F2677" i="2"/>
  <c r="H2676" i="2"/>
  <c r="G2676" i="2"/>
  <c r="F2676" i="2"/>
  <c r="F2674" i="2" s="1"/>
  <c r="G2675" i="2"/>
  <c r="C2674" i="2"/>
  <c r="H2672" i="2"/>
  <c r="G2672" i="2"/>
  <c r="F2672" i="2"/>
  <c r="H2671" i="2"/>
  <c r="G2671" i="2"/>
  <c r="F2671" i="2"/>
  <c r="G2670" i="2"/>
  <c r="H2669" i="2"/>
  <c r="G2669" i="2"/>
  <c r="F2669" i="2"/>
  <c r="H2668" i="2"/>
  <c r="G2668" i="2"/>
  <c r="F2668" i="2"/>
  <c r="H2667" i="2"/>
  <c r="G2667" i="2"/>
  <c r="F2667" i="2"/>
  <c r="H2666" i="2"/>
  <c r="G2666" i="2"/>
  <c r="F2666" i="2"/>
  <c r="H2665" i="2"/>
  <c r="G2665" i="2"/>
  <c r="F2665" i="2"/>
  <c r="F2658" i="2" s="1"/>
  <c r="H2664" i="2"/>
  <c r="G2664" i="2"/>
  <c r="F2664" i="2"/>
  <c r="H2663" i="2"/>
  <c r="G2663" i="2"/>
  <c r="F2663" i="2"/>
  <c r="H2662" i="2"/>
  <c r="G2662" i="2"/>
  <c r="F2662" i="2"/>
  <c r="H2661" i="2"/>
  <c r="G2661" i="2"/>
  <c r="F2661" i="2"/>
  <c r="H2660" i="2"/>
  <c r="G2660" i="2"/>
  <c r="F2660" i="2"/>
  <c r="G2659" i="2"/>
  <c r="G2658" i="2" s="1"/>
  <c r="C2658" i="2"/>
  <c r="H2656" i="2"/>
  <c r="G2656" i="2"/>
  <c r="F2656" i="2"/>
  <c r="H2655" i="2"/>
  <c r="G2655" i="2"/>
  <c r="F2655" i="2"/>
  <c r="H2654" i="2"/>
  <c r="G2654" i="2"/>
  <c r="F2654" i="2"/>
  <c r="H2653" i="2"/>
  <c r="G2653" i="2"/>
  <c r="F2653" i="2"/>
  <c r="H2652" i="2"/>
  <c r="G2652" i="2"/>
  <c r="F2652" i="2"/>
  <c r="H2651" i="2"/>
  <c r="G2651" i="2"/>
  <c r="F2651" i="2"/>
  <c r="H2650" i="2"/>
  <c r="G2650" i="2"/>
  <c r="F2650" i="2"/>
  <c r="H2649" i="2"/>
  <c r="G2649" i="2"/>
  <c r="F2649" i="2"/>
  <c r="H2648" i="2"/>
  <c r="G2648" i="2"/>
  <c r="F2648" i="2"/>
  <c r="H2647" i="2"/>
  <c r="H2644" i="2" s="1"/>
  <c r="G2647" i="2"/>
  <c r="F2647" i="2"/>
  <c r="F2644" i="2" s="1"/>
  <c r="H2646" i="2"/>
  <c r="G2646" i="2"/>
  <c r="F2646" i="2"/>
  <c r="G2645" i="2"/>
  <c r="G2644" i="2"/>
  <c r="C2644" i="2"/>
  <c r="H2642" i="2"/>
  <c r="G2642" i="2"/>
  <c r="F2642" i="2"/>
  <c r="H2641" i="2"/>
  <c r="G2641" i="2"/>
  <c r="F2641" i="2"/>
  <c r="F2638" i="2" s="1"/>
  <c r="H2640" i="2"/>
  <c r="G2640" i="2"/>
  <c r="F2640" i="2"/>
  <c r="H2639" i="2"/>
  <c r="H2638" i="2" s="1"/>
  <c r="G2639" i="2"/>
  <c r="F2639" i="2"/>
  <c r="G2638" i="2"/>
  <c r="C2638" i="2"/>
  <c r="H2636" i="2"/>
  <c r="G2636" i="2"/>
  <c r="F2636" i="2"/>
  <c r="H2635" i="2"/>
  <c r="G2635" i="2"/>
  <c r="F2635" i="2"/>
  <c r="H2634" i="2"/>
  <c r="G2634" i="2"/>
  <c r="F2634" i="2"/>
  <c r="H2633" i="2"/>
  <c r="G2633" i="2"/>
  <c r="F2633" i="2"/>
  <c r="H2632" i="2"/>
  <c r="G2632" i="2"/>
  <c r="F2632" i="2"/>
  <c r="H2631" i="2"/>
  <c r="G2631" i="2"/>
  <c r="F2631" i="2"/>
  <c r="H2630" i="2"/>
  <c r="G2630" i="2"/>
  <c r="F2630" i="2"/>
  <c r="H2629" i="2"/>
  <c r="H2624" i="2" s="1"/>
  <c r="G2629" i="2"/>
  <c r="F2629" i="2"/>
  <c r="H2628" i="2"/>
  <c r="G2628" i="2"/>
  <c r="F2628" i="2"/>
  <c r="H2627" i="2"/>
  <c r="G2627" i="2"/>
  <c r="F2627" i="2"/>
  <c r="F2624" i="2" s="1"/>
  <c r="H2626" i="2"/>
  <c r="G2626" i="2"/>
  <c r="F2626" i="2"/>
  <c r="G2625" i="2"/>
  <c r="C2624" i="2"/>
  <c r="H2623" i="2"/>
  <c r="G2623" i="2"/>
  <c r="F2623" i="2"/>
  <c r="G2622" i="2"/>
  <c r="F2622" i="2"/>
  <c r="H2621" i="2"/>
  <c r="G2621" i="2"/>
  <c r="F2621" i="2"/>
  <c r="H2620" i="2"/>
  <c r="G2620" i="2"/>
  <c r="F2620" i="2"/>
  <c r="H2619" i="2"/>
  <c r="G2619" i="2"/>
  <c r="F2619" i="2"/>
  <c r="H2618" i="2"/>
  <c r="G2618" i="2"/>
  <c r="F2618" i="2"/>
  <c r="H2617" i="2"/>
  <c r="G2617" i="2"/>
  <c r="F2617" i="2"/>
  <c r="H2616" i="2"/>
  <c r="G2616" i="2"/>
  <c r="F2616" i="2"/>
  <c r="H2615" i="2"/>
  <c r="H2612" i="2" s="1"/>
  <c r="G2615" i="2"/>
  <c r="F2615" i="2"/>
  <c r="H2614" i="2"/>
  <c r="G2614" i="2"/>
  <c r="F2614" i="2"/>
  <c r="G2613" i="2"/>
  <c r="G2612" i="2"/>
  <c r="C2612" i="2"/>
  <c r="H2610" i="2"/>
  <c r="G2610" i="2"/>
  <c r="F2610" i="2"/>
  <c r="G2609" i="2"/>
  <c r="F2609" i="2"/>
  <c r="H2608" i="2"/>
  <c r="F2608" i="2"/>
  <c r="H2607" i="2"/>
  <c r="G2607" i="2"/>
  <c r="F2607" i="2"/>
  <c r="H2606" i="2"/>
  <c r="G2606" i="2"/>
  <c r="F2606" i="2"/>
  <c r="H2605" i="2"/>
  <c r="G2605" i="2"/>
  <c r="F2605" i="2"/>
  <c r="H2604" i="2"/>
  <c r="G2604" i="2"/>
  <c r="F2604" i="2"/>
  <c r="H2603" i="2"/>
  <c r="G2603" i="2"/>
  <c r="F2603" i="2"/>
  <c r="H2602" i="2"/>
  <c r="G2602" i="2"/>
  <c r="F2602" i="2"/>
  <c r="H2601" i="2"/>
  <c r="G2601" i="2"/>
  <c r="F2601" i="2"/>
  <c r="H2600" i="2"/>
  <c r="G2600" i="2"/>
  <c r="G2597" i="2" s="1"/>
  <c r="F2600" i="2"/>
  <c r="H2599" i="2"/>
  <c r="G2599" i="2"/>
  <c r="F2599" i="2"/>
  <c r="G2598" i="2"/>
  <c r="F2597" i="2"/>
  <c r="C2597" i="2"/>
  <c r="H2595" i="2"/>
  <c r="G2595" i="2"/>
  <c r="F2595" i="2"/>
  <c r="G2594" i="2"/>
  <c r="G2593" i="2"/>
  <c r="F2593" i="2"/>
  <c r="H2592" i="2"/>
  <c r="F2592" i="2"/>
  <c r="H2591" i="2"/>
  <c r="G2591" i="2"/>
  <c r="F2591" i="2"/>
  <c r="H2590" i="2"/>
  <c r="G2590" i="2"/>
  <c r="F2590" i="2"/>
  <c r="H2589" i="2"/>
  <c r="G2589" i="2"/>
  <c r="F2589" i="2"/>
  <c r="H2588" i="2"/>
  <c r="G2588" i="2"/>
  <c r="F2588" i="2"/>
  <c r="H2587" i="2"/>
  <c r="G2587" i="2"/>
  <c r="F2587" i="2"/>
  <c r="H2586" i="2"/>
  <c r="G2586" i="2"/>
  <c r="F2586" i="2"/>
  <c r="H2585" i="2"/>
  <c r="G2585" i="2"/>
  <c r="F2585" i="2"/>
  <c r="H2584" i="2"/>
  <c r="G2584" i="2"/>
  <c r="F2584" i="2"/>
  <c r="H2583" i="2"/>
  <c r="G2583" i="2"/>
  <c r="F2583" i="2"/>
  <c r="G2582" i="2"/>
  <c r="G2581" i="2" s="1"/>
  <c r="F2581" i="2"/>
  <c r="C2581" i="2"/>
  <c r="H2579" i="2"/>
  <c r="G2579" i="2"/>
  <c r="F2579" i="2"/>
  <c r="G2578" i="2"/>
  <c r="G2577" i="2"/>
  <c r="F2577" i="2"/>
  <c r="G2576" i="2"/>
  <c r="F2576" i="2"/>
  <c r="H2575" i="2"/>
  <c r="F2575" i="2"/>
  <c r="H2574" i="2"/>
  <c r="G2574" i="2"/>
  <c r="F2574" i="2"/>
  <c r="H2573" i="2"/>
  <c r="G2573" i="2"/>
  <c r="F2573" i="2"/>
  <c r="H2572" i="2"/>
  <c r="G2572" i="2"/>
  <c r="F2572" i="2"/>
  <c r="H2571" i="2"/>
  <c r="G2571" i="2"/>
  <c r="F2571" i="2"/>
  <c r="H2570" i="2"/>
  <c r="G2570" i="2"/>
  <c r="F2570" i="2"/>
  <c r="H2569" i="2"/>
  <c r="G2569" i="2"/>
  <c r="F2569" i="2"/>
  <c r="H2568" i="2"/>
  <c r="G2568" i="2"/>
  <c r="F2568" i="2"/>
  <c r="F2564" i="2" s="1"/>
  <c r="H2567" i="2"/>
  <c r="G2567" i="2"/>
  <c r="F2567" i="2"/>
  <c r="H2566" i="2"/>
  <c r="G2566" i="2"/>
  <c r="F2566" i="2"/>
  <c r="G2565" i="2"/>
  <c r="H2564" i="2"/>
  <c r="C2564" i="2"/>
  <c r="H2562" i="2"/>
  <c r="G2562" i="2"/>
  <c r="F2562" i="2"/>
  <c r="G2561" i="2"/>
  <c r="F2561" i="2"/>
  <c r="G2560" i="2"/>
  <c r="F2560" i="2"/>
  <c r="H2559" i="2"/>
  <c r="F2559" i="2"/>
  <c r="H2558" i="2"/>
  <c r="G2558" i="2"/>
  <c r="F2558" i="2"/>
  <c r="H2557" i="2"/>
  <c r="G2557" i="2"/>
  <c r="F2557" i="2"/>
  <c r="H2556" i="2"/>
  <c r="G2556" i="2"/>
  <c r="F2556" i="2"/>
  <c r="H2555" i="2"/>
  <c r="G2555" i="2"/>
  <c r="F2555" i="2"/>
  <c r="F2548" i="2" s="1"/>
  <c r="H2554" i="2"/>
  <c r="G2554" i="2"/>
  <c r="F2554" i="2"/>
  <c r="H2553" i="2"/>
  <c r="G2553" i="2"/>
  <c r="F2553" i="2"/>
  <c r="H2552" i="2"/>
  <c r="G2552" i="2"/>
  <c r="F2552" i="2"/>
  <c r="H2551" i="2"/>
  <c r="H2548" i="2" s="1"/>
  <c r="G2551" i="2"/>
  <c r="F2551" i="2"/>
  <c r="H2550" i="2"/>
  <c r="G2550" i="2"/>
  <c r="F2550" i="2"/>
  <c r="G2549" i="2"/>
  <c r="G2548" i="2" s="1"/>
  <c r="C2548" i="2"/>
  <c r="H2546" i="2"/>
  <c r="G2546" i="2"/>
  <c r="F2546" i="2"/>
  <c r="G2545" i="2"/>
  <c r="G2544" i="2"/>
  <c r="F2544" i="2"/>
  <c r="H2543" i="2"/>
  <c r="F2543" i="2"/>
  <c r="H2542" i="2"/>
  <c r="G2542" i="2"/>
  <c r="F2542" i="2"/>
  <c r="H2541" i="2"/>
  <c r="G2541" i="2"/>
  <c r="F2541" i="2"/>
  <c r="H2540" i="2"/>
  <c r="G2540" i="2"/>
  <c r="F2540" i="2"/>
  <c r="H2539" i="2"/>
  <c r="G2539" i="2"/>
  <c r="F2539" i="2"/>
  <c r="F2532" i="2" s="1"/>
  <c r="H2538" i="2"/>
  <c r="G2538" i="2"/>
  <c r="F2538" i="2"/>
  <c r="H2537" i="2"/>
  <c r="G2537" i="2"/>
  <c r="F2537" i="2"/>
  <c r="H2536" i="2"/>
  <c r="G2536" i="2"/>
  <c r="F2536" i="2"/>
  <c r="H2535" i="2"/>
  <c r="H2532" i="2" s="1"/>
  <c r="G2535" i="2"/>
  <c r="F2535" i="2"/>
  <c r="H2534" i="2"/>
  <c r="G2534" i="2"/>
  <c r="F2534" i="2"/>
  <c r="G2533" i="2"/>
  <c r="G2532" i="2" s="1"/>
  <c r="C2532" i="2"/>
  <c r="H2530" i="2"/>
  <c r="G2530" i="2"/>
  <c r="F2530" i="2"/>
  <c r="H2529" i="2"/>
  <c r="F2529" i="2"/>
  <c r="G2528" i="2"/>
  <c r="F2528" i="2"/>
  <c r="H2527" i="2"/>
  <c r="G2527" i="2"/>
  <c r="F2527" i="2"/>
  <c r="H2526" i="2"/>
  <c r="G2526" i="2"/>
  <c r="F2526" i="2"/>
  <c r="H2525" i="2"/>
  <c r="G2525" i="2"/>
  <c r="F2525" i="2"/>
  <c r="H2524" i="2"/>
  <c r="G2524" i="2"/>
  <c r="F2524" i="2"/>
  <c r="H2523" i="2"/>
  <c r="G2523" i="2"/>
  <c r="F2523" i="2"/>
  <c r="H2522" i="2"/>
  <c r="G2522" i="2"/>
  <c r="F2522" i="2"/>
  <c r="H2521" i="2"/>
  <c r="G2521" i="2"/>
  <c r="F2521" i="2"/>
  <c r="F2517" i="2" s="1"/>
  <c r="H2520" i="2"/>
  <c r="G2520" i="2"/>
  <c r="F2520" i="2"/>
  <c r="H2519" i="2"/>
  <c r="G2519" i="2"/>
  <c r="F2519" i="2"/>
  <c r="G2518" i="2"/>
  <c r="H2517" i="2"/>
  <c r="C2517" i="2"/>
  <c r="H2515" i="2"/>
  <c r="G2515" i="2"/>
  <c r="F2515" i="2"/>
  <c r="H2514" i="2"/>
  <c r="G2514" i="2"/>
  <c r="F2514" i="2"/>
  <c r="H2513" i="2"/>
  <c r="G2513" i="2"/>
  <c r="F2513" i="2"/>
  <c r="H2512" i="2"/>
  <c r="G2512" i="2"/>
  <c r="F2512" i="2"/>
  <c r="H2511" i="2"/>
  <c r="H2504" i="2" s="1"/>
  <c r="G2511" i="2"/>
  <c r="F2511" i="2"/>
  <c r="H2510" i="2"/>
  <c r="G2510" i="2"/>
  <c r="F2510" i="2"/>
  <c r="H2509" i="2"/>
  <c r="G2509" i="2"/>
  <c r="F2509" i="2"/>
  <c r="F2504" i="2" s="1"/>
  <c r="H2508" i="2"/>
  <c r="G2508" i="2"/>
  <c r="F2508" i="2"/>
  <c r="H2507" i="2"/>
  <c r="G2507" i="2"/>
  <c r="F2507" i="2"/>
  <c r="H2506" i="2"/>
  <c r="G2506" i="2"/>
  <c r="F2506" i="2"/>
  <c r="G2505" i="2"/>
  <c r="G2504" i="2" s="1"/>
  <c r="C2504" i="2"/>
  <c r="H2502" i="2"/>
  <c r="G2502" i="2"/>
  <c r="F2502" i="2"/>
  <c r="G2501" i="2"/>
  <c r="F2501" i="2"/>
  <c r="H2500" i="2"/>
  <c r="G2500" i="2"/>
  <c r="F2500" i="2"/>
  <c r="H2499" i="2"/>
  <c r="G2499" i="2"/>
  <c r="F2499" i="2"/>
  <c r="H2498" i="2"/>
  <c r="G2498" i="2"/>
  <c r="F2498" i="2"/>
  <c r="H2497" i="2"/>
  <c r="G2497" i="2"/>
  <c r="F2497" i="2"/>
  <c r="H2496" i="2"/>
  <c r="G2496" i="2"/>
  <c r="F2496" i="2"/>
  <c r="H2495" i="2"/>
  <c r="G2495" i="2"/>
  <c r="F2495" i="2"/>
  <c r="H2494" i="2"/>
  <c r="H2491" i="2" s="1"/>
  <c r="G2494" i="2"/>
  <c r="F2494" i="2"/>
  <c r="H2493" i="2"/>
  <c r="G2493" i="2"/>
  <c r="G2491" i="2" s="1"/>
  <c r="F2493" i="2"/>
  <c r="F2491" i="2" s="1"/>
  <c r="G2492" i="2"/>
  <c r="C2491" i="2"/>
  <c r="H2489" i="2"/>
  <c r="G2489" i="2"/>
  <c r="F2489" i="2"/>
  <c r="G2488" i="2"/>
  <c r="F2488" i="2"/>
  <c r="H2487" i="2"/>
  <c r="F2487" i="2"/>
  <c r="H2486" i="2"/>
  <c r="G2486" i="2"/>
  <c r="F2486" i="2"/>
  <c r="H2485" i="2"/>
  <c r="G2485" i="2"/>
  <c r="F2485" i="2"/>
  <c r="H2484" i="2"/>
  <c r="G2484" i="2"/>
  <c r="F2484" i="2"/>
  <c r="H2483" i="2"/>
  <c r="G2483" i="2"/>
  <c r="F2483" i="2"/>
  <c r="H2482" i="2"/>
  <c r="G2482" i="2"/>
  <c r="F2482" i="2"/>
  <c r="H2481" i="2"/>
  <c r="G2481" i="2"/>
  <c r="G2476" i="2" s="1"/>
  <c r="F2481" i="2"/>
  <c r="H2480" i="2"/>
  <c r="G2480" i="2"/>
  <c r="F2480" i="2"/>
  <c r="H2479" i="2"/>
  <c r="G2479" i="2"/>
  <c r="F2479" i="2"/>
  <c r="H2478" i="2"/>
  <c r="H2476" i="2" s="1"/>
  <c r="G2478" i="2"/>
  <c r="F2478" i="2"/>
  <c r="G2477" i="2"/>
  <c r="C2476" i="2"/>
  <c r="H2474" i="2"/>
  <c r="G2474" i="2"/>
  <c r="F2474" i="2"/>
  <c r="G2473" i="2"/>
  <c r="F2473" i="2"/>
  <c r="G2472" i="2"/>
  <c r="F2472" i="2"/>
  <c r="H2471" i="2"/>
  <c r="F2471" i="2"/>
  <c r="H2470" i="2"/>
  <c r="G2470" i="2"/>
  <c r="F2470" i="2"/>
  <c r="H2469" i="2"/>
  <c r="G2469" i="2"/>
  <c r="F2469" i="2"/>
  <c r="H2468" i="2"/>
  <c r="G2468" i="2"/>
  <c r="F2468" i="2"/>
  <c r="H2467" i="2"/>
  <c r="G2467" i="2"/>
  <c r="F2467" i="2"/>
  <c r="H2466" i="2"/>
  <c r="G2466" i="2"/>
  <c r="F2466" i="2"/>
  <c r="H2465" i="2"/>
  <c r="H2460" i="2" s="1"/>
  <c r="G2465" i="2"/>
  <c r="F2465" i="2"/>
  <c r="H2464" i="2"/>
  <c r="G2464" i="2"/>
  <c r="F2464" i="2"/>
  <c r="H2463" i="2"/>
  <c r="G2463" i="2"/>
  <c r="F2463" i="2"/>
  <c r="F2460" i="2" s="1"/>
  <c r="H2462" i="2"/>
  <c r="G2462" i="2"/>
  <c r="G2460" i="2" s="1"/>
  <c r="F2462" i="2"/>
  <c r="G2461" i="2"/>
  <c r="C2460" i="2"/>
  <c r="H2459" i="2"/>
  <c r="G2459" i="2"/>
  <c r="F2459" i="2"/>
  <c r="G2458" i="2"/>
  <c r="F2458" i="2"/>
  <c r="H2457" i="2"/>
  <c r="G2457" i="2"/>
  <c r="F2457" i="2"/>
  <c r="H2456" i="2"/>
  <c r="G2456" i="2"/>
  <c r="F2456" i="2"/>
  <c r="H2455" i="2"/>
  <c r="G2455" i="2"/>
  <c r="F2455" i="2"/>
  <c r="H2454" i="2"/>
  <c r="G2454" i="2"/>
  <c r="F2454" i="2"/>
  <c r="H2453" i="2"/>
  <c r="G2453" i="2"/>
  <c r="F2453" i="2"/>
  <c r="H2452" i="2"/>
  <c r="G2452" i="2"/>
  <c r="G2450" i="2" s="1"/>
  <c r="F2452" i="2"/>
  <c r="H2451" i="2"/>
  <c r="H2450" i="2" s="1"/>
  <c r="G2451" i="2"/>
  <c r="F2451" i="2"/>
  <c r="C2450" i="2"/>
  <c r="H2448" i="2"/>
  <c r="G2448" i="2"/>
  <c r="F2448" i="2"/>
  <c r="H2447" i="2"/>
  <c r="G2447" i="2"/>
  <c r="F2447" i="2"/>
  <c r="H2446" i="2"/>
  <c r="G2446" i="2"/>
  <c r="F2446" i="2"/>
  <c r="H2445" i="2"/>
  <c r="G2445" i="2"/>
  <c r="F2445" i="2"/>
  <c r="H2444" i="2"/>
  <c r="G2444" i="2"/>
  <c r="F2444" i="2"/>
  <c r="G2443" i="2"/>
  <c r="F2443" i="2"/>
  <c r="H2442" i="2"/>
  <c r="F2442" i="2"/>
  <c r="C2442" i="2"/>
  <c r="H2440" i="2"/>
  <c r="G2440" i="2"/>
  <c r="F2440" i="2"/>
  <c r="G2439" i="2"/>
  <c r="F2439" i="2"/>
  <c r="F2438" i="2"/>
  <c r="H2437" i="2"/>
  <c r="G2437" i="2"/>
  <c r="F2437" i="2"/>
  <c r="H2436" i="2"/>
  <c r="G2436" i="2"/>
  <c r="F2436" i="2"/>
  <c r="H2435" i="2"/>
  <c r="G2435" i="2"/>
  <c r="F2435" i="2"/>
  <c r="H2434" i="2"/>
  <c r="G2434" i="2"/>
  <c r="F2434" i="2"/>
  <c r="H2433" i="2"/>
  <c r="H2427" i="2" s="1"/>
  <c r="G2433" i="2"/>
  <c r="F2433" i="2"/>
  <c r="H2432" i="2"/>
  <c r="G2432" i="2"/>
  <c r="F2432" i="2"/>
  <c r="H2431" i="2"/>
  <c r="G2431" i="2"/>
  <c r="F2431" i="2"/>
  <c r="G2430" i="2"/>
  <c r="F2430" i="2"/>
  <c r="H2429" i="2"/>
  <c r="G2429" i="2"/>
  <c r="G2427" i="2" s="1"/>
  <c r="F2429" i="2"/>
  <c r="G2428" i="2"/>
  <c r="C2427" i="2"/>
  <c r="H2425" i="2"/>
  <c r="G2425" i="2"/>
  <c r="F2425" i="2"/>
  <c r="G2424" i="2"/>
  <c r="F2424" i="2"/>
  <c r="F2423" i="2"/>
  <c r="H2422" i="2"/>
  <c r="G2422" i="2"/>
  <c r="F2422" i="2"/>
  <c r="H2421" i="2"/>
  <c r="G2421" i="2"/>
  <c r="F2421" i="2"/>
  <c r="H2420" i="2"/>
  <c r="G2420" i="2"/>
  <c r="F2420" i="2"/>
  <c r="G2419" i="2"/>
  <c r="H2418" i="2"/>
  <c r="G2418" i="2"/>
  <c r="F2418" i="2"/>
  <c r="H2417" i="2"/>
  <c r="G2417" i="2"/>
  <c r="F2417" i="2"/>
  <c r="H2416" i="2"/>
  <c r="G2416" i="2"/>
  <c r="F2416" i="2"/>
  <c r="H2415" i="2"/>
  <c r="H2411" i="2" s="1"/>
  <c r="G2415" i="2"/>
  <c r="F2415" i="2"/>
  <c r="G2414" i="2"/>
  <c r="F2414" i="2"/>
  <c r="F2411" i="2" s="1"/>
  <c r="H2413" i="2"/>
  <c r="G2413" i="2"/>
  <c r="F2413" i="2"/>
  <c r="G2412" i="2"/>
  <c r="G2411" i="2" s="1"/>
  <c r="C2411" i="2"/>
  <c r="H2409" i="2"/>
  <c r="G2409" i="2"/>
  <c r="F2409" i="2"/>
  <c r="G2408" i="2"/>
  <c r="F2408" i="2"/>
  <c r="H2407" i="2"/>
  <c r="G2407" i="2"/>
  <c r="F2407" i="2"/>
  <c r="H2406" i="2"/>
  <c r="G2406" i="2"/>
  <c r="F2406" i="2"/>
  <c r="H2405" i="2"/>
  <c r="G2405" i="2"/>
  <c r="F2405" i="2"/>
  <c r="H2404" i="2"/>
  <c r="G2404" i="2"/>
  <c r="F2404" i="2"/>
  <c r="H2403" i="2"/>
  <c r="G2403" i="2"/>
  <c r="F2403" i="2"/>
  <c r="H2402" i="2"/>
  <c r="G2402" i="2"/>
  <c r="F2402" i="2"/>
  <c r="H2401" i="2"/>
  <c r="G2401" i="2"/>
  <c r="F2401" i="2"/>
  <c r="G2400" i="2"/>
  <c r="F2400" i="2"/>
  <c r="H2399" i="2"/>
  <c r="G2399" i="2"/>
  <c r="F2399" i="2"/>
  <c r="G2398" i="2"/>
  <c r="G2397" i="2"/>
  <c r="C2397" i="2"/>
  <c r="H2395" i="2"/>
  <c r="G2395" i="2"/>
  <c r="F2395" i="2"/>
  <c r="G2394" i="2"/>
  <c r="F2394" i="2"/>
  <c r="F2393" i="2"/>
  <c r="H2392" i="2"/>
  <c r="G2392" i="2"/>
  <c r="F2392" i="2"/>
  <c r="H2391" i="2"/>
  <c r="G2391" i="2"/>
  <c r="F2391" i="2"/>
  <c r="H2390" i="2"/>
  <c r="G2390" i="2"/>
  <c r="F2390" i="2"/>
  <c r="H2389" i="2"/>
  <c r="G2389" i="2"/>
  <c r="F2389" i="2"/>
  <c r="H2388" i="2"/>
  <c r="G2388" i="2"/>
  <c r="F2388" i="2"/>
  <c r="H2387" i="2"/>
  <c r="G2387" i="2"/>
  <c r="F2387" i="2"/>
  <c r="H2386" i="2"/>
  <c r="G2386" i="2"/>
  <c r="F2386" i="2"/>
  <c r="G2385" i="2"/>
  <c r="G2382" i="2" s="1"/>
  <c r="F2385" i="2"/>
  <c r="H2384" i="2"/>
  <c r="H2382" i="2" s="1"/>
  <c r="G2384" i="2"/>
  <c r="F2384" i="2"/>
  <c r="F2382" i="2" s="1"/>
  <c r="G2383" i="2"/>
  <c r="C2382" i="2"/>
  <c r="H2380" i="2"/>
  <c r="G2380" i="2"/>
  <c r="F2380" i="2"/>
  <c r="H2379" i="2"/>
  <c r="G2379" i="2"/>
  <c r="F2379" i="2"/>
  <c r="H2378" i="2"/>
  <c r="G2378" i="2"/>
  <c r="F2378" i="2"/>
  <c r="F2371" i="2" s="1"/>
  <c r="H2377" i="2"/>
  <c r="G2377" i="2"/>
  <c r="F2377" i="2"/>
  <c r="H2376" i="2"/>
  <c r="G2376" i="2"/>
  <c r="F2376" i="2"/>
  <c r="H2375" i="2"/>
  <c r="G2375" i="2"/>
  <c r="F2375" i="2"/>
  <c r="G2374" i="2"/>
  <c r="F2374" i="2"/>
  <c r="H2373" i="2"/>
  <c r="G2373" i="2"/>
  <c r="F2373" i="2"/>
  <c r="G2372" i="2"/>
  <c r="G2371" i="2" s="1"/>
  <c r="H2371" i="2"/>
  <c r="C2371" i="2"/>
  <c r="H2369" i="2"/>
  <c r="G2369" i="2"/>
  <c r="F2369" i="2"/>
  <c r="F2368" i="2" s="1"/>
  <c r="H2368" i="2"/>
  <c r="G2368" i="2"/>
  <c r="C2368" i="2"/>
  <c r="H2366" i="2"/>
  <c r="G2366" i="2"/>
  <c r="F2366" i="2"/>
  <c r="H2365" i="2"/>
  <c r="G2365" i="2"/>
  <c r="F2365" i="2"/>
  <c r="C2365" i="2"/>
  <c r="H2363" i="2"/>
  <c r="G2363" i="2"/>
  <c r="F2363" i="2"/>
  <c r="H2362" i="2"/>
  <c r="G2362" i="2"/>
  <c r="F2362" i="2"/>
  <c r="H2361" i="2"/>
  <c r="G2361" i="2"/>
  <c r="F2361" i="2"/>
  <c r="C2361" i="2"/>
  <c r="H2359" i="2"/>
  <c r="G2359" i="2"/>
  <c r="F2359" i="2"/>
  <c r="H2358" i="2"/>
  <c r="G2358" i="2"/>
  <c r="F2358" i="2"/>
  <c r="H2357" i="2"/>
  <c r="G2357" i="2"/>
  <c r="F2357" i="2"/>
  <c r="H2356" i="2"/>
  <c r="G2356" i="2"/>
  <c r="F2356" i="2"/>
  <c r="H2355" i="2"/>
  <c r="F2355" i="2"/>
  <c r="C2355" i="2"/>
  <c r="H2353" i="2"/>
  <c r="G2353" i="2"/>
  <c r="F2353" i="2"/>
  <c r="G2352" i="2"/>
  <c r="F2352" i="2"/>
  <c r="H2351" i="2"/>
  <c r="G2351" i="2"/>
  <c r="F2351" i="2"/>
  <c r="H2350" i="2"/>
  <c r="G2350" i="2"/>
  <c r="F2350" i="2"/>
  <c r="H2349" i="2"/>
  <c r="G2349" i="2"/>
  <c r="F2349" i="2"/>
  <c r="G2348" i="2"/>
  <c r="H2347" i="2"/>
  <c r="G2347" i="2"/>
  <c r="F2347" i="2"/>
  <c r="H2346" i="2"/>
  <c r="G2346" i="2"/>
  <c r="F2346" i="2"/>
  <c r="H2345" i="2"/>
  <c r="G2345" i="2"/>
  <c r="F2345" i="2"/>
  <c r="H2344" i="2"/>
  <c r="G2344" i="2"/>
  <c r="F2344" i="2"/>
  <c r="G2343" i="2"/>
  <c r="F2343" i="2"/>
  <c r="F2341" i="2" s="1"/>
  <c r="G2342" i="2"/>
  <c r="H2341" i="2"/>
  <c r="C2341" i="2"/>
  <c r="H2339" i="2"/>
  <c r="G2339" i="2"/>
  <c r="F2339" i="2"/>
  <c r="H2338" i="2"/>
  <c r="H2337" i="2" s="1"/>
  <c r="G2338" i="2"/>
  <c r="G2337" i="2" s="1"/>
  <c r="F2338" i="2"/>
  <c r="F2337" i="2" s="1"/>
  <c r="C2337" i="2"/>
  <c r="H2335" i="2"/>
  <c r="G2335" i="2"/>
  <c r="F2335" i="2"/>
  <c r="H2334" i="2"/>
  <c r="G2334" i="2"/>
  <c r="F2334" i="2"/>
  <c r="G2333" i="2"/>
  <c r="F2333" i="2"/>
  <c r="C2333" i="2"/>
  <c r="H2331" i="2"/>
  <c r="G2331" i="2"/>
  <c r="F2331" i="2"/>
  <c r="F2330" i="2"/>
  <c r="H2329" i="2"/>
  <c r="G2329" i="2"/>
  <c r="F2329" i="2"/>
  <c r="H2328" i="2"/>
  <c r="G2328" i="2"/>
  <c r="F2328" i="2"/>
  <c r="H2327" i="2"/>
  <c r="G2327" i="2"/>
  <c r="F2327" i="2"/>
  <c r="H2326" i="2"/>
  <c r="G2326" i="2"/>
  <c r="F2326" i="2"/>
  <c r="H2325" i="2"/>
  <c r="G2325" i="2"/>
  <c r="F2325" i="2"/>
  <c r="H2324" i="2"/>
  <c r="G2324" i="2"/>
  <c r="F2324" i="2"/>
  <c r="G2323" i="2"/>
  <c r="F2323" i="2"/>
  <c r="H2322" i="2"/>
  <c r="H2320" i="2" s="1"/>
  <c r="G2322" i="2"/>
  <c r="F2322" i="2"/>
  <c r="G2321" i="2"/>
  <c r="G2320" i="2" s="1"/>
  <c r="F2320" i="2"/>
  <c r="C2320" i="2"/>
  <c r="H2318" i="2"/>
  <c r="G2318" i="2"/>
  <c r="F2318" i="2"/>
  <c r="G2317" i="2"/>
  <c r="F2317" i="2"/>
  <c r="G2316" i="2"/>
  <c r="F2315" i="2"/>
  <c r="H2314" i="2"/>
  <c r="G2314" i="2"/>
  <c r="F2314" i="2"/>
  <c r="H2313" i="2"/>
  <c r="G2313" i="2"/>
  <c r="F2313" i="2"/>
  <c r="H2312" i="2"/>
  <c r="G2312" i="2"/>
  <c r="F2312" i="2"/>
  <c r="G2311" i="2"/>
  <c r="H2310" i="2"/>
  <c r="G2310" i="2"/>
  <c r="F2310" i="2"/>
  <c r="H2309" i="2"/>
  <c r="G2309" i="2"/>
  <c r="F2309" i="2"/>
  <c r="H2308" i="2"/>
  <c r="G2308" i="2"/>
  <c r="F2308" i="2"/>
  <c r="H2307" i="2"/>
  <c r="G2307" i="2"/>
  <c r="F2307" i="2"/>
  <c r="G2306" i="2"/>
  <c r="F2306" i="2"/>
  <c r="F2303" i="2" s="1"/>
  <c r="H2305" i="2"/>
  <c r="H2303" i="2" s="1"/>
  <c r="G2305" i="2"/>
  <c r="F2305" i="2"/>
  <c r="G2304" i="2"/>
  <c r="C2303" i="2"/>
  <c r="H2301" i="2"/>
  <c r="G2301" i="2"/>
  <c r="F2301" i="2"/>
  <c r="G2300" i="2"/>
  <c r="F2300" i="2"/>
  <c r="H2299" i="2"/>
  <c r="G2299" i="2"/>
  <c r="F2299" i="2"/>
  <c r="H2298" i="2"/>
  <c r="G2298" i="2"/>
  <c r="F2298" i="2"/>
  <c r="H2297" i="2"/>
  <c r="G2297" i="2"/>
  <c r="F2297" i="2"/>
  <c r="H2296" i="2"/>
  <c r="G2296" i="2"/>
  <c r="F2296" i="2"/>
  <c r="H2295" i="2"/>
  <c r="G2295" i="2"/>
  <c r="F2295" i="2"/>
  <c r="H2294" i="2"/>
  <c r="G2294" i="2"/>
  <c r="F2294" i="2"/>
  <c r="H2293" i="2"/>
  <c r="H2289" i="2" s="1"/>
  <c r="G2293" i="2"/>
  <c r="F2293" i="2"/>
  <c r="G2292" i="2"/>
  <c r="F2292" i="2"/>
  <c r="H2291" i="2"/>
  <c r="G2291" i="2"/>
  <c r="F2291" i="2"/>
  <c r="G2290" i="2"/>
  <c r="G2289" i="2" s="1"/>
  <c r="C2289" i="2"/>
  <c r="H2287" i="2"/>
  <c r="G2287" i="2"/>
  <c r="F2287" i="2"/>
  <c r="H2286" i="2"/>
  <c r="G2286" i="2"/>
  <c r="F2286" i="2"/>
  <c r="H2285" i="2"/>
  <c r="G2285" i="2"/>
  <c r="F2285" i="2"/>
  <c r="H2284" i="2"/>
  <c r="G2284" i="2"/>
  <c r="F2284" i="2"/>
  <c r="F2281" i="2" s="1"/>
  <c r="H2283" i="2"/>
  <c r="G2283" i="2"/>
  <c r="F2283" i="2"/>
  <c r="H2282" i="2"/>
  <c r="H2281" i="2" s="1"/>
  <c r="G2282" i="2"/>
  <c r="F2282" i="2"/>
  <c r="G2281" i="2"/>
  <c r="C2281" i="2"/>
  <c r="H2279" i="2"/>
  <c r="G2279" i="2"/>
  <c r="F2279" i="2"/>
  <c r="H2278" i="2"/>
  <c r="G2278" i="2"/>
  <c r="F2278" i="2"/>
  <c r="F2276" i="2" s="1"/>
  <c r="H2277" i="2"/>
  <c r="H2276" i="2" s="1"/>
  <c r="G2277" i="2"/>
  <c r="G2276" i="2" s="1"/>
  <c r="F2277" i="2"/>
  <c r="C2276" i="2"/>
  <c r="H2274" i="2"/>
  <c r="G2274" i="2"/>
  <c r="F2274" i="2"/>
  <c r="H2273" i="2"/>
  <c r="G2273" i="2"/>
  <c r="F2273" i="2"/>
  <c r="H2272" i="2"/>
  <c r="G2272" i="2"/>
  <c r="F2272" i="2"/>
  <c r="H2271" i="2"/>
  <c r="G2271" i="2"/>
  <c r="F2271" i="2"/>
  <c r="H2270" i="2"/>
  <c r="G2270" i="2"/>
  <c r="F2270" i="2"/>
  <c r="H2269" i="2"/>
  <c r="G2269" i="2"/>
  <c r="G2267" i="2" s="1"/>
  <c r="F2269" i="2"/>
  <c r="H2268" i="2"/>
  <c r="G2268" i="2"/>
  <c r="F2268" i="2"/>
  <c r="F2267" i="2" s="1"/>
  <c r="C2267" i="2"/>
  <c r="H2265" i="2"/>
  <c r="G2265" i="2"/>
  <c r="G2250" i="2" s="1"/>
  <c r="F2265" i="2"/>
  <c r="G2264" i="2"/>
  <c r="F2264" i="2"/>
  <c r="G2263" i="2"/>
  <c r="F2262" i="2"/>
  <c r="H2261" i="2"/>
  <c r="G2261" i="2"/>
  <c r="F2261" i="2"/>
  <c r="H2260" i="2"/>
  <c r="G2260" i="2"/>
  <c r="F2260" i="2"/>
  <c r="H2259" i="2"/>
  <c r="G2259" i="2"/>
  <c r="F2259" i="2"/>
  <c r="G2258" i="2"/>
  <c r="H2257" i="2"/>
  <c r="G2257" i="2"/>
  <c r="F2257" i="2"/>
  <c r="H2256" i="2"/>
  <c r="G2256" i="2"/>
  <c r="F2256" i="2"/>
  <c r="H2255" i="2"/>
  <c r="G2255" i="2"/>
  <c r="F2255" i="2"/>
  <c r="H2254" i="2"/>
  <c r="G2254" i="2"/>
  <c r="F2254" i="2"/>
  <c r="G2253" i="2"/>
  <c r="F2253" i="2"/>
  <c r="H2252" i="2"/>
  <c r="H2250" i="2" s="1"/>
  <c r="G2252" i="2"/>
  <c r="F2252" i="2"/>
  <c r="G2251" i="2"/>
  <c r="C2250" i="2"/>
  <c r="H2248" i="2"/>
  <c r="G2248" i="2"/>
  <c r="F2248" i="2"/>
  <c r="G2247" i="2"/>
  <c r="F2247" i="2"/>
  <c r="H2246" i="2"/>
  <c r="G2246" i="2"/>
  <c r="F2246" i="2"/>
  <c r="H2245" i="2"/>
  <c r="H2237" i="2" s="1"/>
  <c r="G2245" i="2"/>
  <c r="F2245" i="2"/>
  <c r="H2244" i="2"/>
  <c r="G2244" i="2"/>
  <c r="F2244" i="2"/>
  <c r="H2243" i="2"/>
  <c r="G2243" i="2"/>
  <c r="F2243" i="2"/>
  <c r="H2242" i="2"/>
  <c r="G2242" i="2"/>
  <c r="F2242" i="2"/>
  <c r="H2241" i="2"/>
  <c r="G2241" i="2"/>
  <c r="F2241" i="2"/>
  <c r="G2240" i="2"/>
  <c r="F2240" i="2"/>
  <c r="F2237" i="2" s="1"/>
  <c r="H2239" i="2"/>
  <c r="G2239" i="2"/>
  <c r="G2237" i="2" s="1"/>
  <c r="F2239" i="2"/>
  <c r="G2238" i="2"/>
  <c r="C2237" i="2"/>
  <c r="H2235" i="2"/>
  <c r="G2235" i="2"/>
  <c r="F2235" i="2"/>
  <c r="H2234" i="2"/>
  <c r="G2234" i="2"/>
  <c r="F2234" i="2"/>
  <c r="F2233" i="2" s="1"/>
  <c r="H2233" i="2"/>
  <c r="G2233" i="2"/>
  <c r="C2233" i="2"/>
  <c r="H2231" i="2"/>
  <c r="G2231" i="2"/>
  <c r="F2231" i="2"/>
  <c r="G2230" i="2"/>
  <c r="F2230" i="2"/>
  <c r="F2229" i="2"/>
  <c r="H2228" i="2"/>
  <c r="G2228" i="2"/>
  <c r="F2228" i="2"/>
  <c r="H2227" i="2"/>
  <c r="G2227" i="2"/>
  <c r="F2227" i="2"/>
  <c r="H2226" i="2"/>
  <c r="G2226" i="2"/>
  <c r="G2218" i="2" s="1"/>
  <c r="F2226" i="2"/>
  <c r="H2225" i="2"/>
  <c r="G2225" i="2"/>
  <c r="F2225" i="2"/>
  <c r="H2224" i="2"/>
  <c r="G2224" i="2"/>
  <c r="F2224" i="2"/>
  <c r="H2223" i="2"/>
  <c r="G2223" i="2"/>
  <c r="F2223" i="2"/>
  <c r="H2222" i="2"/>
  <c r="G2222" i="2"/>
  <c r="F2222" i="2"/>
  <c r="G2221" i="2"/>
  <c r="F2221" i="2"/>
  <c r="H2220" i="2"/>
  <c r="H2218" i="2" s="1"/>
  <c r="G2220" i="2"/>
  <c r="F2220" i="2"/>
  <c r="G2219" i="2"/>
  <c r="C2218" i="2"/>
  <c r="H2216" i="2"/>
  <c r="H2214" i="2" s="1"/>
  <c r="G2216" i="2"/>
  <c r="F2216" i="2"/>
  <c r="F2214" i="2" s="1"/>
  <c r="G2215" i="2"/>
  <c r="F2215" i="2"/>
  <c r="G2214" i="2"/>
  <c r="C2214" i="2"/>
  <c r="H2212" i="2"/>
  <c r="G2212" i="2"/>
  <c r="F2212" i="2"/>
  <c r="H2211" i="2"/>
  <c r="G2211" i="2"/>
  <c r="F2211" i="2"/>
  <c r="H2210" i="2"/>
  <c r="G2210" i="2"/>
  <c r="G2204" i="2" s="1"/>
  <c r="F2210" i="2"/>
  <c r="H2209" i="2"/>
  <c r="G2209" i="2"/>
  <c r="F2209" i="2"/>
  <c r="H2208" i="2"/>
  <c r="G2208" i="2"/>
  <c r="F2208" i="2"/>
  <c r="H2207" i="2"/>
  <c r="G2207" i="2"/>
  <c r="F2207" i="2"/>
  <c r="H2206" i="2"/>
  <c r="G2206" i="2"/>
  <c r="F2206" i="2"/>
  <c r="H2205" i="2"/>
  <c r="G2205" i="2"/>
  <c r="F2205" i="2"/>
  <c r="F2204" i="2" s="1"/>
  <c r="C2204" i="2"/>
  <c r="H2202" i="2"/>
  <c r="G2202" i="2"/>
  <c r="F2202" i="2"/>
  <c r="H2201" i="2"/>
  <c r="H2193" i="2" s="1"/>
  <c r="G2201" i="2"/>
  <c r="F2201" i="2"/>
  <c r="H2200" i="2"/>
  <c r="G2200" i="2"/>
  <c r="F2200" i="2"/>
  <c r="H2199" i="2"/>
  <c r="G2199" i="2"/>
  <c r="F2199" i="2"/>
  <c r="H2198" i="2"/>
  <c r="G2198" i="2"/>
  <c r="F2198" i="2"/>
  <c r="H2197" i="2"/>
  <c r="G2197" i="2"/>
  <c r="F2197" i="2"/>
  <c r="H2196" i="2"/>
  <c r="G2196" i="2"/>
  <c r="G2193" i="2" s="1"/>
  <c r="F2196" i="2"/>
  <c r="G2195" i="2"/>
  <c r="F2195" i="2"/>
  <c r="H2194" i="2"/>
  <c r="G2194" i="2"/>
  <c r="F2194" i="2"/>
  <c r="F2193" i="2" s="1"/>
  <c r="C2193" i="2"/>
  <c r="H2191" i="2"/>
  <c r="G2191" i="2"/>
  <c r="F2191" i="2"/>
  <c r="H2190" i="2"/>
  <c r="G2190" i="2"/>
  <c r="F2190" i="2"/>
  <c r="F2189" i="2" s="1"/>
  <c r="H2189" i="2"/>
  <c r="G2189" i="2"/>
  <c r="C2189" i="2"/>
  <c r="H2187" i="2"/>
  <c r="G2187" i="2"/>
  <c r="F2187" i="2"/>
  <c r="H2186" i="2"/>
  <c r="H2178" i="2" s="1"/>
  <c r="G2186" i="2"/>
  <c r="F2186" i="2"/>
  <c r="H2185" i="2"/>
  <c r="G2185" i="2"/>
  <c r="F2185" i="2"/>
  <c r="H2184" i="2"/>
  <c r="G2184" i="2"/>
  <c r="F2184" i="2"/>
  <c r="F2178" i="2" s="1"/>
  <c r="H2183" i="2"/>
  <c r="G2183" i="2"/>
  <c r="F2183" i="2"/>
  <c r="H2182" i="2"/>
  <c r="G2182" i="2"/>
  <c r="F2182" i="2"/>
  <c r="H2181" i="2"/>
  <c r="G2181" i="2"/>
  <c r="G2178" i="2" s="1"/>
  <c r="F2181" i="2"/>
  <c r="G2180" i="2"/>
  <c r="F2180" i="2"/>
  <c r="H2179" i="2"/>
  <c r="G2179" i="2"/>
  <c r="F2179" i="2"/>
  <c r="C2178" i="2"/>
  <c r="H2176" i="2"/>
  <c r="G2176" i="2"/>
  <c r="F2176" i="2"/>
  <c r="G2175" i="2"/>
  <c r="F2175" i="2"/>
  <c r="H2174" i="2"/>
  <c r="G2174" i="2"/>
  <c r="F2174" i="2"/>
  <c r="H2173" i="2"/>
  <c r="G2173" i="2"/>
  <c r="F2173" i="2"/>
  <c r="H2172" i="2"/>
  <c r="G2172" i="2"/>
  <c r="F2172" i="2"/>
  <c r="F2165" i="2" s="1"/>
  <c r="H2171" i="2"/>
  <c r="G2171" i="2"/>
  <c r="F2171" i="2"/>
  <c r="H2170" i="2"/>
  <c r="G2170" i="2"/>
  <c r="F2170" i="2"/>
  <c r="H2169" i="2"/>
  <c r="G2169" i="2"/>
  <c r="F2169" i="2"/>
  <c r="G2168" i="2"/>
  <c r="F2168" i="2"/>
  <c r="H2167" i="2"/>
  <c r="G2167" i="2"/>
  <c r="F2167" i="2"/>
  <c r="G2166" i="2"/>
  <c r="G2165" i="2" s="1"/>
  <c r="H2165" i="2"/>
  <c r="C2165" i="2"/>
  <c r="H2163" i="2"/>
  <c r="G2163" i="2"/>
  <c r="F2163" i="2"/>
  <c r="H2162" i="2"/>
  <c r="G2162" i="2"/>
  <c r="G2161" i="2" s="1"/>
  <c r="F2162" i="2"/>
  <c r="H2161" i="2"/>
  <c r="F2161" i="2"/>
  <c r="C2161" i="2"/>
  <c r="H2159" i="2"/>
  <c r="G2159" i="2"/>
  <c r="F2159" i="2"/>
  <c r="G2158" i="2"/>
  <c r="F2158" i="2"/>
  <c r="H2157" i="2"/>
  <c r="G2157" i="2"/>
  <c r="F2157" i="2"/>
  <c r="H2156" i="2"/>
  <c r="G2156" i="2"/>
  <c r="F2156" i="2"/>
  <c r="H2155" i="2"/>
  <c r="G2155" i="2"/>
  <c r="G2147" i="2" s="1"/>
  <c r="F2155" i="2"/>
  <c r="G2154" i="2"/>
  <c r="H2153" i="2"/>
  <c r="G2153" i="2"/>
  <c r="F2153" i="2"/>
  <c r="H2152" i="2"/>
  <c r="G2152" i="2"/>
  <c r="F2152" i="2"/>
  <c r="H2151" i="2"/>
  <c r="G2151" i="2"/>
  <c r="F2151" i="2"/>
  <c r="G2150" i="2"/>
  <c r="F2150" i="2"/>
  <c r="H2149" i="2"/>
  <c r="H2147" i="2" s="1"/>
  <c r="G2149" i="2"/>
  <c r="F2149" i="2"/>
  <c r="G2148" i="2"/>
  <c r="C2147" i="2"/>
  <c r="H2145" i="2"/>
  <c r="H2144" i="2" s="1"/>
  <c r="G2145" i="2"/>
  <c r="F2145" i="2"/>
  <c r="F2144" i="2" s="1"/>
  <c r="G2144" i="2"/>
  <c r="C2144" i="2"/>
  <c r="H2143" i="2"/>
  <c r="G2143" i="2"/>
  <c r="F2143" i="2"/>
  <c r="H2142" i="2"/>
  <c r="G2142" i="2"/>
  <c r="H2141" i="2"/>
  <c r="G2141" i="2"/>
  <c r="F2141" i="2"/>
  <c r="H2140" i="2"/>
  <c r="G2140" i="2"/>
  <c r="F2140" i="2"/>
  <c r="H2139" i="2"/>
  <c r="G2139" i="2"/>
  <c r="F2139" i="2"/>
  <c r="H2138" i="2"/>
  <c r="G2138" i="2"/>
  <c r="F2138" i="2"/>
  <c r="H2137" i="2"/>
  <c r="H2132" i="2" s="1"/>
  <c r="G2137" i="2"/>
  <c r="F2137" i="2"/>
  <c r="H2136" i="2"/>
  <c r="G2136" i="2"/>
  <c r="F2136" i="2"/>
  <c r="H2135" i="2"/>
  <c r="G2135" i="2"/>
  <c r="F2135" i="2"/>
  <c r="F2132" i="2" s="1"/>
  <c r="G2134" i="2"/>
  <c r="F2134" i="2"/>
  <c r="H2133" i="2"/>
  <c r="G2133" i="2"/>
  <c r="F2133" i="2"/>
  <c r="C2132" i="2"/>
  <c r="H2130" i="2"/>
  <c r="G2130" i="2"/>
  <c r="F2130" i="2"/>
  <c r="H2129" i="2"/>
  <c r="G2129" i="2"/>
  <c r="H2128" i="2"/>
  <c r="G2128" i="2"/>
  <c r="F2128" i="2"/>
  <c r="H2127" i="2"/>
  <c r="G2127" i="2"/>
  <c r="F2127" i="2"/>
  <c r="H2126" i="2"/>
  <c r="G2126" i="2"/>
  <c r="F2126" i="2"/>
  <c r="H2125" i="2"/>
  <c r="H2118" i="2" s="1"/>
  <c r="G2125" i="2"/>
  <c r="F2125" i="2"/>
  <c r="H2124" i="2"/>
  <c r="G2124" i="2"/>
  <c r="F2124" i="2"/>
  <c r="H2123" i="2"/>
  <c r="G2123" i="2"/>
  <c r="F2123" i="2"/>
  <c r="H2122" i="2"/>
  <c r="G2122" i="2"/>
  <c r="F2122" i="2"/>
  <c r="G2121" i="2"/>
  <c r="F2121" i="2"/>
  <c r="H2120" i="2"/>
  <c r="G2120" i="2"/>
  <c r="G2118" i="2" s="1"/>
  <c r="F2120" i="2"/>
  <c r="F2118" i="2" s="1"/>
  <c r="G2119" i="2"/>
  <c r="C2118" i="2"/>
  <c r="H2116" i="2"/>
  <c r="G2116" i="2"/>
  <c r="F2116" i="2"/>
  <c r="H2115" i="2"/>
  <c r="G2115" i="2"/>
  <c r="H2114" i="2"/>
  <c r="G2114" i="2"/>
  <c r="F2114" i="2"/>
  <c r="H2113" i="2"/>
  <c r="G2113" i="2"/>
  <c r="F2113" i="2"/>
  <c r="F2104" i="2" s="1"/>
  <c r="H2112" i="2"/>
  <c r="G2112" i="2"/>
  <c r="F2112" i="2"/>
  <c r="H2111" i="2"/>
  <c r="G2111" i="2"/>
  <c r="F2111" i="2"/>
  <c r="H2110" i="2"/>
  <c r="G2110" i="2"/>
  <c r="F2110" i="2"/>
  <c r="H2109" i="2"/>
  <c r="G2109" i="2"/>
  <c r="F2109" i="2"/>
  <c r="H2108" i="2"/>
  <c r="G2108" i="2"/>
  <c r="F2108" i="2"/>
  <c r="G2107" i="2"/>
  <c r="F2107" i="2"/>
  <c r="H2106" i="2"/>
  <c r="H2104" i="2" s="1"/>
  <c r="G2106" i="2"/>
  <c r="F2106" i="2"/>
  <c r="G2105" i="2"/>
  <c r="C2104" i="2"/>
  <c r="H2102" i="2"/>
  <c r="G2102" i="2"/>
  <c r="F2102" i="2"/>
  <c r="H2101" i="2"/>
  <c r="G2101" i="2"/>
  <c r="H2100" i="2"/>
  <c r="G2100" i="2"/>
  <c r="F2100" i="2"/>
  <c r="H2099" i="2"/>
  <c r="G2099" i="2"/>
  <c r="F2099" i="2"/>
  <c r="H2098" i="2"/>
  <c r="G2098" i="2"/>
  <c r="F2098" i="2"/>
  <c r="H2097" i="2"/>
  <c r="H2093" i="2" s="1"/>
  <c r="G2097" i="2"/>
  <c r="F2097" i="2"/>
  <c r="H2096" i="2"/>
  <c r="G2096" i="2"/>
  <c r="F2096" i="2"/>
  <c r="H2095" i="2"/>
  <c r="G2095" i="2"/>
  <c r="F2095" i="2"/>
  <c r="F2093" i="2" s="1"/>
  <c r="G2094" i="2"/>
  <c r="G2093" i="2" s="1"/>
  <c r="C2093" i="2"/>
  <c r="H2091" i="2"/>
  <c r="G2091" i="2"/>
  <c r="F2091" i="2"/>
  <c r="H2090" i="2"/>
  <c r="G2090" i="2"/>
  <c r="H2089" i="2"/>
  <c r="G2089" i="2"/>
  <c r="F2089" i="2"/>
  <c r="H2088" i="2"/>
  <c r="G2088" i="2"/>
  <c r="F2088" i="2"/>
  <c r="F2082" i="2" s="1"/>
  <c r="H2087" i="2"/>
  <c r="G2087" i="2"/>
  <c r="F2087" i="2"/>
  <c r="H2086" i="2"/>
  <c r="G2086" i="2"/>
  <c r="F2086" i="2"/>
  <c r="H2085" i="2"/>
  <c r="G2085" i="2"/>
  <c r="F2085" i="2"/>
  <c r="G2084" i="2"/>
  <c r="F2084" i="2"/>
  <c r="H2083" i="2"/>
  <c r="H2082" i="2" s="1"/>
  <c r="G2083" i="2"/>
  <c r="F2083" i="2"/>
  <c r="G2082" i="2"/>
  <c r="C2082" i="2"/>
  <c r="H2080" i="2"/>
  <c r="G2080" i="2"/>
  <c r="F2080" i="2"/>
  <c r="H2079" i="2"/>
  <c r="G2079" i="2"/>
  <c r="F2078" i="2"/>
  <c r="H2077" i="2"/>
  <c r="G2077" i="2"/>
  <c r="F2077" i="2"/>
  <c r="H2076" i="2"/>
  <c r="G2076" i="2"/>
  <c r="F2076" i="2"/>
  <c r="H2075" i="2"/>
  <c r="G2075" i="2"/>
  <c r="G2067" i="2" s="1"/>
  <c r="F2075" i="2"/>
  <c r="H2074" i="2"/>
  <c r="G2074" i="2"/>
  <c r="F2074" i="2"/>
  <c r="H2073" i="2"/>
  <c r="G2073" i="2"/>
  <c r="F2073" i="2"/>
  <c r="H2072" i="2"/>
  <c r="G2072" i="2"/>
  <c r="F2072" i="2"/>
  <c r="H2071" i="2"/>
  <c r="G2071" i="2"/>
  <c r="F2071" i="2"/>
  <c r="G2070" i="2"/>
  <c r="F2070" i="2"/>
  <c r="H2069" i="2"/>
  <c r="H2067" i="2" s="1"/>
  <c r="G2069" i="2"/>
  <c r="F2069" i="2"/>
  <c r="F2067" i="2" s="1"/>
  <c r="G2068" i="2"/>
  <c r="C2067" i="2"/>
  <c r="H2065" i="2"/>
  <c r="G2065" i="2"/>
  <c r="F2065" i="2"/>
  <c r="H2064" i="2"/>
  <c r="G2064" i="2"/>
  <c r="H2063" i="2"/>
  <c r="G2063" i="2"/>
  <c r="F2063" i="2"/>
  <c r="H2062" i="2"/>
  <c r="H2054" i="2" s="1"/>
  <c r="G2062" i="2"/>
  <c r="F2062" i="2"/>
  <c r="H2061" i="2"/>
  <c r="G2061" i="2"/>
  <c r="F2061" i="2"/>
  <c r="H2060" i="2"/>
  <c r="G2060" i="2"/>
  <c r="F2060" i="2"/>
  <c r="H2059" i="2"/>
  <c r="G2059" i="2"/>
  <c r="F2059" i="2"/>
  <c r="H2058" i="2"/>
  <c r="G2058" i="2"/>
  <c r="F2058" i="2"/>
  <c r="G2057" i="2"/>
  <c r="F2057" i="2"/>
  <c r="F2054" i="2" s="1"/>
  <c r="H2056" i="2"/>
  <c r="G2056" i="2"/>
  <c r="G2054" i="2" s="1"/>
  <c r="F2056" i="2"/>
  <c r="G2055" i="2"/>
  <c r="E2054" i="2"/>
  <c r="C2054" i="2"/>
  <c r="H2052" i="2"/>
  <c r="G2052" i="2"/>
  <c r="F2052" i="2"/>
  <c r="H2051" i="2"/>
  <c r="G2051" i="2"/>
  <c r="H2050" i="2"/>
  <c r="G2050" i="2"/>
  <c r="G2041" i="2" s="1"/>
  <c r="F2050" i="2"/>
  <c r="H2049" i="2"/>
  <c r="G2049" i="2"/>
  <c r="F2049" i="2"/>
  <c r="H2048" i="2"/>
  <c r="G2048" i="2"/>
  <c r="F2048" i="2"/>
  <c r="H2047" i="2"/>
  <c r="H2041" i="2" s="1"/>
  <c r="G2047" i="2"/>
  <c r="F2047" i="2"/>
  <c r="H2046" i="2"/>
  <c r="G2046" i="2"/>
  <c r="F2046" i="2"/>
  <c r="H2045" i="2"/>
  <c r="G2045" i="2"/>
  <c r="F2045" i="2"/>
  <c r="H2044" i="2"/>
  <c r="G2044" i="2"/>
  <c r="F2044" i="2"/>
  <c r="G2043" i="2"/>
  <c r="F2043" i="2"/>
  <c r="H2042" i="2"/>
  <c r="G2042" i="2"/>
  <c r="F2042" i="2"/>
  <c r="F2041" i="2" s="1"/>
  <c r="C2041" i="2"/>
  <c r="H2039" i="2"/>
  <c r="G2039" i="2"/>
  <c r="F2039" i="2"/>
  <c r="H2038" i="2"/>
  <c r="G2038" i="2"/>
  <c r="F2038" i="2"/>
  <c r="C2038" i="2"/>
  <c r="H2036" i="2"/>
  <c r="G2036" i="2"/>
  <c r="F2036" i="2"/>
  <c r="H2035" i="2"/>
  <c r="G2035" i="2"/>
  <c r="H2034" i="2"/>
  <c r="G2034" i="2"/>
  <c r="F2034" i="2"/>
  <c r="H2033" i="2"/>
  <c r="G2033" i="2"/>
  <c r="F2033" i="2"/>
  <c r="H2032" i="2"/>
  <c r="G2032" i="2"/>
  <c r="F2032" i="2"/>
  <c r="G2031" i="2"/>
  <c r="H2030" i="2"/>
  <c r="G2030" i="2"/>
  <c r="F2030" i="2"/>
  <c r="H2029" i="2"/>
  <c r="G2029" i="2"/>
  <c r="F2029" i="2"/>
  <c r="H2028" i="2"/>
  <c r="G2028" i="2"/>
  <c r="F2028" i="2"/>
  <c r="H2027" i="2"/>
  <c r="G2027" i="2"/>
  <c r="F2027" i="2"/>
  <c r="G2026" i="2"/>
  <c r="F2026" i="2"/>
  <c r="H2025" i="2"/>
  <c r="G2025" i="2"/>
  <c r="F2025" i="2"/>
  <c r="G2024" i="2"/>
  <c r="H2023" i="2"/>
  <c r="C2023" i="2"/>
  <c r="H2021" i="2"/>
  <c r="G2021" i="2"/>
  <c r="F2021" i="2"/>
  <c r="H2020" i="2"/>
  <c r="G2020" i="2"/>
  <c r="F2020" i="2"/>
  <c r="H2019" i="2"/>
  <c r="G2019" i="2"/>
  <c r="F2019" i="2"/>
  <c r="C2019" i="2"/>
  <c r="H2017" i="2"/>
  <c r="G2017" i="2"/>
  <c r="F2017" i="2"/>
  <c r="H2016" i="2"/>
  <c r="G2016" i="2"/>
  <c r="F2015" i="2"/>
  <c r="H2014" i="2"/>
  <c r="G2014" i="2"/>
  <c r="F2014" i="2"/>
  <c r="H2013" i="2"/>
  <c r="G2013" i="2"/>
  <c r="F2013" i="2"/>
  <c r="H2012" i="2"/>
  <c r="G2012" i="2"/>
  <c r="G2004" i="2" s="1"/>
  <c r="F2012" i="2"/>
  <c r="H2011" i="2"/>
  <c r="G2011" i="2"/>
  <c r="F2011" i="2"/>
  <c r="H2010" i="2"/>
  <c r="G2010" i="2"/>
  <c r="F2010" i="2"/>
  <c r="H2009" i="2"/>
  <c r="G2009" i="2"/>
  <c r="F2009" i="2"/>
  <c r="H2008" i="2"/>
  <c r="G2008" i="2"/>
  <c r="F2008" i="2"/>
  <c r="G2007" i="2"/>
  <c r="F2007" i="2"/>
  <c r="H2006" i="2"/>
  <c r="H2004" i="2" s="1"/>
  <c r="G2006" i="2"/>
  <c r="F2006" i="2"/>
  <c r="F2004" i="2" s="1"/>
  <c r="G2005" i="2"/>
  <c r="C2004" i="2"/>
  <c r="H2002" i="2"/>
  <c r="G2002" i="2"/>
  <c r="F2002" i="2"/>
  <c r="H2001" i="2"/>
  <c r="G2001" i="2"/>
  <c r="H2000" i="2"/>
  <c r="G2000" i="2"/>
  <c r="F2000" i="2"/>
  <c r="H1999" i="2"/>
  <c r="G1999" i="2"/>
  <c r="F1999" i="2"/>
  <c r="G1998" i="2"/>
  <c r="H1997" i="2"/>
  <c r="G1997" i="2"/>
  <c r="F1997" i="2"/>
  <c r="H1996" i="2"/>
  <c r="G1996" i="2"/>
  <c r="F1996" i="2"/>
  <c r="H1995" i="2"/>
  <c r="G1995" i="2"/>
  <c r="F1995" i="2"/>
  <c r="H1994" i="2"/>
  <c r="G1994" i="2"/>
  <c r="F1994" i="2"/>
  <c r="G1993" i="2"/>
  <c r="F1993" i="2"/>
  <c r="H1992" i="2"/>
  <c r="G1992" i="2"/>
  <c r="F1992" i="2"/>
  <c r="G1991" i="2"/>
  <c r="G1990" i="2" s="1"/>
  <c r="F1990" i="2"/>
  <c r="C1990" i="2"/>
  <c r="H1988" i="2"/>
  <c r="H1987" i="2" s="1"/>
  <c r="G1988" i="2"/>
  <c r="F1988" i="2"/>
  <c r="G1987" i="2"/>
  <c r="F1987" i="2"/>
  <c r="C1987" i="2"/>
  <c r="H1985" i="2"/>
  <c r="G1985" i="2"/>
  <c r="F1985" i="2"/>
  <c r="H1984" i="2"/>
  <c r="G1984" i="2"/>
  <c r="F1983" i="2"/>
  <c r="H1982" i="2"/>
  <c r="G1982" i="2"/>
  <c r="G1973" i="2" s="1"/>
  <c r="F1982" i="2"/>
  <c r="H1981" i="2"/>
  <c r="G1981" i="2"/>
  <c r="F1981" i="2"/>
  <c r="H1980" i="2"/>
  <c r="G1980" i="2"/>
  <c r="F1980" i="2"/>
  <c r="H1979" i="2"/>
  <c r="H1973" i="2" s="1"/>
  <c r="G1979" i="2"/>
  <c r="F1979" i="2"/>
  <c r="H1978" i="2"/>
  <c r="G1978" i="2"/>
  <c r="F1978" i="2"/>
  <c r="H1977" i="2"/>
  <c r="G1977" i="2"/>
  <c r="F1977" i="2"/>
  <c r="H1976" i="2"/>
  <c r="G1976" i="2"/>
  <c r="F1976" i="2"/>
  <c r="G1975" i="2"/>
  <c r="F1975" i="2"/>
  <c r="H1974" i="2"/>
  <c r="G1974" i="2"/>
  <c r="F1974" i="2"/>
  <c r="F1973" i="2" s="1"/>
  <c r="C1973" i="2"/>
  <c r="H1971" i="2"/>
  <c r="G1971" i="2"/>
  <c r="F1971" i="2"/>
  <c r="H1970" i="2"/>
  <c r="G1970" i="2"/>
  <c r="H1969" i="2"/>
  <c r="G1969" i="2"/>
  <c r="F1969" i="2"/>
  <c r="H1968" i="2"/>
  <c r="G1968" i="2"/>
  <c r="F1968" i="2"/>
  <c r="H1967" i="2"/>
  <c r="G1967" i="2"/>
  <c r="F1967" i="2"/>
  <c r="H1966" i="2"/>
  <c r="G1966" i="2"/>
  <c r="F1966" i="2"/>
  <c r="H1965" i="2"/>
  <c r="G1965" i="2"/>
  <c r="F1965" i="2"/>
  <c r="F1963" i="2" s="1"/>
  <c r="H1964" i="2"/>
  <c r="H1963" i="2" s="1"/>
  <c r="G1964" i="2"/>
  <c r="G1963" i="2" s="1"/>
  <c r="F1964" i="2"/>
  <c r="C1963" i="2"/>
  <c r="H1961" i="2"/>
  <c r="G1961" i="2"/>
  <c r="F1961" i="2"/>
  <c r="H1960" i="2"/>
  <c r="G1960" i="2"/>
  <c r="H1959" i="2"/>
  <c r="G1959" i="2"/>
  <c r="F1959" i="2"/>
  <c r="H1958" i="2"/>
  <c r="H1951" i="2" s="1"/>
  <c r="G1958" i="2"/>
  <c r="F1958" i="2"/>
  <c r="H1957" i="2"/>
  <c r="G1957" i="2"/>
  <c r="F1957" i="2"/>
  <c r="H1956" i="2"/>
  <c r="G1956" i="2"/>
  <c r="F1956" i="2"/>
  <c r="H1955" i="2"/>
  <c r="G1955" i="2"/>
  <c r="F1955" i="2"/>
  <c r="H1954" i="2"/>
  <c r="G1954" i="2"/>
  <c r="F1954" i="2"/>
  <c r="G1953" i="2"/>
  <c r="F1953" i="2"/>
  <c r="F1951" i="2" s="1"/>
  <c r="H1952" i="2"/>
  <c r="G1952" i="2"/>
  <c r="G1951" i="2" s="1"/>
  <c r="F1952" i="2"/>
  <c r="C1951" i="2"/>
  <c r="H1949" i="2"/>
  <c r="G1949" i="2"/>
  <c r="F1949" i="2"/>
  <c r="F1934" i="2" s="1"/>
  <c r="H1948" i="2"/>
  <c r="G1948" i="2"/>
  <c r="G1947" i="2"/>
  <c r="F1946" i="2"/>
  <c r="H1945" i="2"/>
  <c r="G1945" i="2"/>
  <c r="F1945" i="2"/>
  <c r="H1944" i="2"/>
  <c r="G1944" i="2"/>
  <c r="F1944" i="2"/>
  <c r="H1943" i="2"/>
  <c r="G1943" i="2"/>
  <c r="F1943" i="2"/>
  <c r="G1942" i="2"/>
  <c r="H1941" i="2"/>
  <c r="G1941" i="2"/>
  <c r="F1941" i="2"/>
  <c r="H1940" i="2"/>
  <c r="G1940" i="2"/>
  <c r="F1940" i="2"/>
  <c r="H1939" i="2"/>
  <c r="G1939" i="2"/>
  <c r="F1939" i="2"/>
  <c r="H1938" i="2"/>
  <c r="G1938" i="2"/>
  <c r="F1938" i="2"/>
  <c r="G1937" i="2"/>
  <c r="F1937" i="2"/>
  <c r="H1936" i="2"/>
  <c r="G1936" i="2"/>
  <c r="F1936" i="2"/>
  <c r="G1935" i="2"/>
  <c r="E1934" i="2"/>
  <c r="C1934" i="2"/>
  <c r="H1932" i="2"/>
  <c r="G1932" i="2"/>
  <c r="F1932" i="2"/>
  <c r="H1931" i="2"/>
  <c r="G1931" i="2"/>
  <c r="F1931" i="2"/>
  <c r="H1930" i="2"/>
  <c r="G1930" i="2"/>
  <c r="F1930" i="2"/>
  <c r="F1922" i="2" s="1"/>
  <c r="H1929" i="2"/>
  <c r="G1929" i="2"/>
  <c r="F1929" i="2"/>
  <c r="H1928" i="2"/>
  <c r="G1928" i="2"/>
  <c r="F1928" i="2"/>
  <c r="H1927" i="2"/>
  <c r="G1927" i="2"/>
  <c r="F1927" i="2"/>
  <c r="H1926" i="2"/>
  <c r="G1926" i="2"/>
  <c r="F1926" i="2"/>
  <c r="H1925" i="2"/>
  <c r="G1925" i="2"/>
  <c r="F1925" i="2"/>
  <c r="G1924" i="2"/>
  <c r="G1922" i="2" s="1"/>
  <c r="F1924" i="2"/>
  <c r="H1923" i="2"/>
  <c r="H1922" i="2" s="1"/>
  <c r="G1923" i="2"/>
  <c r="F1923" i="2"/>
  <c r="C1922" i="2"/>
  <c r="H1920" i="2"/>
  <c r="G1920" i="2"/>
  <c r="F1920" i="2"/>
  <c r="H1919" i="2"/>
  <c r="G1919" i="2"/>
  <c r="H1918" i="2"/>
  <c r="G1918" i="2"/>
  <c r="F1918" i="2"/>
  <c r="H1917" i="2"/>
  <c r="G1917" i="2"/>
  <c r="F1917" i="2"/>
  <c r="H1916" i="2"/>
  <c r="G1916" i="2"/>
  <c r="F1916" i="2"/>
  <c r="G1915" i="2"/>
  <c r="H1914" i="2"/>
  <c r="H1907" i="2" s="1"/>
  <c r="G1914" i="2"/>
  <c r="F1914" i="2"/>
  <c r="H1913" i="2"/>
  <c r="G1913" i="2"/>
  <c r="F1913" i="2"/>
  <c r="H1912" i="2"/>
  <c r="G1912" i="2"/>
  <c r="F1912" i="2"/>
  <c r="H1911" i="2"/>
  <c r="G1911" i="2"/>
  <c r="F1911" i="2"/>
  <c r="G1910" i="2"/>
  <c r="F1910" i="2"/>
  <c r="H1909" i="2"/>
  <c r="G1909" i="2"/>
  <c r="G1907" i="2" s="1"/>
  <c r="F1909" i="2"/>
  <c r="F1907" i="2" s="1"/>
  <c r="G1908" i="2"/>
  <c r="C1907" i="2"/>
  <c r="H1905" i="2"/>
  <c r="G1905" i="2"/>
  <c r="F1905" i="2"/>
  <c r="H1904" i="2"/>
  <c r="G1904" i="2"/>
  <c r="H1903" i="2"/>
  <c r="G1903" i="2"/>
  <c r="F1903" i="2"/>
  <c r="H1902" i="2"/>
  <c r="G1902" i="2"/>
  <c r="F1902" i="2"/>
  <c r="H1901" i="2"/>
  <c r="G1901" i="2"/>
  <c r="F1901" i="2"/>
  <c r="H1900" i="2"/>
  <c r="G1900" i="2"/>
  <c r="F1900" i="2"/>
  <c r="H1899" i="2"/>
  <c r="G1899" i="2"/>
  <c r="F1899" i="2"/>
  <c r="H1898" i="2"/>
  <c r="G1898" i="2"/>
  <c r="F1898" i="2"/>
  <c r="H1897" i="2"/>
  <c r="G1897" i="2"/>
  <c r="F1897" i="2"/>
  <c r="G1896" i="2"/>
  <c r="F1896" i="2"/>
  <c r="H1895" i="2"/>
  <c r="H1894" i="2" s="1"/>
  <c r="G1895" i="2"/>
  <c r="F1895" i="2"/>
  <c r="F1894" i="2" s="1"/>
  <c r="C1894" i="2"/>
  <c r="H1892" i="2"/>
  <c r="G1892" i="2"/>
  <c r="F1892" i="2"/>
  <c r="H1891" i="2"/>
  <c r="G1891" i="2"/>
  <c r="H1890" i="2"/>
  <c r="G1890" i="2"/>
  <c r="F1890" i="2"/>
  <c r="F1882" i="2" s="1"/>
  <c r="H1889" i="2"/>
  <c r="G1889" i="2"/>
  <c r="F1889" i="2"/>
  <c r="H1888" i="2"/>
  <c r="G1888" i="2"/>
  <c r="F1888" i="2"/>
  <c r="H1887" i="2"/>
  <c r="G1887" i="2"/>
  <c r="F1887" i="2"/>
  <c r="H1886" i="2"/>
  <c r="G1886" i="2"/>
  <c r="F1886" i="2"/>
  <c r="H1885" i="2"/>
  <c r="G1885" i="2"/>
  <c r="F1885" i="2"/>
  <c r="G1884" i="2"/>
  <c r="G1882" i="2" s="1"/>
  <c r="F1884" i="2"/>
  <c r="H1883" i="2"/>
  <c r="H1882" i="2" s="1"/>
  <c r="G1883" i="2"/>
  <c r="F1883" i="2"/>
  <c r="C1882" i="2"/>
  <c r="H1880" i="2"/>
  <c r="G1880" i="2"/>
  <c r="F1880" i="2"/>
  <c r="H1879" i="2"/>
  <c r="G1879" i="2"/>
  <c r="F1878" i="2"/>
  <c r="H1877" i="2"/>
  <c r="G1877" i="2"/>
  <c r="F1877" i="2"/>
  <c r="H1876" i="2"/>
  <c r="G1876" i="2"/>
  <c r="F1876" i="2"/>
  <c r="H1875" i="2"/>
  <c r="G1875" i="2"/>
  <c r="F1875" i="2"/>
  <c r="G1874" i="2"/>
  <c r="H1873" i="2"/>
  <c r="G1873" i="2"/>
  <c r="F1873" i="2"/>
  <c r="H1872" i="2"/>
  <c r="G1872" i="2"/>
  <c r="F1872" i="2"/>
  <c r="H1871" i="2"/>
  <c r="G1871" i="2"/>
  <c r="F1871" i="2"/>
  <c r="H1870" i="2"/>
  <c r="H1866" i="2" s="1"/>
  <c r="G1870" i="2"/>
  <c r="F1870" i="2"/>
  <c r="G1869" i="2"/>
  <c r="F1869" i="2"/>
  <c r="H1868" i="2"/>
  <c r="G1868" i="2"/>
  <c r="F1868" i="2"/>
  <c r="G1867" i="2"/>
  <c r="F1866" i="2"/>
  <c r="C1866" i="2"/>
  <c r="H1864" i="2"/>
  <c r="G1864" i="2"/>
  <c r="F1864" i="2"/>
  <c r="H1863" i="2"/>
  <c r="G1863" i="2"/>
  <c r="F1862" i="2"/>
  <c r="H1861" i="2"/>
  <c r="G1861" i="2"/>
  <c r="F1861" i="2"/>
  <c r="H1860" i="2"/>
  <c r="G1860" i="2"/>
  <c r="F1860" i="2"/>
  <c r="H1859" i="2"/>
  <c r="G1859" i="2"/>
  <c r="F1859" i="2"/>
  <c r="H1858" i="2"/>
  <c r="G1858" i="2"/>
  <c r="F1858" i="2"/>
  <c r="F1851" i="2" s="1"/>
  <c r="H1857" i="2"/>
  <c r="G1857" i="2"/>
  <c r="F1857" i="2"/>
  <c r="H1856" i="2"/>
  <c r="G1856" i="2"/>
  <c r="F1856" i="2"/>
  <c r="H1855" i="2"/>
  <c r="G1855" i="2"/>
  <c r="F1855" i="2"/>
  <c r="G1854" i="2"/>
  <c r="F1854" i="2"/>
  <c r="H1853" i="2"/>
  <c r="G1853" i="2"/>
  <c r="F1853" i="2"/>
  <c r="G1852" i="2"/>
  <c r="H1851" i="2"/>
  <c r="C1851" i="2"/>
  <c r="H1849" i="2"/>
  <c r="G1849" i="2"/>
  <c r="F1849" i="2"/>
  <c r="H1848" i="2"/>
  <c r="G1848" i="2"/>
  <c r="H1847" i="2"/>
  <c r="G1847" i="2"/>
  <c r="F1847" i="2"/>
  <c r="H1846" i="2"/>
  <c r="G1846" i="2"/>
  <c r="F1846" i="2"/>
  <c r="H1845" i="2"/>
  <c r="G1845" i="2"/>
  <c r="F1845" i="2"/>
  <c r="H1844" i="2"/>
  <c r="G1844" i="2"/>
  <c r="F1844" i="2"/>
  <c r="H1843" i="2"/>
  <c r="G1843" i="2"/>
  <c r="F1843" i="2"/>
  <c r="H1842" i="2"/>
  <c r="G1842" i="2"/>
  <c r="F1842" i="2"/>
  <c r="H1841" i="2"/>
  <c r="G1841" i="2"/>
  <c r="F1841" i="2"/>
  <c r="G1840" i="2"/>
  <c r="G1838" i="2" s="1"/>
  <c r="F1840" i="2"/>
  <c r="H1839" i="2"/>
  <c r="H1838" i="2" s="1"/>
  <c r="G1839" i="2"/>
  <c r="F1839" i="2"/>
  <c r="F1838" i="2" s="1"/>
  <c r="C1838" i="2"/>
  <c r="H1836" i="2"/>
  <c r="G1836" i="2"/>
  <c r="F1836" i="2"/>
  <c r="H1835" i="2"/>
  <c r="G1835" i="2"/>
  <c r="F1835" i="2"/>
  <c r="H1834" i="2"/>
  <c r="G1834" i="2"/>
  <c r="G1831" i="2" s="1"/>
  <c r="F1834" i="2"/>
  <c r="H1833" i="2"/>
  <c r="H1831" i="2" s="1"/>
  <c r="G1833" i="2"/>
  <c r="F1833" i="2"/>
  <c r="H1832" i="2"/>
  <c r="G1832" i="2"/>
  <c r="F1832" i="2"/>
  <c r="F1831" i="2"/>
  <c r="C1831" i="2"/>
  <c r="H1829" i="2"/>
  <c r="G1829" i="2"/>
  <c r="F1829" i="2"/>
  <c r="H1828" i="2"/>
  <c r="G1828" i="2"/>
  <c r="H1827" i="2"/>
  <c r="G1827" i="2"/>
  <c r="F1827" i="2"/>
  <c r="H1826" i="2"/>
  <c r="G1826" i="2"/>
  <c r="F1826" i="2"/>
  <c r="H1825" i="2"/>
  <c r="G1825" i="2"/>
  <c r="F1825" i="2"/>
  <c r="H1824" i="2"/>
  <c r="H1817" i="2" s="1"/>
  <c r="G1824" i="2"/>
  <c r="F1824" i="2"/>
  <c r="H1823" i="2"/>
  <c r="G1823" i="2"/>
  <c r="F1823" i="2"/>
  <c r="H1822" i="2"/>
  <c r="G1822" i="2"/>
  <c r="F1822" i="2"/>
  <c r="H1821" i="2"/>
  <c r="G1821" i="2"/>
  <c r="F1821" i="2"/>
  <c r="G1820" i="2"/>
  <c r="F1820" i="2"/>
  <c r="H1819" i="2"/>
  <c r="G1819" i="2"/>
  <c r="F1819" i="2"/>
  <c r="F1817" i="2" s="1"/>
  <c r="G1818" i="2"/>
  <c r="C1817" i="2"/>
  <c r="H1815" i="2"/>
  <c r="G1815" i="2"/>
  <c r="F1815" i="2"/>
  <c r="H1814" i="2"/>
  <c r="G1814" i="2"/>
  <c r="F1813" i="2"/>
  <c r="H1812" i="2"/>
  <c r="G1812" i="2"/>
  <c r="F1812" i="2"/>
  <c r="H1811" i="2"/>
  <c r="G1811" i="2"/>
  <c r="F1811" i="2"/>
  <c r="H1810" i="2"/>
  <c r="G1810" i="2"/>
  <c r="F1810" i="2"/>
  <c r="H1809" i="2"/>
  <c r="G1809" i="2"/>
  <c r="F1809" i="2"/>
  <c r="H1808" i="2"/>
  <c r="G1808" i="2"/>
  <c r="F1808" i="2"/>
  <c r="H1807" i="2"/>
  <c r="G1807" i="2"/>
  <c r="F1807" i="2"/>
  <c r="H1806" i="2"/>
  <c r="H1802" i="2" s="1"/>
  <c r="G1806" i="2"/>
  <c r="F1806" i="2"/>
  <c r="G1805" i="2"/>
  <c r="F1805" i="2"/>
  <c r="H1804" i="2"/>
  <c r="G1804" i="2"/>
  <c r="F1804" i="2"/>
  <c r="F1802" i="2" s="1"/>
  <c r="G1803" i="2"/>
  <c r="G1802" i="2"/>
  <c r="C1802" i="2"/>
  <c r="H1800" i="2"/>
  <c r="G1800" i="2"/>
  <c r="F1800" i="2"/>
  <c r="H1799" i="2"/>
  <c r="G1799" i="2"/>
  <c r="H1798" i="2"/>
  <c r="G1798" i="2"/>
  <c r="F1798" i="2"/>
  <c r="H1797" i="2"/>
  <c r="G1797" i="2"/>
  <c r="F1797" i="2"/>
  <c r="H1796" i="2"/>
  <c r="G1796" i="2"/>
  <c r="F1796" i="2"/>
  <c r="G1795" i="2"/>
  <c r="H1794" i="2"/>
  <c r="G1794" i="2"/>
  <c r="F1794" i="2"/>
  <c r="H1793" i="2"/>
  <c r="G1793" i="2"/>
  <c r="F1793" i="2"/>
  <c r="H1792" i="2"/>
  <c r="G1792" i="2"/>
  <c r="F1792" i="2"/>
  <c r="H1791" i="2"/>
  <c r="G1791" i="2"/>
  <c r="F1791" i="2"/>
  <c r="G1790" i="2"/>
  <c r="F1790" i="2"/>
  <c r="H1789" i="2"/>
  <c r="H1787" i="2" s="1"/>
  <c r="G1789" i="2"/>
  <c r="F1789" i="2"/>
  <c r="G1788" i="2"/>
  <c r="G1787" i="2"/>
  <c r="C1787" i="2"/>
  <c r="H1785" i="2"/>
  <c r="G1785" i="2"/>
  <c r="F1785" i="2"/>
  <c r="H1784" i="2"/>
  <c r="G1784" i="2"/>
  <c r="H1783" i="2"/>
  <c r="G1783" i="2"/>
  <c r="F1783" i="2"/>
  <c r="H1782" i="2"/>
  <c r="H1774" i="2" s="1"/>
  <c r="G1782" i="2"/>
  <c r="F1782" i="2"/>
  <c r="H1781" i="2"/>
  <c r="G1781" i="2"/>
  <c r="F1781" i="2"/>
  <c r="H1780" i="2"/>
  <c r="G1780" i="2"/>
  <c r="F1780" i="2"/>
  <c r="H1779" i="2"/>
  <c r="G1779" i="2"/>
  <c r="F1779" i="2"/>
  <c r="H1778" i="2"/>
  <c r="G1778" i="2"/>
  <c r="F1778" i="2"/>
  <c r="H1777" i="2"/>
  <c r="G1777" i="2"/>
  <c r="F1777" i="2"/>
  <c r="G1776" i="2"/>
  <c r="F1776" i="2"/>
  <c r="H1775" i="2"/>
  <c r="G1775" i="2"/>
  <c r="F1775" i="2"/>
  <c r="G1774" i="2"/>
  <c r="C1774" i="2"/>
  <c r="H1772" i="2"/>
  <c r="G1772" i="2"/>
  <c r="F1772" i="2"/>
  <c r="H1771" i="2"/>
  <c r="G1771" i="2"/>
  <c r="F1771" i="2"/>
  <c r="C1771" i="2"/>
  <c r="H1769" i="2"/>
  <c r="G1769" i="2"/>
  <c r="F1769" i="2"/>
  <c r="H1768" i="2"/>
  <c r="G1768" i="2"/>
  <c r="G1767" i="2"/>
  <c r="F1766" i="2"/>
  <c r="H1765" i="2"/>
  <c r="G1765" i="2"/>
  <c r="F1765" i="2"/>
  <c r="H1764" i="2"/>
  <c r="G1764" i="2"/>
  <c r="F1764" i="2"/>
  <c r="H1763" i="2"/>
  <c r="G1763" i="2"/>
  <c r="G1755" i="2" s="1"/>
  <c r="F1763" i="2"/>
  <c r="H1762" i="2"/>
  <c r="G1762" i="2"/>
  <c r="F1762" i="2"/>
  <c r="H1761" i="2"/>
  <c r="G1761" i="2"/>
  <c r="F1761" i="2"/>
  <c r="H1760" i="2"/>
  <c r="G1760" i="2"/>
  <c r="F1760" i="2"/>
  <c r="H1759" i="2"/>
  <c r="G1759" i="2"/>
  <c r="F1759" i="2"/>
  <c r="G1758" i="2"/>
  <c r="F1758" i="2"/>
  <c r="H1757" i="2"/>
  <c r="H1755" i="2" s="1"/>
  <c r="G1757" i="2"/>
  <c r="F1757" i="2"/>
  <c r="F1755" i="2" s="1"/>
  <c r="G1756" i="2"/>
  <c r="C1755" i="2"/>
  <c r="H1753" i="2"/>
  <c r="G1753" i="2"/>
  <c r="F1753" i="2"/>
  <c r="H1752" i="2"/>
  <c r="G1752" i="2"/>
  <c r="H1751" i="2"/>
  <c r="G1751" i="2"/>
  <c r="F1751" i="2"/>
  <c r="H1750" i="2"/>
  <c r="G1750" i="2"/>
  <c r="F1750" i="2"/>
  <c r="H1749" i="2"/>
  <c r="G1749" i="2"/>
  <c r="F1749" i="2"/>
  <c r="G1748" i="2"/>
  <c r="H1747" i="2"/>
  <c r="G1747" i="2"/>
  <c r="F1747" i="2"/>
  <c r="H1746" i="2"/>
  <c r="G1746" i="2"/>
  <c r="F1746" i="2"/>
  <c r="H1745" i="2"/>
  <c r="G1745" i="2"/>
  <c r="F1745" i="2"/>
  <c r="H1744" i="2"/>
  <c r="G1744" i="2"/>
  <c r="F1744" i="2"/>
  <c r="G1743" i="2"/>
  <c r="F1743" i="2"/>
  <c r="H1742" i="2"/>
  <c r="H1740" i="2" s="1"/>
  <c r="G1742" i="2"/>
  <c r="F1742" i="2"/>
  <c r="F1740" i="2" s="1"/>
  <c r="G1741" i="2"/>
  <c r="G1740" i="2" s="1"/>
  <c r="C1740" i="2"/>
  <c r="H1738" i="2"/>
  <c r="G1738" i="2"/>
  <c r="F1738" i="2"/>
  <c r="H1737" i="2"/>
  <c r="G1737" i="2"/>
  <c r="F1736" i="2"/>
  <c r="H1735" i="2"/>
  <c r="G1735" i="2"/>
  <c r="F1735" i="2"/>
  <c r="H1734" i="2"/>
  <c r="G1734" i="2"/>
  <c r="F1734" i="2"/>
  <c r="F1725" i="2" s="1"/>
  <c r="H1733" i="2"/>
  <c r="G1733" i="2"/>
  <c r="F1733" i="2"/>
  <c r="H1732" i="2"/>
  <c r="G1732" i="2"/>
  <c r="F1732" i="2"/>
  <c r="H1731" i="2"/>
  <c r="G1731" i="2"/>
  <c r="F1731" i="2"/>
  <c r="H1730" i="2"/>
  <c r="G1730" i="2"/>
  <c r="F1730" i="2"/>
  <c r="H1729" i="2"/>
  <c r="G1729" i="2"/>
  <c r="F1729" i="2"/>
  <c r="G1728" i="2"/>
  <c r="F1728" i="2"/>
  <c r="H1727" i="2"/>
  <c r="G1727" i="2"/>
  <c r="F1727" i="2"/>
  <c r="G1726" i="2"/>
  <c r="C1725" i="2"/>
  <c r="H1723" i="2"/>
  <c r="G1723" i="2"/>
  <c r="F1723" i="2"/>
  <c r="H1722" i="2"/>
  <c r="G1722" i="2"/>
  <c r="F1722" i="2"/>
  <c r="H1721" i="2"/>
  <c r="G1721" i="2"/>
  <c r="F1721" i="2"/>
  <c r="H1720" i="2"/>
  <c r="G1720" i="2"/>
  <c r="F1720" i="2"/>
  <c r="H1719" i="2"/>
  <c r="G1719" i="2"/>
  <c r="F1719" i="2"/>
  <c r="H1718" i="2"/>
  <c r="G1718" i="2"/>
  <c r="F1718" i="2"/>
  <c r="H1717" i="2"/>
  <c r="G1717" i="2"/>
  <c r="F1717" i="2"/>
  <c r="G1716" i="2"/>
  <c r="F1716" i="2"/>
  <c r="F1714" i="2" s="1"/>
  <c r="H1715" i="2"/>
  <c r="H1714" i="2" s="1"/>
  <c r="G1715" i="2"/>
  <c r="G1714" i="2" s="1"/>
  <c r="F1715" i="2"/>
  <c r="C1714" i="2"/>
  <c r="H1712" i="2"/>
  <c r="G1712" i="2"/>
  <c r="F1712" i="2"/>
  <c r="H1711" i="2"/>
  <c r="G1711" i="2"/>
  <c r="H1710" i="2"/>
  <c r="G1710" i="2"/>
  <c r="F1710" i="2"/>
  <c r="H1709" i="2"/>
  <c r="H1701" i="2" s="1"/>
  <c r="G1709" i="2"/>
  <c r="F1709" i="2"/>
  <c r="H1708" i="2"/>
  <c r="G1708" i="2"/>
  <c r="F1708" i="2"/>
  <c r="H1707" i="2"/>
  <c r="G1707" i="2"/>
  <c r="F1707" i="2"/>
  <c r="H1706" i="2"/>
  <c r="G1706" i="2"/>
  <c r="F1706" i="2"/>
  <c r="H1705" i="2"/>
  <c r="G1705" i="2"/>
  <c r="F1705" i="2"/>
  <c r="H1704" i="2"/>
  <c r="G1704" i="2"/>
  <c r="F1704" i="2"/>
  <c r="G1703" i="2"/>
  <c r="F1703" i="2"/>
  <c r="H1702" i="2"/>
  <c r="G1702" i="2"/>
  <c r="F1702" i="2"/>
  <c r="G1701" i="2"/>
  <c r="C1701" i="2"/>
  <c r="H1700" i="2"/>
  <c r="G1700" i="2"/>
  <c r="F1700" i="2"/>
  <c r="G1699" i="2"/>
  <c r="F1699" i="2"/>
  <c r="G1698" i="2"/>
  <c r="F1697" i="2"/>
  <c r="H1696" i="2"/>
  <c r="G1696" i="2"/>
  <c r="F1696" i="2"/>
  <c r="H1695" i="2"/>
  <c r="G1695" i="2"/>
  <c r="F1695" i="2"/>
  <c r="H1694" i="2"/>
  <c r="G1694" i="2"/>
  <c r="F1694" i="2"/>
  <c r="H1693" i="2"/>
  <c r="G1693" i="2"/>
  <c r="F1693" i="2"/>
  <c r="H1692" i="2"/>
  <c r="G1692" i="2"/>
  <c r="F1692" i="2"/>
  <c r="H1691" i="2"/>
  <c r="G1691" i="2"/>
  <c r="F1691" i="2"/>
  <c r="H1690" i="2"/>
  <c r="G1690" i="2"/>
  <c r="F1690" i="2"/>
  <c r="H1689" i="2"/>
  <c r="G1689" i="2"/>
  <c r="G1686" i="2" s="1"/>
  <c r="F1689" i="2"/>
  <c r="H1688" i="2"/>
  <c r="H1686" i="2" s="1"/>
  <c r="G1688" i="2"/>
  <c r="F1688" i="2"/>
  <c r="G1687" i="2"/>
  <c r="F1686" i="2"/>
  <c r="C1686" i="2"/>
  <c r="H1684" i="2"/>
  <c r="G1684" i="2"/>
  <c r="F1684" i="2"/>
  <c r="G1683" i="2"/>
  <c r="G1682" i="2"/>
  <c r="F1682" i="2"/>
  <c r="F1681" i="2"/>
  <c r="H1680" i="2"/>
  <c r="G1680" i="2"/>
  <c r="F1680" i="2"/>
  <c r="H1679" i="2"/>
  <c r="G1679" i="2"/>
  <c r="F1679" i="2"/>
  <c r="H1678" i="2"/>
  <c r="G1678" i="2"/>
  <c r="F1678" i="2"/>
  <c r="H1677" i="2"/>
  <c r="G1677" i="2"/>
  <c r="F1677" i="2"/>
  <c r="H1676" i="2"/>
  <c r="G1676" i="2"/>
  <c r="F1676" i="2"/>
  <c r="H1675" i="2"/>
  <c r="H1670" i="2" s="1"/>
  <c r="G1675" i="2"/>
  <c r="F1675" i="2"/>
  <c r="H1674" i="2"/>
  <c r="G1674" i="2"/>
  <c r="F1674" i="2"/>
  <c r="H1673" i="2"/>
  <c r="G1673" i="2"/>
  <c r="F1673" i="2"/>
  <c r="F1670" i="2" s="1"/>
  <c r="H1672" i="2"/>
  <c r="G1672" i="2"/>
  <c r="F1672" i="2"/>
  <c r="G1671" i="2"/>
  <c r="C1670" i="2"/>
  <c r="H1668" i="2"/>
  <c r="G1668" i="2"/>
  <c r="F1668" i="2"/>
  <c r="G1667" i="2"/>
  <c r="F1667" i="2"/>
  <c r="H1666" i="2"/>
  <c r="G1666" i="2"/>
  <c r="F1666" i="2"/>
  <c r="H1665" i="2"/>
  <c r="G1665" i="2"/>
  <c r="F1665" i="2"/>
  <c r="H1664" i="2"/>
  <c r="G1664" i="2"/>
  <c r="F1664" i="2"/>
  <c r="H1663" i="2"/>
  <c r="G1663" i="2"/>
  <c r="F1663" i="2"/>
  <c r="H1662" i="2"/>
  <c r="G1662" i="2"/>
  <c r="F1662" i="2"/>
  <c r="H1661" i="2"/>
  <c r="G1661" i="2"/>
  <c r="F1661" i="2"/>
  <c r="H1660" i="2"/>
  <c r="H1657" i="2" s="1"/>
  <c r="G1660" i="2"/>
  <c r="F1660" i="2"/>
  <c r="H1659" i="2"/>
  <c r="G1659" i="2"/>
  <c r="F1659" i="2"/>
  <c r="F1657" i="2" s="1"/>
  <c r="G1658" i="2"/>
  <c r="G1657" i="2"/>
  <c r="C1657" i="2"/>
  <c r="H1655" i="2"/>
  <c r="G1655" i="2"/>
  <c r="F1655" i="2"/>
  <c r="H1654" i="2"/>
  <c r="G1654" i="2"/>
  <c r="F1654" i="2"/>
  <c r="F1653" i="2" s="1"/>
  <c r="H1653" i="2"/>
  <c r="G1653" i="2"/>
  <c r="C1653" i="2"/>
  <c r="H1651" i="2"/>
  <c r="G1651" i="2"/>
  <c r="F1651" i="2"/>
  <c r="H1650" i="2"/>
  <c r="G1650" i="2"/>
  <c r="F1650" i="2"/>
  <c r="H1649" i="2"/>
  <c r="G1649" i="2"/>
  <c r="F1649" i="2"/>
  <c r="H1648" i="2"/>
  <c r="G1648" i="2"/>
  <c r="F1648" i="2"/>
  <c r="F1643" i="2" s="1"/>
  <c r="H1647" i="2"/>
  <c r="G1647" i="2"/>
  <c r="F1647" i="2"/>
  <c r="H1646" i="2"/>
  <c r="G1646" i="2"/>
  <c r="F1646" i="2"/>
  <c r="H1645" i="2"/>
  <c r="H1643" i="2" s="1"/>
  <c r="G1645" i="2"/>
  <c r="F1645" i="2"/>
  <c r="G1644" i="2"/>
  <c r="G1643" i="2" s="1"/>
  <c r="C1643" i="2"/>
  <c r="H1641" i="2"/>
  <c r="G1641" i="2"/>
  <c r="F1641" i="2"/>
  <c r="G1640" i="2"/>
  <c r="F1640" i="2"/>
  <c r="H1639" i="2"/>
  <c r="G1639" i="2"/>
  <c r="F1639" i="2"/>
  <c r="H1638" i="2"/>
  <c r="G1638" i="2"/>
  <c r="F1638" i="2"/>
  <c r="H1637" i="2"/>
  <c r="G1637" i="2"/>
  <c r="F1637" i="2"/>
  <c r="H1636" i="2"/>
  <c r="G1636" i="2"/>
  <c r="F1636" i="2"/>
  <c r="H1635" i="2"/>
  <c r="H1630" i="2" s="1"/>
  <c r="G1635" i="2"/>
  <c r="F1635" i="2"/>
  <c r="H1634" i="2"/>
  <c r="G1634" i="2"/>
  <c r="F1634" i="2"/>
  <c r="H1633" i="2"/>
  <c r="G1633" i="2"/>
  <c r="F1633" i="2"/>
  <c r="F1630" i="2" s="1"/>
  <c r="H1632" i="2"/>
  <c r="G1632" i="2"/>
  <c r="G1630" i="2" s="1"/>
  <c r="F1632" i="2"/>
  <c r="G1631" i="2"/>
  <c r="C1630" i="2"/>
  <c r="H1628" i="2"/>
  <c r="G1628" i="2"/>
  <c r="F1628" i="2"/>
  <c r="G1627" i="2"/>
  <c r="F1627" i="2"/>
  <c r="H1626" i="2"/>
  <c r="G1626" i="2"/>
  <c r="F1626" i="2"/>
  <c r="H1625" i="2"/>
  <c r="G1625" i="2"/>
  <c r="F1625" i="2"/>
  <c r="H1624" i="2"/>
  <c r="G1624" i="2"/>
  <c r="F1624" i="2"/>
  <c r="H1623" i="2"/>
  <c r="G1623" i="2"/>
  <c r="F1623" i="2"/>
  <c r="H1622" i="2"/>
  <c r="G1622" i="2"/>
  <c r="F1622" i="2"/>
  <c r="H1621" i="2"/>
  <c r="G1621" i="2"/>
  <c r="F1621" i="2"/>
  <c r="H1620" i="2"/>
  <c r="H1617" i="2" s="1"/>
  <c r="G1620" i="2"/>
  <c r="F1620" i="2"/>
  <c r="H1619" i="2"/>
  <c r="G1619" i="2"/>
  <c r="F1619" i="2"/>
  <c r="F1617" i="2" s="1"/>
  <c r="G1618" i="2"/>
  <c r="G1617" i="2"/>
  <c r="C1617" i="2"/>
  <c r="H1615" i="2"/>
  <c r="G1615" i="2"/>
  <c r="F1615" i="2"/>
  <c r="G1614" i="2"/>
  <c r="F1614" i="2"/>
  <c r="H1613" i="2"/>
  <c r="G1613" i="2"/>
  <c r="F1613" i="2"/>
  <c r="H1612" i="2"/>
  <c r="G1612" i="2"/>
  <c r="F1612" i="2"/>
  <c r="H1611" i="2"/>
  <c r="G1611" i="2"/>
  <c r="F1611" i="2"/>
  <c r="F1606" i="2" s="1"/>
  <c r="H1610" i="2"/>
  <c r="G1610" i="2"/>
  <c r="F1610" i="2"/>
  <c r="H1609" i="2"/>
  <c r="G1609" i="2"/>
  <c r="F1609" i="2"/>
  <c r="H1608" i="2"/>
  <c r="G1608" i="2"/>
  <c r="G1606" i="2" s="1"/>
  <c r="F1608" i="2"/>
  <c r="H1607" i="2"/>
  <c r="H1606" i="2" s="1"/>
  <c r="G1607" i="2"/>
  <c r="F1607" i="2"/>
  <c r="C1606" i="2"/>
  <c r="H1604" i="2"/>
  <c r="G1604" i="2"/>
  <c r="F1604" i="2"/>
  <c r="G1603" i="2"/>
  <c r="F1603" i="2"/>
  <c r="F1602" i="2"/>
  <c r="H1601" i="2"/>
  <c r="G1601" i="2"/>
  <c r="F1601" i="2"/>
  <c r="H1600" i="2"/>
  <c r="G1600" i="2"/>
  <c r="F1600" i="2"/>
  <c r="H1599" i="2"/>
  <c r="G1599" i="2"/>
  <c r="F1599" i="2"/>
  <c r="H1598" i="2"/>
  <c r="H1591" i="2" s="1"/>
  <c r="G1598" i="2"/>
  <c r="F1598" i="2"/>
  <c r="H1597" i="2"/>
  <c r="G1597" i="2"/>
  <c r="F1597" i="2"/>
  <c r="H1596" i="2"/>
  <c r="G1596" i="2"/>
  <c r="F1596" i="2"/>
  <c r="F1591" i="2" s="1"/>
  <c r="H1595" i="2"/>
  <c r="G1595" i="2"/>
  <c r="F1595" i="2"/>
  <c r="H1594" i="2"/>
  <c r="G1594" i="2"/>
  <c r="F1594" i="2"/>
  <c r="H1593" i="2"/>
  <c r="G1593" i="2"/>
  <c r="F1593" i="2"/>
  <c r="G1592" i="2"/>
  <c r="G1591" i="2" s="1"/>
  <c r="C1591" i="2"/>
  <c r="H1589" i="2"/>
  <c r="G1589" i="2"/>
  <c r="F1589" i="2"/>
  <c r="G1588" i="2"/>
  <c r="F1588" i="2"/>
  <c r="F1587" i="2"/>
  <c r="H1586" i="2"/>
  <c r="G1586" i="2"/>
  <c r="F1586" i="2"/>
  <c r="H1585" i="2"/>
  <c r="G1585" i="2"/>
  <c r="F1585" i="2"/>
  <c r="H1584" i="2"/>
  <c r="G1584" i="2"/>
  <c r="F1584" i="2"/>
  <c r="H1583" i="2"/>
  <c r="G1583" i="2"/>
  <c r="F1583" i="2"/>
  <c r="H1582" i="2"/>
  <c r="G1582" i="2"/>
  <c r="F1582" i="2"/>
  <c r="H1581" i="2"/>
  <c r="G1581" i="2"/>
  <c r="F1581" i="2"/>
  <c r="H1580" i="2"/>
  <c r="G1580" i="2"/>
  <c r="F1580" i="2"/>
  <c r="H1579" i="2"/>
  <c r="G1579" i="2"/>
  <c r="F1579" i="2"/>
  <c r="H1578" i="2"/>
  <c r="H1576" i="2" s="1"/>
  <c r="G1578" i="2"/>
  <c r="F1578" i="2"/>
  <c r="G1577" i="2"/>
  <c r="G1576" i="2" s="1"/>
  <c r="C1576" i="2"/>
  <c r="H1574" i="2"/>
  <c r="G1574" i="2"/>
  <c r="F1574" i="2"/>
  <c r="H1573" i="2"/>
  <c r="G1573" i="2"/>
  <c r="F1573" i="2"/>
  <c r="H1572" i="2"/>
  <c r="G1572" i="2"/>
  <c r="F1572" i="2"/>
  <c r="H1571" i="2"/>
  <c r="G1571" i="2"/>
  <c r="F1571" i="2"/>
  <c r="H1570" i="2"/>
  <c r="G1570" i="2"/>
  <c r="F1570" i="2"/>
  <c r="H1569" i="2"/>
  <c r="G1569" i="2"/>
  <c r="F1569" i="2"/>
  <c r="H1568" i="2"/>
  <c r="G1568" i="2"/>
  <c r="G1563" i="2" s="1"/>
  <c r="F1568" i="2"/>
  <c r="H1567" i="2"/>
  <c r="G1567" i="2"/>
  <c r="F1567" i="2"/>
  <c r="H1566" i="2"/>
  <c r="G1566" i="2"/>
  <c r="F1566" i="2"/>
  <c r="H1565" i="2"/>
  <c r="H1563" i="2" s="1"/>
  <c r="G1565" i="2"/>
  <c r="F1565" i="2"/>
  <c r="G1564" i="2"/>
  <c r="C1563" i="2"/>
  <c r="H1561" i="2"/>
  <c r="G1561" i="2"/>
  <c r="F1561" i="2"/>
  <c r="G1560" i="2"/>
  <c r="F1560" i="2"/>
  <c r="H1559" i="2"/>
  <c r="G1559" i="2"/>
  <c r="F1559" i="2"/>
  <c r="H1558" i="2"/>
  <c r="G1558" i="2"/>
  <c r="F1558" i="2"/>
  <c r="H1557" i="2"/>
  <c r="G1557" i="2"/>
  <c r="F1557" i="2"/>
  <c r="H1556" i="2"/>
  <c r="G1556" i="2"/>
  <c r="F1556" i="2"/>
  <c r="H1555" i="2"/>
  <c r="G1555" i="2"/>
  <c r="F1555" i="2"/>
  <c r="H1554" i="2"/>
  <c r="G1554" i="2"/>
  <c r="F1554" i="2"/>
  <c r="H1553" i="2"/>
  <c r="G1553" i="2"/>
  <c r="F1553" i="2"/>
  <c r="H1552" i="2"/>
  <c r="G1552" i="2"/>
  <c r="F1552" i="2"/>
  <c r="H1551" i="2"/>
  <c r="H1549" i="2" s="1"/>
  <c r="G1551" i="2"/>
  <c r="F1551" i="2"/>
  <c r="F1549" i="2" s="1"/>
  <c r="G1550" i="2"/>
  <c r="G1549" i="2" s="1"/>
  <c r="C1549" i="2"/>
  <c r="H1547" i="2"/>
  <c r="G1547" i="2"/>
  <c r="F1547" i="2"/>
  <c r="F1546" i="2"/>
  <c r="H1545" i="2"/>
  <c r="G1545" i="2"/>
  <c r="F1545" i="2"/>
  <c r="H1544" i="2"/>
  <c r="G1544" i="2"/>
  <c r="F1544" i="2"/>
  <c r="H1543" i="2"/>
  <c r="G1543" i="2"/>
  <c r="F1543" i="2"/>
  <c r="H1542" i="2"/>
  <c r="G1542" i="2"/>
  <c r="F1542" i="2"/>
  <c r="H1541" i="2"/>
  <c r="G1541" i="2"/>
  <c r="F1541" i="2"/>
  <c r="H1540" i="2"/>
  <c r="H1536" i="2" s="1"/>
  <c r="G1540" i="2"/>
  <c r="F1540" i="2"/>
  <c r="H1539" i="2"/>
  <c r="G1539" i="2"/>
  <c r="F1539" i="2"/>
  <c r="H1538" i="2"/>
  <c r="G1538" i="2"/>
  <c r="F1538" i="2"/>
  <c r="F1536" i="2" s="1"/>
  <c r="H1537" i="2"/>
  <c r="G1537" i="2"/>
  <c r="F1537" i="2"/>
  <c r="C1536" i="2"/>
  <c r="H1534" i="2"/>
  <c r="G1534" i="2"/>
  <c r="F1534" i="2"/>
  <c r="G1533" i="2"/>
  <c r="F1533" i="2"/>
  <c r="F1532" i="2"/>
  <c r="H1531" i="2"/>
  <c r="G1531" i="2"/>
  <c r="F1531" i="2"/>
  <c r="H1530" i="2"/>
  <c r="G1530" i="2"/>
  <c r="F1530" i="2"/>
  <c r="H1529" i="2"/>
  <c r="G1529" i="2"/>
  <c r="F1529" i="2"/>
  <c r="H1528" i="2"/>
  <c r="G1528" i="2"/>
  <c r="F1528" i="2"/>
  <c r="H1527" i="2"/>
  <c r="G1527" i="2"/>
  <c r="F1527" i="2"/>
  <c r="H1526" i="2"/>
  <c r="G1526" i="2"/>
  <c r="F1526" i="2"/>
  <c r="H1525" i="2"/>
  <c r="H1521" i="2" s="1"/>
  <c r="G1525" i="2"/>
  <c r="F1525" i="2"/>
  <c r="H1524" i="2"/>
  <c r="G1524" i="2"/>
  <c r="F1524" i="2"/>
  <c r="H1523" i="2"/>
  <c r="G1523" i="2"/>
  <c r="F1523" i="2"/>
  <c r="F1521" i="2" s="1"/>
  <c r="G1522" i="2"/>
  <c r="C1521" i="2"/>
  <c r="H1519" i="2"/>
  <c r="G1519" i="2"/>
  <c r="F1519" i="2"/>
  <c r="G1518" i="2"/>
  <c r="F1518" i="2"/>
  <c r="F1517" i="2"/>
  <c r="H1516" i="2"/>
  <c r="G1516" i="2"/>
  <c r="F1516" i="2"/>
  <c r="H1515" i="2"/>
  <c r="G1515" i="2"/>
  <c r="F1515" i="2"/>
  <c r="H1514" i="2"/>
  <c r="G1514" i="2"/>
  <c r="F1514" i="2"/>
  <c r="H1513" i="2"/>
  <c r="G1513" i="2"/>
  <c r="F1513" i="2"/>
  <c r="H1512" i="2"/>
  <c r="G1512" i="2"/>
  <c r="F1512" i="2"/>
  <c r="H1511" i="2"/>
  <c r="G1511" i="2"/>
  <c r="F1511" i="2"/>
  <c r="H1510" i="2"/>
  <c r="G1510" i="2"/>
  <c r="F1510" i="2"/>
  <c r="F1506" i="2" s="1"/>
  <c r="H1509" i="2"/>
  <c r="G1509" i="2"/>
  <c r="F1509" i="2"/>
  <c r="H1508" i="2"/>
  <c r="G1508" i="2"/>
  <c r="G1506" i="2" s="1"/>
  <c r="F1508" i="2"/>
  <c r="G1507" i="2"/>
  <c r="H1506" i="2"/>
  <c r="C1506" i="2"/>
  <c r="H1504" i="2"/>
  <c r="G1504" i="2"/>
  <c r="F1504" i="2"/>
  <c r="G1503" i="2"/>
  <c r="F1503" i="2"/>
  <c r="H1502" i="2"/>
  <c r="G1502" i="2"/>
  <c r="F1502" i="2"/>
  <c r="H1501" i="2"/>
  <c r="G1501" i="2"/>
  <c r="F1501" i="2"/>
  <c r="H1500" i="2"/>
  <c r="G1500" i="2"/>
  <c r="G1493" i="2" s="1"/>
  <c r="F1500" i="2"/>
  <c r="H1499" i="2"/>
  <c r="G1499" i="2"/>
  <c r="F1499" i="2"/>
  <c r="H1498" i="2"/>
  <c r="G1498" i="2"/>
  <c r="F1498" i="2"/>
  <c r="H1497" i="2"/>
  <c r="H1493" i="2" s="1"/>
  <c r="G1497" i="2"/>
  <c r="F1497" i="2"/>
  <c r="H1496" i="2"/>
  <c r="G1496" i="2"/>
  <c r="F1496" i="2"/>
  <c r="H1495" i="2"/>
  <c r="G1495" i="2"/>
  <c r="F1495" i="2"/>
  <c r="F1493" i="2" s="1"/>
  <c r="G1494" i="2"/>
  <c r="C1493" i="2"/>
  <c r="H1491" i="2"/>
  <c r="G1491" i="2"/>
  <c r="F1491" i="2"/>
  <c r="G1490" i="2"/>
  <c r="F1490" i="2"/>
  <c r="H1489" i="2"/>
  <c r="G1489" i="2"/>
  <c r="F1489" i="2"/>
  <c r="H1488" i="2"/>
  <c r="G1488" i="2"/>
  <c r="F1488" i="2"/>
  <c r="H1487" i="2"/>
  <c r="G1487" i="2"/>
  <c r="F1487" i="2"/>
  <c r="H1486" i="2"/>
  <c r="G1486" i="2"/>
  <c r="F1486" i="2"/>
  <c r="H1485" i="2"/>
  <c r="G1485" i="2"/>
  <c r="G1480" i="2" s="1"/>
  <c r="F1485" i="2"/>
  <c r="H1484" i="2"/>
  <c r="G1484" i="2"/>
  <c r="F1484" i="2"/>
  <c r="H1483" i="2"/>
  <c r="G1483" i="2"/>
  <c r="F1483" i="2"/>
  <c r="H1482" i="2"/>
  <c r="H1480" i="2" s="1"/>
  <c r="G1482" i="2"/>
  <c r="F1482" i="2"/>
  <c r="G1481" i="2"/>
  <c r="C1480" i="2"/>
  <c r="H1478" i="2"/>
  <c r="H1474" i="2" s="1"/>
  <c r="G1478" i="2"/>
  <c r="F1478" i="2"/>
  <c r="H1477" i="2"/>
  <c r="G1477" i="2"/>
  <c r="F1477" i="2"/>
  <c r="H1476" i="2"/>
  <c r="G1476" i="2"/>
  <c r="F1476" i="2"/>
  <c r="F1474" i="2" s="1"/>
  <c r="H1475" i="2"/>
  <c r="G1475" i="2"/>
  <c r="G1474" i="2" s="1"/>
  <c r="F1475" i="2"/>
  <c r="C1474" i="2"/>
  <c r="H1472" i="2"/>
  <c r="G1472" i="2"/>
  <c r="F1472" i="2"/>
  <c r="G1471" i="2"/>
  <c r="G1470" i="2"/>
  <c r="F1470" i="2"/>
  <c r="G1469" i="2"/>
  <c r="F1468" i="2"/>
  <c r="H1467" i="2"/>
  <c r="G1467" i="2"/>
  <c r="F1467" i="2"/>
  <c r="H1466" i="2"/>
  <c r="G1466" i="2"/>
  <c r="F1466" i="2"/>
  <c r="H1465" i="2"/>
  <c r="G1465" i="2"/>
  <c r="F1465" i="2"/>
  <c r="G1464" i="2"/>
  <c r="H1463" i="2"/>
  <c r="G1463" i="2"/>
  <c r="F1463" i="2"/>
  <c r="H1462" i="2"/>
  <c r="G1462" i="2"/>
  <c r="F1462" i="2"/>
  <c r="H1461" i="2"/>
  <c r="H1456" i="2" s="1"/>
  <c r="G1461" i="2"/>
  <c r="F1461" i="2"/>
  <c r="H1460" i="2"/>
  <c r="G1460" i="2"/>
  <c r="F1460" i="2"/>
  <c r="H1459" i="2"/>
  <c r="G1459" i="2"/>
  <c r="F1459" i="2"/>
  <c r="F1456" i="2" s="1"/>
  <c r="H1458" i="2"/>
  <c r="G1458" i="2"/>
  <c r="G1456" i="2" s="1"/>
  <c r="F1458" i="2"/>
  <c r="G1457" i="2"/>
  <c r="C1456" i="2"/>
  <c r="H1454" i="2"/>
  <c r="G1454" i="2"/>
  <c r="F1454" i="2"/>
  <c r="G1453" i="2"/>
  <c r="F1453" i="2"/>
  <c r="G1452" i="2"/>
  <c r="F1451" i="2"/>
  <c r="H1450" i="2"/>
  <c r="G1450" i="2"/>
  <c r="F1450" i="2"/>
  <c r="H1449" i="2"/>
  <c r="G1449" i="2"/>
  <c r="F1449" i="2"/>
  <c r="H1448" i="2"/>
  <c r="G1448" i="2"/>
  <c r="F1448" i="2"/>
  <c r="H1447" i="2"/>
  <c r="G1447" i="2"/>
  <c r="F1447" i="2"/>
  <c r="H1446" i="2"/>
  <c r="G1446" i="2"/>
  <c r="F1446" i="2"/>
  <c r="H1445" i="2"/>
  <c r="G1445" i="2"/>
  <c r="G1440" i="2" s="1"/>
  <c r="F1445" i="2"/>
  <c r="H1444" i="2"/>
  <c r="G1444" i="2"/>
  <c r="F1444" i="2"/>
  <c r="H1443" i="2"/>
  <c r="G1443" i="2"/>
  <c r="F1443" i="2"/>
  <c r="H1442" i="2"/>
  <c r="H1440" i="2" s="1"/>
  <c r="G1442" i="2"/>
  <c r="F1442" i="2"/>
  <c r="F1440" i="2" s="1"/>
  <c r="G1441" i="2"/>
  <c r="C1440" i="2"/>
  <c r="H1438" i="2"/>
  <c r="G1438" i="2"/>
  <c r="F1438" i="2"/>
  <c r="G1437" i="2"/>
  <c r="F1437" i="2"/>
  <c r="F1436" i="2"/>
  <c r="H1435" i="2"/>
  <c r="G1435" i="2"/>
  <c r="F1435" i="2"/>
  <c r="H1434" i="2"/>
  <c r="G1434" i="2"/>
  <c r="F1434" i="2"/>
  <c r="H1433" i="2"/>
  <c r="G1433" i="2"/>
  <c r="F1433" i="2"/>
  <c r="H1432" i="2"/>
  <c r="G1432" i="2"/>
  <c r="G1425" i="2" s="1"/>
  <c r="F1432" i="2"/>
  <c r="H1431" i="2"/>
  <c r="G1431" i="2"/>
  <c r="F1431" i="2"/>
  <c r="H1430" i="2"/>
  <c r="G1430" i="2"/>
  <c r="F1430" i="2"/>
  <c r="H1429" i="2"/>
  <c r="H1425" i="2" s="1"/>
  <c r="G1429" i="2"/>
  <c r="F1429" i="2"/>
  <c r="H1428" i="2"/>
  <c r="G1428" i="2"/>
  <c r="F1428" i="2"/>
  <c r="H1427" i="2"/>
  <c r="G1427" i="2"/>
  <c r="F1427" i="2"/>
  <c r="F1425" i="2" s="1"/>
  <c r="G1426" i="2"/>
  <c r="C1425" i="2"/>
  <c r="H1423" i="2"/>
  <c r="G1423" i="2"/>
  <c r="F1423" i="2"/>
  <c r="G1422" i="2"/>
  <c r="F1422" i="2"/>
  <c r="F1421" i="2"/>
  <c r="H1420" i="2"/>
  <c r="G1420" i="2"/>
  <c r="F1420" i="2"/>
  <c r="H1419" i="2"/>
  <c r="G1419" i="2"/>
  <c r="F1419" i="2"/>
  <c r="H1418" i="2"/>
  <c r="G1418" i="2"/>
  <c r="F1418" i="2"/>
  <c r="H1417" i="2"/>
  <c r="G1417" i="2"/>
  <c r="F1417" i="2"/>
  <c r="H1416" i="2"/>
  <c r="G1416" i="2"/>
  <c r="F1416" i="2"/>
  <c r="H1415" i="2"/>
  <c r="G1415" i="2"/>
  <c r="F1415" i="2"/>
  <c r="H1414" i="2"/>
  <c r="G1414" i="2"/>
  <c r="F1414" i="2"/>
  <c r="F1410" i="2" s="1"/>
  <c r="H1413" i="2"/>
  <c r="G1413" i="2"/>
  <c r="F1413" i="2"/>
  <c r="H1412" i="2"/>
  <c r="G1412" i="2"/>
  <c r="F1412" i="2"/>
  <c r="G1411" i="2"/>
  <c r="H1410" i="2"/>
  <c r="C1410" i="2"/>
  <c r="H1408" i="2"/>
  <c r="G1408" i="2"/>
  <c r="F1408" i="2"/>
  <c r="F1407" i="2"/>
  <c r="H1406" i="2"/>
  <c r="H1400" i="2" s="1"/>
  <c r="G1406" i="2"/>
  <c r="F1406" i="2"/>
  <c r="H1405" i="2"/>
  <c r="G1405" i="2"/>
  <c r="F1405" i="2"/>
  <c r="H1404" i="2"/>
  <c r="G1404" i="2"/>
  <c r="F1404" i="2"/>
  <c r="F1400" i="2" s="1"/>
  <c r="H1403" i="2"/>
  <c r="G1403" i="2"/>
  <c r="F1403" i="2"/>
  <c r="H1402" i="2"/>
  <c r="G1402" i="2"/>
  <c r="F1402" i="2"/>
  <c r="H1401" i="2"/>
  <c r="G1401" i="2"/>
  <c r="G1400" i="2" s="1"/>
  <c r="F1401" i="2"/>
  <c r="C1400" i="2"/>
  <c r="H1398" i="2"/>
  <c r="G1398" i="2"/>
  <c r="F1398" i="2"/>
  <c r="H1397" i="2"/>
  <c r="G1397" i="2"/>
  <c r="F1397" i="2"/>
  <c r="H1396" i="2"/>
  <c r="G1396" i="2"/>
  <c r="F1396" i="2"/>
  <c r="H1395" i="2"/>
  <c r="G1395" i="2"/>
  <c r="G1389" i="2" s="1"/>
  <c r="F1395" i="2"/>
  <c r="H1394" i="2"/>
  <c r="G1394" i="2"/>
  <c r="F1394" i="2"/>
  <c r="H1393" i="2"/>
  <c r="G1393" i="2"/>
  <c r="F1393" i="2"/>
  <c r="H1392" i="2"/>
  <c r="H1389" i="2" s="1"/>
  <c r="G1392" i="2"/>
  <c r="F1392" i="2"/>
  <c r="H1391" i="2"/>
  <c r="G1391" i="2"/>
  <c r="F1391" i="2"/>
  <c r="H1390" i="2"/>
  <c r="G1390" i="2"/>
  <c r="F1390" i="2"/>
  <c r="F1389" i="2" s="1"/>
  <c r="C1389" i="2"/>
  <c r="H1387" i="2"/>
  <c r="G1387" i="2"/>
  <c r="F1387" i="2"/>
  <c r="H1386" i="2"/>
  <c r="G1386" i="2"/>
  <c r="F1386" i="2"/>
  <c r="C1386" i="2"/>
  <c r="H1384" i="2"/>
  <c r="G1384" i="2"/>
  <c r="F1384" i="2"/>
  <c r="G1383" i="2"/>
  <c r="F1383" i="2"/>
  <c r="F1375" i="2" s="1"/>
  <c r="H1382" i="2"/>
  <c r="G1382" i="2"/>
  <c r="F1382" i="2"/>
  <c r="H1381" i="2"/>
  <c r="G1381" i="2"/>
  <c r="F1381" i="2"/>
  <c r="H1380" i="2"/>
  <c r="G1380" i="2"/>
  <c r="F1380" i="2"/>
  <c r="H1379" i="2"/>
  <c r="G1379" i="2"/>
  <c r="F1379" i="2"/>
  <c r="H1378" i="2"/>
  <c r="G1378" i="2"/>
  <c r="F1378" i="2"/>
  <c r="H1377" i="2"/>
  <c r="G1377" i="2"/>
  <c r="F1377" i="2"/>
  <c r="H1376" i="2"/>
  <c r="G1376" i="2"/>
  <c r="F1376" i="2"/>
  <c r="C1375" i="2"/>
  <c r="H1373" i="2"/>
  <c r="G1373" i="2"/>
  <c r="F1373" i="2"/>
  <c r="G1372" i="2"/>
  <c r="F1372" i="2"/>
  <c r="H1371" i="2"/>
  <c r="G1371" i="2"/>
  <c r="F1371" i="2"/>
  <c r="H1370" i="2"/>
  <c r="G1370" i="2"/>
  <c r="F1370" i="2"/>
  <c r="H1369" i="2"/>
  <c r="G1369" i="2"/>
  <c r="F1369" i="2"/>
  <c r="H1368" i="2"/>
  <c r="H1361" i="2" s="1"/>
  <c r="G1368" i="2"/>
  <c r="F1368" i="2"/>
  <c r="H1367" i="2"/>
  <c r="G1367" i="2"/>
  <c r="F1367" i="2"/>
  <c r="H1366" i="2"/>
  <c r="G1366" i="2"/>
  <c r="F1366" i="2"/>
  <c r="F1361" i="2" s="1"/>
  <c r="H1365" i="2"/>
  <c r="G1365" i="2"/>
  <c r="F1365" i="2"/>
  <c r="H1364" i="2"/>
  <c r="G1364" i="2"/>
  <c r="F1364" i="2"/>
  <c r="H1363" i="2"/>
  <c r="G1363" i="2"/>
  <c r="F1363" i="2"/>
  <c r="G1362" i="2"/>
  <c r="G1361" i="2" s="1"/>
  <c r="C1361" i="2"/>
  <c r="H1359" i="2"/>
  <c r="G1359" i="2"/>
  <c r="F1359" i="2"/>
  <c r="G1358" i="2"/>
  <c r="F1358" i="2"/>
  <c r="H1357" i="2"/>
  <c r="G1357" i="2"/>
  <c r="F1357" i="2"/>
  <c r="H1356" i="2"/>
  <c r="G1356" i="2"/>
  <c r="F1356" i="2"/>
  <c r="H1355" i="2"/>
  <c r="G1355" i="2"/>
  <c r="F1355" i="2"/>
  <c r="G1354" i="2"/>
  <c r="H1353" i="2"/>
  <c r="G1353" i="2"/>
  <c r="F1353" i="2"/>
  <c r="F1346" i="2" s="1"/>
  <c r="H1352" i="2"/>
  <c r="G1352" i="2"/>
  <c r="F1352" i="2"/>
  <c r="H1351" i="2"/>
  <c r="G1351" i="2"/>
  <c r="F1351" i="2"/>
  <c r="H1350" i="2"/>
  <c r="G1350" i="2"/>
  <c r="F1350" i="2"/>
  <c r="H1349" i="2"/>
  <c r="G1349" i="2"/>
  <c r="F1349" i="2"/>
  <c r="H1348" i="2"/>
  <c r="H1346" i="2" s="1"/>
  <c r="G1348" i="2"/>
  <c r="F1348" i="2"/>
  <c r="G1347" i="2"/>
  <c r="G1346" i="2" s="1"/>
  <c r="C1346" i="2"/>
  <c r="H1344" i="2"/>
  <c r="G1344" i="2"/>
  <c r="F1344" i="2"/>
  <c r="H1343" i="2"/>
  <c r="G1343" i="2"/>
  <c r="F1343" i="2"/>
  <c r="H1342" i="2"/>
  <c r="G1342" i="2"/>
  <c r="F1342" i="2"/>
  <c r="H1341" i="2"/>
  <c r="G1341" i="2"/>
  <c r="F1341" i="2"/>
  <c r="H1340" i="2"/>
  <c r="G1340" i="2"/>
  <c r="F1340" i="2"/>
  <c r="H1339" i="2"/>
  <c r="G1339" i="2"/>
  <c r="F1339" i="2"/>
  <c r="H1338" i="2"/>
  <c r="G1338" i="2"/>
  <c r="G1333" i="2" s="1"/>
  <c r="F1338" i="2"/>
  <c r="H1337" i="2"/>
  <c r="G1337" i="2"/>
  <c r="F1337" i="2"/>
  <c r="H1336" i="2"/>
  <c r="G1336" i="2"/>
  <c r="F1336" i="2"/>
  <c r="H1335" i="2"/>
  <c r="H1333" i="2" s="1"/>
  <c r="G1335" i="2"/>
  <c r="F1335" i="2"/>
  <c r="G1334" i="2"/>
  <c r="C1333" i="2"/>
  <c r="H1331" i="2"/>
  <c r="G1331" i="2"/>
  <c r="F1331" i="2"/>
  <c r="G1330" i="2"/>
  <c r="F1330" i="2"/>
  <c r="H1329" i="2"/>
  <c r="G1329" i="2"/>
  <c r="F1329" i="2"/>
  <c r="H1328" i="2"/>
  <c r="G1328" i="2"/>
  <c r="F1328" i="2"/>
  <c r="H1327" i="2"/>
  <c r="G1327" i="2"/>
  <c r="F1327" i="2"/>
  <c r="H1326" i="2"/>
  <c r="G1326" i="2"/>
  <c r="F1326" i="2"/>
  <c r="H1325" i="2"/>
  <c r="G1325" i="2"/>
  <c r="F1325" i="2"/>
  <c r="H1324" i="2"/>
  <c r="G1324" i="2"/>
  <c r="F1324" i="2"/>
  <c r="H1323" i="2"/>
  <c r="G1323" i="2"/>
  <c r="F1323" i="2"/>
  <c r="H1322" i="2"/>
  <c r="G1322" i="2"/>
  <c r="F1322" i="2"/>
  <c r="F1319" i="2" s="1"/>
  <c r="H1321" i="2"/>
  <c r="H1319" i="2" s="1"/>
  <c r="G1321" i="2"/>
  <c r="F1321" i="2"/>
  <c r="G1320" i="2"/>
  <c r="G1319" i="2" s="1"/>
  <c r="C1319" i="2"/>
  <c r="H1317" i="2"/>
  <c r="G1317" i="2"/>
  <c r="F1317" i="2"/>
  <c r="G1316" i="2"/>
  <c r="F1316" i="2"/>
  <c r="G1315" i="2"/>
  <c r="H1314" i="2"/>
  <c r="G1314" i="2"/>
  <c r="F1314" i="2"/>
  <c r="H1313" i="2"/>
  <c r="G1313" i="2"/>
  <c r="F1313" i="2"/>
  <c r="H1312" i="2"/>
  <c r="G1312" i="2"/>
  <c r="F1312" i="2"/>
  <c r="H1311" i="2"/>
  <c r="G1311" i="2"/>
  <c r="F1311" i="2"/>
  <c r="H1310" i="2"/>
  <c r="G1310" i="2"/>
  <c r="G1304" i="2" s="1"/>
  <c r="F1310" i="2"/>
  <c r="H1309" i="2"/>
  <c r="G1309" i="2"/>
  <c r="F1309" i="2"/>
  <c r="H1308" i="2"/>
  <c r="G1308" i="2"/>
  <c r="F1308" i="2"/>
  <c r="H1307" i="2"/>
  <c r="G1307" i="2"/>
  <c r="F1307" i="2"/>
  <c r="H1306" i="2"/>
  <c r="G1306" i="2"/>
  <c r="F1306" i="2"/>
  <c r="F1304" i="2" s="1"/>
  <c r="G1305" i="2"/>
  <c r="C1304" i="2"/>
  <c r="H1302" i="2"/>
  <c r="G1302" i="2"/>
  <c r="F1302" i="2"/>
  <c r="G1301" i="2"/>
  <c r="F1301" i="2"/>
  <c r="G1300" i="2"/>
  <c r="F1299" i="2"/>
  <c r="H1298" i="2"/>
  <c r="G1298" i="2"/>
  <c r="F1298" i="2"/>
  <c r="H1297" i="2"/>
  <c r="G1297" i="2"/>
  <c r="F1297" i="2"/>
  <c r="H1296" i="2"/>
  <c r="G1296" i="2"/>
  <c r="F1296" i="2"/>
  <c r="G1295" i="2"/>
  <c r="H1294" i="2"/>
  <c r="G1294" i="2"/>
  <c r="F1294" i="2"/>
  <c r="H1293" i="2"/>
  <c r="G1293" i="2"/>
  <c r="F1293" i="2"/>
  <c r="H1292" i="2"/>
  <c r="G1292" i="2"/>
  <c r="F1292" i="2"/>
  <c r="H1291" i="2"/>
  <c r="G1291" i="2"/>
  <c r="F1291" i="2"/>
  <c r="H1290" i="2"/>
  <c r="G1290" i="2"/>
  <c r="F1290" i="2"/>
  <c r="H1289" i="2"/>
  <c r="G1289" i="2"/>
  <c r="F1289" i="2"/>
  <c r="F1287" i="2" s="1"/>
  <c r="G1288" i="2"/>
  <c r="G1287" i="2"/>
  <c r="C1287" i="2"/>
  <c r="H1285" i="2"/>
  <c r="G1285" i="2"/>
  <c r="F1285" i="2"/>
  <c r="G1284" i="2"/>
  <c r="G1283" i="2"/>
  <c r="F1283" i="2"/>
  <c r="G1282" i="2"/>
  <c r="F1281" i="2"/>
  <c r="H1280" i="2"/>
  <c r="G1280" i="2"/>
  <c r="F1280" i="2"/>
  <c r="H1279" i="2"/>
  <c r="G1279" i="2"/>
  <c r="F1279" i="2"/>
  <c r="H1278" i="2"/>
  <c r="G1278" i="2"/>
  <c r="F1278" i="2"/>
  <c r="G1277" i="2"/>
  <c r="H1276" i="2"/>
  <c r="G1276" i="2"/>
  <c r="F1276" i="2"/>
  <c r="H1275" i="2"/>
  <c r="G1275" i="2"/>
  <c r="F1275" i="2"/>
  <c r="H1274" i="2"/>
  <c r="G1274" i="2"/>
  <c r="F1274" i="2"/>
  <c r="H1273" i="2"/>
  <c r="G1273" i="2"/>
  <c r="F1273" i="2"/>
  <c r="F1269" i="2" s="1"/>
  <c r="H1272" i="2"/>
  <c r="G1272" i="2"/>
  <c r="F1272" i="2"/>
  <c r="H1271" i="2"/>
  <c r="G1271" i="2"/>
  <c r="G1269" i="2" s="1"/>
  <c r="F1271" i="2"/>
  <c r="G1270" i="2"/>
  <c r="H1269" i="2"/>
  <c r="C1269" i="2"/>
  <c r="H1267" i="2"/>
  <c r="G1267" i="2"/>
  <c r="F1267" i="2"/>
  <c r="G1266" i="2"/>
  <c r="F1266" i="2"/>
  <c r="H1265" i="2"/>
  <c r="G1265" i="2"/>
  <c r="F1265" i="2"/>
  <c r="H1264" i="2"/>
  <c r="G1264" i="2"/>
  <c r="F1264" i="2"/>
  <c r="H1263" i="2"/>
  <c r="G1263" i="2"/>
  <c r="F1263" i="2"/>
  <c r="H1262" i="2"/>
  <c r="G1262" i="2"/>
  <c r="F1262" i="2"/>
  <c r="H1261" i="2"/>
  <c r="G1261" i="2"/>
  <c r="F1261" i="2"/>
  <c r="H1260" i="2"/>
  <c r="H1255" i="2" s="1"/>
  <c r="G1260" i="2"/>
  <c r="F1260" i="2"/>
  <c r="H1259" i="2"/>
  <c r="G1259" i="2"/>
  <c r="F1259" i="2"/>
  <c r="H1258" i="2"/>
  <c r="G1258" i="2"/>
  <c r="F1258" i="2"/>
  <c r="H1257" i="2"/>
  <c r="G1257" i="2"/>
  <c r="F1257" i="2"/>
  <c r="F1255" i="2" s="1"/>
  <c r="G1256" i="2"/>
  <c r="G1255" i="2" s="1"/>
  <c r="C1255" i="2"/>
  <c r="H1253" i="2"/>
  <c r="G1253" i="2"/>
  <c r="F1253" i="2"/>
  <c r="G1252" i="2"/>
  <c r="F1252" i="2"/>
  <c r="G1251" i="2"/>
  <c r="H1250" i="2"/>
  <c r="G1250" i="2"/>
  <c r="F1250" i="2"/>
  <c r="H1249" i="2"/>
  <c r="G1249" i="2"/>
  <c r="F1249" i="2"/>
  <c r="H1248" i="2"/>
  <c r="G1248" i="2"/>
  <c r="F1248" i="2"/>
  <c r="G1247" i="2"/>
  <c r="H1246" i="2"/>
  <c r="G1246" i="2"/>
  <c r="F1246" i="2"/>
  <c r="H1245" i="2"/>
  <c r="G1245" i="2"/>
  <c r="F1245" i="2"/>
  <c r="H1244" i="2"/>
  <c r="G1244" i="2"/>
  <c r="G1239" i="2" s="1"/>
  <c r="F1244" i="2"/>
  <c r="H1243" i="2"/>
  <c r="G1243" i="2"/>
  <c r="F1243" i="2"/>
  <c r="H1242" i="2"/>
  <c r="G1242" i="2"/>
  <c r="F1242" i="2"/>
  <c r="H1241" i="2"/>
  <c r="H1239" i="2" s="1"/>
  <c r="G1241" i="2"/>
  <c r="F1241" i="2"/>
  <c r="F1239" i="2" s="1"/>
  <c r="G1240" i="2"/>
  <c r="C1239" i="2"/>
  <c r="H1237" i="2"/>
  <c r="G1237" i="2"/>
  <c r="F1237" i="2"/>
  <c r="G1236" i="2"/>
  <c r="F1236" i="2"/>
  <c r="H1235" i="2"/>
  <c r="G1235" i="2"/>
  <c r="F1235" i="2"/>
  <c r="H1234" i="2"/>
  <c r="G1234" i="2"/>
  <c r="F1234" i="2"/>
  <c r="H1233" i="2"/>
  <c r="G1233" i="2"/>
  <c r="F1233" i="2"/>
  <c r="G1232" i="2"/>
  <c r="H1231" i="2"/>
  <c r="G1231" i="2"/>
  <c r="F1231" i="2"/>
  <c r="H1230" i="2"/>
  <c r="G1230" i="2"/>
  <c r="F1230" i="2"/>
  <c r="H1229" i="2"/>
  <c r="G1229" i="2"/>
  <c r="F1229" i="2"/>
  <c r="H1228" i="2"/>
  <c r="H1224" i="2" s="1"/>
  <c r="G1228" i="2"/>
  <c r="F1228" i="2"/>
  <c r="H1227" i="2"/>
  <c r="G1227" i="2"/>
  <c r="F1227" i="2"/>
  <c r="H1226" i="2"/>
  <c r="G1226" i="2"/>
  <c r="F1226" i="2"/>
  <c r="F1224" i="2" s="1"/>
  <c r="G1225" i="2"/>
  <c r="C1224" i="2"/>
  <c r="H1222" i="2"/>
  <c r="G1222" i="2"/>
  <c r="F1222" i="2"/>
  <c r="G1221" i="2"/>
  <c r="F1221" i="2"/>
  <c r="F1220" i="2"/>
  <c r="H1219" i="2"/>
  <c r="G1219" i="2"/>
  <c r="F1219" i="2"/>
  <c r="H1218" i="2"/>
  <c r="G1218" i="2"/>
  <c r="F1218" i="2"/>
  <c r="H1217" i="2"/>
  <c r="G1217" i="2"/>
  <c r="F1217" i="2"/>
  <c r="H1216" i="2"/>
  <c r="G1216" i="2"/>
  <c r="F1216" i="2"/>
  <c r="H1215" i="2"/>
  <c r="G1215" i="2"/>
  <c r="F1215" i="2"/>
  <c r="H1214" i="2"/>
  <c r="G1214" i="2"/>
  <c r="F1214" i="2"/>
  <c r="H1213" i="2"/>
  <c r="G1213" i="2"/>
  <c r="F1213" i="2"/>
  <c r="F1209" i="2" s="1"/>
  <c r="H1212" i="2"/>
  <c r="G1212" i="2"/>
  <c r="F1212" i="2"/>
  <c r="H1211" i="2"/>
  <c r="G1211" i="2"/>
  <c r="F1211" i="2"/>
  <c r="G1210" i="2"/>
  <c r="G1209" i="2" s="1"/>
  <c r="H1209" i="2"/>
  <c r="C1209" i="2"/>
  <c r="H1207" i="2"/>
  <c r="G1207" i="2"/>
  <c r="F1207" i="2"/>
  <c r="H1206" i="2"/>
  <c r="G1206" i="2"/>
  <c r="F1206" i="2"/>
  <c r="H1205" i="2"/>
  <c r="H1204" i="2" s="1"/>
  <c r="G1205" i="2"/>
  <c r="F1205" i="2"/>
  <c r="F1204" i="2"/>
  <c r="C1204" i="2"/>
  <c r="H1202" i="2"/>
  <c r="G1202" i="2"/>
  <c r="F1202" i="2"/>
  <c r="G1201" i="2"/>
  <c r="F1201" i="2"/>
  <c r="H1200" i="2"/>
  <c r="G1200" i="2"/>
  <c r="F1200" i="2"/>
  <c r="F1192" i="2" s="1"/>
  <c r="H1199" i="2"/>
  <c r="G1199" i="2"/>
  <c r="F1199" i="2"/>
  <c r="H1198" i="2"/>
  <c r="G1198" i="2"/>
  <c r="F1198" i="2"/>
  <c r="H1197" i="2"/>
  <c r="G1197" i="2"/>
  <c r="G1192" i="2" s="1"/>
  <c r="F1197" i="2"/>
  <c r="H1196" i="2"/>
  <c r="G1196" i="2"/>
  <c r="F1196" i="2"/>
  <c r="H1195" i="2"/>
  <c r="G1195" i="2"/>
  <c r="F1195" i="2"/>
  <c r="H1194" i="2"/>
  <c r="H1192" i="2" s="1"/>
  <c r="G1194" i="2"/>
  <c r="F1194" i="2"/>
  <c r="H1193" i="2"/>
  <c r="G1193" i="2"/>
  <c r="F1193" i="2"/>
  <c r="C1192" i="2"/>
  <c r="H1190" i="2"/>
  <c r="G1190" i="2"/>
  <c r="F1190" i="2"/>
  <c r="G1189" i="2"/>
  <c r="F1189" i="2"/>
  <c r="F1188" i="2"/>
  <c r="H1187" i="2"/>
  <c r="G1187" i="2"/>
  <c r="F1187" i="2"/>
  <c r="H1186" i="2"/>
  <c r="G1186" i="2"/>
  <c r="F1186" i="2"/>
  <c r="H1185" i="2"/>
  <c r="G1185" i="2"/>
  <c r="F1185" i="2"/>
  <c r="H1184" i="2"/>
  <c r="G1184" i="2"/>
  <c r="F1184" i="2"/>
  <c r="H1183" i="2"/>
  <c r="G1183" i="2"/>
  <c r="F1183" i="2"/>
  <c r="H1182" i="2"/>
  <c r="G1182" i="2"/>
  <c r="G1177" i="2" s="1"/>
  <c r="F1182" i="2"/>
  <c r="H1181" i="2"/>
  <c r="G1181" i="2"/>
  <c r="F1181" i="2"/>
  <c r="H1180" i="2"/>
  <c r="G1180" i="2"/>
  <c r="F1180" i="2"/>
  <c r="H1179" i="2"/>
  <c r="H1177" i="2" s="1"/>
  <c r="G1179" i="2"/>
  <c r="F1179" i="2"/>
  <c r="F1177" i="2" s="1"/>
  <c r="G1178" i="2"/>
  <c r="C1177" i="2"/>
  <c r="H1175" i="2"/>
  <c r="G1175" i="2"/>
  <c r="F1175" i="2"/>
  <c r="G1174" i="2"/>
  <c r="F1174" i="2"/>
  <c r="H1173" i="2"/>
  <c r="G1173" i="2"/>
  <c r="F1173" i="2"/>
  <c r="H1172" i="2"/>
  <c r="G1172" i="2"/>
  <c r="F1172" i="2"/>
  <c r="H1171" i="2"/>
  <c r="G1171" i="2"/>
  <c r="F1171" i="2"/>
  <c r="H1170" i="2"/>
  <c r="G1170" i="2"/>
  <c r="F1170" i="2"/>
  <c r="H1169" i="2"/>
  <c r="G1169" i="2"/>
  <c r="F1169" i="2"/>
  <c r="H1168" i="2"/>
  <c r="G1168" i="2"/>
  <c r="F1168" i="2"/>
  <c r="H1167" i="2"/>
  <c r="G1167" i="2"/>
  <c r="F1167" i="2"/>
  <c r="H1166" i="2"/>
  <c r="G1166" i="2"/>
  <c r="F1166" i="2"/>
  <c r="G1165" i="2"/>
  <c r="G1164" i="2" s="1"/>
  <c r="F1164" i="2"/>
  <c r="C1164" i="2"/>
  <c r="H1162" i="2"/>
  <c r="G1162" i="2"/>
  <c r="F1162" i="2"/>
  <c r="G1161" i="2"/>
  <c r="F1161" i="2"/>
  <c r="H1160" i="2"/>
  <c r="G1160" i="2"/>
  <c r="F1160" i="2"/>
  <c r="H1159" i="2"/>
  <c r="G1159" i="2"/>
  <c r="F1159" i="2"/>
  <c r="H1158" i="2"/>
  <c r="G1158" i="2"/>
  <c r="F1158" i="2"/>
  <c r="H1157" i="2"/>
  <c r="G1157" i="2"/>
  <c r="F1157" i="2"/>
  <c r="H1156" i="2"/>
  <c r="G1156" i="2"/>
  <c r="F1156" i="2"/>
  <c r="H1155" i="2"/>
  <c r="G1155" i="2"/>
  <c r="F1155" i="2"/>
  <c r="F1153" i="2" s="1"/>
  <c r="H1154" i="2"/>
  <c r="G1154" i="2"/>
  <c r="F1154" i="2"/>
  <c r="C1153" i="2"/>
  <c r="H1151" i="2"/>
  <c r="H1150" i="2" s="1"/>
  <c r="G1151" i="2"/>
  <c r="F1151" i="2"/>
  <c r="F1150" i="2" s="1"/>
  <c r="G1150" i="2"/>
  <c r="C1150" i="2"/>
  <c r="H1148" i="2"/>
  <c r="G1148" i="2"/>
  <c r="F1148" i="2"/>
  <c r="H1147" i="2"/>
  <c r="G1147" i="2"/>
  <c r="F1147" i="2"/>
  <c r="H1146" i="2"/>
  <c r="G1146" i="2"/>
  <c r="F1146" i="2"/>
  <c r="H1145" i="2"/>
  <c r="G1145" i="2"/>
  <c r="F1145" i="2"/>
  <c r="H1144" i="2"/>
  <c r="G1144" i="2"/>
  <c r="F1144" i="2"/>
  <c r="H1143" i="2"/>
  <c r="G1143" i="2"/>
  <c r="F1143" i="2"/>
  <c r="F1138" i="2" s="1"/>
  <c r="H1142" i="2"/>
  <c r="G1142" i="2"/>
  <c r="F1142" i="2"/>
  <c r="H1141" i="2"/>
  <c r="G1141" i="2"/>
  <c r="F1141" i="2"/>
  <c r="H1140" i="2"/>
  <c r="G1140" i="2"/>
  <c r="F1140" i="2"/>
  <c r="G1139" i="2"/>
  <c r="C1138" i="2"/>
  <c r="H1137" i="2"/>
  <c r="G1137" i="2"/>
  <c r="F1137" i="2"/>
  <c r="H1136" i="2"/>
  <c r="F1136" i="2"/>
  <c r="H1135" i="2"/>
  <c r="G1135" i="2"/>
  <c r="F1135" i="2"/>
  <c r="H1134" i="2"/>
  <c r="G1134" i="2"/>
  <c r="F1134" i="2"/>
  <c r="H1133" i="2"/>
  <c r="G1133" i="2"/>
  <c r="F1133" i="2"/>
  <c r="H1132" i="2"/>
  <c r="G1132" i="2"/>
  <c r="F1132" i="2"/>
  <c r="H1131" i="2"/>
  <c r="F1131" i="2"/>
  <c r="C1131" i="2"/>
  <c r="H1129" i="2"/>
  <c r="G1129" i="2"/>
  <c r="F1129" i="2"/>
  <c r="H1128" i="2"/>
  <c r="F1128" i="2"/>
  <c r="H1127" i="2"/>
  <c r="F1127" i="2"/>
  <c r="H1126" i="2"/>
  <c r="G1126" i="2"/>
  <c r="F1126" i="2"/>
  <c r="H1125" i="2"/>
  <c r="G1125" i="2"/>
  <c r="F1125" i="2"/>
  <c r="H1124" i="2"/>
  <c r="G1124" i="2"/>
  <c r="F1124" i="2"/>
  <c r="H1123" i="2"/>
  <c r="G1123" i="2"/>
  <c r="F1123" i="2"/>
  <c r="H1122" i="2"/>
  <c r="G1122" i="2"/>
  <c r="F1122" i="2"/>
  <c r="H1121" i="2"/>
  <c r="H1120" i="2" s="1"/>
  <c r="G1121" i="2"/>
  <c r="F1121" i="2"/>
  <c r="C1120" i="2"/>
  <c r="H1118" i="2"/>
  <c r="G1118" i="2"/>
  <c r="F1118" i="2"/>
  <c r="G1117" i="2"/>
  <c r="F1117" i="2"/>
  <c r="G1116" i="2"/>
  <c r="F1116" i="2"/>
  <c r="H1115" i="2"/>
  <c r="F1115" i="2"/>
  <c r="H1114" i="2"/>
  <c r="F1114" i="2"/>
  <c r="H1113" i="2"/>
  <c r="G1113" i="2"/>
  <c r="F1113" i="2"/>
  <c r="H1112" i="2"/>
  <c r="G1112" i="2"/>
  <c r="F1112" i="2"/>
  <c r="G1111" i="2"/>
  <c r="H1110" i="2"/>
  <c r="G1110" i="2"/>
  <c r="F1110" i="2"/>
  <c r="H1109" i="2"/>
  <c r="G1109" i="2"/>
  <c r="F1109" i="2"/>
  <c r="H1108" i="2"/>
  <c r="G1108" i="2"/>
  <c r="F1108" i="2"/>
  <c r="H1107" i="2"/>
  <c r="G1107" i="2"/>
  <c r="F1107" i="2"/>
  <c r="H1106" i="2"/>
  <c r="G1106" i="2"/>
  <c r="F1106" i="2"/>
  <c r="H1105" i="2"/>
  <c r="H1103" i="2" s="1"/>
  <c r="G1105" i="2"/>
  <c r="F1105" i="2"/>
  <c r="G1104" i="2"/>
  <c r="G1103" i="2" s="1"/>
  <c r="F1103" i="2"/>
  <c r="C1103" i="2"/>
  <c r="H1101" i="2"/>
  <c r="G1101" i="2"/>
  <c r="F1101" i="2"/>
  <c r="G1100" i="2"/>
  <c r="F1100" i="2"/>
  <c r="H1099" i="2"/>
  <c r="F1099" i="2"/>
  <c r="H1098" i="2"/>
  <c r="G1098" i="2"/>
  <c r="F1098" i="2"/>
  <c r="H1097" i="2"/>
  <c r="G1097" i="2"/>
  <c r="F1097" i="2"/>
  <c r="H1096" i="2"/>
  <c r="G1096" i="2"/>
  <c r="F1096" i="2"/>
  <c r="H1095" i="2"/>
  <c r="G1095" i="2"/>
  <c r="F1095" i="2"/>
  <c r="H1094" i="2"/>
  <c r="G1094" i="2"/>
  <c r="G1089" i="2" s="1"/>
  <c r="F1094" i="2"/>
  <c r="H1093" i="2"/>
  <c r="H1089" i="2" s="1"/>
  <c r="G1093" i="2"/>
  <c r="F1093" i="2"/>
  <c r="H1092" i="2"/>
  <c r="G1092" i="2"/>
  <c r="F1092" i="2"/>
  <c r="H1091" i="2"/>
  <c r="G1091" i="2"/>
  <c r="F1091" i="2"/>
  <c r="F1089" i="2" s="1"/>
  <c r="G1090" i="2"/>
  <c r="C1089" i="2"/>
  <c r="H1087" i="2"/>
  <c r="G1087" i="2"/>
  <c r="F1087" i="2"/>
  <c r="H1086" i="2"/>
  <c r="F1086" i="2"/>
  <c r="H1085" i="2"/>
  <c r="F1085" i="2"/>
  <c r="H1084" i="2"/>
  <c r="G1084" i="2"/>
  <c r="F1084" i="2"/>
  <c r="H1083" i="2"/>
  <c r="H1082" i="2" s="1"/>
  <c r="G1083" i="2"/>
  <c r="G1082" i="2" s="1"/>
  <c r="F1083" i="2"/>
  <c r="C1082" i="2"/>
  <c r="H1080" i="2"/>
  <c r="G1080" i="2"/>
  <c r="F1080" i="2"/>
  <c r="G1079" i="2"/>
  <c r="F1079" i="2"/>
  <c r="H1078" i="2"/>
  <c r="F1078" i="2"/>
  <c r="H1077" i="2"/>
  <c r="F1077" i="2"/>
  <c r="H1076" i="2"/>
  <c r="G1076" i="2"/>
  <c r="F1076" i="2"/>
  <c r="G1075" i="2"/>
  <c r="H1074" i="2"/>
  <c r="G1074" i="2"/>
  <c r="F1074" i="2"/>
  <c r="H1073" i="2"/>
  <c r="G1073" i="2"/>
  <c r="F1073" i="2"/>
  <c r="H1072" i="2"/>
  <c r="G1072" i="2"/>
  <c r="F1072" i="2"/>
  <c r="H1071" i="2"/>
  <c r="G1071" i="2"/>
  <c r="G1068" i="2" s="1"/>
  <c r="F1071" i="2"/>
  <c r="H1070" i="2"/>
  <c r="H1068" i="2" s="1"/>
  <c r="G1070" i="2"/>
  <c r="F1070" i="2"/>
  <c r="H1069" i="2"/>
  <c r="G1069" i="2"/>
  <c r="F1069" i="2"/>
  <c r="F1068" i="2"/>
  <c r="C1068" i="2"/>
  <c r="H1066" i="2"/>
  <c r="G1066" i="2"/>
  <c r="F1066" i="2"/>
  <c r="G1065" i="2"/>
  <c r="F1065" i="2"/>
  <c r="H1064" i="2"/>
  <c r="F1064" i="2"/>
  <c r="G1063" i="2"/>
  <c r="F1063" i="2"/>
  <c r="H1062" i="2"/>
  <c r="F1062" i="2"/>
  <c r="H1061" i="2"/>
  <c r="G1061" i="2"/>
  <c r="F1061" i="2"/>
  <c r="H1060" i="2"/>
  <c r="G1060" i="2"/>
  <c r="F1060" i="2"/>
  <c r="H1059" i="2"/>
  <c r="G1059" i="2"/>
  <c r="F1059" i="2"/>
  <c r="H1058" i="2"/>
  <c r="G1058" i="2"/>
  <c r="F1058" i="2"/>
  <c r="H1057" i="2"/>
  <c r="G1057" i="2"/>
  <c r="F1057" i="2"/>
  <c r="H1056" i="2"/>
  <c r="G1056" i="2"/>
  <c r="F1056" i="2"/>
  <c r="H1055" i="2"/>
  <c r="G1055" i="2"/>
  <c r="F1055" i="2"/>
  <c r="H1054" i="2"/>
  <c r="G1054" i="2"/>
  <c r="F1054" i="2"/>
  <c r="G1053" i="2"/>
  <c r="G1052" i="2" s="1"/>
  <c r="F1052" i="2"/>
  <c r="C1052" i="2"/>
  <c r="H1050" i="2"/>
  <c r="F1050" i="2"/>
  <c r="H1049" i="2"/>
  <c r="G1049" i="2"/>
  <c r="F1049" i="2"/>
  <c r="C1048" i="2"/>
  <c r="H1046" i="2"/>
  <c r="G1046" i="2"/>
  <c r="F1046" i="2"/>
  <c r="G1045" i="2"/>
  <c r="F1045" i="2"/>
  <c r="H1044" i="2"/>
  <c r="F1044" i="2"/>
  <c r="H1043" i="2"/>
  <c r="F1043" i="2"/>
  <c r="H1042" i="2"/>
  <c r="G1042" i="2"/>
  <c r="F1042" i="2"/>
  <c r="H1041" i="2"/>
  <c r="G1041" i="2"/>
  <c r="F1041" i="2"/>
  <c r="H1040" i="2"/>
  <c r="G1040" i="2"/>
  <c r="F1040" i="2"/>
  <c r="H1039" i="2"/>
  <c r="G1039" i="2"/>
  <c r="F1039" i="2"/>
  <c r="H1038" i="2"/>
  <c r="G1038" i="2"/>
  <c r="F1038" i="2"/>
  <c r="H1037" i="2"/>
  <c r="H1033" i="2" s="1"/>
  <c r="G1037" i="2"/>
  <c r="F1037" i="2"/>
  <c r="H1036" i="2"/>
  <c r="G1036" i="2"/>
  <c r="F1036" i="2"/>
  <c r="H1035" i="2"/>
  <c r="G1035" i="2"/>
  <c r="F1035" i="2"/>
  <c r="F1033" i="2" s="1"/>
  <c r="G1034" i="2"/>
  <c r="C1033" i="2"/>
  <c r="H1031" i="2"/>
  <c r="G1031" i="2"/>
  <c r="F1031" i="2"/>
  <c r="G1030" i="2"/>
  <c r="F1030" i="2"/>
  <c r="H1029" i="2"/>
  <c r="F1029" i="2"/>
  <c r="H1028" i="2"/>
  <c r="F1028" i="2"/>
  <c r="H1027" i="2"/>
  <c r="G1027" i="2"/>
  <c r="F1027" i="2"/>
  <c r="H1026" i="2"/>
  <c r="G1026" i="2"/>
  <c r="F1026" i="2"/>
  <c r="H1025" i="2"/>
  <c r="G1025" i="2"/>
  <c r="F1025" i="2"/>
  <c r="H1024" i="2"/>
  <c r="G1024" i="2"/>
  <c r="F1024" i="2"/>
  <c r="H1023" i="2"/>
  <c r="G1023" i="2"/>
  <c r="F1023" i="2"/>
  <c r="H1022" i="2"/>
  <c r="G1022" i="2"/>
  <c r="F1022" i="2"/>
  <c r="H1021" i="2"/>
  <c r="H1019" i="2" s="1"/>
  <c r="G1021" i="2"/>
  <c r="F1021" i="2"/>
  <c r="H1020" i="2"/>
  <c r="G1020" i="2"/>
  <c r="F1020" i="2"/>
  <c r="F1019" i="2" s="1"/>
  <c r="G1019" i="2"/>
  <c r="C1019" i="2"/>
  <c r="H1017" i="2"/>
  <c r="G1017" i="2"/>
  <c r="F1017" i="2"/>
  <c r="G1016" i="2"/>
  <c r="F1016" i="2"/>
  <c r="H1015" i="2"/>
  <c r="F1015" i="2"/>
  <c r="H1014" i="2"/>
  <c r="F1014" i="2"/>
  <c r="H1013" i="2"/>
  <c r="G1013" i="2"/>
  <c r="F1013" i="2"/>
  <c r="H1012" i="2"/>
  <c r="G1012" i="2"/>
  <c r="F1012" i="2"/>
  <c r="G1011" i="2"/>
  <c r="H1010" i="2"/>
  <c r="G1010" i="2"/>
  <c r="F1010" i="2"/>
  <c r="H1009" i="2"/>
  <c r="G1009" i="2"/>
  <c r="F1009" i="2"/>
  <c r="F1003" i="2" s="1"/>
  <c r="H1008" i="2"/>
  <c r="G1008" i="2"/>
  <c r="F1008" i="2"/>
  <c r="H1007" i="2"/>
  <c r="G1007" i="2"/>
  <c r="F1007" i="2"/>
  <c r="H1006" i="2"/>
  <c r="G1006" i="2"/>
  <c r="F1006" i="2"/>
  <c r="H1005" i="2"/>
  <c r="G1005" i="2"/>
  <c r="F1005" i="2"/>
  <c r="G1004" i="2"/>
  <c r="G1003" i="2" s="1"/>
  <c r="C1003" i="2"/>
  <c r="H1001" i="2"/>
  <c r="G1001" i="2"/>
  <c r="F1001" i="2"/>
  <c r="G1000" i="2"/>
  <c r="F1000" i="2"/>
  <c r="H999" i="2"/>
  <c r="F999" i="2"/>
  <c r="H998" i="2"/>
  <c r="F998" i="2"/>
  <c r="H997" i="2"/>
  <c r="G997" i="2"/>
  <c r="F997" i="2"/>
  <c r="H996" i="2"/>
  <c r="G996" i="2"/>
  <c r="F996" i="2"/>
  <c r="H995" i="2"/>
  <c r="G995" i="2"/>
  <c r="F995" i="2"/>
  <c r="H994" i="2"/>
  <c r="G994" i="2"/>
  <c r="F994" i="2"/>
  <c r="H993" i="2"/>
  <c r="G993" i="2"/>
  <c r="F993" i="2"/>
  <c r="H992" i="2"/>
  <c r="G992" i="2"/>
  <c r="F992" i="2"/>
  <c r="H991" i="2"/>
  <c r="G991" i="2"/>
  <c r="F991" i="2"/>
  <c r="H990" i="2"/>
  <c r="H989" i="2" s="1"/>
  <c r="G990" i="2"/>
  <c r="G989" i="2" s="1"/>
  <c r="F990" i="2"/>
  <c r="F989" i="2" s="1"/>
  <c r="C989" i="2"/>
  <c r="H987" i="2"/>
  <c r="G987" i="2"/>
  <c r="F987" i="2"/>
  <c r="H986" i="2"/>
  <c r="F986" i="2"/>
  <c r="H985" i="2"/>
  <c r="G985" i="2"/>
  <c r="F985" i="2"/>
  <c r="H984" i="2"/>
  <c r="G984" i="2"/>
  <c r="G982" i="2" s="1"/>
  <c r="F984" i="2"/>
  <c r="H983" i="2"/>
  <c r="H982" i="2" s="1"/>
  <c r="G983" i="2"/>
  <c r="F983" i="2"/>
  <c r="F982" i="2" s="1"/>
  <c r="C982" i="2"/>
  <c r="H980" i="2"/>
  <c r="G980" i="2"/>
  <c r="F980" i="2"/>
  <c r="G979" i="2"/>
  <c r="F979" i="2"/>
  <c r="H978" i="2"/>
  <c r="F978" i="2"/>
  <c r="H977" i="2"/>
  <c r="G977" i="2"/>
  <c r="F977" i="2"/>
  <c r="H976" i="2"/>
  <c r="G976" i="2"/>
  <c r="F976" i="2"/>
  <c r="H975" i="2"/>
  <c r="G975" i="2"/>
  <c r="F975" i="2"/>
  <c r="F969" i="2" s="1"/>
  <c r="H974" i="2"/>
  <c r="G974" i="2"/>
  <c r="F974" i="2"/>
  <c r="H973" i="2"/>
  <c r="G973" i="2"/>
  <c r="F973" i="2"/>
  <c r="H972" i="2"/>
  <c r="G972" i="2"/>
  <c r="F972" i="2"/>
  <c r="H971" i="2"/>
  <c r="G971" i="2"/>
  <c r="F971" i="2"/>
  <c r="H970" i="2"/>
  <c r="G970" i="2"/>
  <c r="F970" i="2"/>
  <c r="H969" i="2"/>
  <c r="C969" i="2"/>
  <c r="H967" i="2"/>
  <c r="G967" i="2"/>
  <c r="F967" i="2"/>
  <c r="G966" i="2"/>
  <c r="F966" i="2"/>
  <c r="H965" i="2"/>
  <c r="F965" i="2"/>
  <c r="H964" i="2"/>
  <c r="G964" i="2"/>
  <c r="F964" i="2"/>
  <c r="H963" i="2"/>
  <c r="G963" i="2"/>
  <c r="F963" i="2"/>
  <c r="H962" i="2"/>
  <c r="G962" i="2"/>
  <c r="F962" i="2"/>
  <c r="H961" i="2"/>
  <c r="G961" i="2"/>
  <c r="F961" i="2"/>
  <c r="H960" i="2"/>
  <c r="G960" i="2"/>
  <c r="G956" i="2" s="1"/>
  <c r="F960" i="2"/>
  <c r="H959" i="2"/>
  <c r="G959" i="2"/>
  <c r="F959" i="2"/>
  <c r="H958" i="2"/>
  <c r="G958" i="2"/>
  <c r="F958" i="2"/>
  <c r="H957" i="2"/>
  <c r="H956" i="2" s="1"/>
  <c r="G957" i="2"/>
  <c r="F957" i="2"/>
  <c r="F956" i="2" s="1"/>
  <c r="C956" i="2"/>
  <c r="H954" i="2"/>
  <c r="G954" i="2"/>
  <c r="F954" i="2"/>
  <c r="G953" i="2"/>
  <c r="F953" i="2"/>
  <c r="H952" i="2"/>
  <c r="F952" i="2"/>
  <c r="H951" i="2"/>
  <c r="G951" i="2"/>
  <c r="F951" i="2"/>
  <c r="F943" i="2" s="1"/>
  <c r="H950" i="2"/>
  <c r="G950" i="2"/>
  <c r="F950" i="2"/>
  <c r="H949" i="2"/>
  <c r="G949" i="2"/>
  <c r="F949" i="2"/>
  <c r="H948" i="2"/>
  <c r="G948" i="2"/>
  <c r="F948" i="2"/>
  <c r="H947" i="2"/>
  <c r="G947" i="2"/>
  <c r="F947" i="2"/>
  <c r="H946" i="2"/>
  <c r="G946" i="2"/>
  <c r="F946" i="2"/>
  <c r="H945" i="2"/>
  <c r="G945" i="2"/>
  <c r="F945" i="2"/>
  <c r="H944" i="2"/>
  <c r="G944" i="2"/>
  <c r="G943" i="2" s="1"/>
  <c r="F944" i="2"/>
  <c r="C943" i="2"/>
  <c r="H941" i="2"/>
  <c r="G941" i="2"/>
  <c r="F941" i="2"/>
  <c r="G940" i="2"/>
  <c r="F940" i="2"/>
  <c r="H939" i="2"/>
  <c r="F939" i="2"/>
  <c r="H938" i="2"/>
  <c r="F938" i="2"/>
  <c r="H937" i="2"/>
  <c r="G937" i="2"/>
  <c r="F937" i="2"/>
  <c r="H936" i="2"/>
  <c r="G936" i="2"/>
  <c r="F936" i="2"/>
  <c r="H935" i="2"/>
  <c r="G935" i="2"/>
  <c r="F935" i="2"/>
  <c r="H934" i="2"/>
  <c r="G934" i="2"/>
  <c r="F934" i="2"/>
  <c r="H933" i="2"/>
  <c r="G933" i="2"/>
  <c r="F933" i="2"/>
  <c r="H932" i="2"/>
  <c r="G932" i="2"/>
  <c r="F932" i="2"/>
  <c r="H931" i="2"/>
  <c r="G931" i="2"/>
  <c r="F931" i="2"/>
  <c r="H930" i="2"/>
  <c r="H929" i="2" s="1"/>
  <c r="G930" i="2"/>
  <c r="F930" i="2"/>
  <c r="F929" i="2" s="1"/>
  <c r="C929" i="2"/>
  <c r="H927" i="2"/>
  <c r="G927" i="2"/>
  <c r="F927" i="2"/>
  <c r="G926" i="2"/>
  <c r="F926" i="2"/>
  <c r="G925" i="2"/>
  <c r="F925" i="2"/>
  <c r="H924" i="2"/>
  <c r="F924" i="2"/>
  <c r="H923" i="2"/>
  <c r="H917" i="2" s="1"/>
  <c r="G923" i="2"/>
  <c r="F923" i="2"/>
  <c r="H922" i="2"/>
  <c r="G922" i="2"/>
  <c r="F922" i="2"/>
  <c r="H921" i="2"/>
  <c r="G921" i="2"/>
  <c r="F921" i="2"/>
  <c r="F917" i="2" s="1"/>
  <c r="H920" i="2"/>
  <c r="G920" i="2"/>
  <c r="F920" i="2"/>
  <c r="H919" i="2"/>
  <c r="G919" i="2"/>
  <c r="F919" i="2"/>
  <c r="H918" i="2"/>
  <c r="G918" i="2"/>
  <c r="G917" i="2" s="1"/>
  <c r="F918" i="2"/>
  <c r="C917" i="2"/>
  <c r="H915" i="2"/>
  <c r="G915" i="2"/>
  <c r="F915" i="2"/>
  <c r="G914" i="2"/>
  <c r="F914" i="2"/>
  <c r="H913" i="2"/>
  <c r="F913" i="2"/>
  <c r="H912" i="2"/>
  <c r="F912" i="2"/>
  <c r="H911" i="2"/>
  <c r="G911" i="2"/>
  <c r="F911" i="2"/>
  <c r="H910" i="2"/>
  <c r="G910" i="2"/>
  <c r="F910" i="2"/>
  <c r="H909" i="2"/>
  <c r="G909" i="2"/>
  <c r="F909" i="2"/>
  <c r="H908" i="2"/>
  <c r="H904" i="2" s="1"/>
  <c r="G908" i="2"/>
  <c r="F908" i="2"/>
  <c r="H907" i="2"/>
  <c r="G907" i="2"/>
  <c r="F907" i="2"/>
  <c r="H906" i="2"/>
  <c r="G906" i="2"/>
  <c r="F906" i="2"/>
  <c r="F904" i="2" s="1"/>
  <c r="H905" i="2"/>
  <c r="G905" i="2"/>
  <c r="G904" i="2" s="1"/>
  <c r="F905" i="2"/>
  <c r="C904" i="2"/>
  <c r="H902" i="2"/>
  <c r="G902" i="2"/>
  <c r="F902" i="2"/>
  <c r="G901" i="2"/>
  <c r="F901" i="2"/>
  <c r="H900" i="2"/>
  <c r="F900" i="2"/>
  <c r="H899" i="2"/>
  <c r="F899" i="2"/>
  <c r="H898" i="2"/>
  <c r="G898" i="2"/>
  <c r="F898" i="2"/>
  <c r="H897" i="2"/>
  <c r="G897" i="2"/>
  <c r="F897" i="2"/>
  <c r="H896" i="2"/>
  <c r="G896" i="2"/>
  <c r="F896" i="2"/>
  <c r="H895" i="2"/>
  <c r="G895" i="2"/>
  <c r="F895" i="2"/>
  <c r="H894" i="2"/>
  <c r="G894" i="2"/>
  <c r="F894" i="2"/>
  <c r="H893" i="2"/>
  <c r="H889" i="2" s="1"/>
  <c r="G893" i="2"/>
  <c r="F893" i="2"/>
  <c r="H892" i="2"/>
  <c r="G892" i="2"/>
  <c r="F892" i="2"/>
  <c r="H891" i="2"/>
  <c r="G891" i="2"/>
  <c r="G889" i="2" s="1"/>
  <c r="F891" i="2"/>
  <c r="F889" i="2" s="1"/>
  <c r="G890" i="2"/>
  <c r="C889" i="2"/>
  <c r="H887" i="2"/>
  <c r="G887" i="2"/>
  <c r="F887" i="2"/>
  <c r="G886" i="2"/>
  <c r="F886" i="2"/>
  <c r="H885" i="2"/>
  <c r="F885" i="2"/>
  <c r="H884" i="2"/>
  <c r="F884" i="2"/>
  <c r="H883" i="2"/>
  <c r="G883" i="2"/>
  <c r="F883" i="2"/>
  <c r="H882" i="2"/>
  <c r="G882" i="2"/>
  <c r="F882" i="2"/>
  <c r="H881" i="2"/>
  <c r="G881" i="2"/>
  <c r="F881" i="2"/>
  <c r="H880" i="2"/>
  <c r="G880" i="2"/>
  <c r="F880" i="2"/>
  <c r="H879" i="2"/>
  <c r="G879" i="2"/>
  <c r="F879" i="2"/>
  <c r="H878" i="2"/>
  <c r="G878" i="2"/>
  <c r="F878" i="2"/>
  <c r="F874" i="2" s="1"/>
  <c r="H877" i="2"/>
  <c r="G877" i="2"/>
  <c r="F877" i="2"/>
  <c r="H876" i="2"/>
  <c r="G876" i="2"/>
  <c r="F876" i="2"/>
  <c r="G875" i="2"/>
  <c r="H874" i="2"/>
  <c r="C874" i="2"/>
  <c r="H872" i="2"/>
  <c r="G872" i="2"/>
  <c r="F872" i="2"/>
  <c r="G871" i="2"/>
  <c r="F871" i="2"/>
  <c r="H870" i="2"/>
  <c r="F870" i="2"/>
  <c r="H869" i="2"/>
  <c r="G869" i="2"/>
  <c r="F869" i="2"/>
  <c r="H868" i="2"/>
  <c r="G868" i="2"/>
  <c r="F868" i="2"/>
  <c r="H867" i="2"/>
  <c r="G867" i="2"/>
  <c r="F867" i="2"/>
  <c r="H866" i="2"/>
  <c r="G866" i="2"/>
  <c r="F866" i="2"/>
  <c r="H865" i="2"/>
  <c r="G865" i="2"/>
  <c r="G864" i="2" s="1"/>
  <c r="F865" i="2"/>
  <c r="H864" i="2"/>
  <c r="C864" i="2"/>
  <c r="H862" i="2"/>
  <c r="G862" i="2"/>
  <c r="F862" i="2"/>
  <c r="G861" i="2"/>
  <c r="F861" i="2"/>
  <c r="H860" i="2"/>
  <c r="F860" i="2"/>
  <c r="H859" i="2"/>
  <c r="F859" i="2"/>
  <c r="H858" i="2"/>
  <c r="G858" i="2"/>
  <c r="F858" i="2"/>
  <c r="H857" i="2"/>
  <c r="G857" i="2"/>
  <c r="F857" i="2"/>
  <c r="H856" i="2"/>
  <c r="G856" i="2"/>
  <c r="F856" i="2"/>
  <c r="H855" i="2"/>
  <c r="G855" i="2"/>
  <c r="F855" i="2"/>
  <c r="H854" i="2"/>
  <c r="G854" i="2"/>
  <c r="F854" i="2"/>
  <c r="H853" i="2"/>
  <c r="G853" i="2"/>
  <c r="F853" i="2"/>
  <c r="F849" i="2" s="1"/>
  <c r="H852" i="2"/>
  <c r="G852" i="2"/>
  <c r="F852" i="2"/>
  <c r="H851" i="2"/>
  <c r="G851" i="2"/>
  <c r="G849" i="2" s="1"/>
  <c r="F851" i="2"/>
  <c r="G850" i="2"/>
  <c r="H849" i="2"/>
  <c r="C849" i="2"/>
  <c r="H847" i="2"/>
  <c r="G847" i="2"/>
  <c r="F847" i="2"/>
  <c r="G846" i="2"/>
  <c r="F846" i="2"/>
  <c r="G845" i="2"/>
  <c r="F845" i="2"/>
  <c r="H844" i="2"/>
  <c r="F844" i="2"/>
  <c r="H843" i="2"/>
  <c r="F843" i="2"/>
  <c r="H842" i="2"/>
  <c r="G842" i="2"/>
  <c r="G834" i="2" s="1"/>
  <c r="F842" i="2"/>
  <c r="H841" i="2"/>
  <c r="G841" i="2"/>
  <c r="F841" i="2"/>
  <c r="H840" i="2"/>
  <c r="G840" i="2"/>
  <c r="F840" i="2"/>
  <c r="H839" i="2"/>
  <c r="G839" i="2"/>
  <c r="F839" i="2"/>
  <c r="H838" i="2"/>
  <c r="G838" i="2"/>
  <c r="F838" i="2"/>
  <c r="H837" i="2"/>
  <c r="G837" i="2"/>
  <c r="F837" i="2"/>
  <c r="H836" i="2"/>
  <c r="G836" i="2"/>
  <c r="F836" i="2"/>
  <c r="H835" i="2"/>
  <c r="G835" i="2"/>
  <c r="F835" i="2"/>
  <c r="C834" i="2"/>
  <c r="H832" i="2"/>
  <c r="G832" i="2"/>
  <c r="F832" i="2"/>
  <c r="H831" i="2"/>
  <c r="F831" i="2"/>
  <c r="H830" i="2"/>
  <c r="F830" i="2"/>
  <c r="H829" i="2"/>
  <c r="G829" i="2"/>
  <c r="F829" i="2"/>
  <c r="H828" i="2"/>
  <c r="G828" i="2"/>
  <c r="F828" i="2"/>
  <c r="H827" i="2"/>
  <c r="H822" i="2" s="1"/>
  <c r="G827" i="2"/>
  <c r="F827" i="2"/>
  <c r="H826" i="2"/>
  <c r="G826" i="2"/>
  <c r="F826" i="2"/>
  <c r="H825" i="2"/>
  <c r="G825" i="2"/>
  <c r="F825" i="2"/>
  <c r="F822" i="2" s="1"/>
  <c r="H824" i="2"/>
  <c r="G824" i="2"/>
  <c r="G822" i="2" s="1"/>
  <c r="F824" i="2"/>
  <c r="G823" i="2"/>
  <c r="C822" i="2"/>
  <c r="H820" i="2"/>
  <c r="G820" i="2"/>
  <c r="F820" i="2"/>
  <c r="G819" i="2"/>
  <c r="F819" i="2"/>
  <c r="H818" i="2"/>
  <c r="F818" i="2"/>
  <c r="H817" i="2"/>
  <c r="F817" i="2"/>
  <c r="H816" i="2"/>
  <c r="G816" i="2"/>
  <c r="F816" i="2"/>
  <c r="H815" i="2"/>
  <c r="G815" i="2"/>
  <c r="F815" i="2"/>
  <c r="H814" i="2"/>
  <c r="H807" i="2" s="1"/>
  <c r="G814" i="2"/>
  <c r="F814" i="2"/>
  <c r="H813" i="2"/>
  <c r="G813" i="2"/>
  <c r="F813" i="2"/>
  <c r="H812" i="2"/>
  <c r="G812" i="2"/>
  <c r="F812" i="2"/>
  <c r="F807" i="2" s="1"/>
  <c r="H811" i="2"/>
  <c r="G811" i="2"/>
  <c r="F811" i="2"/>
  <c r="H810" i="2"/>
  <c r="G810" i="2"/>
  <c r="F810" i="2"/>
  <c r="H809" i="2"/>
  <c r="G809" i="2"/>
  <c r="F809" i="2"/>
  <c r="G808" i="2"/>
  <c r="G807" i="2" s="1"/>
  <c r="C807" i="2"/>
  <c r="H805" i="2"/>
  <c r="G805" i="2"/>
  <c r="F805" i="2"/>
  <c r="G804" i="2"/>
  <c r="F804" i="2"/>
  <c r="H803" i="2"/>
  <c r="F803" i="2"/>
  <c r="H802" i="2"/>
  <c r="G802" i="2"/>
  <c r="F802" i="2"/>
  <c r="H801" i="2"/>
  <c r="G801" i="2"/>
  <c r="F801" i="2"/>
  <c r="H800" i="2"/>
  <c r="G800" i="2"/>
  <c r="F800" i="2"/>
  <c r="H799" i="2"/>
  <c r="G799" i="2"/>
  <c r="G795" i="2" s="1"/>
  <c r="F799" i="2"/>
  <c r="H798" i="2"/>
  <c r="G798" i="2"/>
  <c r="F798" i="2"/>
  <c r="H797" i="2"/>
  <c r="G797" i="2"/>
  <c r="F797" i="2"/>
  <c r="H796" i="2"/>
  <c r="H795" i="2" s="1"/>
  <c r="G796" i="2"/>
  <c r="F796" i="2"/>
  <c r="C795" i="2"/>
  <c r="H793" i="2"/>
  <c r="G793" i="2"/>
  <c r="F793" i="2"/>
  <c r="G792" i="2"/>
  <c r="F792" i="2"/>
  <c r="H791" i="2"/>
  <c r="F791" i="2"/>
  <c r="H790" i="2"/>
  <c r="F790" i="2"/>
  <c r="H789" i="2"/>
  <c r="G789" i="2"/>
  <c r="F789" i="2"/>
  <c r="H788" i="2"/>
  <c r="G788" i="2"/>
  <c r="F788" i="2"/>
  <c r="H787" i="2"/>
  <c r="G787" i="2"/>
  <c r="F787" i="2"/>
  <c r="F780" i="2" s="1"/>
  <c r="H786" i="2"/>
  <c r="G786" i="2"/>
  <c r="F786" i="2"/>
  <c r="H785" i="2"/>
  <c r="G785" i="2"/>
  <c r="F785" i="2"/>
  <c r="H784" i="2"/>
  <c r="G784" i="2"/>
  <c r="F784" i="2"/>
  <c r="H783" i="2"/>
  <c r="G783" i="2"/>
  <c r="F783" i="2"/>
  <c r="H782" i="2"/>
  <c r="G782" i="2"/>
  <c r="F782" i="2"/>
  <c r="G781" i="2"/>
  <c r="G780" i="2" s="1"/>
  <c r="C780" i="2"/>
  <c r="H778" i="2"/>
  <c r="G778" i="2"/>
  <c r="F778" i="2"/>
  <c r="H777" i="2"/>
  <c r="F777" i="2"/>
  <c r="H776" i="2"/>
  <c r="G776" i="2"/>
  <c r="F776" i="2"/>
  <c r="H775" i="2"/>
  <c r="G775" i="2"/>
  <c r="F775" i="2"/>
  <c r="H774" i="2"/>
  <c r="G774" i="2"/>
  <c r="F774" i="2"/>
  <c r="H773" i="2"/>
  <c r="G773" i="2"/>
  <c r="F773" i="2"/>
  <c r="H772" i="2"/>
  <c r="G772" i="2"/>
  <c r="F772" i="2"/>
  <c r="F768" i="2" s="1"/>
  <c r="H771" i="2"/>
  <c r="G771" i="2"/>
  <c r="F771" i="2"/>
  <c r="H770" i="2"/>
  <c r="G770" i="2"/>
  <c r="G768" i="2" s="1"/>
  <c r="F770" i="2"/>
  <c r="G769" i="2"/>
  <c r="H768" i="2"/>
  <c r="C768" i="2"/>
  <c r="H766" i="2"/>
  <c r="G766" i="2"/>
  <c r="F766" i="2"/>
  <c r="G765" i="2"/>
  <c r="G764" i="2"/>
  <c r="F764" i="2"/>
  <c r="H763" i="2"/>
  <c r="F763" i="2"/>
  <c r="H762" i="2"/>
  <c r="F762" i="2"/>
  <c r="H761" i="2"/>
  <c r="G761" i="2"/>
  <c r="F761" i="2"/>
  <c r="H760" i="2"/>
  <c r="G760" i="2"/>
  <c r="F760" i="2"/>
  <c r="H759" i="2"/>
  <c r="G759" i="2"/>
  <c r="F759" i="2"/>
  <c r="H758" i="2"/>
  <c r="G758" i="2"/>
  <c r="G752" i="2" s="1"/>
  <c r="F758" i="2"/>
  <c r="H757" i="2"/>
  <c r="G757" i="2"/>
  <c r="F757" i="2"/>
  <c r="H756" i="2"/>
  <c r="G756" i="2"/>
  <c r="F756" i="2"/>
  <c r="H755" i="2"/>
  <c r="G755" i="2"/>
  <c r="F755" i="2"/>
  <c r="H754" i="2"/>
  <c r="G754" i="2"/>
  <c r="F754" i="2"/>
  <c r="F752" i="2" s="1"/>
  <c r="G753" i="2"/>
  <c r="C752" i="2"/>
  <c r="H750" i="2"/>
  <c r="G750" i="2"/>
  <c r="F750" i="2"/>
  <c r="G749" i="2"/>
  <c r="G748" i="2"/>
  <c r="F748" i="2"/>
  <c r="G747" i="2"/>
  <c r="F747" i="2"/>
  <c r="H746" i="2"/>
  <c r="F746" i="2"/>
  <c r="H745" i="2"/>
  <c r="F745" i="2"/>
  <c r="H744" i="2"/>
  <c r="G744" i="2"/>
  <c r="F744" i="2"/>
  <c r="H743" i="2"/>
  <c r="G743" i="2"/>
  <c r="F743" i="2"/>
  <c r="G742" i="2"/>
  <c r="H741" i="2"/>
  <c r="G741" i="2"/>
  <c r="F741" i="2"/>
  <c r="F734" i="2" s="1"/>
  <c r="H740" i="2"/>
  <c r="G740" i="2"/>
  <c r="F740" i="2"/>
  <c r="H739" i="2"/>
  <c r="G739" i="2"/>
  <c r="F739" i="2"/>
  <c r="H738" i="2"/>
  <c r="G738" i="2"/>
  <c r="F738" i="2"/>
  <c r="H737" i="2"/>
  <c r="G737" i="2"/>
  <c r="F737" i="2"/>
  <c r="H736" i="2"/>
  <c r="H734" i="2" s="1"/>
  <c r="G736" i="2"/>
  <c r="F736" i="2"/>
  <c r="G735" i="2"/>
  <c r="G734" i="2" s="1"/>
  <c r="C734" i="2"/>
  <c r="H732" i="2"/>
  <c r="G732" i="2"/>
  <c r="F732" i="2"/>
  <c r="H731" i="2"/>
  <c r="F731" i="2"/>
  <c r="H730" i="2"/>
  <c r="G730" i="2"/>
  <c r="F730" i="2"/>
  <c r="H729" i="2"/>
  <c r="G729" i="2"/>
  <c r="F729" i="2"/>
  <c r="H728" i="2"/>
  <c r="H725" i="2" s="1"/>
  <c r="G728" i="2"/>
  <c r="F728" i="2"/>
  <c r="H727" i="2"/>
  <c r="G727" i="2"/>
  <c r="F727" i="2"/>
  <c r="H726" i="2"/>
  <c r="G726" i="2"/>
  <c r="F726" i="2"/>
  <c r="F725" i="2" s="1"/>
  <c r="G725" i="2"/>
  <c r="C725" i="2"/>
  <c r="H723" i="2"/>
  <c r="G723" i="2"/>
  <c r="F723" i="2"/>
  <c r="G722" i="2"/>
  <c r="F722" i="2"/>
  <c r="H721" i="2"/>
  <c r="F721" i="2"/>
  <c r="H720" i="2"/>
  <c r="F720" i="2"/>
  <c r="H719" i="2"/>
  <c r="G719" i="2"/>
  <c r="F719" i="2"/>
  <c r="H718" i="2"/>
  <c r="G718" i="2"/>
  <c r="F718" i="2"/>
  <c r="H717" i="2"/>
  <c r="G717" i="2"/>
  <c r="F717" i="2"/>
  <c r="H716" i="2"/>
  <c r="G716" i="2"/>
  <c r="G713" i="2" s="1"/>
  <c r="F716" i="2"/>
  <c r="H714" i="2"/>
  <c r="H713" i="2" s="1"/>
  <c r="G714" i="2"/>
  <c r="F714" i="2"/>
  <c r="F713" i="2" s="1"/>
  <c r="C713" i="2"/>
  <c r="H711" i="2"/>
  <c r="G711" i="2"/>
  <c r="F711" i="2"/>
  <c r="G710" i="2"/>
  <c r="F710" i="2"/>
  <c r="H709" i="2"/>
  <c r="F709" i="2"/>
  <c r="H708" i="2"/>
  <c r="H704" i="2" s="1"/>
  <c r="G708" i="2"/>
  <c r="F708" i="2"/>
  <c r="H707" i="2"/>
  <c r="G707" i="2"/>
  <c r="F707" i="2"/>
  <c r="H706" i="2"/>
  <c r="G706" i="2"/>
  <c r="F706" i="2"/>
  <c r="F704" i="2" s="1"/>
  <c r="H705" i="2"/>
  <c r="G705" i="2"/>
  <c r="G704" i="2" s="1"/>
  <c r="F705" i="2"/>
  <c r="C704" i="2"/>
  <c r="H702" i="2"/>
  <c r="G702" i="2"/>
  <c r="F702" i="2"/>
  <c r="G701" i="2"/>
  <c r="F701" i="2"/>
  <c r="H700" i="2"/>
  <c r="F700" i="2"/>
  <c r="H699" i="2"/>
  <c r="F699" i="2"/>
  <c r="H698" i="2"/>
  <c r="G698" i="2"/>
  <c r="F698" i="2"/>
  <c r="H697" i="2"/>
  <c r="G697" i="2"/>
  <c r="F697" i="2"/>
  <c r="G696" i="2"/>
  <c r="H695" i="2"/>
  <c r="H688" i="2" s="1"/>
  <c r="G695" i="2"/>
  <c r="F695" i="2"/>
  <c r="H694" i="2"/>
  <c r="G694" i="2"/>
  <c r="F694" i="2"/>
  <c r="H693" i="2"/>
  <c r="G693" i="2"/>
  <c r="F693" i="2"/>
  <c r="H692" i="2"/>
  <c r="G692" i="2"/>
  <c r="F692" i="2"/>
  <c r="H691" i="2"/>
  <c r="G691" i="2"/>
  <c r="F691" i="2"/>
  <c r="H690" i="2"/>
  <c r="G690" i="2"/>
  <c r="F690" i="2"/>
  <c r="F688" i="2" s="1"/>
  <c r="G689" i="2"/>
  <c r="G688" i="2" s="1"/>
  <c r="C688" i="2"/>
  <c r="H686" i="2"/>
  <c r="G686" i="2"/>
  <c r="F686" i="2"/>
  <c r="G685" i="2"/>
  <c r="F685" i="2"/>
  <c r="G684" i="2"/>
  <c r="F684" i="2"/>
  <c r="H683" i="2"/>
  <c r="F683" i="2"/>
  <c r="H682" i="2"/>
  <c r="F682" i="2"/>
  <c r="H681" i="2"/>
  <c r="G681" i="2"/>
  <c r="F681" i="2"/>
  <c r="H680" i="2"/>
  <c r="G680" i="2"/>
  <c r="F680" i="2"/>
  <c r="H679" i="2"/>
  <c r="G679" i="2"/>
  <c r="F679" i="2"/>
  <c r="H678" i="2"/>
  <c r="G678" i="2"/>
  <c r="F678" i="2"/>
  <c r="H677" i="2"/>
  <c r="G677" i="2"/>
  <c r="F677" i="2"/>
  <c r="H676" i="2"/>
  <c r="G676" i="2"/>
  <c r="F676" i="2"/>
  <c r="H675" i="2"/>
  <c r="G675" i="2"/>
  <c r="F675" i="2"/>
  <c r="H674" i="2"/>
  <c r="G674" i="2"/>
  <c r="F674" i="2"/>
  <c r="G673" i="2"/>
  <c r="C672" i="2"/>
  <c r="H670" i="2"/>
  <c r="G670" i="2"/>
  <c r="F670" i="2"/>
  <c r="G669" i="2"/>
  <c r="F669" i="2"/>
  <c r="H668" i="2"/>
  <c r="F668" i="2"/>
  <c r="H667" i="2"/>
  <c r="F667" i="2"/>
  <c r="H666" i="2"/>
  <c r="G666" i="2"/>
  <c r="F666" i="2"/>
  <c r="H665" i="2"/>
  <c r="G665" i="2"/>
  <c r="F665" i="2"/>
  <c r="H664" i="2"/>
  <c r="G664" i="2"/>
  <c r="F664" i="2"/>
  <c r="F658" i="2" s="1"/>
  <c r="H663" i="2"/>
  <c r="G663" i="2"/>
  <c r="F663" i="2"/>
  <c r="H662" i="2"/>
  <c r="G662" i="2"/>
  <c r="F662" i="2"/>
  <c r="H661" i="2"/>
  <c r="G661" i="2"/>
  <c r="G658" i="2" s="1"/>
  <c r="F661" i="2"/>
  <c r="H660" i="2"/>
  <c r="G660" i="2"/>
  <c r="F660" i="2"/>
  <c r="H659" i="2"/>
  <c r="G659" i="2"/>
  <c r="F659" i="2"/>
  <c r="H658" i="2"/>
  <c r="C658" i="2"/>
  <c r="H656" i="2"/>
  <c r="G656" i="2"/>
  <c r="F656" i="2"/>
  <c r="G655" i="2"/>
  <c r="F655" i="2"/>
  <c r="H654" i="2"/>
  <c r="F654" i="2"/>
  <c r="H653" i="2"/>
  <c r="F653" i="2"/>
  <c r="H652" i="2"/>
  <c r="G652" i="2"/>
  <c r="F652" i="2"/>
  <c r="H651" i="2"/>
  <c r="G651" i="2"/>
  <c r="F651" i="2"/>
  <c r="H650" i="2"/>
  <c r="G650" i="2"/>
  <c r="F650" i="2"/>
  <c r="H649" i="2"/>
  <c r="G649" i="2"/>
  <c r="F649" i="2"/>
  <c r="H648" i="2"/>
  <c r="G648" i="2"/>
  <c r="F648" i="2"/>
  <c r="H647" i="2"/>
  <c r="G647" i="2"/>
  <c r="F647" i="2"/>
  <c r="H646" i="2"/>
  <c r="G646" i="2"/>
  <c r="G644" i="2" s="1"/>
  <c r="F646" i="2"/>
  <c r="H645" i="2"/>
  <c r="H644" i="2" s="1"/>
  <c r="G645" i="2"/>
  <c r="F645" i="2"/>
  <c r="F644" i="2" s="1"/>
  <c r="C644" i="2"/>
  <c r="H642" i="2"/>
  <c r="G642" i="2"/>
  <c r="F642" i="2"/>
  <c r="G641" i="2"/>
  <c r="F641" i="2"/>
  <c r="H640" i="2"/>
  <c r="F640" i="2"/>
  <c r="H639" i="2"/>
  <c r="F639" i="2"/>
  <c r="H638" i="2"/>
  <c r="G638" i="2"/>
  <c r="F638" i="2"/>
  <c r="H637" i="2"/>
  <c r="G637" i="2"/>
  <c r="F637" i="2"/>
  <c r="G636" i="2"/>
  <c r="H635" i="2"/>
  <c r="G635" i="2"/>
  <c r="F635" i="2"/>
  <c r="H634" i="2"/>
  <c r="G634" i="2"/>
  <c r="F634" i="2"/>
  <c r="H633" i="2"/>
  <c r="G633" i="2"/>
  <c r="F633" i="2"/>
  <c r="H632" i="2"/>
  <c r="G632" i="2"/>
  <c r="F632" i="2"/>
  <c r="H631" i="2"/>
  <c r="G631" i="2"/>
  <c r="F631" i="2"/>
  <c r="H630" i="2"/>
  <c r="H629" i="2" s="1"/>
  <c r="G630" i="2"/>
  <c r="F630" i="2"/>
  <c r="F629" i="2" s="1"/>
  <c r="C629" i="2"/>
  <c r="H627" i="2"/>
  <c r="G627" i="2"/>
  <c r="F627" i="2"/>
  <c r="G626" i="2"/>
  <c r="F626" i="2"/>
  <c r="H625" i="2"/>
  <c r="F625" i="2"/>
  <c r="H624" i="2"/>
  <c r="F624" i="2"/>
  <c r="H623" i="2"/>
  <c r="G623" i="2"/>
  <c r="F623" i="2"/>
  <c r="H622" i="2"/>
  <c r="G622" i="2"/>
  <c r="F622" i="2"/>
  <c r="H621" i="2"/>
  <c r="G621" i="2"/>
  <c r="F621" i="2"/>
  <c r="F615" i="2" s="1"/>
  <c r="H620" i="2"/>
  <c r="G620" i="2"/>
  <c r="F620" i="2"/>
  <c r="H619" i="2"/>
  <c r="G619" i="2"/>
  <c r="F619" i="2"/>
  <c r="H618" i="2"/>
  <c r="G618" i="2"/>
  <c r="G615" i="2" s="1"/>
  <c r="F618" i="2"/>
  <c r="H617" i="2"/>
  <c r="G617" i="2"/>
  <c r="F617" i="2"/>
  <c r="H616" i="2"/>
  <c r="G616" i="2"/>
  <c r="F616" i="2"/>
  <c r="H615" i="2"/>
  <c r="C615" i="2"/>
  <c r="H613" i="2"/>
  <c r="G613" i="2"/>
  <c r="F613" i="2"/>
  <c r="G612" i="2"/>
  <c r="F612" i="2"/>
  <c r="H611" i="2"/>
  <c r="F611" i="2"/>
  <c r="H610" i="2"/>
  <c r="F610" i="2"/>
  <c r="H609" i="2"/>
  <c r="G609" i="2"/>
  <c r="F609" i="2"/>
  <c r="H608" i="2"/>
  <c r="H602" i="2" s="1"/>
  <c r="G608" i="2"/>
  <c r="F608" i="2"/>
  <c r="H607" i="2"/>
  <c r="G607" i="2"/>
  <c r="F607" i="2"/>
  <c r="H606" i="2"/>
  <c r="G606" i="2"/>
  <c r="F606" i="2"/>
  <c r="F602" i="2" s="1"/>
  <c r="H605" i="2"/>
  <c r="G605" i="2"/>
  <c r="F605" i="2"/>
  <c r="H604" i="2"/>
  <c r="G604" i="2"/>
  <c r="F604" i="2"/>
  <c r="H603" i="2"/>
  <c r="G603" i="2"/>
  <c r="G602" i="2" s="1"/>
  <c r="F603" i="2"/>
  <c r="C602" i="2"/>
  <c r="H600" i="2"/>
  <c r="G600" i="2"/>
  <c r="F600" i="2"/>
  <c r="H599" i="2"/>
  <c r="F599" i="2"/>
  <c r="H598" i="2"/>
  <c r="G598" i="2"/>
  <c r="F598" i="2"/>
  <c r="H597" i="2"/>
  <c r="G597" i="2"/>
  <c r="F597" i="2"/>
  <c r="H596" i="2"/>
  <c r="G596" i="2"/>
  <c r="F596" i="2"/>
  <c r="H595" i="2"/>
  <c r="G595" i="2"/>
  <c r="F595" i="2"/>
  <c r="H594" i="2"/>
  <c r="G594" i="2"/>
  <c r="F594" i="2"/>
  <c r="H593" i="2"/>
  <c r="H591" i="2" s="1"/>
  <c r="G593" i="2"/>
  <c r="F593" i="2"/>
  <c r="G592" i="2"/>
  <c r="G591" i="2" s="1"/>
  <c r="F591" i="2"/>
  <c r="C591" i="2"/>
  <c r="H589" i="2"/>
  <c r="G589" i="2"/>
  <c r="F589" i="2"/>
  <c r="G588" i="2"/>
  <c r="F588" i="2"/>
  <c r="H587" i="2"/>
  <c r="F587" i="2"/>
  <c r="H586" i="2"/>
  <c r="G586" i="2"/>
  <c r="F586" i="2"/>
  <c r="H585" i="2"/>
  <c r="G585" i="2"/>
  <c r="F585" i="2"/>
  <c r="H584" i="2"/>
  <c r="G584" i="2"/>
  <c r="F584" i="2"/>
  <c r="H583" i="2"/>
  <c r="G583" i="2"/>
  <c r="F583" i="2"/>
  <c r="H582" i="2"/>
  <c r="G582" i="2"/>
  <c r="F582" i="2"/>
  <c r="H581" i="2"/>
  <c r="H580" i="2" s="1"/>
  <c r="G581" i="2"/>
  <c r="F581" i="2"/>
  <c r="C580" i="2"/>
  <c r="H578" i="2"/>
  <c r="G578" i="2"/>
  <c r="F578" i="2"/>
  <c r="G577" i="2"/>
  <c r="G576" i="2"/>
  <c r="F576" i="2"/>
  <c r="G575" i="2"/>
  <c r="F575" i="2"/>
  <c r="H574" i="2"/>
  <c r="F574" i="2"/>
  <c r="H573" i="2"/>
  <c r="F573" i="2"/>
  <c r="H572" i="2"/>
  <c r="G572" i="2"/>
  <c r="F572" i="2"/>
  <c r="H571" i="2"/>
  <c r="G571" i="2"/>
  <c r="F571" i="2"/>
  <c r="H570" i="2"/>
  <c r="G570" i="2"/>
  <c r="F570" i="2"/>
  <c r="H569" i="2"/>
  <c r="G569" i="2"/>
  <c r="F569" i="2"/>
  <c r="H568" i="2"/>
  <c r="G568" i="2"/>
  <c r="G563" i="2" s="1"/>
  <c r="F568" i="2"/>
  <c r="H567" i="2"/>
  <c r="G567" i="2"/>
  <c r="F567" i="2"/>
  <c r="H566" i="2"/>
  <c r="G566" i="2"/>
  <c r="F566" i="2"/>
  <c r="H565" i="2"/>
  <c r="G565" i="2"/>
  <c r="F565" i="2"/>
  <c r="F563" i="2" s="1"/>
  <c r="G564" i="2"/>
  <c r="C563" i="2"/>
  <c r="H561" i="2"/>
  <c r="G561" i="2"/>
  <c r="F561" i="2"/>
  <c r="G560" i="2"/>
  <c r="G559" i="2"/>
  <c r="F559" i="2"/>
  <c r="H558" i="2"/>
  <c r="F558" i="2"/>
  <c r="H557" i="2"/>
  <c r="F557" i="2"/>
  <c r="H556" i="2"/>
  <c r="G556" i="2"/>
  <c r="F556" i="2"/>
  <c r="H555" i="2"/>
  <c r="G555" i="2"/>
  <c r="F555" i="2"/>
  <c r="H554" i="2"/>
  <c r="G554" i="2"/>
  <c r="F554" i="2"/>
  <c r="H553" i="2"/>
  <c r="G553" i="2"/>
  <c r="F553" i="2"/>
  <c r="H552" i="2"/>
  <c r="G552" i="2"/>
  <c r="F552" i="2"/>
  <c r="F547" i="2" s="1"/>
  <c r="H551" i="2"/>
  <c r="G551" i="2"/>
  <c r="F551" i="2"/>
  <c r="H550" i="2"/>
  <c r="G550" i="2"/>
  <c r="F550" i="2"/>
  <c r="H549" i="2"/>
  <c r="G549" i="2"/>
  <c r="F549" i="2"/>
  <c r="G548" i="2"/>
  <c r="C547" i="2"/>
  <c r="H545" i="2"/>
  <c r="G545" i="2"/>
  <c r="F545" i="2"/>
  <c r="H544" i="2"/>
  <c r="F544" i="2"/>
  <c r="H543" i="2"/>
  <c r="G543" i="2"/>
  <c r="F543" i="2"/>
  <c r="H542" i="2"/>
  <c r="G542" i="2"/>
  <c r="F542" i="2"/>
  <c r="H541" i="2"/>
  <c r="G541" i="2"/>
  <c r="F541" i="2"/>
  <c r="H540" i="2"/>
  <c r="G540" i="2"/>
  <c r="F540" i="2"/>
  <c r="H539" i="2"/>
  <c r="H537" i="2" s="1"/>
  <c r="G539" i="2"/>
  <c r="F539" i="2"/>
  <c r="F537" i="2" s="1"/>
  <c r="H538" i="2"/>
  <c r="G538" i="2"/>
  <c r="F538" i="2"/>
  <c r="C537" i="2"/>
  <c r="H535" i="2"/>
  <c r="G535" i="2"/>
  <c r="F535" i="2"/>
  <c r="G534" i="2"/>
  <c r="F534" i="2"/>
  <c r="H533" i="2"/>
  <c r="F533" i="2"/>
  <c r="H532" i="2"/>
  <c r="F532" i="2"/>
  <c r="H531" i="2"/>
  <c r="G531" i="2"/>
  <c r="F531" i="2"/>
  <c r="H530" i="2"/>
  <c r="G530" i="2"/>
  <c r="F530" i="2"/>
  <c r="H529" i="2"/>
  <c r="G529" i="2"/>
  <c r="F529" i="2"/>
  <c r="H528" i="2"/>
  <c r="G528" i="2"/>
  <c r="F528" i="2"/>
  <c r="H527" i="2"/>
  <c r="G527" i="2"/>
  <c r="F527" i="2"/>
  <c r="H526" i="2"/>
  <c r="C526" i="2"/>
  <c r="H524" i="2"/>
  <c r="G524" i="2"/>
  <c r="F524" i="2"/>
  <c r="G523" i="2"/>
  <c r="F523" i="2"/>
  <c r="H522" i="2"/>
  <c r="F522" i="2"/>
  <c r="H521" i="2"/>
  <c r="G521" i="2"/>
  <c r="F521" i="2"/>
  <c r="H520" i="2"/>
  <c r="G520" i="2"/>
  <c r="F520" i="2"/>
  <c r="H519" i="2"/>
  <c r="G519" i="2"/>
  <c r="F519" i="2"/>
  <c r="H518" i="2"/>
  <c r="G518" i="2"/>
  <c r="F518" i="2"/>
  <c r="F513" i="2" s="1"/>
  <c r="H517" i="2"/>
  <c r="G517" i="2"/>
  <c r="F517" i="2"/>
  <c r="H516" i="2"/>
  <c r="G516" i="2"/>
  <c r="F516" i="2"/>
  <c r="H515" i="2"/>
  <c r="G515" i="2"/>
  <c r="G513" i="2" s="1"/>
  <c r="F515" i="2"/>
  <c r="H514" i="2"/>
  <c r="G514" i="2"/>
  <c r="F514" i="2"/>
  <c r="C513" i="2"/>
  <c r="H511" i="2"/>
  <c r="G511" i="2"/>
  <c r="F511" i="2"/>
  <c r="G510" i="2"/>
  <c r="F510" i="2"/>
  <c r="H509" i="2"/>
  <c r="F509" i="2"/>
  <c r="H508" i="2"/>
  <c r="G508" i="2"/>
  <c r="F508" i="2"/>
  <c r="H507" i="2"/>
  <c r="G507" i="2"/>
  <c r="F507" i="2"/>
  <c r="H506" i="2"/>
  <c r="G506" i="2"/>
  <c r="F506" i="2"/>
  <c r="H505" i="2"/>
  <c r="G505" i="2"/>
  <c r="F505" i="2"/>
  <c r="H504" i="2"/>
  <c r="G504" i="2"/>
  <c r="F504" i="2"/>
  <c r="H503" i="2"/>
  <c r="G503" i="2"/>
  <c r="F503" i="2"/>
  <c r="H502" i="2"/>
  <c r="G502" i="2"/>
  <c r="F502" i="2"/>
  <c r="H501" i="2"/>
  <c r="G501" i="2"/>
  <c r="F501" i="2"/>
  <c r="F499" i="2" s="1"/>
  <c r="G500" i="2"/>
  <c r="G499" i="2" s="1"/>
  <c r="C499" i="2"/>
  <c r="H497" i="2"/>
  <c r="G497" i="2"/>
  <c r="F497" i="2"/>
  <c r="G496" i="2"/>
  <c r="F496" i="2"/>
  <c r="H495" i="2"/>
  <c r="F495" i="2"/>
  <c r="H494" i="2"/>
  <c r="G494" i="2"/>
  <c r="F494" i="2"/>
  <c r="H493" i="2"/>
  <c r="G493" i="2"/>
  <c r="G487" i="2" s="1"/>
  <c r="F493" i="2"/>
  <c r="H492" i="2"/>
  <c r="G492" i="2"/>
  <c r="F492" i="2"/>
  <c r="H491" i="2"/>
  <c r="G491" i="2"/>
  <c r="F491" i="2"/>
  <c r="H490" i="2"/>
  <c r="G490" i="2"/>
  <c r="F490" i="2"/>
  <c r="H489" i="2"/>
  <c r="G489" i="2"/>
  <c r="F489" i="2"/>
  <c r="G488" i="2"/>
  <c r="C487" i="2"/>
  <c r="H485" i="2"/>
  <c r="G485" i="2"/>
  <c r="F485" i="2"/>
  <c r="G484" i="2"/>
  <c r="F484" i="2"/>
  <c r="H483" i="2"/>
  <c r="F483" i="2"/>
  <c r="H482" i="2"/>
  <c r="F482" i="2"/>
  <c r="H481" i="2"/>
  <c r="G481" i="2"/>
  <c r="F481" i="2"/>
  <c r="H480" i="2"/>
  <c r="G480" i="2"/>
  <c r="F480" i="2"/>
  <c r="H479" i="2"/>
  <c r="G479" i="2"/>
  <c r="F479" i="2"/>
  <c r="H478" i="2"/>
  <c r="G478" i="2"/>
  <c r="F478" i="2"/>
  <c r="H477" i="2"/>
  <c r="G477" i="2"/>
  <c r="F477" i="2"/>
  <c r="H476" i="2"/>
  <c r="G476" i="2"/>
  <c r="F476" i="2"/>
  <c r="H475" i="2"/>
  <c r="G475" i="2"/>
  <c r="F475" i="2"/>
  <c r="H474" i="2"/>
  <c r="G474" i="2"/>
  <c r="G472" i="2" s="1"/>
  <c r="F474" i="2"/>
  <c r="G473" i="2"/>
  <c r="C472" i="2"/>
  <c r="H470" i="2"/>
  <c r="G470" i="2"/>
  <c r="F470" i="2"/>
  <c r="G469" i="2"/>
  <c r="F469" i="2"/>
  <c r="H468" i="2"/>
  <c r="F468" i="2"/>
  <c r="H467" i="2"/>
  <c r="G467" i="2"/>
  <c r="F467" i="2"/>
  <c r="H466" i="2"/>
  <c r="G466" i="2"/>
  <c r="F466" i="2"/>
  <c r="H465" i="2"/>
  <c r="G465" i="2"/>
  <c r="F465" i="2"/>
  <c r="H464" i="2"/>
  <c r="G464" i="2"/>
  <c r="F464" i="2"/>
  <c r="H463" i="2"/>
  <c r="G463" i="2"/>
  <c r="F463" i="2"/>
  <c r="H462" i="2"/>
  <c r="G462" i="2"/>
  <c r="F462" i="2"/>
  <c r="H461" i="2"/>
  <c r="H460" i="2" s="1"/>
  <c r="G461" i="2"/>
  <c r="F461" i="2"/>
  <c r="C460" i="2"/>
  <c r="H458" i="2"/>
  <c r="G458" i="2"/>
  <c r="F458" i="2"/>
  <c r="G457" i="2"/>
  <c r="F457" i="2"/>
  <c r="H456" i="2"/>
  <c r="F456" i="2"/>
  <c r="H455" i="2"/>
  <c r="G455" i="2"/>
  <c r="F455" i="2"/>
  <c r="H454" i="2"/>
  <c r="G454" i="2"/>
  <c r="F454" i="2"/>
  <c r="H453" i="2"/>
  <c r="G453" i="2"/>
  <c r="F453" i="2"/>
  <c r="H452" i="2"/>
  <c r="G452" i="2"/>
  <c r="F452" i="2"/>
  <c r="H451" i="2"/>
  <c r="G451" i="2"/>
  <c r="F451" i="2"/>
  <c r="H450" i="2"/>
  <c r="G450" i="2"/>
  <c r="F450" i="2"/>
  <c r="H449" i="2"/>
  <c r="G449" i="2"/>
  <c r="F449" i="2"/>
  <c r="H448" i="2"/>
  <c r="G448" i="2"/>
  <c r="F448" i="2"/>
  <c r="G447" i="2"/>
  <c r="G446" i="2"/>
  <c r="C446" i="2"/>
  <c r="H444" i="2"/>
  <c r="G444" i="2"/>
  <c r="F444" i="2"/>
  <c r="H443" i="2"/>
  <c r="H442" i="2" s="1"/>
  <c r="G443" i="2"/>
  <c r="F443" i="2"/>
  <c r="F442" i="2" s="1"/>
  <c r="G442" i="2"/>
  <c r="C442" i="2"/>
  <c r="H440" i="2"/>
  <c r="G440" i="2"/>
  <c r="F440" i="2"/>
  <c r="G439" i="2"/>
  <c r="F439" i="2"/>
  <c r="H438" i="2"/>
  <c r="F438" i="2"/>
  <c r="H437" i="2"/>
  <c r="F437" i="2"/>
  <c r="H436" i="2"/>
  <c r="G436" i="2"/>
  <c r="F436" i="2"/>
  <c r="H435" i="2"/>
  <c r="G435" i="2"/>
  <c r="F435" i="2"/>
  <c r="H434" i="2"/>
  <c r="G434" i="2"/>
  <c r="F434" i="2"/>
  <c r="H433" i="2"/>
  <c r="G433" i="2"/>
  <c r="F433" i="2"/>
  <c r="H432" i="2"/>
  <c r="G432" i="2"/>
  <c r="F432" i="2"/>
  <c r="F427" i="2" s="1"/>
  <c r="H431" i="2"/>
  <c r="G431" i="2"/>
  <c r="F431" i="2"/>
  <c r="H430" i="2"/>
  <c r="G430" i="2"/>
  <c r="F430" i="2"/>
  <c r="H429" i="2"/>
  <c r="G429" i="2"/>
  <c r="F429" i="2"/>
  <c r="G428" i="2"/>
  <c r="G427" i="2" s="1"/>
  <c r="C427" i="2"/>
  <c r="H425" i="2"/>
  <c r="G425" i="2"/>
  <c r="F425" i="2"/>
  <c r="G424" i="2"/>
  <c r="F424" i="2"/>
  <c r="G423" i="2"/>
  <c r="F423" i="2"/>
  <c r="H422" i="2"/>
  <c r="F422" i="2"/>
  <c r="H421" i="2"/>
  <c r="F421" i="2"/>
  <c r="H420" i="2"/>
  <c r="G420" i="2"/>
  <c r="F420" i="2"/>
  <c r="H419" i="2"/>
  <c r="G419" i="2"/>
  <c r="F419" i="2"/>
  <c r="H418" i="2"/>
  <c r="G418" i="2"/>
  <c r="F418" i="2"/>
  <c r="F412" i="2" s="1"/>
  <c r="H417" i="2"/>
  <c r="G417" i="2"/>
  <c r="F417" i="2"/>
  <c r="H416" i="2"/>
  <c r="G416" i="2"/>
  <c r="F416" i="2"/>
  <c r="H415" i="2"/>
  <c r="G415" i="2"/>
  <c r="G412" i="2" s="1"/>
  <c r="F415" i="2"/>
  <c r="H414" i="2"/>
  <c r="G414" i="2"/>
  <c r="F414" i="2"/>
  <c r="H413" i="2"/>
  <c r="G413" i="2"/>
  <c r="F413" i="2"/>
  <c r="H412" i="2"/>
  <c r="C412" i="2"/>
  <c r="H410" i="2"/>
  <c r="G410" i="2"/>
  <c r="F410" i="2"/>
  <c r="G409" i="2"/>
  <c r="F409" i="2"/>
  <c r="H408" i="2"/>
  <c r="G408" i="2"/>
  <c r="F408" i="2"/>
  <c r="H407" i="2"/>
  <c r="F407" i="2"/>
  <c r="H406" i="2"/>
  <c r="G406" i="2"/>
  <c r="F406" i="2"/>
  <c r="F400" i="2" s="1"/>
  <c r="H405" i="2"/>
  <c r="G405" i="2"/>
  <c r="F405" i="2"/>
  <c r="H404" i="2"/>
  <c r="G404" i="2"/>
  <c r="F404" i="2"/>
  <c r="H403" i="2"/>
  <c r="G403" i="2"/>
  <c r="F403" i="2"/>
  <c r="H402" i="2"/>
  <c r="G402" i="2"/>
  <c r="F402" i="2"/>
  <c r="H401" i="2"/>
  <c r="G401" i="2"/>
  <c r="F401" i="2"/>
  <c r="H400" i="2"/>
  <c r="C400" i="2"/>
  <c r="H398" i="2"/>
  <c r="G398" i="2"/>
  <c r="F398" i="2"/>
  <c r="G397" i="2"/>
  <c r="F397" i="2"/>
  <c r="G396" i="2"/>
  <c r="F396" i="2"/>
  <c r="H395" i="2"/>
  <c r="F395" i="2"/>
  <c r="H394" i="2"/>
  <c r="F394" i="2"/>
  <c r="H393" i="2"/>
  <c r="G393" i="2"/>
  <c r="F393" i="2"/>
  <c r="H392" i="2"/>
  <c r="G392" i="2"/>
  <c r="F392" i="2"/>
  <c r="G391" i="2"/>
  <c r="H390" i="2"/>
  <c r="G390" i="2"/>
  <c r="F390" i="2"/>
  <c r="H389" i="2"/>
  <c r="G389" i="2"/>
  <c r="F389" i="2"/>
  <c r="H388" i="2"/>
  <c r="G388" i="2"/>
  <c r="F388" i="2"/>
  <c r="H387" i="2"/>
  <c r="G387" i="2"/>
  <c r="F387" i="2"/>
  <c r="H386" i="2"/>
  <c r="H383" i="2" s="1"/>
  <c r="G386" i="2"/>
  <c r="F386" i="2"/>
  <c r="H385" i="2"/>
  <c r="G385" i="2"/>
  <c r="F385" i="2"/>
  <c r="G384" i="2"/>
  <c r="G383" i="2"/>
  <c r="C383" i="2"/>
  <c r="H381" i="2"/>
  <c r="G381" i="2"/>
  <c r="F381" i="2"/>
  <c r="H380" i="2"/>
  <c r="G380" i="2"/>
  <c r="F380" i="2"/>
  <c r="C380" i="2"/>
  <c r="H378" i="2"/>
  <c r="G378" i="2"/>
  <c r="F378" i="2"/>
  <c r="G377" i="2"/>
  <c r="F377" i="2"/>
  <c r="H376" i="2"/>
  <c r="F376" i="2"/>
  <c r="H375" i="2"/>
  <c r="F375" i="2"/>
  <c r="H374" i="2"/>
  <c r="G374" i="2"/>
  <c r="F374" i="2"/>
  <c r="H373" i="2"/>
  <c r="G373" i="2"/>
  <c r="F373" i="2"/>
  <c r="H372" i="2"/>
  <c r="G372" i="2"/>
  <c r="F372" i="2"/>
  <c r="H371" i="2"/>
  <c r="G371" i="2"/>
  <c r="F371" i="2"/>
  <c r="H370" i="2"/>
  <c r="G370" i="2"/>
  <c r="F370" i="2"/>
  <c r="H369" i="2"/>
  <c r="G369" i="2"/>
  <c r="F369" i="2"/>
  <c r="H368" i="2"/>
  <c r="G368" i="2"/>
  <c r="F368" i="2"/>
  <c r="H367" i="2"/>
  <c r="H365" i="2" s="1"/>
  <c r="G367" i="2"/>
  <c r="G365" i="2" s="1"/>
  <c r="F367" i="2"/>
  <c r="G366" i="2"/>
  <c r="F365" i="2"/>
  <c r="C365" i="2"/>
  <c r="H363" i="2"/>
  <c r="G363" i="2"/>
  <c r="F363" i="2"/>
  <c r="H362" i="2"/>
  <c r="F362" i="2"/>
  <c r="H361" i="2"/>
  <c r="G361" i="2"/>
  <c r="G353" i="2" s="1"/>
  <c r="F361" i="2"/>
  <c r="H360" i="2"/>
  <c r="G360" i="2"/>
  <c r="F360" i="2"/>
  <c r="H359" i="2"/>
  <c r="G359" i="2"/>
  <c r="F359" i="2"/>
  <c r="H358" i="2"/>
  <c r="G358" i="2"/>
  <c r="F358" i="2"/>
  <c r="H357" i="2"/>
  <c r="G357" i="2"/>
  <c r="F357" i="2"/>
  <c r="H356" i="2"/>
  <c r="G356" i="2"/>
  <c r="F356" i="2"/>
  <c r="H355" i="2"/>
  <c r="G355" i="2"/>
  <c r="F355" i="2"/>
  <c r="H354" i="2"/>
  <c r="G354" i="2"/>
  <c r="F354" i="2"/>
  <c r="C353" i="2"/>
  <c r="H351" i="2"/>
  <c r="G351" i="2"/>
  <c r="F351" i="2"/>
  <c r="H350" i="2"/>
  <c r="F350" i="2"/>
  <c r="H349" i="2"/>
  <c r="G349" i="2"/>
  <c r="F349" i="2"/>
  <c r="H348" i="2"/>
  <c r="H346" i="2" s="1"/>
  <c r="G348" i="2"/>
  <c r="F348" i="2"/>
  <c r="H347" i="2"/>
  <c r="G347" i="2"/>
  <c r="F347" i="2"/>
  <c r="F346" i="2" s="1"/>
  <c r="G346" i="2"/>
  <c r="C346" i="2"/>
  <c r="H344" i="2"/>
  <c r="G344" i="2"/>
  <c r="F344" i="2"/>
  <c r="G343" i="2"/>
  <c r="F343" i="2"/>
  <c r="H342" i="2"/>
  <c r="F342" i="2"/>
  <c r="H341" i="2"/>
  <c r="G341" i="2"/>
  <c r="F341" i="2"/>
  <c r="H340" i="2"/>
  <c r="G340" i="2"/>
  <c r="F340" i="2"/>
  <c r="H339" i="2"/>
  <c r="H336" i="2" s="1"/>
  <c r="G339" i="2"/>
  <c r="F339" i="2"/>
  <c r="H338" i="2"/>
  <c r="G338" i="2"/>
  <c r="F338" i="2"/>
  <c r="F336" i="2" s="1"/>
  <c r="G337" i="2"/>
  <c r="G336" i="2" s="1"/>
  <c r="C336" i="2"/>
  <c r="H334" i="2"/>
  <c r="G334" i="2"/>
  <c r="F334" i="2"/>
  <c r="G333" i="2"/>
  <c r="F333" i="2"/>
  <c r="H332" i="2"/>
  <c r="F332" i="2"/>
  <c r="H331" i="2"/>
  <c r="G331" i="2"/>
  <c r="F331" i="2"/>
  <c r="H330" i="2"/>
  <c r="G330" i="2"/>
  <c r="F330" i="2"/>
  <c r="H329" i="2"/>
  <c r="G329" i="2"/>
  <c r="F329" i="2"/>
  <c r="H328" i="2"/>
  <c r="G328" i="2"/>
  <c r="F328" i="2"/>
  <c r="H327" i="2"/>
  <c r="G327" i="2"/>
  <c r="F327" i="2"/>
  <c r="H326" i="2"/>
  <c r="G326" i="2"/>
  <c r="F326" i="2"/>
  <c r="H325" i="2"/>
  <c r="G325" i="2"/>
  <c r="F325" i="2"/>
  <c r="H324" i="2"/>
  <c r="H322" i="2" s="1"/>
  <c r="G324" i="2"/>
  <c r="G322" i="2" s="1"/>
  <c r="F324" i="2"/>
  <c r="G323" i="2"/>
  <c r="F322" i="2"/>
  <c r="C322" i="2"/>
  <c r="H320" i="2"/>
  <c r="G320" i="2"/>
  <c r="F320" i="2"/>
  <c r="G319" i="2"/>
  <c r="F319" i="2"/>
  <c r="H318" i="2"/>
  <c r="F318" i="2"/>
  <c r="H317" i="2"/>
  <c r="F317" i="2"/>
  <c r="H316" i="2"/>
  <c r="G316" i="2"/>
  <c r="F316" i="2"/>
  <c r="H315" i="2"/>
  <c r="G315" i="2"/>
  <c r="F315" i="2"/>
  <c r="H314" i="2"/>
  <c r="G314" i="2"/>
  <c r="F314" i="2"/>
  <c r="H313" i="2"/>
  <c r="G313" i="2"/>
  <c r="F313" i="2"/>
  <c r="H312" i="2"/>
  <c r="G312" i="2"/>
  <c r="F312" i="2"/>
  <c r="F308" i="2" s="1"/>
  <c r="H311" i="2"/>
  <c r="G311" i="2"/>
  <c r="F311" i="2"/>
  <c r="H310" i="2"/>
  <c r="G310" i="2"/>
  <c r="F310" i="2"/>
  <c r="G309" i="2"/>
  <c r="G308" i="2" s="1"/>
  <c r="H308" i="2"/>
  <c r="C308" i="2"/>
  <c r="H306" i="2"/>
  <c r="G306" i="2"/>
  <c r="F306" i="2"/>
  <c r="F305" i="2" s="1"/>
  <c r="H305" i="2"/>
  <c r="G305" i="2"/>
  <c r="C305" i="2"/>
  <c r="H303" i="2"/>
  <c r="G303" i="2"/>
  <c r="F303" i="2"/>
  <c r="H302" i="2"/>
  <c r="F302" i="2"/>
  <c r="H301" i="2"/>
  <c r="G301" i="2"/>
  <c r="F301" i="2"/>
  <c r="H300" i="2"/>
  <c r="G300" i="2"/>
  <c r="F300" i="2"/>
  <c r="H299" i="2"/>
  <c r="H298" i="2" s="1"/>
  <c r="G299" i="2"/>
  <c r="G298" i="2" s="1"/>
  <c r="F299" i="2"/>
  <c r="F298" i="2" s="1"/>
  <c r="C298" i="2"/>
  <c r="H296" i="2"/>
  <c r="G296" i="2"/>
  <c r="F296" i="2"/>
  <c r="G295" i="2"/>
  <c r="F295" i="2"/>
  <c r="H294" i="2"/>
  <c r="F294" i="2"/>
  <c r="H293" i="2"/>
  <c r="F293" i="2"/>
  <c r="H292" i="2"/>
  <c r="G292" i="2"/>
  <c r="F292" i="2"/>
  <c r="H291" i="2"/>
  <c r="G291" i="2"/>
  <c r="F291" i="2"/>
  <c r="H290" i="2"/>
  <c r="G290" i="2"/>
  <c r="F290" i="2"/>
  <c r="H289" i="2"/>
  <c r="G289" i="2"/>
  <c r="F289" i="2"/>
  <c r="H288" i="2"/>
  <c r="G288" i="2"/>
  <c r="F288" i="2"/>
  <c r="H287" i="2"/>
  <c r="G287" i="2"/>
  <c r="F287" i="2"/>
  <c r="F284" i="2" s="1"/>
  <c r="H286" i="2"/>
  <c r="H284" i="2" s="1"/>
  <c r="G286" i="2"/>
  <c r="F286" i="2"/>
  <c r="H285" i="2"/>
  <c r="G285" i="2"/>
  <c r="F285" i="2"/>
  <c r="G284" i="2"/>
  <c r="C284" i="2"/>
  <c r="H282" i="2"/>
  <c r="G282" i="2"/>
  <c r="F282" i="2"/>
  <c r="H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F274" i="2" s="1"/>
  <c r="H276" i="2"/>
  <c r="G276" i="2"/>
  <c r="F276" i="2"/>
  <c r="G275" i="2"/>
  <c r="H274" i="2"/>
  <c r="G274" i="2"/>
  <c r="C274" i="2"/>
  <c r="H272" i="2"/>
  <c r="G272" i="2"/>
  <c r="F272" i="2"/>
  <c r="G271" i="2"/>
  <c r="G270" i="2"/>
  <c r="F270" i="2"/>
  <c r="G269" i="2"/>
  <c r="F269" i="2"/>
  <c r="H268" i="2"/>
  <c r="F268" i="2"/>
  <c r="H267" i="2"/>
  <c r="F267" i="2"/>
  <c r="H266" i="2"/>
  <c r="G266" i="2"/>
  <c r="F266" i="2"/>
  <c r="H265" i="2"/>
  <c r="G265" i="2"/>
  <c r="F265" i="2"/>
  <c r="G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H256" i="2" s="1"/>
  <c r="G259" i="2"/>
  <c r="F259" i="2"/>
  <c r="H258" i="2"/>
  <c r="G258" i="2"/>
  <c r="F258" i="2"/>
  <c r="F256" i="2" s="1"/>
  <c r="G257" i="2"/>
  <c r="G256" i="2" s="1"/>
  <c r="C256" i="2"/>
  <c r="H254" i="2"/>
  <c r="G254" i="2"/>
  <c r="F254" i="2"/>
  <c r="G253" i="2"/>
  <c r="F253" i="2"/>
  <c r="G252" i="2"/>
  <c r="F252" i="2"/>
  <c r="H251" i="2"/>
  <c r="F251" i="2"/>
  <c r="H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H240" i="2" s="1"/>
  <c r="G243" i="2"/>
  <c r="F243" i="2"/>
  <c r="H242" i="2"/>
  <c r="G242" i="2"/>
  <c r="F242" i="2"/>
  <c r="F240" i="2" s="1"/>
  <c r="G241" i="2"/>
  <c r="G240" i="2" s="1"/>
  <c r="C240" i="2"/>
  <c r="H239" i="2"/>
  <c r="G239" i="2"/>
  <c r="F239" i="2"/>
  <c r="G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F230" i="2" s="1"/>
  <c r="H232" i="2"/>
  <c r="H230" i="2" s="1"/>
  <c r="G232" i="2"/>
  <c r="F232" i="2"/>
  <c r="H231" i="2"/>
  <c r="G231" i="2"/>
  <c r="F231" i="2"/>
  <c r="G230" i="2"/>
  <c r="C230" i="2"/>
  <c r="H228" i="2"/>
  <c r="G228" i="2"/>
  <c r="F228" i="2"/>
  <c r="G227" i="2"/>
  <c r="H226" i="2"/>
  <c r="G226" i="2"/>
  <c r="F226" i="2"/>
  <c r="H225" i="2"/>
  <c r="G225" i="2"/>
  <c r="F225" i="2"/>
  <c r="H224" i="2"/>
  <c r="G224" i="2"/>
  <c r="F224" i="2"/>
  <c r="G223" i="2"/>
  <c r="H222" i="2"/>
  <c r="H215" i="2" s="1"/>
  <c r="G222" i="2"/>
  <c r="F222" i="2"/>
  <c r="H221" i="2"/>
  <c r="G221" i="2"/>
  <c r="F221" i="2"/>
  <c r="H220" i="2"/>
  <c r="G220" i="2"/>
  <c r="F220" i="2"/>
  <c r="H219" i="2"/>
  <c r="G219" i="2"/>
  <c r="F219" i="2"/>
  <c r="G218" i="2"/>
  <c r="F218" i="2"/>
  <c r="H217" i="2"/>
  <c r="G217" i="2"/>
  <c r="F217" i="2"/>
  <c r="F215" i="2" s="1"/>
  <c r="G216" i="2"/>
  <c r="G215" i="2" s="1"/>
  <c r="C215" i="2"/>
  <c r="H213" i="2"/>
  <c r="G213" i="2"/>
  <c r="F213" i="2"/>
  <c r="G212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G204" i="2"/>
  <c r="F204" i="2"/>
  <c r="H203" i="2"/>
  <c r="H201" i="2" s="1"/>
  <c r="G203" i="2"/>
  <c r="F203" i="2"/>
  <c r="F201" i="2" s="1"/>
  <c r="G202" i="2"/>
  <c r="G201" i="2" s="1"/>
  <c r="C201" i="2"/>
  <c r="H199" i="2"/>
  <c r="G199" i="2"/>
  <c r="G195" i="2" s="1"/>
  <c r="F199" i="2"/>
  <c r="H198" i="2"/>
  <c r="G198" i="2"/>
  <c r="F198" i="2"/>
  <c r="H197" i="2"/>
  <c r="G197" i="2"/>
  <c r="F197" i="2"/>
  <c r="H196" i="2"/>
  <c r="H195" i="2" s="1"/>
  <c r="G196" i="2"/>
  <c r="F196" i="2"/>
  <c r="F195" i="2" s="1"/>
  <c r="C195" i="2"/>
  <c r="H193" i="2"/>
  <c r="G193" i="2"/>
  <c r="F193" i="2"/>
  <c r="G192" i="2"/>
  <c r="G191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F179" i="2" s="1"/>
  <c r="H185" i="2"/>
  <c r="G185" i="2"/>
  <c r="F185" i="2"/>
  <c r="H184" i="2"/>
  <c r="G184" i="2"/>
  <c r="F184" i="2"/>
  <c r="H183" i="2"/>
  <c r="H179" i="2" s="1"/>
  <c r="G183" i="2"/>
  <c r="F183" i="2"/>
  <c r="G182" i="2"/>
  <c r="F182" i="2"/>
  <c r="H181" i="2"/>
  <c r="G181" i="2"/>
  <c r="F181" i="2"/>
  <c r="G180" i="2"/>
  <c r="G179" i="2" s="1"/>
  <c r="C179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F168" i="2" s="1"/>
  <c r="H173" i="2"/>
  <c r="H168" i="2" s="1"/>
  <c r="G173" i="2"/>
  <c r="F173" i="2"/>
  <c r="H172" i="2"/>
  <c r="G172" i="2"/>
  <c r="F172" i="2"/>
  <c r="H171" i="2"/>
  <c r="G171" i="2"/>
  <c r="F171" i="2"/>
  <c r="G170" i="2"/>
  <c r="F170" i="2"/>
  <c r="H169" i="2"/>
  <c r="G169" i="2"/>
  <c r="F169" i="2"/>
  <c r="G168" i="2"/>
  <c r="C168" i="2"/>
  <c r="H166" i="2"/>
  <c r="G166" i="2"/>
  <c r="F166" i="2"/>
  <c r="H165" i="2"/>
  <c r="G165" i="2"/>
  <c r="G164" i="2" s="1"/>
  <c r="F165" i="2"/>
  <c r="F164" i="2" s="1"/>
  <c r="H164" i="2"/>
  <c r="C164" i="2"/>
  <c r="H162" i="2"/>
  <c r="G162" i="2"/>
  <c r="F162" i="2"/>
  <c r="G161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H150" i="2" s="1"/>
  <c r="G154" i="2"/>
  <c r="F154" i="2"/>
  <c r="G153" i="2"/>
  <c r="F153" i="2"/>
  <c r="H152" i="2"/>
  <c r="G152" i="2"/>
  <c r="F152" i="2"/>
  <c r="F150" i="2" s="1"/>
  <c r="G151" i="2"/>
  <c r="G150" i="2" s="1"/>
  <c r="C150" i="2"/>
  <c r="H148" i="2"/>
  <c r="G148" i="2"/>
  <c r="F148" i="2"/>
  <c r="H147" i="2"/>
  <c r="H140" i="2" s="1"/>
  <c r="G147" i="2"/>
  <c r="F147" i="2"/>
  <c r="H146" i="2"/>
  <c r="G146" i="2"/>
  <c r="F146" i="2"/>
  <c r="H145" i="2"/>
  <c r="G145" i="2"/>
  <c r="F145" i="2"/>
  <c r="H144" i="2"/>
  <c r="G144" i="2"/>
  <c r="F144" i="2"/>
  <c r="G143" i="2"/>
  <c r="F143" i="2"/>
  <c r="H142" i="2"/>
  <c r="G142" i="2"/>
  <c r="F142" i="2"/>
  <c r="F140" i="2" s="1"/>
  <c r="G141" i="2"/>
  <c r="G140" i="2" s="1"/>
  <c r="C140" i="2"/>
  <c r="H138" i="2"/>
  <c r="G138" i="2"/>
  <c r="G132" i="2" s="1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F132" i="2" s="1"/>
  <c r="G133" i="2"/>
  <c r="F133" i="2"/>
  <c r="H132" i="2"/>
  <c r="C132" i="2"/>
  <c r="H130" i="2"/>
  <c r="G130" i="2"/>
  <c r="F130" i="2"/>
  <c r="H129" i="2"/>
  <c r="G129" i="2"/>
  <c r="F129" i="2"/>
  <c r="F127" i="2" s="1"/>
  <c r="H128" i="2"/>
  <c r="G128" i="2"/>
  <c r="G127" i="2" s="1"/>
  <c r="F128" i="2"/>
  <c r="H127" i="2"/>
  <c r="C127" i="2"/>
  <c r="H125" i="2"/>
  <c r="H121" i="2" s="1"/>
  <c r="G125" i="2"/>
  <c r="F125" i="2"/>
  <c r="H124" i="2"/>
  <c r="G124" i="2"/>
  <c r="F124" i="2"/>
  <c r="H123" i="2"/>
  <c r="G123" i="2"/>
  <c r="F123" i="2"/>
  <c r="F121" i="2" s="1"/>
  <c r="H122" i="2"/>
  <c r="G122" i="2"/>
  <c r="G121" i="2" s="1"/>
  <c r="F122" i="2"/>
  <c r="C121" i="2"/>
  <c r="H119" i="2"/>
  <c r="G119" i="2"/>
  <c r="F119" i="2"/>
  <c r="H118" i="2"/>
  <c r="G118" i="2"/>
  <c r="F118" i="2"/>
  <c r="H117" i="2"/>
  <c r="G117" i="2"/>
  <c r="F117" i="2"/>
  <c r="F113" i="2" s="1"/>
  <c r="H116" i="2"/>
  <c r="G116" i="2"/>
  <c r="F116" i="2"/>
  <c r="H115" i="2"/>
  <c r="G115" i="2"/>
  <c r="F115" i="2"/>
  <c r="H114" i="2"/>
  <c r="H113" i="2" s="1"/>
  <c r="G114" i="2"/>
  <c r="G113" i="2" s="1"/>
  <c r="F114" i="2"/>
  <c r="C113" i="2"/>
  <c r="H111" i="2"/>
  <c r="G111" i="2"/>
  <c r="F111" i="2"/>
  <c r="G110" i="2"/>
  <c r="G109" i="2"/>
  <c r="F108" i="2"/>
  <c r="H107" i="2"/>
  <c r="G107" i="2"/>
  <c r="F107" i="2"/>
  <c r="H106" i="2"/>
  <c r="G106" i="2"/>
  <c r="F106" i="2"/>
  <c r="H105" i="2"/>
  <c r="G105" i="2"/>
  <c r="F105" i="2"/>
  <c r="G104" i="2"/>
  <c r="H103" i="2"/>
  <c r="G103" i="2"/>
  <c r="F103" i="2"/>
  <c r="F96" i="2" s="1"/>
  <c r="H102" i="2"/>
  <c r="G102" i="2"/>
  <c r="F102" i="2"/>
  <c r="H101" i="2"/>
  <c r="G101" i="2"/>
  <c r="F101" i="2"/>
  <c r="H100" i="2"/>
  <c r="H96" i="2" s="1"/>
  <c r="G100" i="2"/>
  <c r="F100" i="2"/>
  <c r="G99" i="2"/>
  <c r="F99" i="2"/>
  <c r="H98" i="2"/>
  <c r="G98" i="2"/>
  <c r="F98" i="2"/>
  <c r="G97" i="2"/>
  <c r="G96" i="2" s="1"/>
  <c r="C96" i="2"/>
  <c r="H94" i="2"/>
  <c r="G94" i="2"/>
  <c r="F94" i="2"/>
  <c r="H93" i="2"/>
  <c r="G93" i="2"/>
  <c r="F93" i="2"/>
  <c r="H92" i="2"/>
  <c r="G92" i="2"/>
  <c r="F92" i="2"/>
  <c r="H91" i="2"/>
  <c r="G91" i="2"/>
  <c r="F91" i="2"/>
  <c r="F85" i="2" s="1"/>
  <c r="H90" i="2"/>
  <c r="H85" i="2" s="1"/>
  <c r="G90" i="2"/>
  <c r="F90" i="2"/>
  <c r="H89" i="2"/>
  <c r="G89" i="2"/>
  <c r="F89" i="2"/>
  <c r="H88" i="2"/>
  <c r="G88" i="2"/>
  <c r="F88" i="2"/>
  <c r="G87" i="2"/>
  <c r="F87" i="2"/>
  <c r="H86" i="2"/>
  <c r="G86" i="2"/>
  <c r="F86" i="2"/>
  <c r="G85" i="2"/>
  <c r="C85" i="2"/>
  <c r="H83" i="2"/>
  <c r="G83" i="2"/>
  <c r="F83" i="2"/>
  <c r="H82" i="2"/>
  <c r="G82" i="2"/>
  <c r="F82" i="2"/>
  <c r="F79" i="2" s="1"/>
  <c r="H81" i="2"/>
  <c r="H79" i="2" s="1"/>
  <c r="G81" i="2"/>
  <c r="F81" i="2"/>
  <c r="H80" i="2"/>
  <c r="G80" i="2"/>
  <c r="F80" i="2"/>
  <c r="G79" i="2"/>
  <c r="C79" i="2"/>
  <c r="H77" i="2"/>
  <c r="G77" i="2"/>
  <c r="F77" i="2"/>
  <c r="G76" i="2"/>
  <c r="H75" i="2"/>
  <c r="G75" i="2"/>
  <c r="G66" i="2" s="1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F66" i="2" s="1"/>
  <c r="H68" i="2"/>
  <c r="G68" i="2"/>
  <c r="F68" i="2"/>
  <c r="G67" i="2"/>
  <c r="H66" i="2"/>
  <c r="C66" i="2"/>
  <c r="H64" i="2"/>
  <c r="G64" i="2"/>
  <c r="F64" i="2"/>
  <c r="H63" i="2"/>
  <c r="G63" i="2"/>
  <c r="G62" i="2" s="1"/>
  <c r="F63" i="2"/>
  <c r="F62" i="2" s="1"/>
  <c r="H62" i="2"/>
  <c r="C62" i="2"/>
  <c r="H60" i="2"/>
  <c r="G60" i="2"/>
  <c r="F60" i="2"/>
  <c r="G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F51" i="2" s="1"/>
  <c r="H53" i="2"/>
  <c r="H51" i="2" s="1"/>
  <c r="G53" i="2"/>
  <c r="F53" i="2"/>
  <c r="H52" i="2"/>
  <c r="G52" i="2"/>
  <c r="F52" i="2"/>
  <c r="G51" i="2"/>
  <c r="C51" i="2"/>
  <c r="H49" i="2"/>
  <c r="G49" i="2"/>
  <c r="F49" i="2"/>
  <c r="H48" i="2"/>
  <c r="G48" i="2"/>
  <c r="F48" i="2"/>
  <c r="F45" i="2" s="1"/>
  <c r="H47" i="2"/>
  <c r="H45" i="2" s="1"/>
  <c r="G47" i="2"/>
  <c r="F47" i="2"/>
  <c r="H46" i="2"/>
  <c r="G46" i="2"/>
  <c r="F46" i="2"/>
  <c r="G45" i="2"/>
  <c r="C45" i="2"/>
  <c r="H43" i="2"/>
  <c r="G43" i="2"/>
  <c r="F43" i="2"/>
  <c r="H42" i="2"/>
  <c r="G42" i="2"/>
  <c r="F42" i="2"/>
  <c r="H41" i="2"/>
  <c r="H40" i="2" s="1"/>
  <c r="G41" i="2"/>
  <c r="G40" i="2" s="1"/>
  <c r="F41" i="2"/>
  <c r="F40" i="2" s="1"/>
  <c r="C40" i="2"/>
  <c r="H38" i="2"/>
  <c r="H35" i="2" s="1"/>
  <c r="G38" i="2"/>
  <c r="G35" i="2" s="1"/>
  <c r="F38" i="2"/>
  <c r="H37" i="2"/>
  <c r="G37" i="2"/>
  <c r="F37" i="2"/>
  <c r="H36" i="2"/>
  <c r="G36" i="2"/>
  <c r="F36" i="2"/>
  <c r="F35" i="2" s="1"/>
  <c r="C35" i="2"/>
  <c r="H33" i="2"/>
  <c r="G33" i="2"/>
  <c r="F33" i="2"/>
  <c r="H32" i="2"/>
  <c r="G32" i="2"/>
  <c r="F32" i="2"/>
  <c r="C32" i="2"/>
  <c r="H30" i="2"/>
  <c r="G30" i="2"/>
  <c r="F30" i="2"/>
  <c r="G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F21" i="2" s="1"/>
  <c r="H22" i="2"/>
  <c r="H21" i="2" s="1"/>
  <c r="G22" i="2"/>
  <c r="G21" i="2" s="1"/>
  <c r="F22" i="2"/>
  <c r="C21" i="2"/>
  <c r="H19" i="2"/>
  <c r="G19" i="2"/>
  <c r="F19" i="2"/>
  <c r="G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G11" i="2"/>
  <c r="F11" i="2"/>
  <c r="H10" i="2"/>
  <c r="H8" i="2" s="1"/>
  <c r="G10" i="2"/>
  <c r="G8" i="2" s="1"/>
  <c r="F10" i="2"/>
  <c r="F8" i="2" s="1"/>
  <c r="G9" i="2"/>
  <c r="C8" i="2"/>
  <c r="H6" i="2"/>
  <c r="H4" i="2" s="1"/>
  <c r="G6" i="2"/>
  <c r="F6" i="2"/>
  <c r="H5" i="2"/>
  <c r="G5" i="2"/>
  <c r="F5" i="2"/>
  <c r="G4" i="2"/>
  <c r="F4" i="2"/>
  <c r="C4" i="2"/>
  <c r="E2" i="2"/>
  <c r="H2674" i="1"/>
  <c r="G2674" i="1"/>
  <c r="F2674" i="1"/>
  <c r="G2673" i="1"/>
  <c r="F2672" i="1"/>
  <c r="F2671" i="1"/>
  <c r="H2670" i="1"/>
  <c r="G2670" i="1"/>
  <c r="F2670" i="1"/>
  <c r="G2669" i="1"/>
  <c r="F2669" i="1"/>
  <c r="G2668" i="1"/>
  <c r="F2668" i="1"/>
  <c r="F2667" i="1"/>
  <c r="H2666" i="1"/>
  <c r="G2666" i="1"/>
  <c r="F2666" i="1"/>
  <c r="H2665" i="1"/>
  <c r="G2665" i="1"/>
  <c r="F2665" i="1"/>
  <c r="H2664" i="1"/>
  <c r="G2664" i="1"/>
  <c r="F2664" i="1"/>
  <c r="H2663" i="1"/>
  <c r="H2661" i="1" s="1"/>
  <c r="G2663" i="1"/>
  <c r="F2663" i="1"/>
  <c r="F2661" i="1" s="1"/>
  <c r="G2662" i="1"/>
  <c r="G2661" i="1" s="1"/>
  <c r="C2661" i="1"/>
  <c r="H2660" i="1"/>
  <c r="G2660" i="1"/>
  <c r="F2660" i="1"/>
  <c r="G2659" i="1"/>
  <c r="F2658" i="1"/>
  <c r="H2657" i="1"/>
  <c r="G2657" i="1"/>
  <c r="F2657" i="1"/>
  <c r="H2656" i="1"/>
  <c r="G2656" i="1"/>
  <c r="F2656" i="1"/>
  <c r="F2647" i="1" s="1"/>
  <c r="G2655" i="1"/>
  <c r="F2655" i="1"/>
  <c r="H2654" i="1"/>
  <c r="G2654" i="1"/>
  <c r="F2654" i="1"/>
  <c r="G2653" i="1"/>
  <c r="F2653" i="1"/>
  <c r="H2652" i="1"/>
  <c r="G2652" i="1"/>
  <c r="F2652" i="1"/>
  <c r="H2651" i="1"/>
  <c r="G2651" i="1"/>
  <c r="F2651" i="1"/>
  <c r="G2650" i="1"/>
  <c r="F2650" i="1"/>
  <c r="H2649" i="1"/>
  <c r="H2647" i="1" s="1"/>
  <c r="G2649" i="1"/>
  <c r="F2649" i="1"/>
  <c r="G2648" i="1"/>
  <c r="G2647" i="1" s="1"/>
  <c r="C2647" i="1"/>
  <c r="H2645" i="1"/>
  <c r="G2645" i="1"/>
  <c r="F2645" i="1"/>
  <c r="F2644" i="1"/>
  <c r="H2643" i="1"/>
  <c r="G2643" i="1"/>
  <c r="F2643" i="1"/>
  <c r="H2642" i="1"/>
  <c r="G2642" i="1"/>
  <c r="F2642" i="1"/>
  <c r="H2641" i="1"/>
  <c r="G2641" i="1"/>
  <c r="F2641" i="1"/>
  <c r="H2640" i="1"/>
  <c r="G2640" i="1"/>
  <c r="F2640" i="1"/>
  <c r="H2639" i="1"/>
  <c r="G2639" i="1"/>
  <c r="F2639" i="1"/>
  <c r="H2638" i="1"/>
  <c r="H2636" i="1" s="1"/>
  <c r="G2638" i="1"/>
  <c r="F2638" i="1"/>
  <c r="G2637" i="1"/>
  <c r="G2636" i="1"/>
  <c r="F2636" i="1"/>
  <c r="C2636" i="1"/>
  <c r="H2634" i="1"/>
  <c r="G2634" i="1"/>
  <c r="F2634" i="1"/>
  <c r="H2633" i="1"/>
  <c r="G2633" i="1"/>
  <c r="F2633" i="1"/>
  <c r="C2633" i="1"/>
  <c r="H2631" i="1"/>
  <c r="G2631" i="1"/>
  <c r="F2631" i="1"/>
  <c r="H2630" i="1"/>
  <c r="G2630" i="1"/>
  <c r="F2630" i="1"/>
  <c r="C2630" i="1"/>
  <c r="H2628" i="1"/>
  <c r="H2627" i="1" s="1"/>
  <c r="G2628" i="1"/>
  <c r="F2628" i="1"/>
  <c r="G2627" i="1"/>
  <c r="F2627" i="1"/>
  <c r="C2627" i="1"/>
  <c r="H2625" i="1"/>
  <c r="H2623" i="1" s="1"/>
  <c r="G2625" i="1"/>
  <c r="G2623" i="1" s="1"/>
  <c r="F2625" i="1"/>
  <c r="H2624" i="1"/>
  <c r="G2624" i="1"/>
  <c r="F2624" i="1"/>
  <c r="F2623" i="1"/>
  <c r="C2623" i="1"/>
  <c r="H2621" i="1"/>
  <c r="G2621" i="1"/>
  <c r="F2621" i="1"/>
  <c r="F2620" i="1"/>
  <c r="H2619" i="1"/>
  <c r="G2619" i="1"/>
  <c r="F2619" i="1"/>
  <c r="H2618" i="1"/>
  <c r="G2618" i="1"/>
  <c r="F2618" i="1"/>
  <c r="H2617" i="1"/>
  <c r="G2617" i="1"/>
  <c r="F2617" i="1"/>
  <c r="H2616" i="1"/>
  <c r="G2616" i="1"/>
  <c r="G2612" i="1" s="1"/>
  <c r="F2616" i="1"/>
  <c r="H2615" i="1"/>
  <c r="G2615" i="1"/>
  <c r="F2615" i="1"/>
  <c r="G2614" i="1"/>
  <c r="F2614" i="1"/>
  <c r="F2612" i="1" s="1"/>
  <c r="G2613" i="1"/>
  <c r="H2612" i="1"/>
  <c r="C2612" i="1"/>
  <c r="H2610" i="1"/>
  <c r="G2610" i="1"/>
  <c r="F2610" i="1"/>
  <c r="G2609" i="1"/>
  <c r="F2608" i="1"/>
  <c r="H2607" i="1"/>
  <c r="G2607" i="1"/>
  <c r="F2607" i="1"/>
  <c r="H2606" i="1"/>
  <c r="G2606" i="1"/>
  <c r="F2606" i="1"/>
  <c r="G2605" i="1"/>
  <c r="H2604" i="1"/>
  <c r="G2604" i="1"/>
  <c r="F2604" i="1"/>
  <c r="G2603" i="1"/>
  <c r="F2603" i="1"/>
  <c r="H2602" i="1"/>
  <c r="G2602" i="1"/>
  <c r="F2602" i="1"/>
  <c r="H2601" i="1"/>
  <c r="G2601" i="1"/>
  <c r="F2601" i="1"/>
  <c r="G2600" i="1"/>
  <c r="F2600" i="1"/>
  <c r="H2599" i="1"/>
  <c r="G2599" i="1"/>
  <c r="F2599" i="1"/>
  <c r="F2598" i="1" s="1"/>
  <c r="H2598" i="1"/>
  <c r="G2598" i="1"/>
  <c r="C2598" i="1"/>
  <c r="H2596" i="1"/>
  <c r="G2596" i="1"/>
  <c r="F2596" i="1"/>
  <c r="G2595" i="1"/>
  <c r="F2594" i="1"/>
  <c r="H2593" i="1"/>
  <c r="G2593" i="1"/>
  <c r="F2593" i="1"/>
  <c r="H2592" i="1"/>
  <c r="G2592" i="1"/>
  <c r="F2592" i="1"/>
  <c r="G2591" i="1"/>
  <c r="F2591" i="1"/>
  <c r="H2590" i="1"/>
  <c r="H2586" i="1" s="1"/>
  <c r="G2590" i="1"/>
  <c r="F2590" i="1"/>
  <c r="H2589" i="1"/>
  <c r="G2589" i="1"/>
  <c r="F2589" i="1"/>
  <c r="H2588" i="1"/>
  <c r="G2588" i="1"/>
  <c r="G2586" i="1" s="1"/>
  <c r="F2588" i="1"/>
  <c r="F2586" i="1" s="1"/>
  <c r="G2587" i="1"/>
  <c r="C2586" i="1"/>
  <c r="H2584" i="1"/>
  <c r="G2584" i="1"/>
  <c r="F2584" i="1"/>
  <c r="F2580" i="1" s="1"/>
  <c r="H2583" i="1"/>
  <c r="G2583" i="1"/>
  <c r="F2583" i="1"/>
  <c r="H2582" i="1"/>
  <c r="G2582" i="1"/>
  <c r="F2582" i="1"/>
  <c r="H2581" i="1"/>
  <c r="H2580" i="1" s="1"/>
  <c r="G2581" i="1"/>
  <c r="G2580" i="1" s="1"/>
  <c r="F2581" i="1"/>
  <c r="C2580" i="1"/>
  <c r="H2579" i="1"/>
  <c r="G2579" i="1"/>
  <c r="F2579" i="1"/>
  <c r="H2578" i="1"/>
  <c r="G2578" i="1"/>
  <c r="F2578" i="1"/>
  <c r="H2577" i="1"/>
  <c r="G2577" i="1"/>
  <c r="F2577" i="1"/>
  <c r="H2576" i="1"/>
  <c r="G2576" i="1"/>
  <c r="F2576" i="1"/>
  <c r="H2575" i="1"/>
  <c r="G2575" i="1"/>
  <c r="F2575" i="1"/>
  <c r="H2574" i="1"/>
  <c r="G2574" i="1"/>
  <c r="F2574" i="1"/>
  <c r="G2573" i="1"/>
  <c r="H2572" i="1"/>
  <c r="G2572" i="1"/>
  <c r="F2572" i="1"/>
  <c r="H2571" i="1"/>
  <c r="G2571" i="1"/>
  <c r="F2571" i="1"/>
  <c r="H2570" i="1"/>
  <c r="G2570" i="1"/>
  <c r="G2565" i="1" s="1"/>
  <c r="F2570" i="1"/>
  <c r="H2569" i="1"/>
  <c r="G2569" i="1"/>
  <c r="F2569" i="1"/>
  <c r="H2568" i="1"/>
  <c r="G2568" i="1"/>
  <c r="F2568" i="1"/>
  <c r="H2567" i="1"/>
  <c r="H2565" i="1" s="1"/>
  <c r="G2567" i="1"/>
  <c r="F2567" i="1"/>
  <c r="F2565" i="1" s="1"/>
  <c r="G2566" i="1"/>
  <c r="C2565" i="1"/>
  <c r="H2563" i="1"/>
  <c r="G2563" i="1"/>
  <c r="F2563" i="1"/>
  <c r="F2562" i="1"/>
  <c r="H2561" i="1"/>
  <c r="G2561" i="1"/>
  <c r="F2561" i="1"/>
  <c r="G2560" i="1"/>
  <c r="H2559" i="1"/>
  <c r="G2559" i="1"/>
  <c r="F2559" i="1"/>
  <c r="H2558" i="1"/>
  <c r="G2558" i="1"/>
  <c r="F2558" i="1"/>
  <c r="H2557" i="1"/>
  <c r="G2557" i="1"/>
  <c r="G2548" i="1" s="1"/>
  <c r="F2557" i="1"/>
  <c r="H2556" i="1"/>
  <c r="G2556" i="1"/>
  <c r="F2556" i="1"/>
  <c r="H2555" i="1"/>
  <c r="G2555" i="1"/>
  <c r="F2555" i="1"/>
  <c r="H2554" i="1"/>
  <c r="G2554" i="1"/>
  <c r="F2554" i="1"/>
  <c r="H2553" i="1"/>
  <c r="G2553" i="1"/>
  <c r="F2553" i="1"/>
  <c r="H2552" i="1"/>
  <c r="G2552" i="1"/>
  <c r="F2552" i="1"/>
  <c r="H2551" i="1"/>
  <c r="G2551" i="1"/>
  <c r="F2551" i="1"/>
  <c r="H2550" i="1"/>
  <c r="G2550" i="1"/>
  <c r="F2550" i="1"/>
  <c r="F2548" i="1" s="1"/>
  <c r="G2549" i="1"/>
  <c r="H2548" i="1"/>
  <c r="C2548" i="1"/>
  <c r="H2546" i="1"/>
  <c r="G2546" i="1"/>
  <c r="F2546" i="1"/>
  <c r="H2545" i="1"/>
  <c r="G2545" i="1"/>
  <c r="F2545" i="1"/>
  <c r="G2544" i="1"/>
  <c r="H2543" i="1"/>
  <c r="G2543" i="1"/>
  <c r="F2543" i="1"/>
  <c r="H2542" i="1"/>
  <c r="G2542" i="1"/>
  <c r="F2542" i="1"/>
  <c r="H2541" i="1"/>
  <c r="G2541" i="1"/>
  <c r="F2541" i="1"/>
  <c r="H2540" i="1"/>
  <c r="G2540" i="1"/>
  <c r="F2540" i="1"/>
  <c r="G2539" i="1"/>
  <c r="H2538" i="1"/>
  <c r="G2538" i="1"/>
  <c r="F2538" i="1"/>
  <c r="H2537" i="1"/>
  <c r="G2537" i="1"/>
  <c r="F2537" i="1"/>
  <c r="H2536" i="1"/>
  <c r="G2536" i="1"/>
  <c r="F2536" i="1"/>
  <c r="H2535" i="1"/>
  <c r="H2531" i="1" s="1"/>
  <c r="G2535" i="1"/>
  <c r="F2535" i="1"/>
  <c r="H2534" i="1"/>
  <c r="G2534" i="1"/>
  <c r="F2534" i="1"/>
  <c r="H2533" i="1"/>
  <c r="G2533" i="1"/>
  <c r="G2531" i="1" s="1"/>
  <c r="F2533" i="1"/>
  <c r="F2531" i="1" s="1"/>
  <c r="G2532" i="1"/>
  <c r="C2531" i="1"/>
  <c r="H2529" i="1"/>
  <c r="G2529" i="1"/>
  <c r="G2528" i="1" s="1"/>
  <c r="F2529" i="1"/>
  <c r="F2528" i="1" s="1"/>
  <c r="H2528" i="1"/>
  <c r="C2528" i="1"/>
  <c r="H2526" i="1"/>
  <c r="G2526" i="1"/>
  <c r="F2526" i="1"/>
  <c r="F2525" i="1" s="1"/>
  <c r="H2525" i="1"/>
  <c r="G2525" i="1"/>
  <c r="C2525" i="1"/>
  <c r="H2523" i="1"/>
  <c r="G2523" i="1"/>
  <c r="F2523" i="1"/>
  <c r="H2522" i="1"/>
  <c r="H2513" i="1" s="1"/>
  <c r="G2522" i="1"/>
  <c r="F2522" i="1"/>
  <c r="H2521" i="1"/>
  <c r="G2521" i="1"/>
  <c r="F2521" i="1"/>
  <c r="H2520" i="1"/>
  <c r="G2520" i="1"/>
  <c r="F2520" i="1"/>
  <c r="H2519" i="1"/>
  <c r="G2519" i="1"/>
  <c r="F2519" i="1"/>
  <c r="H2518" i="1"/>
  <c r="G2518" i="1"/>
  <c r="F2518" i="1"/>
  <c r="H2517" i="1"/>
  <c r="G2517" i="1"/>
  <c r="F2517" i="1"/>
  <c r="F2513" i="1" s="1"/>
  <c r="H2516" i="1"/>
  <c r="G2516" i="1"/>
  <c r="F2516" i="1"/>
  <c r="H2515" i="1"/>
  <c r="G2515" i="1"/>
  <c r="F2515" i="1"/>
  <c r="G2514" i="1"/>
  <c r="G2513" i="1" s="1"/>
  <c r="C2513" i="1"/>
  <c r="H2511" i="1"/>
  <c r="G2511" i="1"/>
  <c r="F2511" i="1"/>
  <c r="H2510" i="1"/>
  <c r="G2510" i="1"/>
  <c r="F2510" i="1"/>
  <c r="F2509" i="1"/>
  <c r="G2508" i="1"/>
  <c r="H2507" i="1"/>
  <c r="G2507" i="1"/>
  <c r="F2507" i="1"/>
  <c r="H2506" i="1"/>
  <c r="G2506" i="1"/>
  <c r="F2506" i="1"/>
  <c r="H2505" i="1"/>
  <c r="G2505" i="1"/>
  <c r="F2505" i="1"/>
  <c r="H2504" i="1"/>
  <c r="G2504" i="1"/>
  <c r="F2504" i="1"/>
  <c r="G2503" i="1"/>
  <c r="H2502" i="1"/>
  <c r="G2502" i="1"/>
  <c r="F2502" i="1"/>
  <c r="H2501" i="1"/>
  <c r="G2501" i="1"/>
  <c r="F2501" i="1"/>
  <c r="H2500" i="1"/>
  <c r="G2500" i="1"/>
  <c r="G2495" i="1" s="1"/>
  <c r="F2500" i="1"/>
  <c r="H2499" i="1"/>
  <c r="G2499" i="1"/>
  <c r="F2499" i="1"/>
  <c r="H2498" i="1"/>
  <c r="G2498" i="1"/>
  <c r="F2498" i="1"/>
  <c r="H2497" i="1"/>
  <c r="H2495" i="1" s="1"/>
  <c r="G2497" i="1"/>
  <c r="F2497" i="1"/>
  <c r="F2495" i="1" s="1"/>
  <c r="G2496" i="1"/>
  <c r="C2495" i="1"/>
  <c r="H2493" i="1"/>
  <c r="G2493" i="1"/>
  <c r="F2493" i="1"/>
  <c r="H2492" i="1"/>
  <c r="G2492" i="1"/>
  <c r="F2492" i="1"/>
  <c r="H2491" i="1"/>
  <c r="G2491" i="1"/>
  <c r="F2491" i="1"/>
  <c r="H2490" i="1"/>
  <c r="G2490" i="1"/>
  <c r="F2490" i="1"/>
  <c r="H2489" i="1"/>
  <c r="G2489" i="1"/>
  <c r="F2489" i="1"/>
  <c r="H2488" i="1"/>
  <c r="H2485" i="1" s="1"/>
  <c r="G2488" i="1"/>
  <c r="F2488" i="1"/>
  <c r="H2487" i="1"/>
  <c r="G2487" i="1"/>
  <c r="F2487" i="1"/>
  <c r="H2486" i="1"/>
  <c r="G2486" i="1"/>
  <c r="G2485" i="1" s="1"/>
  <c r="F2486" i="1"/>
  <c r="F2485" i="1" s="1"/>
  <c r="C2485" i="1"/>
  <c r="H2483" i="1"/>
  <c r="G2483" i="1"/>
  <c r="F2483" i="1"/>
  <c r="H2482" i="1"/>
  <c r="H2473" i="1" s="1"/>
  <c r="G2482" i="1"/>
  <c r="F2482" i="1"/>
  <c r="H2481" i="1"/>
  <c r="G2481" i="1"/>
  <c r="F2481" i="1"/>
  <c r="H2480" i="1"/>
  <c r="G2480" i="1"/>
  <c r="F2480" i="1"/>
  <c r="H2479" i="1"/>
  <c r="G2479" i="1"/>
  <c r="F2479" i="1"/>
  <c r="H2478" i="1"/>
  <c r="G2478" i="1"/>
  <c r="F2478" i="1"/>
  <c r="H2477" i="1"/>
  <c r="G2477" i="1"/>
  <c r="F2477" i="1"/>
  <c r="F2473" i="1" s="1"/>
  <c r="H2476" i="1"/>
  <c r="G2476" i="1"/>
  <c r="F2476" i="1"/>
  <c r="H2475" i="1"/>
  <c r="G2475" i="1"/>
  <c r="F2475" i="1"/>
  <c r="G2474" i="1"/>
  <c r="G2473" i="1" s="1"/>
  <c r="C2473" i="1"/>
  <c r="H2471" i="1"/>
  <c r="G2471" i="1"/>
  <c r="F2471" i="1"/>
  <c r="H2470" i="1"/>
  <c r="G2470" i="1"/>
  <c r="G2465" i="1" s="1"/>
  <c r="F2470" i="1"/>
  <c r="H2469" i="1"/>
  <c r="G2469" i="1"/>
  <c r="F2469" i="1"/>
  <c r="H2468" i="1"/>
  <c r="G2468" i="1"/>
  <c r="F2468" i="1"/>
  <c r="H2467" i="1"/>
  <c r="H2465" i="1" s="1"/>
  <c r="G2467" i="1"/>
  <c r="F2467" i="1"/>
  <c r="F2465" i="1" s="1"/>
  <c r="G2466" i="1"/>
  <c r="C2465" i="1"/>
  <c r="H2463" i="1"/>
  <c r="H2462" i="1" s="1"/>
  <c r="G2463" i="1"/>
  <c r="F2463" i="1"/>
  <c r="G2462" i="1"/>
  <c r="F2462" i="1"/>
  <c r="C2462" i="1"/>
  <c r="H2460" i="1"/>
  <c r="G2460" i="1"/>
  <c r="F2460" i="1"/>
  <c r="H2459" i="1"/>
  <c r="G2459" i="1"/>
  <c r="F2459" i="1"/>
  <c r="H2458" i="1"/>
  <c r="G2458" i="1"/>
  <c r="F2458" i="1"/>
  <c r="H2457" i="1"/>
  <c r="G2457" i="1"/>
  <c r="F2457" i="1"/>
  <c r="H2456" i="1"/>
  <c r="G2456" i="1"/>
  <c r="F2456" i="1"/>
  <c r="H2455" i="1"/>
  <c r="G2455" i="1"/>
  <c r="F2455" i="1"/>
  <c r="H2454" i="1"/>
  <c r="G2454" i="1"/>
  <c r="F2454" i="1"/>
  <c r="H2453" i="1"/>
  <c r="G2453" i="1"/>
  <c r="F2453" i="1"/>
  <c r="H2452" i="1"/>
  <c r="G2452" i="1"/>
  <c r="F2452" i="1"/>
  <c r="H2451" i="1"/>
  <c r="G2451" i="1"/>
  <c r="G2448" i="1" s="1"/>
  <c r="F2451" i="1"/>
  <c r="H2450" i="1"/>
  <c r="G2450" i="1"/>
  <c r="F2450" i="1"/>
  <c r="F2448" i="1" s="1"/>
  <c r="H2449" i="1"/>
  <c r="H2448" i="1" s="1"/>
  <c r="G2449" i="1"/>
  <c r="F2449" i="1"/>
  <c r="C2448" i="1"/>
  <c r="H2446" i="1"/>
  <c r="G2446" i="1"/>
  <c r="F2446" i="1"/>
  <c r="H2445" i="1"/>
  <c r="G2445" i="1"/>
  <c r="F2445" i="1"/>
  <c r="H2444" i="1"/>
  <c r="G2444" i="1"/>
  <c r="F2444" i="1"/>
  <c r="H2443" i="1"/>
  <c r="G2443" i="1"/>
  <c r="F2443" i="1"/>
  <c r="H2442" i="1"/>
  <c r="G2442" i="1"/>
  <c r="F2442" i="1"/>
  <c r="H2441" i="1"/>
  <c r="G2441" i="1"/>
  <c r="F2441" i="1"/>
  <c r="G2440" i="1"/>
  <c r="H2439" i="1"/>
  <c r="G2439" i="1"/>
  <c r="F2439" i="1"/>
  <c r="H2438" i="1"/>
  <c r="G2438" i="1"/>
  <c r="F2438" i="1"/>
  <c r="H2437" i="1"/>
  <c r="H2432" i="1" s="1"/>
  <c r="G2437" i="1"/>
  <c r="F2437" i="1"/>
  <c r="H2436" i="1"/>
  <c r="G2436" i="1"/>
  <c r="F2436" i="1"/>
  <c r="H2435" i="1"/>
  <c r="G2435" i="1"/>
  <c r="F2435" i="1"/>
  <c r="H2434" i="1"/>
  <c r="G2434" i="1"/>
  <c r="F2434" i="1"/>
  <c r="G2433" i="1"/>
  <c r="G2432" i="1" s="1"/>
  <c r="F2432" i="1"/>
  <c r="C2432" i="1"/>
  <c r="H2430" i="1"/>
  <c r="G2430" i="1"/>
  <c r="F2430" i="1"/>
  <c r="H2429" i="1"/>
  <c r="G2429" i="1"/>
  <c r="F2429" i="1"/>
  <c r="H2428" i="1"/>
  <c r="G2428" i="1"/>
  <c r="F2428" i="1"/>
  <c r="H2427" i="1"/>
  <c r="G2427" i="1"/>
  <c r="F2427" i="1"/>
  <c r="H2426" i="1"/>
  <c r="G2426" i="1"/>
  <c r="F2426" i="1"/>
  <c r="H2425" i="1"/>
  <c r="G2425" i="1"/>
  <c r="F2425" i="1"/>
  <c r="H2424" i="1"/>
  <c r="G2424" i="1"/>
  <c r="F2424" i="1"/>
  <c r="H2423" i="1"/>
  <c r="G2423" i="1"/>
  <c r="F2423" i="1"/>
  <c r="F2418" i="1" s="1"/>
  <c r="H2422" i="1"/>
  <c r="G2422" i="1"/>
  <c r="F2422" i="1"/>
  <c r="H2421" i="1"/>
  <c r="G2421" i="1"/>
  <c r="F2421" i="1"/>
  <c r="H2420" i="1"/>
  <c r="H2418" i="1" s="1"/>
  <c r="G2420" i="1"/>
  <c r="F2420" i="1"/>
  <c r="G2419" i="1"/>
  <c r="G2418" i="1" s="1"/>
  <c r="C2418" i="1"/>
  <c r="H2416" i="1"/>
  <c r="G2416" i="1"/>
  <c r="F2416" i="1"/>
  <c r="H2415" i="1"/>
  <c r="G2415" i="1"/>
  <c r="F2415" i="1"/>
  <c r="H2414" i="1"/>
  <c r="G2414" i="1"/>
  <c r="F2414" i="1"/>
  <c r="H2413" i="1"/>
  <c r="H2408" i="1" s="1"/>
  <c r="G2413" i="1"/>
  <c r="F2413" i="1"/>
  <c r="H2412" i="1"/>
  <c r="G2412" i="1"/>
  <c r="F2412" i="1"/>
  <c r="H2411" i="1"/>
  <c r="G2411" i="1"/>
  <c r="F2411" i="1"/>
  <c r="H2410" i="1"/>
  <c r="G2410" i="1"/>
  <c r="F2410" i="1"/>
  <c r="G2409" i="1"/>
  <c r="G2408" i="1" s="1"/>
  <c r="F2408" i="1"/>
  <c r="C2408" i="1"/>
  <c r="H2406" i="1"/>
  <c r="G2406" i="1"/>
  <c r="F2406" i="1"/>
  <c r="H2405" i="1"/>
  <c r="G2405" i="1"/>
  <c r="F2405" i="1"/>
  <c r="H2404" i="1"/>
  <c r="G2404" i="1"/>
  <c r="F2404" i="1"/>
  <c r="H2403" i="1"/>
  <c r="G2403" i="1"/>
  <c r="F2403" i="1"/>
  <c r="H2402" i="1"/>
  <c r="G2402" i="1"/>
  <c r="F2402" i="1"/>
  <c r="G2401" i="1"/>
  <c r="H2400" i="1"/>
  <c r="G2400" i="1"/>
  <c r="F2400" i="1"/>
  <c r="H2399" i="1"/>
  <c r="G2399" i="1"/>
  <c r="F2399" i="1"/>
  <c r="H2398" i="1"/>
  <c r="G2398" i="1"/>
  <c r="G2393" i="1" s="1"/>
  <c r="F2398" i="1"/>
  <c r="H2397" i="1"/>
  <c r="G2397" i="1"/>
  <c r="F2397" i="1"/>
  <c r="H2396" i="1"/>
  <c r="G2396" i="1"/>
  <c r="F2396" i="1"/>
  <c r="H2395" i="1"/>
  <c r="H2393" i="1" s="1"/>
  <c r="G2395" i="1"/>
  <c r="F2395" i="1"/>
  <c r="F2393" i="1" s="1"/>
  <c r="G2394" i="1"/>
  <c r="C2393" i="1"/>
  <c r="H2391" i="1"/>
  <c r="G2391" i="1"/>
  <c r="F2391" i="1"/>
  <c r="H2390" i="1"/>
  <c r="G2390" i="1"/>
  <c r="F2390" i="1"/>
  <c r="H2389" i="1"/>
  <c r="G2389" i="1"/>
  <c r="F2389" i="1"/>
  <c r="H2388" i="1"/>
  <c r="G2388" i="1"/>
  <c r="F2388" i="1"/>
  <c r="H2387" i="1"/>
  <c r="G2387" i="1"/>
  <c r="F2387" i="1"/>
  <c r="H2386" i="1"/>
  <c r="G2386" i="1"/>
  <c r="F2386" i="1"/>
  <c r="G2385" i="1"/>
  <c r="H2384" i="1"/>
  <c r="G2384" i="1"/>
  <c r="F2384" i="1"/>
  <c r="H2383" i="1"/>
  <c r="G2383" i="1"/>
  <c r="F2383" i="1"/>
  <c r="H2382" i="1"/>
  <c r="G2382" i="1"/>
  <c r="F2382" i="1"/>
  <c r="H2381" i="1"/>
  <c r="G2381" i="1"/>
  <c r="F2381" i="1"/>
  <c r="H2380" i="1"/>
  <c r="G2380" i="1"/>
  <c r="F2380" i="1"/>
  <c r="H2379" i="1"/>
  <c r="H2377" i="1" s="1"/>
  <c r="G2379" i="1"/>
  <c r="F2379" i="1"/>
  <c r="G2378" i="1"/>
  <c r="G2377" i="1"/>
  <c r="F2377" i="1"/>
  <c r="C2377" i="1"/>
  <c r="H2375" i="1"/>
  <c r="G2375" i="1"/>
  <c r="F2375" i="1"/>
  <c r="H2374" i="1"/>
  <c r="G2374" i="1"/>
  <c r="F2374" i="1"/>
  <c r="H2373" i="1"/>
  <c r="G2373" i="1"/>
  <c r="F2373" i="1"/>
  <c r="H2372" i="1"/>
  <c r="G2372" i="1"/>
  <c r="F2372" i="1"/>
  <c r="H2371" i="1"/>
  <c r="G2371" i="1"/>
  <c r="G2368" i="1" s="1"/>
  <c r="F2371" i="1"/>
  <c r="F2368" i="1" s="1"/>
  <c r="H2370" i="1"/>
  <c r="G2370" i="1"/>
  <c r="F2370" i="1"/>
  <c r="H2369" i="1"/>
  <c r="G2369" i="1"/>
  <c r="F2369" i="1"/>
  <c r="H2368" i="1"/>
  <c r="C2368" i="1"/>
  <c r="H2366" i="1"/>
  <c r="G2366" i="1"/>
  <c r="F2366" i="1"/>
  <c r="H2365" i="1"/>
  <c r="G2365" i="1"/>
  <c r="F2365" i="1"/>
  <c r="H2364" i="1"/>
  <c r="G2364" i="1"/>
  <c r="F2364" i="1"/>
  <c r="H2363" i="1"/>
  <c r="G2363" i="1"/>
  <c r="F2363" i="1"/>
  <c r="H2362" i="1"/>
  <c r="G2362" i="1"/>
  <c r="G2358" i="1" s="1"/>
  <c r="F2362" i="1"/>
  <c r="H2361" i="1"/>
  <c r="G2361" i="1"/>
  <c r="F2361" i="1"/>
  <c r="H2360" i="1"/>
  <c r="G2360" i="1"/>
  <c r="F2360" i="1"/>
  <c r="F2358" i="1" s="1"/>
  <c r="H2359" i="1"/>
  <c r="H2358" i="1" s="1"/>
  <c r="G2359" i="1"/>
  <c r="F2359" i="1"/>
  <c r="C2358" i="1"/>
  <c r="H2356" i="1"/>
  <c r="H2353" i="1" s="1"/>
  <c r="G2356" i="1"/>
  <c r="F2356" i="1"/>
  <c r="H2355" i="1"/>
  <c r="G2355" i="1"/>
  <c r="F2355" i="1"/>
  <c r="H2354" i="1"/>
  <c r="G2354" i="1"/>
  <c r="G2353" i="1" s="1"/>
  <c r="F2354" i="1"/>
  <c r="F2353" i="1" s="1"/>
  <c r="C2353" i="1"/>
  <c r="H2351" i="1"/>
  <c r="G2351" i="1"/>
  <c r="F2351" i="1"/>
  <c r="H2350" i="1"/>
  <c r="G2350" i="1"/>
  <c r="F2350" i="1"/>
  <c r="H2349" i="1"/>
  <c r="G2349" i="1"/>
  <c r="F2349" i="1"/>
  <c r="H2348" i="1"/>
  <c r="G2348" i="1"/>
  <c r="F2348" i="1"/>
  <c r="F2339" i="1" s="1"/>
  <c r="H2347" i="1"/>
  <c r="G2347" i="1"/>
  <c r="F2347" i="1"/>
  <c r="H2346" i="1"/>
  <c r="G2346" i="1"/>
  <c r="F2346" i="1"/>
  <c r="H2345" i="1"/>
  <c r="G2345" i="1"/>
  <c r="F2345" i="1"/>
  <c r="H2344" i="1"/>
  <c r="G2344" i="1"/>
  <c r="F2344" i="1"/>
  <c r="H2343" i="1"/>
  <c r="G2343" i="1"/>
  <c r="F2343" i="1"/>
  <c r="H2342" i="1"/>
  <c r="G2342" i="1"/>
  <c r="F2342" i="1"/>
  <c r="H2341" i="1"/>
  <c r="H2339" i="1" s="1"/>
  <c r="G2341" i="1"/>
  <c r="F2341" i="1"/>
  <c r="G2340" i="1"/>
  <c r="G2339" i="1"/>
  <c r="C2339" i="1"/>
  <c r="H2337" i="1"/>
  <c r="G2337" i="1"/>
  <c r="F2337" i="1"/>
  <c r="H2336" i="1"/>
  <c r="G2336" i="1"/>
  <c r="F2336" i="1"/>
  <c r="H2335" i="1"/>
  <c r="G2335" i="1"/>
  <c r="F2335" i="1"/>
  <c r="H2334" i="1"/>
  <c r="G2334" i="1"/>
  <c r="F2334" i="1"/>
  <c r="H2333" i="1"/>
  <c r="G2333" i="1"/>
  <c r="F2333" i="1"/>
  <c r="H2332" i="1"/>
  <c r="G2332" i="1"/>
  <c r="F2332" i="1"/>
  <c r="H2331" i="1"/>
  <c r="G2331" i="1"/>
  <c r="F2331" i="1"/>
  <c r="H2330" i="1"/>
  <c r="G2330" i="1"/>
  <c r="F2330" i="1"/>
  <c r="H2329" i="1"/>
  <c r="G2329" i="1"/>
  <c r="F2329" i="1"/>
  <c r="H2328" i="1"/>
  <c r="H2326" i="1" s="1"/>
  <c r="G2328" i="1"/>
  <c r="F2328" i="1"/>
  <c r="F2326" i="1" s="1"/>
  <c r="G2327" i="1"/>
  <c r="G2326" i="1" s="1"/>
  <c r="C2326" i="1"/>
  <c r="H2324" i="1"/>
  <c r="G2324" i="1"/>
  <c r="F2324" i="1"/>
  <c r="H2323" i="1"/>
  <c r="G2323" i="1"/>
  <c r="F2323" i="1"/>
  <c r="G2322" i="1"/>
  <c r="H2321" i="1"/>
  <c r="G2321" i="1"/>
  <c r="F2321" i="1"/>
  <c r="H2320" i="1"/>
  <c r="G2320" i="1"/>
  <c r="F2320" i="1"/>
  <c r="H2319" i="1"/>
  <c r="G2319" i="1"/>
  <c r="F2319" i="1"/>
  <c r="H2318" i="1"/>
  <c r="G2318" i="1"/>
  <c r="F2318" i="1"/>
  <c r="H2317" i="1"/>
  <c r="G2317" i="1"/>
  <c r="F2317" i="1"/>
  <c r="H2316" i="1"/>
  <c r="G2316" i="1"/>
  <c r="F2316" i="1"/>
  <c r="H2315" i="1"/>
  <c r="G2315" i="1"/>
  <c r="F2315" i="1"/>
  <c r="F2310" i="1" s="1"/>
  <c r="H2314" i="1"/>
  <c r="G2314" i="1"/>
  <c r="F2314" i="1"/>
  <c r="H2313" i="1"/>
  <c r="G2313" i="1"/>
  <c r="F2313" i="1"/>
  <c r="H2312" i="1"/>
  <c r="H2310" i="1" s="1"/>
  <c r="G2312" i="1"/>
  <c r="F2312" i="1"/>
  <c r="G2311" i="1"/>
  <c r="G2310" i="1" s="1"/>
  <c r="C2310" i="1"/>
  <c r="H2308" i="1"/>
  <c r="G2308" i="1"/>
  <c r="F2308" i="1"/>
  <c r="F2307" i="1"/>
  <c r="H2306" i="1"/>
  <c r="G2306" i="1"/>
  <c r="F2306" i="1"/>
  <c r="H2305" i="1"/>
  <c r="G2305" i="1"/>
  <c r="F2305" i="1"/>
  <c r="H2304" i="1"/>
  <c r="G2304" i="1"/>
  <c r="F2304" i="1"/>
  <c r="H2303" i="1"/>
  <c r="G2303" i="1"/>
  <c r="F2303" i="1"/>
  <c r="H2302" i="1"/>
  <c r="G2302" i="1"/>
  <c r="F2302" i="1"/>
  <c r="H2301" i="1"/>
  <c r="G2301" i="1"/>
  <c r="F2301" i="1"/>
  <c r="H2300" i="1"/>
  <c r="G2300" i="1"/>
  <c r="F2300" i="1"/>
  <c r="H2299" i="1"/>
  <c r="H2294" i="1" s="1"/>
  <c r="G2299" i="1"/>
  <c r="F2299" i="1"/>
  <c r="H2298" i="1"/>
  <c r="G2298" i="1"/>
  <c r="F2298" i="1"/>
  <c r="H2297" i="1"/>
  <c r="G2297" i="1"/>
  <c r="F2297" i="1"/>
  <c r="H2296" i="1"/>
  <c r="G2296" i="1"/>
  <c r="F2296" i="1"/>
  <c r="G2295" i="1"/>
  <c r="G2294" i="1" s="1"/>
  <c r="F2294" i="1"/>
  <c r="C2294" i="1"/>
  <c r="H2292" i="1"/>
  <c r="G2292" i="1"/>
  <c r="F2292" i="1"/>
  <c r="H2291" i="1"/>
  <c r="G2291" i="1"/>
  <c r="F2291" i="1"/>
  <c r="H2290" i="1"/>
  <c r="H2283" i="1" s="1"/>
  <c r="G2290" i="1"/>
  <c r="F2290" i="1"/>
  <c r="G2289" i="1"/>
  <c r="H2288" i="1"/>
  <c r="G2288" i="1"/>
  <c r="F2288" i="1"/>
  <c r="H2287" i="1"/>
  <c r="G2287" i="1"/>
  <c r="F2287" i="1"/>
  <c r="F2283" i="1" s="1"/>
  <c r="H2286" i="1"/>
  <c r="G2286" i="1"/>
  <c r="F2286" i="1"/>
  <c r="H2285" i="1"/>
  <c r="G2285" i="1"/>
  <c r="F2285" i="1"/>
  <c r="G2284" i="1"/>
  <c r="G2283" i="1" s="1"/>
  <c r="C2283" i="1"/>
  <c r="H2281" i="1"/>
  <c r="G2281" i="1"/>
  <c r="F2281" i="1"/>
  <c r="H2280" i="1"/>
  <c r="G2280" i="1"/>
  <c r="F2280" i="1"/>
  <c r="H2279" i="1"/>
  <c r="G2279" i="1"/>
  <c r="F2279" i="1"/>
  <c r="H2278" i="1"/>
  <c r="G2278" i="1"/>
  <c r="F2278" i="1"/>
  <c r="F2269" i="1" s="1"/>
  <c r="H2277" i="1"/>
  <c r="G2277" i="1"/>
  <c r="F2277" i="1"/>
  <c r="H2276" i="1"/>
  <c r="G2276" i="1"/>
  <c r="F2276" i="1"/>
  <c r="H2275" i="1"/>
  <c r="G2275" i="1"/>
  <c r="F2275" i="1"/>
  <c r="H2274" i="1"/>
  <c r="G2274" i="1"/>
  <c r="F2274" i="1"/>
  <c r="H2273" i="1"/>
  <c r="G2273" i="1"/>
  <c r="F2273" i="1"/>
  <c r="H2272" i="1"/>
  <c r="G2272" i="1"/>
  <c r="F2272" i="1"/>
  <c r="H2271" i="1"/>
  <c r="H2269" i="1" s="1"/>
  <c r="G2271" i="1"/>
  <c r="F2271" i="1"/>
  <c r="G2270" i="1"/>
  <c r="G2269" i="1"/>
  <c r="C2269" i="1"/>
  <c r="H2267" i="1"/>
  <c r="G2267" i="1"/>
  <c r="F2267" i="1"/>
  <c r="H2266" i="1"/>
  <c r="G2266" i="1"/>
  <c r="F2266" i="1"/>
  <c r="H2265" i="1"/>
  <c r="G2265" i="1"/>
  <c r="F2265" i="1"/>
  <c r="H2264" i="1"/>
  <c r="G2264" i="1"/>
  <c r="F2264" i="1"/>
  <c r="H2263" i="1"/>
  <c r="G2263" i="1"/>
  <c r="G2254" i="1" s="1"/>
  <c r="F2263" i="1"/>
  <c r="H2262" i="1"/>
  <c r="G2262" i="1"/>
  <c r="F2262" i="1"/>
  <c r="H2261" i="1"/>
  <c r="G2261" i="1"/>
  <c r="F2261" i="1"/>
  <c r="H2260" i="1"/>
  <c r="G2260" i="1"/>
  <c r="F2260" i="1"/>
  <c r="H2259" i="1"/>
  <c r="G2259" i="1"/>
  <c r="F2259" i="1"/>
  <c r="H2258" i="1"/>
  <c r="G2258" i="1"/>
  <c r="F2258" i="1"/>
  <c r="H2257" i="1"/>
  <c r="G2257" i="1"/>
  <c r="F2257" i="1"/>
  <c r="H2256" i="1"/>
  <c r="G2256" i="1"/>
  <c r="F2256" i="1"/>
  <c r="F2254" i="1" s="1"/>
  <c r="G2255" i="1"/>
  <c r="H2254" i="1"/>
  <c r="C2254" i="1"/>
  <c r="H2252" i="1"/>
  <c r="G2252" i="1"/>
  <c r="F2252" i="1"/>
  <c r="H2251" i="1"/>
  <c r="G2251" i="1"/>
  <c r="F2251" i="1"/>
  <c r="F2247" i="1" s="1"/>
  <c r="H2250" i="1"/>
  <c r="G2250" i="1"/>
  <c r="F2250" i="1"/>
  <c r="H2249" i="1"/>
  <c r="G2249" i="1"/>
  <c r="F2249" i="1"/>
  <c r="G2248" i="1"/>
  <c r="G2247" i="1" s="1"/>
  <c r="H2247" i="1"/>
  <c r="C2247" i="1"/>
  <c r="H2245" i="1"/>
  <c r="G2245" i="1"/>
  <c r="F2245" i="1"/>
  <c r="F2244" i="1"/>
  <c r="H2243" i="1"/>
  <c r="G2243" i="1"/>
  <c r="F2243" i="1"/>
  <c r="G2242" i="1"/>
  <c r="H2241" i="1"/>
  <c r="G2241" i="1"/>
  <c r="F2241" i="1"/>
  <c r="H2240" i="1"/>
  <c r="G2240" i="1"/>
  <c r="F2240" i="1"/>
  <c r="H2239" i="1"/>
  <c r="G2239" i="1"/>
  <c r="F2239" i="1"/>
  <c r="H2238" i="1"/>
  <c r="G2238" i="1"/>
  <c r="F2238" i="1"/>
  <c r="H2237" i="1"/>
  <c r="G2237" i="1"/>
  <c r="F2237" i="1"/>
  <c r="H2236" i="1"/>
  <c r="G2236" i="1"/>
  <c r="F2236" i="1"/>
  <c r="H2235" i="1"/>
  <c r="G2235" i="1"/>
  <c r="F2235" i="1"/>
  <c r="F2230" i="1" s="1"/>
  <c r="H2234" i="1"/>
  <c r="G2234" i="1"/>
  <c r="F2234" i="1"/>
  <c r="H2233" i="1"/>
  <c r="G2233" i="1"/>
  <c r="F2233" i="1"/>
  <c r="H2232" i="1"/>
  <c r="H2230" i="1" s="1"/>
  <c r="G2232" i="1"/>
  <c r="F2232" i="1"/>
  <c r="G2231" i="1"/>
  <c r="G2230" i="1" s="1"/>
  <c r="C2230" i="1"/>
  <c r="H2228" i="1"/>
  <c r="G2228" i="1"/>
  <c r="F2228" i="1"/>
  <c r="H2227" i="1"/>
  <c r="G2227" i="1"/>
  <c r="F2227" i="1"/>
  <c r="H2226" i="1"/>
  <c r="G2226" i="1"/>
  <c r="F2226" i="1"/>
  <c r="H2225" i="1"/>
  <c r="G2225" i="1"/>
  <c r="F2225" i="1"/>
  <c r="H2224" i="1"/>
  <c r="G2224" i="1"/>
  <c r="F2224" i="1"/>
  <c r="H2223" i="1"/>
  <c r="G2223" i="1"/>
  <c r="F2223" i="1"/>
  <c r="G2222" i="1"/>
  <c r="H2221" i="1"/>
  <c r="G2221" i="1"/>
  <c r="F2221" i="1"/>
  <c r="H2220" i="1"/>
  <c r="G2220" i="1"/>
  <c r="F2220" i="1"/>
  <c r="H2219" i="1"/>
  <c r="H2214" i="1" s="1"/>
  <c r="G2219" i="1"/>
  <c r="F2219" i="1"/>
  <c r="H2218" i="1"/>
  <c r="G2218" i="1"/>
  <c r="F2218" i="1"/>
  <c r="H2217" i="1"/>
  <c r="G2217" i="1"/>
  <c r="F2217" i="1"/>
  <c r="H2216" i="1"/>
  <c r="G2216" i="1"/>
  <c r="F2216" i="1"/>
  <c r="G2215" i="1"/>
  <c r="G2214" i="1" s="1"/>
  <c r="F2214" i="1"/>
  <c r="C2214" i="1"/>
  <c r="H2212" i="1"/>
  <c r="G2212" i="1"/>
  <c r="F2212" i="1"/>
  <c r="H2211" i="1"/>
  <c r="G2211" i="1"/>
  <c r="F2211" i="1"/>
  <c r="H2210" i="1"/>
  <c r="G2210" i="1"/>
  <c r="F2210" i="1"/>
  <c r="H2209" i="1"/>
  <c r="G2209" i="1"/>
  <c r="F2209" i="1"/>
  <c r="H2208" i="1"/>
  <c r="G2208" i="1"/>
  <c r="F2208" i="1"/>
  <c r="H2207" i="1"/>
  <c r="H2203" i="1" s="1"/>
  <c r="G2207" i="1"/>
  <c r="F2207" i="1"/>
  <c r="H2206" i="1"/>
  <c r="G2206" i="1"/>
  <c r="F2206" i="1"/>
  <c r="H2205" i="1"/>
  <c r="G2205" i="1"/>
  <c r="G2203" i="1" s="1"/>
  <c r="F2205" i="1"/>
  <c r="H2204" i="1"/>
  <c r="G2204" i="1"/>
  <c r="F2204" i="1"/>
  <c r="F2203" i="1" s="1"/>
  <c r="C2203" i="1"/>
  <c r="H2201" i="1"/>
  <c r="H2200" i="1" s="1"/>
  <c r="G2201" i="1"/>
  <c r="F2201" i="1"/>
  <c r="G2200" i="1"/>
  <c r="F2200" i="1"/>
  <c r="C2200" i="1"/>
  <c r="H2198" i="1"/>
  <c r="G2198" i="1"/>
  <c r="F2198" i="1"/>
  <c r="H2197" i="1"/>
  <c r="G2197" i="1"/>
  <c r="F2197" i="1"/>
  <c r="H2196" i="1"/>
  <c r="G2196" i="1"/>
  <c r="F2196" i="1"/>
  <c r="H2195" i="1"/>
  <c r="G2195" i="1"/>
  <c r="F2195" i="1"/>
  <c r="H2194" i="1"/>
  <c r="G2194" i="1"/>
  <c r="F2194" i="1"/>
  <c r="H2193" i="1"/>
  <c r="G2193" i="1"/>
  <c r="F2193" i="1"/>
  <c r="H2192" i="1"/>
  <c r="G2192" i="1"/>
  <c r="F2192" i="1"/>
  <c r="H2191" i="1"/>
  <c r="G2191" i="1"/>
  <c r="F2191" i="1"/>
  <c r="H2190" i="1"/>
  <c r="G2190" i="1"/>
  <c r="G2185" i="1" s="1"/>
  <c r="F2190" i="1"/>
  <c r="H2189" i="1"/>
  <c r="G2189" i="1"/>
  <c r="F2189" i="1"/>
  <c r="H2188" i="1"/>
  <c r="G2188" i="1"/>
  <c r="F2188" i="1"/>
  <c r="F2185" i="1" s="1"/>
  <c r="H2187" i="1"/>
  <c r="H2185" i="1" s="1"/>
  <c r="G2187" i="1"/>
  <c r="F2187" i="1"/>
  <c r="G2186" i="1"/>
  <c r="C2185" i="1"/>
  <c r="H2183" i="1"/>
  <c r="H2182" i="1" s="1"/>
  <c r="G2183" i="1"/>
  <c r="F2183" i="1"/>
  <c r="G2182" i="1"/>
  <c r="F2182" i="1"/>
  <c r="C2182" i="1"/>
  <c r="H2180" i="1"/>
  <c r="G2180" i="1"/>
  <c r="F2180" i="1"/>
  <c r="H2179" i="1"/>
  <c r="G2179" i="1"/>
  <c r="F2179" i="1"/>
  <c r="H2178" i="1"/>
  <c r="G2178" i="1"/>
  <c r="F2178" i="1"/>
  <c r="H2177" i="1"/>
  <c r="G2177" i="1"/>
  <c r="F2177" i="1"/>
  <c r="H2176" i="1"/>
  <c r="G2176" i="1"/>
  <c r="F2176" i="1"/>
  <c r="H2175" i="1"/>
  <c r="G2175" i="1"/>
  <c r="F2175" i="1"/>
  <c r="G2174" i="1"/>
  <c r="H2173" i="1"/>
  <c r="G2173" i="1"/>
  <c r="F2173" i="1"/>
  <c r="H2172" i="1"/>
  <c r="G2172" i="1"/>
  <c r="F2172" i="1"/>
  <c r="H2171" i="1"/>
  <c r="H2166" i="1" s="1"/>
  <c r="G2171" i="1"/>
  <c r="F2171" i="1"/>
  <c r="H2170" i="1"/>
  <c r="G2170" i="1"/>
  <c r="F2170" i="1"/>
  <c r="H2169" i="1"/>
  <c r="G2169" i="1"/>
  <c r="G2166" i="1" s="1"/>
  <c r="F2169" i="1"/>
  <c r="H2168" i="1"/>
  <c r="G2168" i="1"/>
  <c r="F2168" i="1"/>
  <c r="G2167" i="1"/>
  <c r="F2166" i="1"/>
  <c r="C2166" i="1"/>
  <c r="H2164" i="1"/>
  <c r="G2164" i="1"/>
  <c r="F2164" i="1"/>
  <c r="H2163" i="1"/>
  <c r="G2163" i="1"/>
  <c r="F2163" i="1"/>
  <c r="H2162" i="1"/>
  <c r="H2153" i="1" s="1"/>
  <c r="G2162" i="1"/>
  <c r="F2162" i="1"/>
  <c r="H2161" i="1"/>
  <c r="G2161" i="1"/>
  <c r="F2161" i="1"/>
  <c r="H2160" i="1"/>
  <c r="G2160" i="1"/>
  <c r="F2160" i="1"/>
  <c r="H2159" i="1"/>
  <c r="G2159" i="1"/>
  <c r="F2159" i="1"/>
  <c r="H2158" i="1"/>
  <c r="G2158" i="1"/>
  <c r="F2158" i="1"/>
  <c r="H2157" i="1"/>
  <c r="G2157" i="1"/>
  <c r="F2157" i="1"/>
  <c r="H2156" i="1"/>
  <c r="G2156" i="1"/>
  <c r="F2156" i="1"/>
  <c r="H2155" i="1"/>
  <c r="G2155" i="1"/>
  <c r="F2155" i="1"/>
  <c r="F2153" i="1" s="1"/>
  <c r="G2154" i="1"/>
  <c r="G2153" i="1" s="1"/>
  <c r="C2153" i="1"/>
  <c r="H2151" i="1"/>
  <c r="G2151" i="1"/>
  <c r="F2151" i="1"/>
  <c r="H2150" i="1"/>
  <c r="G2150" i="1"/>
  <c r="F2150" i="1"/>
  <c r="H2149" i="1"/>
  <c r="G2149" i="1"/>
  <c r="F2149" i="1"/>
  <c r="H2148" i="1"/>
  <c r="G2148" i="1"/>
  <c r="F2148" i="1"/>
  <c r="H2147" i="1"/>
  <c r="G2147" i="1"/>
  <c r="F2147" i="1"/>
  <c r="H2146" i="1"/>
  <c r="G2146" i="1"/>
  <c r="F2146" i="1"/>
  <c r="H2145" i="1"/>
  <c r="G2145" i="1"/>
  <c r="F2145" i="1"/>
  <c r="H2144" i="1"/>
  <c r="G2144" i="1"/>
  <c r="F2144" i="1"/>
  <c r="H2143" i="1"/>
  <c r="G2143" i="1"/>
  <c r="F2143" i="1"/>
  <c r="H2142" i="1"/>
  <c r="G2142" i="1"/>
  <c r="F2142" i="1"/>
  <c r="H2141" i="1"/>
  <c r="G2141" i="1"/>
  <c r="F2141" i="1"/>
  <c r="H2140" i="1"/>
  <c r="H2138" i="1" s="1"/>
  <c r="G2140" i="1"/>
  <c r="F2140" i="1"/>
  <c r="F2138" i="1" s="1"/>
  <c r="G2139" i="1"/>
  <c r="G2138" i="1" s="1"/>
  <c r="C2138" i="1"/>
  <c r="H2136" i="1"/>
  <c r="G2136" i="1"/>
  <c r="F2136" i="1"/>
  <c r="H2135" i="1"/>
  <c r="G2135" i="1"/>
  <c r="F2135" i="1"/>
  <c r="H2134" i="1"/>
  <c r="G2134" i="1"/>
  <c r="F2134" i="1"/>
  <c r="H2133" i="1"/>
  <c r="G2133" i="1"/>
  <c r="F2133" i="1"/>
  <c r="H2132" i="1"/>
  <c r="G2132" i="1"/>
  <c r="F2132" i="1"/>
  <c r="H2131" i="1"/>
  <c r="G2131" i="1"/>
  <c r="F2131" i="1"/>
  <c r="H2130" i="1"/>
  <c r="H2128" i="1" s="1"/>
  <c r="G2130" i="1"/>
  <c r="F2130" i="1"/>
  <c r="H2129" i="1"/>
  <c r="G2129" i="1"/>
  <c r="G2128" i="1" s="1"/>
  <c r="F2129" i="1"/>
  <c r="F2128" i="1"/>
  <c r="C2128" i="1"/>
  <c r="H2126" i="1"/>
  <c r="G2126" i="1"/>
  <c r="F2126" i="1"/>
  <c r="H2125" i="1"/>
  <c r="G2125" i="1"/>
  <c r="F2125" i="1"/>
  <c r="H2124" i="1"/>
  <c r="G2124" i="1"/>
  <c r="F2124" i="1"/>
  <c r="H2123" i="1"/>
  <c r="G2123" i="1"/>
  <c r="F2123" i="1"/>
  <c r="H2122" i="1"/>
  <c r="G2122" i="1"/>
  <c r="F2122" i="1"/>
  <c r="F2113" i="1" s="1"/>
  <c r="H2121" i="1"/>
  <c r="G2121" i="1"/>
  <c r="F2121" i="1"/>
  <c r="H2120" i="1"/>
  <c r="G2120" i="1"/>
  <c r="F2120" i="1"/>
  <c r="H2119" i="1"/>
  <c r="G2119" i="1"/>
  <c r="F2119" i="1"/>
  <c r="H2118" i="1"/>
  <c r="G2118" i="1"/>
  <c r="F2118" i="1"/>
  <c r="H2117" i="1"/>
  <c r="G2117" i="1"/>
  <c r="F2117" i="1"/>
  <c r="H2116" i="1"/>
  <c r="G2116" i="1"/>
  <c r="F2116" i="1"/>
  <c r="H2115" i="1"/>
  <c r="H2113" i="1" s="1"/>
  <c r="G2115" i="1"/>
  <c r="F2115" i="1"/>
  <c r="G2114" i="1"/>
  <c r="G2113" i="1"/>
  <c r="C2113" i="1"/>
  <c r="H2111" i="1"/>
  <c r="G2111" i="1"/>
  <c r="F2111" i="1"/>
  <c r="H2110" i="1"/>
  <c r="G2110" i="1"/>
  <c r="F2110" i="1"/>
  <c r="H2109" i="1"/>
  <c r="G2109" i="1"/>
  <c r="F2109" i="1"/>
  <c r="H2108" i="1"/>
  <c r="G2108" i="1"/>
  <c r="F2108" i="1"/>
  <c r="H2107" i="1"/>
  <c r="G2107" i="1"/>
  <c r="G2098" i="1" s="1"/>
  <c r="F2107" i="1"/>
  <c r="H2106" i="1"/>
  <c r="G2106" i="1"/>
  <c r="F2106" i="1"/>
  <c r="H2105" i="1"/>
  <c r="G2105" i="1"/>
  <c r="F2105" i="1"/>
  <c r="H2104" i="1"/>
  <c r="G2104" i="1"/>
  <c r="F2104" i="1"/>
  <c r="H2103" i="1"/>
  <c r="G2103" i="1"/>
  <c r="F2103" i="1"/>
  <c r="H2102" i="1"/>
  <c r="G2102" i="1"/>
  <c r="F2102" i="1"/>
  <c r="H2101" i="1"/>
  <c r="G2101" i="1"/>
  <c r="F2101" i="1"/>
  <c r="H2100" i="1"/>
  <c r="G2100" i="1"/>
  <c r="F2100" i="1"/>
  <c r="F2098" i="1" s="1"/>
  <c r="G2099" i="1"/>
  <c r="H2098" i="1"/>
  <c r="C2098" i="1"/>
  <c r="H2096" i="1"/>
  <c r="G2096" i="1"/>
  <c r="F2096" i="1"/>
  <c r="H2095" i="1"/>
  <c r="G2095" i="1"/>
  <c r="F2095" i="1"/>
  <c r="H2094" i="1"/>
  <c r="G2094" i="1"/>
  <c r="F2094" i="1"/>
  <c r="H2093" i="1"/>
  <c r="G2093" i="1"/>
  <c r="F2093" i="1"/>
  <c r="H2092" i="1"/>
  <c r="G2092" i="1"/>
  <c r="F2092" i="1"/>
  <c r="H2091" i="1"/>
  <c r="G2091" i="1"/>
  <c r="F2091" i="1"/>
  <c r="H2090" i="1"/>
  <c r="G2090" i="1"/>
  <c r="F2090" i="1"/>
  <c r="H2089" i="1"/>
  <c r="H2084" i="1" s="1"/>
  <c r="G2089" i="1"/>
  <c r="F2089" i="1"/>
  <c r="H2088" i="1"/>
  <c r="G2088" i="1"/>
  <c r="F2088" i="1"/>
  <c r="H2087" i="1"/>
  <c r="G2087" i="1"/>
  <c r="F2087" i="1"/>
  <c r="H2086" i="1"/>
  <c r="G2086" i="1"/>
  <c r="G2084" i="1" s="1"/>
  <c r="F2086" i="1"/>
  <c r="G2085" i="1"/>
  <c r="F2084" i="1"/>
  <c r="C2084" i="1"/>
  <c r="H2082" i="1"/>
  <c r="G2082" i="1"/>
  <c r="F2082" i="1"/>
  <c r="H2081" i="1"/>
  <c r="G2081" i="1"/>
  <c r="F2081" i="1"/>
  <c r="H2080" i="1"/>
  <c r="G2080" i="1"/>
  <c r="F2080" i="1"/>
  <c r="H2079" i="1"/>
  <c r="G2079" i="1"/>
  <c r="F2079" i="1"/>
  <c r="H2078" i="1"/>
  <c r="G2078" i="1"/>
  <c r="F2078" i="1"/>
  <c r="F2069" i="1" s="1"/>
  <c r="H2077" i="1"/>
  <c r="G2077" i="1"/>
  <c r="F2077" i="1"/>
  <c r="H2076" i="1"/>
  <c r="G2076" i="1"/>
  <c r="F2076" i="1"/>
  <c r="H2075" i="1"/>
  <c r="G2075" i="1"/>
  <c r="F2075" i="1"/>
  <c r="H2074" i="1"/>
  <c r="G2074" i="1"/>
  <c r="F2074" i="1"/>
  <c r="H2073" i="1"/>
  <c r="G2073" i="1"/>
  <c r="F2073" i="1"/>
  <c r="H2072" i="1"/>
  <c r="G2072" i="1"/>
  <c r="F2072" i="1"/>
  <c r="H2071" i="1"/>
  <c r="H2069" i="1" s="1"/>
  <c r="G2071" i="1"/>
  <c r="F2071" i="1"/>
  <c r="G2070" i="1"/>
  <c r="G2069" i="1"/>
  <c r="C2069" i="1"/>
  <c r="H2067" i="1"/>
  <c r="G2067" i="1"/>
  <c r="F2067" i="1"/>
  <c r="H2066" i="1"/>
  <c r="G2066" i="1"/>
  <c r="F2066" i="1"/>
  <c r="G2065" i="1"/>
  <c r="H2064" i="1"/>
  <c r="G2064" i="1"/>
  <c r="F2064" i="1"/>
  <c r="H2063" i="1"/>
  <c r="G2063" i="1"/>
  <c r="F2063" i="1"/>
  <c r="H2062" i="1"/>
  <c r="H2053" i="1" s="1"/>
  <c r="G2062" i="1"/>
  <c r="F2062" i="1"/>
  <c r="H2061" i="1"/>
  <c r="G2061" i="1"/>
  <c r="F2061" i="1"/>
  <c r="H2060" i="1"/>
  <c r="G2060" i="1"/>
  <c r="F2060" i="1"/>
  <c r="H2059" i="1"/>
  <c r="G2059" i="1"/>
  <c r="F2059" i="1"/>
  <c r="H2058" i="1"/>
  <c r="G2058" i="1"/>
  <c r="F2058" i="1"/>
  <c r="H2057" i="1"/>
  <c r="G2057" i="1"/>
  <c r="F2057" i="1"/>
  <c r="F2053" i="1" s="1"/>
  <c r="H2056" i="1"/>
  <c r="G2056" i="1"/>
  <c r="F2056" i="1"/>
  <c r="H2055" i="1"/>
  <c r="G2055" i="1"/>
  <c r="F2055" i="1"/>
  <c r="G2054" i="1"/>
  <c r="G2053" i="1" s="1"/>
  <c r="C2053" i="1"/>
  <c r="H2051" i="1"/>
  <c r="G2051" i="1"/>
  <c r="F2051" i="1"/>
  <c r="H2050" i="1"/>
  <c r="G2050" i="1"/>
  <c r="F2050" i="1"/>
  <c r="H2049" i="1"/>
  <c r="G2049" i="1"/>
  <c r="F2049" i="1"/>
  <c r="H2048" i="1"/>
  <c r="G2048" i="1"/>
  <c r="F2048" i="1"/>
  <c r="H2047" i="1"/>
  <c r="G2047" i="1"/>
  <c r="F2047" i="1"/>
  <c r="H2046" i="1"/>
  <c r="G2046" i="1"/>
  <c r="F2046" i="1"/>
  <c r="H2045" i="1"/>
  <c r="G2045" i="1"/>
  <c r="F2045" i="1"/>
  <c r="H2044" i="1"/>
  <c r="G2044" i="1"/>
  <c r="F2044" i="1"/>
  <c r="H2043" i="1"/>
  <c r="G2043" i="1"/>
  <c r="F2043" i="1"/>
  <c r="H2042" i="1"/>
  <c r="G2042" i="1"/>
  <c r="F2042" i="1"/>
  <c r="H2041" i="1"/>
  <c r="G2041" i="1"/>
  <c r="F2041" i="1"/>
  <c r="H2040" i="1"/>
  <c r="H2038" i="1" s="1"/>
  <c r="G2040" i="1"/>
  <c r="F2040" i="1"/>
  <c r="F2038" i="1" s="1"/>
  <c r="G2039" i="1"/>
  <c r="G2038" i="1" s="1"/>
  <c r="C2038" i="1"/>
  <c r="H2036" i="1"/>
  <c r="G2036" i="1"/>
  <c r="F2036" i="1"/>
  <c r="H2035" i="1"/>
  <c r="G2035" i="1"/>
  <c r="F2035" i="1"/>
  <c r="H2034" i="1"/>
  <c r="G2034" i="1"/>
  <c r="F2034" i="1"/>
  <c r="H2033" i="1"/>
  <c r="G2033" i="1"/>
  <c r="F2033" i="1"/>
  <c r="H2032" i="1"/>
  <c r="G2032" i="1"/>
  <c r="F2032" i="1"/>
  <c r="H2031" i="1"/>
  <c r="G2031" i="1"/>
  <c r="F2031" i="1"/>
  <c r="H2030" i="1"/>
  <c r="G2030" i="1"/>
  <c r="F2030" i="1"/>
  <c r="H2029" i="1"/>
  <c r="G2029" i="1"/>
  <c r="F2029" i="1"/>
  <c r="H2028" i="1"/>
  <c r="G2028" i="1"/>
  <c r="F2028" i="1"/>
  <c r="H2027" i="1"/>
  <c r="H2023" i="1" s="1"/>
  <c r="G2027" i="1"/>
  <c r="F2027" i="1"/>
  <c r="H2026" i="1"/>
  <c r="G2026" i="1"/>
  <c r="F2026" i="1"/>
  <c r="H2025" i="1"/>
  <c r="G2025" i="1"/>
  <c r="G2023" i="1" s="1"/>
  <c r="F2025" i="1"/>
  <c r="F2023" i="1" s="1"/>
  <c r="G2024" i="1"/>
  <c r="C2023" i="1"/>
  <c r="H2021" i="1"/>
  <c r="G2021" i="1"/>
  <c r="F2021" i="1"/>
  <c r="H2020" i="1"/>
  <c r="G2020" i="1"/>
  <c r="F2020" i="1"/>
  <c r="H2019" i="1"/>
  <c r="G2019" i="1"/>
  <c r="F2019" i="1"/>
  <c r="H2018" i="1"/>
  <c r="G2018" i="1"/>
  <c r="F2018" i="1"/>
  <c r="H2017" i="1"/>
  <c r="G2017" i="1"/>
  <c r="F2017" i="1"/>
  <c r="H2016" i="1"/>
  <c r="G2016" i="1"/>
  <c r="F2016" i="1"/>
  <c r="H2015" i="1"/>
  <c r="G2015" i="1"/>
  <c r="F2015" i="1"/>
  <c r="H2014" i="1"/>
  <c r="G2014" i="1"/>
  <c r="F2014" i="1"/>
  <c r="H2013" i="1"/>
  <c r="G2013" i="1"/>
  <c r="F2013" i="1"/>
  <c r="F2008" i="1" s="1"/>
  <c r="H2012" i="1"/>
  <c r="G2012" i="1"/>
  <c r="F2012" i="1"/>
  <c r="H2011" i="1"/>
  <c r="G2011" i="1"/>
  <c r="F2011" i="1"/>
  <c r="H2010" i="1"/>
  <c r="H2008" i="1" s="1"/>
  <c r="G2010" i="1"/>
  <c r="G2008" i="1" s="1"/>
  <c r="F2010" i="1"/>
  <c r="G2009" i="1"/>
  <c r="C2008" i="1"/>
  <c r="H2006" i="1"/>
  <c r="G2006" i="1"/>
  <c r="F2006" i="1"/>
  <c r="H2005" i="1"/>
  <c r="G2005" i="1"/>
  <c r="F2005" i="1"/>
  <c r="H2004" i="1"/>
  <c r="G2004" i="1"/>
  <c r="F2004" i="1"/>
  <c r="F1995" i="1" s="1"/>
  <c r="H2003" i="1"/>
  <c r="G2003" i="1"/>
  <c r="F2003" i="1"/>
  <c r="H2002" i="1"/>
  <c r="G2002" i="1"/>
  <c r="F2002" i="1"/>
  <c r="H2001" i="1"/>
  <c r="G2001" i="1"/>
  <c r="F2001" i="1"/>
  <c r="H2000" i="1"/>
  <c r="G2000" i="1"/>
  <c r="F2000" i="1"/>
  <c r="H1999" i="1"/>
  <c r="G1999" i="1"/>
  <c r="F1999" i="1"/>
  <c r="H1998" i="1"/>
  <c r="H1995" i="1" s="1"/>
  <c r="G1998" i="1"/>
  <c r="F1998" i="1"/>
  <c r="H1997" i="1"/>
  <c r="G1997" i="1"/>
  <c r="F1997" i="1"/>
  <c r="G1996" i="1"/>
  <c r="G1995" i="1"/>
  <c r="C1995" i="1"/>
  <c r="H1993" i="1"/>
  <c r="G1993" i="1"/>
  <c r="F1993" i="1"/>
  <c r="C1992" i="1"/>
  <c r="H1990" i="1"/>
  <c r="G1990" i="1"/>
  <c r="F1990" i="1"/>
  <c r="H1989" i="1"/>
  <c r="G1989" i="1"/>
  <c r="F1989" i="1"/>
  <c r="H1988" i="1"/>
  <c r="G1988" i="1"/>
  <c r="F1988" i="1"/>
  <c r="H1987" i="1"/>
  <c r="G1987" i="1"/>
  <c r="F1987" i="1"/>
  <c r="H1986" i="1"/>
  <c r="G1986" i="1"/>
  <c r="F1986" i="1"/>
  <c r="H1985" i="1"/>
  <c r="G1985" i="1"/>
  <c r="F1985" i="1"/>
  <c r="H1984" i="1"/>
  <c r="H1979" i="1" s="1"/>
  <c r="G1984" i="1"/>
  <c r="F1984" i="1"/>
  <c r="H1983" i="1"/>
  <c r="G1983" i="1"/>
  <c r="F1983" i="1"/>
  <c r="H1982" i="1"/>
  <c r="G1982" i="1"/>
  <c r="F1982" i="1"/>
  <c r="H1981" i="1"/>
  <c r="G1981" i="1"/>
  <c r="G1979" i="1" s="1"/>
  <c r="F1981" i="1"/>
  <c r="G1980" i="1"/>
  <c r="F1979" i="1"/>
  <c r="C1979" i="1"/>
  <c r="H1978" i="1"/>
  <c r="G1978" i="1"/>
  <c r="F1978" i="1"/>
  <c r="G1977" i="1"/>
  <c r="F1977" i="1"/>
  <c r="H1976" i="1"/>
  <c r="G1976" i="1"/>
  <c r="F1976" i="1"/>
  <c r="H1975" i="1"/>
  <c r="G1975" i="1"/>
  <c r="F1975" i="1"/>
  <c r="H1974" i="1"/>
  <c r="G1974" i="1"/>
  <c r="F1974" i="1"/>
  <c r="H1973" i="1"/>
  <c r="G1973" i="1"/>
  <c r="G1968" i="1" s="1"/>
  <c r="F1973" i="1"/>
  <c r="H1972" i="1"/>
  <c r="G1972" i="1"/>
  <c r="F1972" i="1"/>
  <c r="H1971" i="1"/>
  <c r="G1971" i="1"/>
  <c r="F1971" i="1"/>
  <c r="F1968" i="1" s="1"/>
  <c r="H1970" i="1"/>
  <c r="H1968" i="1" s="1"/>
  <c r="G1970" i="1"/>
  <c r="F1970" i="1"/>
  <c r="G1969" i="1"/>
  <c r="C1968" i="1"/>
  <c r="H1966" i="1"/>
  <c r="G1966" i="1"/>
  <c r="F1966" i="1"/>
  <c r="G1965" i="1"/>
  <c r="F1965" i="1"/>
  <c r="H1964" i="1"/>
  <c r="F1964" i="1"/>
  <c r="H1963" i="1"/>
  <c r="G1963" i="1"/>
  <c r="F1963" i="1"/>
  <c r="H1962" i="1"/>
  <c r="G1962" i="1"/>
  <c r="F1962" i="1"/>
  <c r="H1961" i="1"/>
  <c r="G1961" i="1"/>
  <c r="F1961" i="1"/>
  <c r="H1960" i="1"/>
  <c r="G1960" i="1"/>
  <c r="F1960" i="1"/>
  <c r="H1959" i="1"/>
  <c r="G1959" i="1"/>
  <c r="F1959" i="1"/>
  <c r="H1958" i="1"/>
  <c r="G1958" i="1"/>
  <c r="F1958" i="1"/>
  <c r="F1953" i="1" s="1"/>
  <c r="H1957" i="1"/>
  <c r="G1957" i="1"/>
  <c r="F1957" i="1"/>
  <c r="H1956" i="1"/>
  <c r="G1956" i="1"/>
  <c r="F1956" i="1"/>
  <c r="H1955" i="1"/>
  <c r="H1953" i="1" s="1"/>
  <c r="G1955" i="1"/>
  <c r="G1953" i="1" s="1"/>
  <c r="F1955" i="1"/>
  <c r="G1954" i="1"/>
  <c r="C1953" i="1"/>
  <c r="H1951" i="1"/>
  <c r="G1951" i="1"/>
  <c r="F1951" i="1"/>
  <c r="G1950" i="1"/>
  <c r="F1950" i="1"/>
  <c r="H1949" i="1"/>
  <c r="F1949" i="1"/>
  <c r="H1948" i="1"/>
  <c r="G1948" i="1"/>
  <c r="F1948" i="1"/>
  <c r="H1947" i="1"/>
  <c r="G1947" i="1"/>
  <c r="F1947" i="1"/>
  <c r="H1946" i="1"/>
  <c r="G1946" i="1"/>
  <c r="F1946" i="1"/>
  <c r="H1945" i="1"/>
  <c r="G1945" i="1"/>
  <c r="F1945" i="1"/>
  <c r="H1944" i="1"/>
  <c r="G1944" i="1"/>
  <c r="F1944" i="1"/>
  <c r="H1943" i="1"/>
  <c r="G1943" i="1"/>
  <c r="F1943" i="1"/>
  <c r="H1942" i="1"/>
  <c r="G1942" i="1"/>
  <c r="F1942" i="1"/>
  <c r="H1941" i="1"/>
  <c r="G1941" i="1"/>
  <c r="F1941" i="1"/>
  <c r="H1940" i="1"/>
  <c r="H1938" i="1" s="1"/>
  <c r="G1940" i="1"/>
  <c r="G1938" i="1" s="1"/>
  <c r="F1940" i="1"/>
  <c r="F1938" i="1" s="1"/>
  <c r="G1939" i="1"/>
  <c r="C1938" i="1"/>
  <c r="H1936" i="1"/>
  <c r="G1936" i="1"/>
  <c r="F1936" i="1"/>
  <c r="H1935" i="1"/>
  <c r="G1935" i="1"/>
  <c r="F1935" i="1"/>
  <c r="H1934" i="1"/>
  <c r="G1934" i="1"/>
  <c r="F1934" i="1"/>
  <c r="H1933" i="1"/>
  <c r="G1933" i="1"/>
  <c r="F1933" i="1"/>
  <c r="H1932" i="1"/>
  <c r="G1932" i="1"/>
  <c r="F1932" i="1"/>
  <c r="H1931" i="1"/>
  <c r="G1931" i="1"/>
  <c r="F1931" i="1"/>
  <c r="H1930" i="1"/>
  <c r="H1925" i="1" s="1"/>
  <c r="G1930" i="1"/>
  <c r="F1930" i="1"/>
  <c r="H1929" i="1"/>
  <c r="G1929" i="1"/>
  <c r="F1929" i="1"/>
  <c r="H1928" i="1"/>
  <c r="G1928" i="1"/>
  <c r="G1925" i="1" s="1"/>
  <c r="F1928" i="1"/>
  <c r="H1927" i="1"/>
  <c r="G1927" i="1"/>
  <c r="F1927" i="1"/>
  <c r="G1926" i="1"/>
  <c r="F1925" i="1"/>
  <c r="C1925" i="1"/>
  <c r="H1923" i="1"/>
  <c r="G1923" i="1"/>
  <c r="F1923" i="1"/>
  <c r="G1922" i="1"/>
  <c r="F1922" i="1"/>
  <c r="G1921" i="1"/>
  <c r="F1921" i="1"/>
  <c r="H1920" i="1"/>
  <c r="F1920" i="1"/>
  <c r="H1919" i="1"/>
  <c r="G1919" i="1"/>
  <c r="F1919" i="1"/>
  <c r="H1918" i="1"/>
  <c r="G1918" i="1"/>
  <c r="F1918" i="1"/>
  <c r="F1909" i="1" s="1"/>
  <c r="H1917" i="1"/>
  <c r="G1917" i="1"/>
  <c r="F1917" i="1"/>
  <c r="H1916" i="1"/>
  <c r="G1916" i="1"/>
  <c r="F1916" i="1"/>
  <c r="H1915" i="1"/>
  <c r="G1915" i="1"/>
  <c r="F1915" i="1"/>
  <c r="H1914" i="1"/>
  <c r="G1914" i="1"/>
  <c r="F1914" i="1"/>
  <c r="H1913" i="1"/>
  <c r="G1913" i="1"/>
  <c r="F1913" i="1"/>
  <c r="H1912" i="1"/>
  <c r="H1909" i="1" s="1"/>
  <c r="G1912" i="1"/>
  <c r="F1912" i="1"/>
  <c r="H1911" i="1"/>
  <c r="G1911" i="1"/>
  <c r="F1911" i="1"/>
  <c r="G1910" i="1"/>
  <c r="G1909" i="1"/>
  <c r="C1909" i="1"/>
  <c r="H1907" i="1"/>
  <c r="G1907" i="1"/>
  <c r="F1907" i="1"/>
  <c r="G1906" i="1"/>
  <c r="F1906" i="1"/>
  <c r="H1905" i="1"/>
  <c r="F1905" i="1"/>
  <c r="H1904" i="1"/>
  <c r="G1904" i="1"/>
  <c r="F1904" i="1"/>
  <c r="H1903" i="1"/>
  <c r="G1903" i="1"/>
  <c r="F1903" i="1"/>
  <c r="H1902" i="1"/>
  <c r="G1902" i="1"/>
  <c r="F1902" i="1"/>
  <c r="H1901" i="1"/>
  <c r="G1901" i="1"/>
  <c r="F1901" i="1"/>
  <c r="H1900" i="1"/>
  <c r="G1900" i="1"/>
  <c r="F1900" i="1"/>
  <c r="H1899" i="1"/>
  <c r="H1894" i="1" s="1"/>
  <c r="G1899" i="1"/>
  <c r="F1899" i="1"/>
  <c r="H1898" i="1"/>
  <c r="G1898" i="1"/>
  <c r="F1898" i="1"/>
  <c r="H1897" i="1"/>
  <c r="G1897" i="1"/>
  <c r="G1894" i="1" s="1"/>
  <c r="F1897" i="1"/>
  <c r="H1896" i="1"/>
  <c r="G1896" i="1"/>
  <c r="F1896" i="1"/>
  <c r="G1895" i="1"/>
  <c r="F1894" i="1"/>
  <c r="C1894" i="1"/>
  <c r="H1892" i="1"/>
  <c r="G1892" i="1"/>
  <c r="F1892" i="1"/>
  <c r="H1891" i="1"/>
  <c r="F1891" i="1"/>
  <c r="G1890" i="1"/>
  <c r="F1890" i="1"/>
  <c r="H1889" i="1"/>
  <c r="G1889" i="1"/>
  <c r="F1889" i="1"/>
  <c r="H1888" i="1"/>
  <c r="G1888" i="1"/>
  <c r="F1888" i="1"/>
  <c r="H1887" i="1"/>
  <c r="G1887" i="1"/>
  <c r="F1887" i="1"/>
  <c r="H1886" i="1"/>
  <c r="G1886" i="1"/>
  <c r="F1886" i="1"/>
  <c r="H1885" i="1"/>
  <c r="G1885" i="1"/>
  <c r="F1885" i="1"/>
  <c r="H1884" i="1"/>
  <c r="G1884" i="1"/>
  <c r="G1879" i="1" s="1"/>
  <c r="F1884" i="1"/>
  <c r="H1883" i="1"/>
  <c r="G1883" i="1"/>
  <c r="F1883" i="1"/>
  <c r="H1882" i="1"/>
  <c r="G1882" i="1"/>
  <c r="F1882" i="1"/>
  <c r="F1879" i="1" s="1"/>
  <c r="H1881" i="1"/>
  <c r="H1879" i="1" s="1"/>
  <c r="G1881" i="1"/>
  <c r="F1881" i="1"/>
  <c r="G1880" i="1"/>
  <c r="C1879" i="1"/>
  <c r="H1877" i="1"/>
  <c r="G1877" i="1"/>
  <c r="F1877" i="1"/>
  <c r="H1876" i="1"/>
  <c r="G1876" i="1"/>
  <c r="F1876" i="1"/>
  <c r="H1875" i="1"/>
  <c r="G1875" i="1"/>
  <c r="G1866" i="1" s="1"/>
  <c r="F1875" i="1"/>
  <c r="H1874" i="1"/>
  <c r="G1874" i="1"/>
  <c r="F1874" i="1"/>
  <c r="H1873" i="1"/>
  <c r="G1873" i="1"/>
  <c r="F1873" i="1"/>
  <c r="H1872" i="1"/>
  <c r="G1872" i="1"/>
  <c r="F1872" i="1"/>
  <c r="H1871" i="1"/>
  <c r="G1871" i="1"/>
  <c r="F1871" i="1"/>
  <c r="H1870" i="1"/>
  <c r="G1870" i="1"/>
  <c r="F1870" i="1"/>
  <c r="F1866" i="1" s="1"/>
  <c r="H1869" i="1"/>
  <c r="G1869" i="1"/>
  <c r="F1869" i="1"/>
  <c r="H1868" i="1"/>
  <c r="G1868" i="1"/>
  <c r="F1868" i="1"/>
  <c r="G1867" i="1"/>
  <c r="H1866" i="1"/>
  <c r="C1866" i="1"/>
  <c r="H1864" i="1"/>
  <c r="G1864" i="1"/>
  <c r="F1864" i="1"/>
  <c r="G1863" i="1"/>
  <c r="F1863" i="1"/>
  <c r="H1862" i="1"/>
  <c r="G1862" i="1"/>
  <c r="F1862" i="1"/>
  <c r="H1861" i="1"/>
  <c r="G1861" i="1"/>
  <c r="F1861" i="1"/>
  <c r="H1860" i="1"/>
  <c r="G1860" i="1"/>
  <c r="F1860" i="1"/>
  <c r="H1859" i="1"/>
  <c r="G1859" i="1"/>
  <c r="F1859" i="1"/>
  <c r="H1858" i="1"/>
  <c r="G1858" i="1"/>
  <c r="F1858" i="1"/>
  <c r="H1857" i="1"/>
  <c r="H1853" i="1" s="1"/>
  <c r="G1857" i="1"/>
  <c r="F1857" i="1"/>
  <c r="H1856" i="1"/>
  <c r="G1856" i="1"/>
  <c r="F1856" i="1"/>
  <c r="H1855" i="1"/>
  <c r="G1855" i="1"/>
  <c r="F1855" i="1"/>
  <c r="F1853" i="1" s="1"/>
  <c r="G1854" i="1"/>
  <c r="G1853" i="1" s="1"/>
  <c r="C1853" i="1"/>
  <c r="H1851" i="1"/>
  <c r="G1851" i="1"/>
  <c r="F1851" i="1"/>
  <c r="G1850" i="1"/>
  <c r="F1850" i="1"/>
  <c r="H1849" i="1"/>
  <c r="F1849" i="1"/>
  <c r="H1848" i="1"/>
  <c r="G1848" i="1"/>
  <c r="F1848" i="1"/>
  <c r="H1847" i="1"/>
  <c r="H1838" i="1" s="1"/>
  <c r="G1847" i="1"/>
  <c r="F1847" i="1"/>
  <c r="H1846" i="1"/>
  <c r="G1846" i="1"/>
  <c r="F1846" i="1"/>
  <c r="H1845" i="1"/>
  <c r="G1845" i="1"/>
  <c r="F1845" i="1"/>
  <c r="H1844" i="1"/>
  <c r="G1844" i="1"/>
  <c r="F1844" i="1"/>
  <c r="H1843" i="1"/>
  <c r="G1843" i="1"/>
  <c r="F1843" i="1"/>
  <c r="H1842" i="1"/>
  <c r="G1842" i="1"/>
  <c r="F1842" i="1"/>
  <c r="F1838" i="1" s="1"/>
  <c r="H1841" i="1"/>
  <c r="G1841" i="1"/>
  <c r="F1841" i="1"/>
  <c r="H1840" i="1"/>
  <c r="G1840" i="1"/>
  <c r="F1840" i="1"/>
  <c r="G1839" i="1"/>
  <c r="G1838" i="1" s="1"/>
  <c r="C1838" i="1"/>
  <c r="H1836" i="1"/>
  <c r="G1836" i="1"/>
  <c r="F1836" i="1"/>
  <c r="G1835" i="1"/>
  <c r="F1835" i="1"/>
  <c r="G1834" i="1"/>
  <c r="F1834" i="1"/>
  <c r="H1833" i="1"/>
  <c r="F1833" i="1"/>
  <c r="H1832" i="1"/>
  <c r="G1832" i="1"/>
  <c r="F1832" i="1"/>
  <c r="H1831" i="1"/>
  <c r="G1831" i="1"/>
  <c r="F1831" i="1"/>
  <c r="H1830" i="1"/>
  <c r="G1830" i="1"/>
  <c r="F1830" i="1"/>
  <c r="H1829" i="1"/>
  <c r="G1829" i="1"/>
  <c r="F1829" i="1"/>
  <c r="H1828" i="1"/>
  <c r="G1828" i="1"/>
  <c r="F1828" i="1"/>
  <c r="H1827" i="1"/>
  <c r="G1827" i="1"/>
  <c r="F1827" i="1"/>
  <c r="H1826" i="1"/>
  <c r="H1822" i="1" s="1"/>
  <c r="G1826" i="1"/>
  <c r="F1826" i="1"/>
  <c r="H1825" i="1"/>
  <c r="G1825" i="1"/>
  <c r="F1825" i="1"/>
  <c r="H1824" i="1"/>
  <c r="G1824" i="1"/>
  <c r="F1824" i="1"/>
  <c r="F1822" i="1" s="1"/>
  <c r="G1823" i="1"/>
  <c r="G1822" i="1" s="1"/>
  <c r="C1822" i="1"/>
  <c r="H1821" i="1"/>
  <c r="G1821" i="1"/>
  <c r="F1821" i="1"/>
  <c r="H1820" i="1"/>
  <c r="G1820" i="1"/>
  <c r="F1820" i="1"/>
  <c r="H1819" i="1"/>
  <c r="G1819" i="1"/>
  <c r="F1819" i="1"/>
  <c r="H1818" i="1"/>
  <c r="G1818" i="1"/>
  <c r="F1818" i="1"/>
  <c r="H1817" i="1"/>
  <c r="G1817" i="1"/>
  <c r="F1817" i="1"/>
  <c r="H1816" i="1"/>
  <c r="G1816" i="1"/>
  <c r="F1816" i="1"/>
  <c r="H1815" i="1"/>
  <c r="G1815" i="1"/>
  <c r="F1815" i="1"/>
  <c r="H1814" i="1"/>
  <c r="H1813" i="1" s="1"/>
  <c r="G1814" i="1"/>
  <c r="G1813" i="1" s="1"/>
  <c r="F1814" i="1"/>
  <c r="F1813" i="1"/>
  <c r="C1813" i="1"/>
  <c r="H1811" i="1"/>
  <c r="G1811" i="1"/>
  <c r="F1811" i="1"/>
  <c r="H1810" i="1"/>
  <c r="G1810" i="1"/>
  <c r="F1810" i="1"/>
  <c r="H1809" i="1"/>
  <c r="H1805" i="1" s="1"/>
  <c r="G1809" i="1"/>
  <c r="F1809" i="1"/>
  <c r="H1808" i="1"/>
  <c r="G1808" i="1"/>
  <c r="F1808" i="1"/>
  <c r="H1807" i="1"/>
  <c r="G1807" i="1"/>
  <c r="F1807" i="1"/>
  <c r="F1805" i="1" s="1"/>
  <c r="G1806" i="1"/>
  <c r="G1805" i="1" s="1"/>
  <c r="F1806" i="1"/>
  <c r="C1805" i="1"/>
  <c r="H1803" i="1"/>
  <c r="G1803" i="1"/>
  <c r="F1803" i="1"/>
  <c r="G1802" i="1"/>
  <c r="F1802" i="1"/>
  <c r="F1801" i="1"/>
  <c r="H1800" i="1"/>
  <c r="G1800" i="1"/>
  <c r="F1800" i="1"/>
  <c r="H1799" i="1"/>
  <c r="G1799" i="1"/>
  <c r="F1799" i="1"/>
  <c r="H1798" i="1"/>
  <c r="G1798" i="1"/>
  <c r="F1798" i="1"/>
  <c r="H1797" i="1"/>
  <c r="G1797" i="1"/>
  <c r="F1797" i="1"/>
  <c r="H1796" i="1"/>
  <c r="F1796" i="1"/>
  <c r="G1796" i="1" s="1"/>
  <c r="H1795" i="1"/>
  <c r="G1795" i="1"/>
  <c r="F1795" i="1"/>
  <c r="H1794" i="1"/>
  <c r="G1794" i="1"/>
  <c r="F1794" i="1"/>
  <c r="G1793" i="1"/>
  <c r="F1793" i="1"/>
  <c r="F1790" i="1" s="1"/>
  <c r="H1792" i="1"/>
  <c r="G1792" i="1"/>
  <c r="F1792" i="1"/>
  <c r="G1791" i="1"/>
  <c r="H1790" i="1"/>
  <c r="C1790" i="1"/>
  <c r="H1788" i="1"/>
  <c r="G1788" i="1"/>
  <c r="F1788" i="1"/>
  <c r="G1787" i="1"/>
  <c r="F1787" i="1"/>
  <c r="F1786" i="1"/>
  <c r="H1785" i="1"/>
  <c r="G1785" i="1"/>
  <c r="F1785" i="1"/>
  <c r="H1784" i="1"/>
  <c r="G1784" i="1"/>
  <c r="F1784" i="1"/>
  <c r="H1783" i="1"/>
  <c r="G1783" i="1"/>
  <c r="F1783" i="1"/>
  <c r="G1782" i="1"/>
  <c r="H1781" i="1"/>
  <c r="G1781" i="1"/>
  <c r="F1781" i="1"/>
  <c r="H1780" i="1"/>
  <c r="G1780" i="1"/>
  <c r="F1780" i="1"/>
  <c r="H1779" i="1"/>
  <c r="G1779" i="1"/>
  <c r="F1779" i="1"/>
  <c r="H1778" i="1"/>
  <c r="G1778" i="1"/>
  <c r="F1778" i="1"/>
  <c r="G1777" i="1"/>
  <c r="F1777" i="1"/>
  <c r="H1776" i="1"/>
  <c r="H1774" i="1" s="1"/>
  <c r="G1776" i="1"/>
  <c r="F1776" i="1"/>
  <c r="G1775" i="1"/>
  <c r="G1774" i="1" s="1"/>
  <c r="F1774" i="1"/>
  <c r="C1774" i="1"/>
  <c r="H1772" i="1"/>
  <c r="G1772" i="1"/>
  <c r="F1772" i="1"/>
  <c r="G1771" i="1"/>
  <c r="F1771" i="1"/>
  <c r="H1770" i="1"/>
  <c r="G1770" i="1"/>
  <c r="F1770" i="1"/>
  <c r="H1769" i="1"/>
  <c r="G1769" i="1"/>
  <c r="F1769" i="1"/>
  <c r="H1768" i="1"/>
  <c r="G1768" i="1"/>
  <c r="F1768" i="1"/>
  <c r="H1767" i="1"/>
  <c r="G1767" i="1"/>
  <c r="F1767" i="1"/>
  <c r="H1766" i="1"/>
  <c r="F1766" i="1"/>
  <c r="G1766" i="1" s="1"/>
  <c r="H1765" i="1"/>
  <c r="G1765" i="1"/>
  <c r="F1765" i="1"/>
  <c r="H1764" i="1"/>
  <c r="H1760" i="1" s="1"/>
  <c r="G1764" i="1"/>
  <c r="F1764" i="1"/>
  <c r="G1763" i="1"/>
  <c r="F1763" i="1"/>
  <c r="H1762" i="1"/>
  <c r="G1762" i="1"/>
  <c r="F1762" i="1"/>
  <c r="F1760" i="1" s="1"/>
  <c r="G1761" i="1"/>
  <c r="C1760" i="1"/>
  <c r="H1758" i="1"/>
  <c r="G1758" i="1"/>
  <c r="F1758" i="1"/>
  <c r="G1757" i="1"/>
  <c r="F1757" i="1"/>
  <c r="F1756" i="1"/>
  <c r="H1755" i="1"/>
  <c r="G1755" i="1"/>
  <c r="F1755" i="1"/>
  <c r="H1754" i="1"/>
  <c r="G1754" i="1"/>
  <c r="F1754" i="1"/>
  <c r="H1753" i="1"/>
  <c r="G1753" i="1"/>
  <c r="F1753" i="1"/>
  <c r="H1752" i="1"/>
  <c r="G1752" i="1"/>
  <c r="F1752" i="1"/>
  <c r="H1751" i="1"/>
  <c r="H1745" i="1" s="1"/>
  <c r="G1751" i="1"/>
  <c r="F1751" i="1"/>
  <c r="H1750" i="1"/>
  <c r="G1750" i="1"/>
  <c r="F1750" i="1"/>
  <c r="H1749" i="1"/>
  <c r="G1749" i="1"/>
  <c r="F1749" i="1"/>
  <c r="F1745" i="1" s="1"/>
  <c r="G1748" i="1"/>
  <c r="F1748" i="1"/>
  <c r="H1747" i="1"/>
  <c r="G1747" i="1"/>
  <c r="F1747" i="1"/>
  <c r="G1746" i="1"/>
  <c r="G1745" i="1"/>
  <c r="C1745" i="1"/>
  <c r="H1743" i="1"/>
  <c r="H1742" i="1" s="1"/>
  <c r="G1743" i="1"/>
  <c r="F1743" i="1"/>
  <c r="G1742" i="1"/>
  <c r="F1742" i="1"/>
  <c r="C1742" i="1"/>
  <c r="H1740" i="1"/>
  <c r="G1740" i="1"/>
  <c r="F1740" i="1"/>
  <c r="C1739" i="1"/>
  <c r="H1737" i="1"/>
  <c r="G1737" i="1"/>
  <c r="F1737" i="1"/>
  <c r="H1736" i="1"/>
  <c r="G1736" i="1"/>
  <c r="F1736" i="1"/>
  <c r="C1735" i="1"/>
  <c r="H1733" i="1"/>
  <c r="G1733" i="1"/>
  <c r="F1733" i="1"/>
  <c r="H1732" i="1"/>
  <c r="H1731" i="1" s="1"/>
  <c r="G1732" i="1"/>
  <c r="G1731" i="1" s="1"/>
  <c r="F1732" i="1"/>
  <c r="F1731" i="1"/>
  <c r="C1731" i="1"/>
  <c r="H1729" i="1"/>
  <c r="G1729" i="1"/>
  <c r="G1727" i="1" s="1"/>
  <c r="F1729" i="1"/>
  <c r="H1728" i="1"/>
  <c r="G1728" i="1"/>
  <c r="F1728" i="1"/>
  <c r="F1727" i="1" s="1"/>
  <c r="H1727" i="1"/>
  <c r="C1727" i="1"/>
  <c r="H1725" i="1"/>
  <c r="G1725" i="1"/>
  <c r="F1725" i="1"/>
  <c r="H1724" i="1"/>
  <c r="H1723" i="1" s="1"/>
  <c r="G1724" i="1"/>
  <c r="F1724" i="1"/>
  <c r="G1723" i="1"/>
  <c r="F1723" i="1"/>
  <c r="C1723" i="1"/>
  <c r="H1721" i="1"/>
  <c r="G1721" i="1"/>
  <c r="F1721" i="1"/>
  <c r="F1720" i="1"/>
  <c r="H1719" i="1"/>
  <c r="G1719" i="1"/>
  <c r="F1719" i="1"/>
  <c r="H1718" i="1"/>
  <c r="G1718" i="1"/>
  <c r="F1718" i="1"/>
  <c r="H1717" i="1"/>
  <c r="G1717" i="1"/>
  <c r="F1717" i="1"/>
  <c r="H1716" i="1"/>
  <c r="H1710" i="1" s="1"/>
  <c r="G1716" i="1"/>
  <c r="F1716" i="1"/>
  <c r="H1715" i="1"/>
  <c r="G1715" i="1"/>
  <c r="F1715" i="1"/>
  <c r="H1714" i="1"/>
  <c r="G1714" i="1"/>
  <c r="F1714" i="1"/>
  <c r="F1710" i="1" s="1"/>
  <c r="G1713" i="1"/>
  <c r="F1713" i="1"/>
  <c r="H1712" i="1"/>
  <c r="G1712" i="1"/>
  <c r="F1712" i="1"/>
  <c r="G1711" i="1"/>
  <c r="G1710" i="1"/>
  <c r="C1710" i="1"/>
  <c r="H1708" i="1"/>
  <c r="G1708" i="1"/>
  <c r="F1708" i="1"/>
  <c r="G1707" i="1"/>
  <c r="F1707" i="1"/>
  <c r="G1706" i="1"/>
  <c r="F1705" i="1"/>
  <c r="H1704" i="1"/>
  <c r="G1704" i="1"/>
  <c r="F1704" i="1"/>
  <c r="H1703" i="1"/>
  <c r="G1703" i="1"/>
  <c r="F1703" i="1"/>
  <c r="H1702" i="1"/>
  <c r="G1702" i="1"/>
  <c r="F1702" i="1"/>
  <c r="G1701" i="1"/>
  <c r="H1700" i="1"/>
  <c r="G1700" i="1"/>
  <c r="F1700" i="1"/>
  <c r="H1699" i="1"/>
  <c r="G1699" i="1"/>
  <c r="F1699" i="1"/>
  <c r="H1698" i="1"/>
  <c r="G1698" i="1"/>
  <c r="F1698" i="1"/>
  <c r="H1697" i="1"/>
  <c r="G1697" i="1"/>
  <c r="F1697" i="1"/>
  <c r="G1696" i="1"/>
  <c r="F1696" i="1"/>
  <c r="H1695" i="1"/>
  <c r="H1693" i="1" s="1"/>
  <c r="G1695" i="1"/>
  <c r="F1695" i="1"/>
  <c r="G1694" i="1"/>
  <c r="G1693" i="1" s="1"/>
  <c r="F1693" i="1"/>
  <c r="C1693" i="1"/>
  <c r="H1691" i="1"/>
  <c r="G1691" i="1"/>
  <c r="F1691" i="1"/>
  <c r="G1690" i="1"/>
  <c r="F1690" i="1"/>
  <c r="H1689" i="1"/>
  <c r="G1689" i="1"/>
  <c r="F1689" i="1"/>
  <c r="H1688" i="1"/>
  <c r="G1688" i="1"/>
  <c r="F1688" i="1"/>
  <c r="H1687" i="1"/>
  <c r="G1687" i="1"/>
  <c r="F1687" i="1"/>
  <c r="H1686" i="1"/>
  <c r="G1686" i="1"/>
  <c r="F1686" i="1"/>
  <c r="H1685" i="1"/>
  <c r="F1685" i="1"/>
  <c r="G1685" i="1" s="1"/>
  <c r="H1684" i="1"/>
  <c r="G1684" i="1"/>
  <c r="F1684" i="1"/>
  <c r="H1683" i="1"/>
  <c r="H1679" i="1" s="1"/>
  <c r="G1683" i="1"/>
  <c r="F1683" i="1"/>
  <c r="G1682" i="1"/>
  <c r="F1682" i="1"/>
  <c r="H1681" i="1"/>
  <c r="G1681" i="1"/>
  <c r="F1681" i="1"/>
  <c r="F1679" i="1" s="1"/>
  <c r="G1680" i="1"/>
  <c r="C1679" i="1"/>
  <c r="H1677" i="1"/>
  <c r="G1677" i="1"/>
  <c r="F1677" i="1"/>
  <c r="H1676" i="1"/>
  <c r="G1676" i="1"/>
  <c r="F1676" i="1"/>
  <c r="H1675" i="1"/>
  <c r="G1675" i="1"/>
  <c r="F1675" i="1"/>
  <c r="H1674" i="1"/>
  <c r="G1674" i="1"/>
  <c r="G1671" i="1" s="1"/>
  <c r="F1674" i="1"/>
  <c r="F1671" i="1" s="1"/>
  <c r="H1673" i="1"/>
  <c r="G1673" i="1"/>
  <c r="F1673" i="1"/>
  <c r="H1672" i="1"/>
  <c r="G1672" i="1"/>
  <c r="F1672" i="1"/>
  <c r="H1671" i="1"/>
  <c r="C1671" i="1"/>
  <c r="H1669" i="1"/>
  <c r="G1669" i="1"/>
  <c r="F1669" i="1"/>
  <c r="H1668" i="1"/>
  <c r="G1668" i="1"/>
  <c r="F1668" i="1"/>
  <c r="C1668" i="1"/>
  <c r="H1666" i="1"/>
  <c r="G1666" i="1"/>
  <c r="F1666" i="1"/>
  <c r="H1665" i="1"/>
  <c r="G1665" i="1"/>
  <c r="F1665" i="1"/>
  <c r="H1664" i="1"/>
  <c r="G1664" i="1"/>
  <c r="F1664" i="1"/>
  <c r="H1663" i="1"/>
  <c r="G1663" i="1"/>
  <c r="F1663" i="1"/>
  <c r="H1662" i="1"/>
  <c r="G1662" i="1"/>
  <c r="G1659" i="1" s="1"/>
  <c r="F1662" i="1"/>
  <c r="F1659" i="1" s="1"/>
  <c r="H1661" i="1"/>
  <c r="G1661" i="1"/>
  <c r="F1661" i="1"/>
  <c r="H1660" i="1"/>
  <c r="G1660" i="1"/>
  <c r="F1660" i="1"/>
  <c r="H1659" i="1"/>
  <c r="C1659" i="1"/>
  <c r="H1657" i="1"/>
  <c r="G1657" i="1"/>
  <c r="F1657" i="1"/>
  <c r="G1656" i="1"/>
  <c r="F1656" i="1"/>
  <c r="G1655" i="1"/>
  <c r="F1654" i="1"/>
  <c r="H1653" i="1"/>
  <c r="G1653" i="1"/>
  <c r="F1653" i="1"/>
  <c r="H1652" i="1"/>
  <c r="G1652" i="1"/>
  <c r="F1652" i="1"/>
  <c r="H1651" i="1"/>
  <c r="G1651" i="1"/>
  <c r="F1651" i="1"/>
  <c r="H1650" i="1"/>
  <c r="G1650" i="1"/>
  <c r="F1650" i="1"/>
  <c r="H1649" i="1"/>
  <c r="G1649" i="1"/>
  <c r="F1649" i="1"/>
  <c r="H1648" i="1"/>
  <c r="G1648" i="1"/>
  <c r="F1648" i="1"/>
  <c r="H1647" i="1"/>
  <c r="G1647" i="1"/>
  <c r="F1647" i="1"/>
  <c r="G1646" i="1"/>
  <c r="F1646" i="1"/>
  <c r="H1645" i="1"/>
  <c r="H1643" i="1" s="1"/>
  <c r="G1645" i="1"/>
  <c r="F1645" i="1"/>
  <c r="G1644" i="1"/>
  <c r="G1643" i="1" s="1"/>
  <c r="F1643" i="1"/>
  <c r="C1643" i="1"/>
  <c r="H1641" i="1"/>
  <c r="G1641" i="1"/>
  <c r="F1641" i="1"/>
  <c r="H1640" i="1"/>
  <c r="G1640" i="1"/>
  <c r="F1640" i="1"/>
  <c r="H1639" i="1"/>
  <c r="G1639" i="1"/>
  <c r="G1632" i="1" s="1"/>
  <c r="F1639" i="1"/>
  <c r="H1638" i="1"/>
  <c r="G1638" i="1"/>
  <c r="F1638" i="1"/>
  <c r="H1637" i="1"/>
  <c r="G1637" i="1"/>
  <c r="F1637" i="1"/>
  <c r="H1636" i="1"/>
  <c r="G1636" i="1"/>
  <c r="F1636" i="1"/>
  <c r="H1635" i="1"/>
  <c r="G1635" i="1"/>
  <c r="F1635" i="1"/>
  <c r="G1634" i="1"/>
  <c r="F1634" i="1"/>
  <c r="H1633" i="1"/>
  <c r="H1632" i="1" s="1"/>
  <c r="G1633" i="1"/>
  <c r="F1633" i="1"/>
  <c r="F1632" i="1" s="1"/>
  <c r="C1632" i="1"/>
  <c r="H1630" i="1"/>
  <c r="G1630" i="1"/>
  <c r="G1628" i="1" s="1"/>
  <c r="F1630" i="1"/>
  <c r="H1629" i="1"/>
  <c r="H1628" i="1" s="1"/>
  <c r="G1629" i="1"/>
  <c r="F1629" i="1"/>
  <c r="F1628" i="1"/>
  <c r="C1628" i="1"/>
  <c r="H1626" i="1"/>
  <c r="G1626" i="1"/>
  <c r="F1626" i="1"/>
  <c r="G1625" i="1"/>
  <c r="F1625" i="1"/>
  <c r="F1624" i="1"/>
  <c r="H1623" i="1"/>
  <c r="G1623" i="1"/>
  <c r="F1623" i="1"/>
  <c r="H1622" i="1"/>
  <c r="G1622" i="1"/>
  <c r="F1622" i="1"/>
  <c r="H1621" i="1"/>
  <c r="G1621" i="1"/>
  <c r="F1621" i="1"/>
  <c r="H1620" i="1"/>
  <c r="G1620" i="1"/>
  <c r="F1620" i="1"/>
  <c r="H1619" i="1"/>
  <c r="G1619" i="1"/>
  <c r="F1619" i="1"/>
  <c r="H1618" i="1"/>
  <c r="G1618" i="1"/>
  <c r="F1618" i="1"/>
  <c r="H1617" i="1"/>
  <c r="G1617" i="1"/>
  <c r="F1617" i="1"/>
  <c r="G1616" i="1"/>
  <c r="F1616" i="1"/>
  <c r="H1615" i="1"/>
  <c r="H1613" i="1" s="1"/>
  <c r="G1615" i="1"/>
  <c r="G1613" i="1" s="1"/>
  <c r="F1615" i="1"/>
  <c r="F1613" i="1" s="1"/>
  <c r="C1613" i="1"/>
  <c r="H1611" i="1"/>
  <c r="G1611" i="1"/>
  <c r="F1611" i="1"/>
  <c r="H1610" i="1"/>
  <c r="G1610" i="1"/>
  <c r="F1610" i="1"/>
  <c r="H1609" i="1"/>
  <c r="G1609" i="1"/>
  <c r="F1609" i="1"/>
  <c r="H1608" i="1"/>
  <c r="G1608" i="1"/>
  <c r="F1608" i="1"/>
  <c r="H1607" i="1"/>
  <c r="G1607" i="1"/>
  <c r="F1607" i="1"/>
  <c r="H1606" i="1"/>
  <c r="G1606" i="1"/>
  <c r="F1606" i="1"/>
  <c r="H1605" i="1"/>
  <c r="H1603" i="1" s="1"/>
  <c r="G1605" i="1"/>
  <c r="G1603" i="1" s="1"/>
  <c r="F1605" i="1"/>
  <c r="H1604" i="1"/>
  <c r="G1604" i="1"/>
  <c r="F1604" i="1"/>
  <c r="F1603" i="1"/>
  <c r="C1603" i="1"/>
  <c r="H1601" i="1"/>
  <c r="G1601" i="1"/>
  <c r="F1601" i="1"/>
  <c r="H1600" i="1"/>
  <c r="G1600" i="1"/>
  <c r="F1600" i="1"/>
  <c r="H1599" i="1"/>
  <c r="H1593" i="1" s="1"/>
  <c r="G1599" i="1"/>
  <c r="F1599" i="1"/>
  <c r="H1598" i="1"/>
  <c r="G1598" i="1"/>
  <c r="F1598" i="1"/>
  <c r="H1597" i="1"/>
  <c r="G1597" i="1"/>
  <c r="F1597" i="1"/>
  <c r="H1596" i="1"/>
  <c r="G1596" i="1"/>
  <c r="F1596" i="1"/>
  <c r="G1595" i="1"/>
  <c r="F1595" i="1"/>
  <c r="H1594" i="1"/>
  <c r="G1594" i="1"/>
  <c r="G1593" i="1" s="1"/>
  <c r="F1594" i="1"/>
  <c r="F1593" i="1" s="1"/>
  <c r="C1593" i="1"/>
  <c r="H1591" i="1"/>
  <c r="G1591" i="1"/>
  <c r="F1591" i="1"/>
  <c r="H1590" i="1"/>
  <c r="H1589" i="1" s="1"/>
  <c r="G1590" i="1"/>
  <c r="G1589" i="1" s="1"/>
  <c r="F1590" i="1"/>
  <c r="F1589" i="1"/>
  <c r="C1589" i="1"/>
  <c r="H1587" i="1"/>
  <c r="G1587" i="1"/>
  <c r="F1587" i="1"/>
  <c r="H1586" i="1"/>
  <c r="G1586" i="1"/>
  <c r="F1586" i="1"/>
  <c r="H1585" i="1"/>
  <c r="G1585" i="1"/>
  <c r="F1585" i="1"/>
  <c r="H1584" i="1"/>
  <c r="H1579" i="1" s="1"/>
  <c r="G1584" i="1"/>
  <c r="F1584" i="1"/>
  <c r="H1583" i="1"/>
  <c r="G1583" i="1"/>
  <c r="F1583" i="1"/>
  <c r="H1582" i="1"/>
  <c r="G1582" i="1"/>
  <c r="F1582" i="1"/>
  <c r="G1581" i="1"/>
  <c r="F1581" i="1"/>
  <c r="H1580" i="1"/>
  <c r="G1580" i="1"/>
  <c r="G1579" i="1" s="1"/>
  <c r="F1580" i="1"/>
  <c r="F1579" i="1"/>
  <c r="C1579" i="1"/>
  <c r="H1577" i="1"/>
  <c r="G1577" i="1"/>
  <c r="F1577" i="1"/>
  <c r="G1576" i="1"/>
  <c r="F1576" i="1"/>
  <c r="H1575" i="1"/>
  <c r="G1575" i="1"/>
  <c r="F1575" i="1"/>
  <c r="H1574" i="1"/>
  <c r="G1574" i="1"/>
  <c r="F1574" i="1"/>
  <c r="H1573" i="1"/>
  <c r="G1573" i="1"/>
  <c r="F1573" i="1"/>
  <c r="H1572" i="1"/>
  <c r="H1566" i="1" s="1"/>
  <c r="G1572" i="1"/>
  <c r="F1572" i="1"/>
  <c r="H1571" i="1"/>
  <c r="G1571" i="1"/>
  <c r="F1571" i="1"/>
  <c r="H1570" i="1"/>
  <c r="G1570" i="1"/>
  <c r="F1570" i="1"/>
  <c r="F1566" i="1" s="1"/>
  <c r="G1569" i="1"/>
  <c r="F1569" i="1"/>
  <c r="H1568" i="1"/>
  <c r="G1568" i="1"/>
  <c r="F1568" i="1"/>
  <c r="G1567" i="1"/>
  <c r="G1566" i="1"/>
  <c r="C1566" i="1"/>
  <c r="H1564" i="1"/>
  <c r="G1564" i="1"/>
  <c r="F1564" i="1"/>
  <c r="H1563" i="1"/>
  <c r="G1563" i="1"/>
  <c r="F1563" i="1"/>
  <c r="C1562" i="1"/>
  <c r="H1560" i="1"/>
  <c r="G1560" i="1"/>
  <c r="F1560" i="1"/>
  <c r="H1559" i="1"/>
  <c r="G1559" i="1"/>
  <c r="F1559" i="1"/>
  <c r="H1558" i="1"/>
  <c r="H1550" i="1" s="1"/>
  <c r="G1558" i="1"/>
  <c r="F1558" i="1"/>
  <c r="H1557" i="1"/>
  <c r="G1557" i="1"/>
  <c r="F1557" i="1"/>
  <c r="G1556" i="1"/>
  <c r="H1555" i="1"/>
  <c r="G1555" i="1"/>
  <c r="F1555" i="1"/>
  <c r="H1554" i="1"/>
  <c r="G1554" i="1"/>
  <c r="F1554" i="1"/>
  <c r="H1553" i="1"/>
  <c r="G1553" i="1"/>
  <c r="F1553" i="1"/>
  <c r="G1552" i="1"/>
  <c r="G1550" i="1" s="1"/>
  <c r="F1552" i="1"/>
  <c r="F1550" i="1" s="1"/>
  <c r="H1551" i="1"/>
  <c r="G1551" i="1"/>
  <c r="F1551" i="1"/>
  <c r="C1550" i="1"/>
  <c r="H1548" i="1"/>
  <c r="G1548" i="1"/>
  <c r="F1548" i="1"/>
  <c r="C1547" i="1"/>
  <c r="H1546" i="1"/>
  <c r="G1546" i="1"/>
  <c r="F1546" i="1"/>
  <c r="H1545" i="1"/>
  <c r="G1545" i="1"/>
  <c r="H1544" i="1"/>
  <c r="G1544" i="1"/>
  <c r="F1544" i="1"/>
  <c r="H1543" i="1"/>
  <c r="G1543" i="1"/>
  <c r="F1543" i="1"/>
  <c r="H1541" i="1"/>
  <c r="H1534" i="1" s="1"/>
  <c r="G1541" i="1"/>
  <c r="F1541" i="1"/>
  <c r="H1539" i="1"/>
  <c r="G1539" i="1"/>
  <c r="F1539" i="1"/>
  <c r="H1538" i="1"/>
  <c r="G1538" i="1"/>
  <c r="F1538" i="1"/>
  <c r="F1534" i="1" s="1"/>
  <c r="G1537" i="1"/>
  <c r="F1537" i="1"/>
  <c r="H1536" i="1"/>
  <c r="G1536" i="1"/>
  <c r="F1536" i="1"/>
  <c r="G1535" i="1"/>
  <c r="G1534" i="1"/>
  <c r="C1534" i="1"/>
  <c r="H1532" i="1"/>
  <c r="G1532" i="1"/>
  <c r="F1532" i="1"/>
  <c r="C1531" i="1"/>
  <c r="H1529" i="1"/>
  <c r="G1529" i="1"/>
  <c r="F1529" i="1"/>
  <c r="F1524" i="1" s="1"/>
  <c r="H1528" i="1"/>
  <c r="G1528" i="1"/>
  <c r="F1528" i="1"/>
  <c r="H1527" i="1"/>
  <c r="G1527" i="1"/>
  <c r="F1527" i="1"/>
  <c r="H1526" i="1"/>
  <c r="H1524" i="1" s="1"/>
  <c r="G1526" i="1"/>
  <c r="G1524" i="1" s="1"/>
  <c r="F1526" i="1"/>
  <c r="G1525" i="1"/>
  <c r="C1524" i="1"/>
  <c r="H1522" i="1"/>
  <c r="G1522" i="1"/>
  <c r="F1522" i="1"/>
  <c r="H1521" i="1"/>
  <c r="G1521" i="1"/>
  <c r="H1520" i="1"/>
  <c r="G1520" i="1"/>
  <c r="F1520" i="1"/>
  <c r="H1519" i="1"/>
  <c r="G1519" i="1"/>
  <c r="G1511" i="1" s="1"/>
  <c r="F1519" i="1"/>
  <c r="H1518" i="1"/>
  <c r="G1518" i="1"/>
  <c r="F1518" i="1"/>
  <c r="H1517" i="1"/>
  <c r="G1517" i="1"/>
  <c r="F1517" i="1"/>
  <c r="H1516" i="1"/>
  <c r="G1516" i="1"/>
  <c r="F1516" i="1"/>
  <c r="H1515" i="1"/>
  <c r="G1515" i="1"/>
  <c r="F1515" i="1"/>
  <c r="G1514" i="1"/>
  <c r="F1514" i="1"/>
  <c r="F1511" i="1" s="1"/>
  <c r="H1513" i="1"/>
  <c r="H1511" i="1" s="1"/>
  <c r="G1513" i="1"/>
  <c r="F1513" i="1"/>
  <c r="G1512" i="1"/>
  <c r="C1511" i="1"/>
  <c r="H1509" i="1"/>
  <c r="G1509" i="1"/>
  <c r="F1509" i="1"/>
  <c r="H1508" i="1"/>
  <c r="G1508" i="1"/>
  <c r="H1507" i="1"/>
  <c r="G1507" i="1"/>
  <c r="F1507" i="1"/>
  <c r="H1506" i="1"/>
  <c r="H1499" i="1" s="1"/>
  <c r="G1506" i="1"/>
  <c r="F1506" i="1"/>
  <c r="H1505" i="1"/>
  <c r="G1505" i="1"/>
  <c r="F1505" i="1"/>
  <c r="H1504" i="1"/>
  <c r="G1504" i="1"/>
  <c r="F1504" i="1"/>
  <c r="H1503" i="1"/>
  <c r="G1503" i="1"/>
  <c r="F1503" i="1"/>
  <c r="H1502" i="1"/>
  <c r="G1502" i="1"/>
  <c r="F1502" i="1"/>
  <c r="G1501" i="1"/>
  <c r="G1499" i="1" s="1"/>
  <c r="F1501" i="1"/>
  <c r="F1499" i="1" s="1"/>
  <c r="H1500" i="1"/>
  <c r="G1500" i="1"/>
  <c r="F1500" i="1"/>
  <c r="C1499" i="1"/>
  <c r="H1497" i="1"/>
  <c r="H1496" i="1" s="1"/>
  <c r="G1497" i="1"/>
  <c r="F1497" i="1"/>
  <c r="G1496" i="1"/>
  <c r="F1496" i="1"/>
  <c r="C1496" i="1"/>
  <c r="H1494" i="1"/>
  <c r="G1494" i="1"/>
  <c r="F1494" i="1"/>
  <c r="H1493" i="1"/>
  <c r="G1493" i="1"/>
  <c r="F1493" i="1"/>
  <c r="H1492" i="1"/>
  <c r="G1492" i="1"/>
  <c r="F1492" i="1"/>
  <c r="H1491" i="1"/>
  <c r="G1491" i="1"/>
  <c r="F1491" i="1"/>
  <c r="G1490" i="1"/>
  <c r="H1489" i="1"/>
  <c r="G1489" i="1"/>
  <c r="F1489" i="1"/>
  <c r="H1488" i="1"/>
  <c r="G1488" i="1"/>
  <c r="F1488" i="1"/>
  <c r="H1487" i="1"/>
  <c r="G1487" i="1"/>
  <c r="F1487" i="1"/>
  <c r="H1486" i="1"/>
  <c r="G1486" i="1"/>
  <c r="F1486" i="1"/>
  <c r="G1485" i="1"/>
  <c r="C1484" i="1"/>
  <c r="H1482" i="1"/>
  <c r="G1482" i="1"/>
  <c r="F1482" i="1"/>
  <c r="H1481" i="1"/>
  <c r="G1481" i="1"/>
  <c r="F1481" i="1"/>
  <c r="F1480" i="1" s="1"/>
  <c r="H1480" i="1"/>
  <c r="G1480" i="1"/>
  <c r="C1480" i="1"/>
  <c r="H1478" i="1"/>
  <c r="G1478" i="1"/>
  <c r="F1478" i="1"/>
  <c r="H1477" i="1"/>
  <c r="G1477" i="1"/>
  <c r="F1477" i="1"/>
  <c r="H1476" i="1"/>
  <c r="G1476" i="1"/>
  <c r="F1476" i="1"/>
  <c r="H1475" i="1"/>
  <c r="G1475" i="1"/>
  <c r="F1475" i="1"/>
  <c r="F1472" i="1" s="1"/>
  <c r="H1474" i="1"/>
  <c r="H1472" i="1" s="1"/>
  <c r="G1474" i="1"/>
  <c r="F1474" i="1"/>
  <c r="H1473" i="1"/>
  <c r="G1473" i="1"/>
  <c r="F1473" i="1"/>
  <c r="G1472" i="1"/>
  <c r="C1472" i="1"/>
  <c r="H1470" i="1"/>
  <c r="G1470" i="1"/>
  <c r="F1470" i="1"/>
  <c r="H1469" i="1"/>
  <c r="G1469" i="1"/>
  <c r="H1468" i="1"/>
  <c r="G1468" i="1"/>
  <c r="F1468" i="1"/>
  <c r="H1467" i="1"/>
  <c r="G1467" i="1"/>
  <c r="F1467" i="1"/>
  <c r="H1466" i="1"/>
  <c r="G1466" i="1"/>
  <c r="F1466" i="1"/>
  <c r="H1465" i="1"/>
  <c r="G1465" i="1"/>
  <c r="F1465" i="1"/>
  <c r="H1464" i="1"/>
  <c r="G1464" i="1"/>
  <c r="F1464" i="1"/>
  <c r="H1463" i="1"/>
  <c r="G1463" i="1"/>
  <c r="G1459" i="1" s="1"/>
  <c r="F1463" i="1"/>
  <c r="F1459" i="1" s="1"/>
  <c r="G1462" i="1"/>
  <c r="F1462" i="1"/>
  <c r="H1461" i="1"/>
  <c r="G1461" i="1"/>
  <c r="F1461" i="1"/>
  <c r="G1460" i="1"/>
  <c r="H1459" i="1"/>
  <c r="C1459" i="1"/>
  <c r="H1457" i="1"/>
  <c r="G1457" i="1"/>
  <c r="F1457" i="1"/>
  <c r="C1456" i="1"/>
  <c r="H1454" i="1"/>
  <c r="H1451" i="1" s="1"/>
  <c r="G1454" i="1"/>
  <c r="F1454" i="1"/>
  <c r="H1453" i="1"/>
  <c r="G1453" i="1"/>
  <c r="F1453" i="1"/>
  <c r="H1452" i="1"/>
  <c r="G1452" i="1"/>
  <c r="G1451" i="1" s="1"/>
  <c r="F1452" i="1"/>
  <c r="F1451" i="1" s="1"/>
  <c r="C1451" i="1"/>
  <c r="H1449" i="1"/>
  <c r="G1449" i="1"/>
  <c r="F1449" i="1"/>
  <c r="H1448" i="1"/>
  <c r="H1447" i="1" s="1"/>
  <c r="G1448" i="1"/>
  <c r="G1447" i="1" s="1"/>
  <c r="F1448" i="1"/>
  <c r="F1447" i="1" s="1"/>
  <c r="C1447" i="1"/>
  <c r="H1445" i="1"/>
  <c r="G1445" i="1"/>
  <c r="G1444" i="1" s="1"/>
  <c r="F1445" i="1"/>
  <c r="F1444" i="1" s="1"/>
  <c r="H1444" i="1"/>
  <c r="C1444" i="1"/>
  <c r="H1442" i="1"/>
  <c r="G1442" i="1"/>
  <c r="F1442" i="1"/>
  <c r="H1441" i="1"/>
  <c r="G1441" i="1"/>
  <c r="G1440" i="1"/>
  <c r="F1439" i="1"/>
  <c r="H1438" i="1"/>
  <c r="G1438" i="1"/>
  <c r="F1438" i="1"/>
  <c r="H1437" i="1"/>
  <c r="G1437" i="1"/>
  <c r="F1437" i="1"/>
  <c r="H1436" i="1"/>
  <c r="G1436" i="1"/>
  <c r="F1436" i="1"/>
  <c r="H1435" i="1"/>
  <c r="G1435" i="1"/>
  <c r="F1435" i="1"/>
  <c r="H1434" i="1"/>
  <c r="G1434" i="1"/>
  <c r="F1434" i="1"/>
  <c r="H1433" i="1"/>
  <c r="G1433" i="1"/>
  <c r="F1433" i="1"/>
  <c r="H1432" i="1"/>
  <c r="G1432" i="1"/>
  <c r="G1428" i="1" s="1"/>
  <c r="F1432" i="1"/>
  <c r="F1428" i="1" s="1"/>
  <c r="G1431" i="1"/>
  <c r="F1431" i="1"/>
  <c r="H1430" i="1"/>
  <c r="G1430" i="1"/>
  <c r="F1430" i="1"/>
  <c r="G1429" i="1"/>
  <c r="H1428" i="1"/>
  <c r="C1428" i="1"/>
  <c r="H1426" i="1"/>
  <c r="G1426" i="1"/>
  <c r="F1426" i="1"/>
  <c r="H1425" i="1"/>
  <c r="H1421" i="1" s="1"/>
  <c r="G1425" i="1"/>
  <c r="F1425" i="1"/>
  <c r="H1424" i="1"/>
  <c r="G1424" i="1"/>
  <c r="F1424" i="1"/>
  <c r="H1423" i="1"/>
  <c r="G1423" i="1"/>
  <c r="F1423" i="1"/>
  <c r="G1422" i="1"/>
  <c r="G1421" i="1" s="1"/>
  <c r="F1422" i="1"/>
  <c r="F1421" i="1" s="1"/>
  <c r="C1421" i="1"/>
  <c r="H1419" i="1"/>
  <c r="G1419" i="1"/>
  <c r="F1419" i="1"/>
  <c r="H1418" i="1"/>
  <c r="G1418" i="1"/>
  <c r="H1417" i="1"/>
  <c r="G1417" i="1"/>
  <c r="F1417" i="1"/>
  <c r="H1416" i="1"/>
  <c r="G1416" i="1"/>
  <c r="F1416" i="1"/>
  <c r="H1415" i="1"/>
  <c r="G1415" i="1"/>
  <c r="F1415" i="1"/>
  <c r="G1414" i="1"/>
  <c r="H1413" i="1"/>
  <c r="G1413" i="1"/>
  <c r="F1413" i="1"/>
  <c r="H1412" i="1"/>
  <c r="G1412" i="1"/>
  <c r="F1412" i="1"/>
  <c r="H1411" i="1"/>
  <c r="G1411" i="1"/>
  <c r="F1411" i="1"/>
  <c r="H1410" i="1"/>
  <c r="G1410" i="1"/>
  <c r="F1410" i="1"/>
  <c r="G1409" i="1"/>
  <c r="F1409" i="1"/>
  <c r="H1408" i="1"/>
  <c r="G1408" i="1"/>
  <c r="F1408" i="1"/>
  <c r="G1407" i="1"/>
  <c r="C1406" i="1"/>
  <c r="H1404" i="1"/>
  <c r="G1404" i="1"/>
  <c r="F1404" i="1"/>
  <c r="H1403" i="1"/>
  <c r="G1403" i="1"/>
  <c r="H1402" i="1"/>
  <c r="G1402" i="1"/>
  <c r="F1402" i="1"/>
  <c r="H1401" i="1"/>
  <c r="H1395" i="1" s="1"/>
  <c r="G1401" i="1"/>
  <c r="F1401" i="1"/>
  <c r="H1400" i="1"/>
  <c r="G1400" i="1"/>
  <c r="F1400" i="1"/>
  <c r="H1399" i="1"/>
  <c r="G1399" i="1"/>
  <c r="F1399" i="1"/>
  <c r="H1398" i="1"/>
  <c r="G1398" i="1"/>
  <c r="F1398" i="1"/>
  <c r="G1397" i="1"/>
  <c r="F1397" i="1"/>
  <c r="H1396" i="1"/>
  <c r="G1396" i="1"/>
  <c r="G1395" i="1" s="1"/>
  <c r="F1396" i="1"/>
  <c r="F1395" i="1" s="1"/>
  <c r="C1395" i="1"/>
  <c r="H1393" i="1"/>
  <c r="G1393" i="1"/>
  <c r="F1393" i="1"/>
  <c r="G1392" i="1"/>
  <c r="F1392" i="1"/>
  <c r="H1391" i="1"/>
  <c r="G1391" i="1"/>
  <c r="F1391" i="1"/>
  <c r="H1390" i="1"/>
  <c r="G1390" i="1"/>
  <c r="F1390" i="1"/>
  <c r="F1388" i="1" s="1"/>
  <c r="H1389" i="1"/>
  <c r="H1388" i="1" s="1"/>
  <c r="G1389" i="1"/>
  <c r="G1388" i="1" s="1"/>
  <c r="F1389" i="1"/>
  <c r="C1388" i="1"/>
  <c r="H1386" i="1"/>
  <c r="G1386" i="1"/>
  <c r="F1386" i="1"/>
  <c r="H1385" i="1"/>
  <c r="G1385" i="1"/>
  <c r="H1384" i="1"/>
  <c r="G1384" i="1"/>
  <c r="F1384" i="1"/>
  <c r="H1383" i="1"/>
  <c r="G1383" i="1"/>
  <c r="F1383" i="1"/>
  <c r="H1382" i="1"/>
  <c r="G1382" i="1"/>
  <c r="F1382" i="1"/>
  <c r="H1381" i="1"/>
  <c r="G1381" i="1"/>
  <c r="F1381" i="1"/>
  <c r="H1380" i="1"/>
  <c r="H1374" i="1" s="1"/>
  <c r="G1380" i="1"/>
  <c r="F1380" i="1"/>
  <c r="H1379" i="1"/>
  <c r="G1379" i="1"/>
  <c r="F1379" i="1"/>
  <c r="H1378" i="1"/>
  <c r="G1378" i="1"/>
  <c r="F1378" i="1"/>
  <c r="F1374" i="1" s="1"/>
  <c r="G1377" i="1"/>
  <c r="F1377" i="1"/>
  <c r="H1376" i="1"/>
  <c r="G1376" i="1"/>
  <c r="F1376" i="1"/>
  <c r="G1375" i="1"/>
  <c r="G1374" i="1"/>
  <c r="C1374" i="1"/>
  <c r="H1372" i="1"/>
  <c r="G1372" i="1"/>
  <c r="F1372" i="1"/>
  <c r="H1371" i="1"/>
  <c r="G1371" i="1"/>
  <c r="F1370" i="1"/>
  <c r="H1369" i="1"/>
  <c r="G1369" i="1"/>
  <c r="F1369" i="1"/>
  <c r="H1368" i="1"/>
  <c r="G1368" i="1"/>
  <c r="F1368" i="1"/>
  <c r="H1367" i="1"/>
  <c r="G1367" i="1"/>
  <c r="F1367" i="1"/>
  <c r="H1366" i="1"/>
  <c r="G1366" i="1"/>
  <c r="F1366" i="1"/>
  <c r="H1365" i="1"/>
  <c r="G1365" i="1"/>
  <c r="F1365" i="1"/>
  <c r="H1364" i="1"/>
  <c r="G1364" i="1"/>
  <c r="F1364" i="1"/>
  <c r="H1363" i="1"/>
  <c r="G1363" i="1"/>
  <c r="F1363" i="1"/>
  <c r="G1362" i="1"/>
  <c r="F1362" i="1"/>
  <c r="H1361" i="1"/>
  <c r="H1359" i="1" s="1"/>
  <c r="G1361" i="1"/>
  <c r="G1359" i="1" s="1"/>
  <c r="F1361" i="1"/>
  <c r="F1359" i="1" s="1"/>
  <c r="G1360" i="1"/>
  <c r="C1359" i="1"/>
  <c r="H1357" i="1"/>
  <c r="H1356" i="1" s="1"/>
  <c r="G1357" i="1"/>
  <c r="G1356" i="1" s="1"/>
  <c r="F1357" i="1"/>
  <c r="F1356" i="1" s="1"/>
  <c r="C1356" i="1"/>
  <c r="H1354" i="1"/>
  <c r="G1354" i="1"/>
  <c r="F1354" i="1"/>
  <c r="H1353" i="1"/>
  <c r="G1353" i="1"/>
  <c r="H1352" i="1"/>
  <c r="G1352" i="1"/>
  <c r="F1352" i="1"/>
  <c r="H1351" i="1"/>
  <c r="G1351" i="1"/>
  <c r="F1351" i="1"/>
  <c r="H1350" i="1"/>
  <c r="G1350" i="1"/>
  <c r="F1350" i="1"/>
  <c r="H1349" i="1"/>
  <c r="G1349" i="1"/>
  <c r="F1349" i="1"/>
  <c r="H1348" i="1"/>
  <c r="G1348" i="1"/>
  <c r="F1348" i="1"/>
  <c r="H1347" i="1"/>
  <c r="G1347" i="1"/>
  <c r="F1347" i="1"/>
  <c r="H1346" i="1"/>
  <c r="G1346" i="1"/>
  <c r="F1346" i="1"/>
  <c r="G1345" i="1"/>
  <c r="C1344" i="1"/>
  <c r="H1342" i="1"/>
  <c r="G1342" i="1"/>
  <c r="F1342" i="1"/>
  <c r="H1341" i="1"/>
  <c r="G1341" i="1"/>
  <c r="F1341" i="1"/>
  <c r="C1341" i="1"/>
  <c r="H1339" i="1"/>
  <c r="G1339" i="1"/>
  <c r="F1339" i="1"/>
  <c r="H1338" i="1"/>
  <c r="G1338" i="1"/>
  <c r="H1337" i="1"/>
  <c r="G1337" i="1"/>
  <c r="F1337" i="1"/>
  <c r="H1336" i="1"/>
  <c r="G1336" i="1"/>
  <c r="F1336" i="1"/>
  <c r="H1335" i="1"/>
  <c r="G1335" i="1"/>
  <c r="F1335" i="1"/>
  <c r="G1334" i="1"/>
  <c r="H1333" i="1"/>
  <c r="G1333" i="1"/>
  <c r="F1333" i="1"/>
  <c r="H1332" i="1"/>
  <c r="G1332" i="1"/>
  <c r="F1332" i="1"/>
  <c r="H1331" i="1"/>
  <c r="G1331" i="1"/>
  <c r="F1331" i="1"/>
  <c r="H1330" i="1"/>
  <c r="G1330" i="1"/>
  <c r="F1330" i="1"/>
  <c r="G1329" i="1"/>
  <c r="F1329" i="1"/>
  <c r="H1328" i="1"/>
  <c r="G1328" i="1"/>
  <c r="F1328" i="1"/>
  <c r="G1327" i="1"/>
  <c r="C1326" i="1"/>
  <c r="H1324" i="1"/>
  <c r="G1324" i="1"/>
  <c r="F1324" i="1"/>
  <c r="H1323" i="1"/>
  <c r="G1323" i="1"/>
  <c r="F1323" i="1"/>
  <c r="C1323" i="1"/>
  <c r="H1321" i="1"/>
  <c r="G1321" i="1"/>
  <c r="F1321" i="1"/>
  <c r="H1320" i="1"/>
  <c r="G1320" i="1"/>
  <c r="G1319" i="1"/>
  <c r="F1318" i="1"/>
  <c r="H1317" i="1"/>
  <c r="G1317" i="1"/>
  <c r="F1317" i="1"/>
  <c r="H1316" i="1"/>
  <c r="G1316" i="1"/>
  <c r="F1316" i="1"/>
  <c r="H1315" i="1"/>
  <c r="G1315" i="1"/>
  <c r="F1315" i="1"/>
  <c r="H1314" i="1"/>
  <c r="G1314" i="1"/>
  <c r="F1314" i="1"/>
  <c r="H1313" i="1"/>
  <c r="G1313" i="1"/>
  <c r="F1313" i="1"/>
  <c r="H1312" i="1"/>
  <c r="G1312" i="1"/>
  <c r="F1312" i="1"/>
  <c r="H1311" i="1"/>
  <c r="G1311" i="1"/>
  <c r="F1311" i="1"/>
  <c r="G1310" i="1"/>
  <c r="G1307" i="1" s="1"/>
  <c r="F1310" i="1"/>
  <c r="F1307" i="1" s="1"/>
  <c r="H1309" i="1"/>
  <c r="H1307" i="1" s="1"/>
  <c r="G1309" i="1"/>
  <c r="F1309" i="1"/>
  <c r="G1308" i="1"/>
  <c r="C1307" i="1"/>
  <c r="H1305" i="1"/>
  <c r="G1305" i="1"/>
  <c r="F1305" i="1"/>
  <c r="H1304" i="1"/>
  <c r="G1304" i="1"/>
  <c r="H1303" i="1"/>
  <c r="G1303" i="1"/>
  <c r="F1303" i="1"/>
  <c r="H1302" i="1"/>
  <c r="G1302" i="1"/>
  <c r="F1302" i="1"/>
  <c r="H1301" i="1"/>
  <c r="G1301" i="1"/>
  <c r="F1301" i="1"/>
  <c r="G1300" i="1"/>
  <c r="H1299" i="1"/>
  <c r="G1299" i="1"/>
  <c r="F1299" i="1"/>
  <c r="H1298" i="1"/>
  <c r="G1298" i="1"/>
  <c r="F1298" i="1"/>
  <c r="H1297" i="1"/>
  <c r="G1297" i="1"/>
  <c r="F1297" i="1"/>
  <c r="H1296" i="1"/>
  <c r="G1296" i="1"/>
  <c r="F1296" i="1"/>
  <c r="G1295" i="1"/>
  <c r="F1295" i="1"/>
  <c r="H1294" i="1"/>
  <c r="H1292" i="1" s="1"/>
  <c r="G1294" i="1"/>
  <c r="G1292" i="1" s="1"/>
  <c r="F1294" i="1"/>
  <c r="F1292" i="1" s="1"/>
  <c r="G1293" i="1"/>
  <c r="C1292" i="1"/>
  <c r="H1290" i="1"/>
  <c r="G1290" i="1"/>
  <c r="F1290" i="1"/>
  <c r="H1289" i="1"/>
  <c r="G1289" i="1"/>
  <c r="F1288" i="1"/>
  <c r="H1287" i="1"/>
  <c r="G1287" i="1"/>
  <c r="F1287" i="1"/>
  <c r="H1286" i="1"/>
  <c r="G1286" i="1"/>
  <c r="F1286" i="1"/>
  <c r="H1285" i="1"/>
  <c r="G1285" i="1"/>
  <c r="F1285" i="1"/>
  <c r="H1284" i="1"/>
  <c r="G1284" i="1"/>
  <c r="F1284" i="1"/>
  <c r="H1283" i="1"/>
  <c r="H1277" i="1" s="1"/>
  <c r="G1283" i="1"/>
  <c r="F1283" i="1"/>
  <c r="H1282" i="1"/>
  <c r="G1282" i="1"/>
  <c r="F1282" i="1"/>
  <c r="H1281" i="1"/>
  <c r="G1281" i="1"/>
  <c r="F1281" i="1"/>
  <c r="F1277" i="1" s="1"/>
  <c r="G1280" i="1"/>
  <c r="F1280" i="1"/>
  <c r="H1279" i="1"/>
  <c r="G1279" i="1"/>
  <c r="F1279" i="1"/>
  <c r="G1278" i="1"/>
  <c r="G1277" i="1"/>
  <c r="C1277" i="1"/>
  <c r="H1275" i="1"/>
  <c r="G1275" i="1"/>
  <c r="F1275" i="1"/>
  <c r="C1274" i="1"/>
  <c r="H1272" i="1"/>
  <c r="G1272" i="1"/>
  <c r="F1272" i="1"/>
  <c r="H1271" i="1"/>
  <c r="G1271" i="1"/>
  <c r="F1271" i="1"/>
  <c r="H1270" i="1"/>
  <c r="G1270" i="1"/>
  <c r="G1269" i="1" s="1"/>
  <c r="F1270" i="1"/>
  <c r="F1269" i="1" s="1"/>
  <c r="H1269" i="1"/>
  <c r="C1269" i="1"/>
  <c r="H1268" i="1"/>
  <c r="G1268" i="1"/>
  <c r="F1268" i="1"/>
  <c r="G1267" i="1"/>
  <c r="F1267" i="1"/>
  <c r="F1265" i="1"/>
  <c r="H1264" i="1"/>
  <c r="G1264" i="1"/>
  <c r="F1264" i="1"/>
  <c r="H1263" i="1"/>
  <c r="G1263" i="1"/>
  <c r="F1263" i="1"/>
  <c r="H1262" i="1"/>
  <c r="G1262" i="1"/>
  <c r="F1262" i="1"/>
  <c r="H1261" i="1"/>
  <c r="G1261" i="1"/>
  <c r="F1261" i="1"/>
  <c r="H1260" i="1"/>
  <c r="G1260" i="1"/>
  <c r="F1260" i="1"/>
  <c r="H1259" i="1"/>
  <c r="G1259" i="1"/>
  <c r="F1259" i="1"/>
  <c r="H1258" i="1"/>
  <c r="G1258" i="1"/>
  <c r="F1258" i="1"/>
  <c r="H1257" i="1"/>
  <c r="H1254" i="1" s="1"/>
  <c r="G1257" i="1"/>
  <c r="G1254" i="1" s="1"/>
  <c r="F1257" i="1"/>
  <c r="H1256" i="1"/>
  <c r="G1256" i="1"/>
  <c r="F1256" i="1"/>
  <c r="G1255" i="1"/>
  <c r="F1254" i="1"/>
  <c r="C1254" i="1"/>
  <c r="H1252" i="1"/>
  <c r="G1252" i="1"/>
  <c r="F1252" i="1"/>
  <c r="G1251" i="1"/>
  <c r="G1250" i="1"/>
  <c r="F1250" i="1"/>
  <c r="F1249" i="1"/>
  <c r="H1248" i="1"/>
  <c r="G1248" i="1"/>
  <c r="F1248" i="1"/>
  <c r="H1247" i="1"/>
  <c r="G1247" i="1"/>
  <c r="F1247" i="1"/>
  <c r="H1246" i="1"/>
  <c r="G1246" i="1"/>
  <c r="F1246" i="1"/>
  <c r="H1245" i="1"/>
  <c r="G1245" i="1"/>
  <c r="F1245" i="1"/>
  <c r="H1244" i="1"/>
  <c r="G1244" i="1"/>
  <c r="F1244" i="1"/>
  <c r="H1243" i="1"/>
  <c r="G1243" i="1"/>
  <c r="F1243" i="1"/>
  <c r="H1242" i="1"/>
  <c r="G1242" i="1"/>
  <c r="F1242" i="1"/>
  <c r="H1241" i="1"/>
  <c r="G1241" i="1"/>
  <c r="F1241" i="1"/>
  <c r="F1238" i="1" s="1"/>
  <c r="H1240" i="1"/>
  <c r="H1238" i="1" s="1"/>
  <c r="G1240" i="1"/>
  <c r="F1240" i="1"/>
  <c r="G1239" i="1"/>
  <c r="G1238" i="1" s="1"/>
  <c r="C1238" i="1"/>
  <c r="H1236" i="1"/>
  <c r="G1236" i="1"/>
  <c r="F1236" i="1"/>
  <c r="G1235" i="1"/>
  <c r="F1235" i="1"/>
  <c r="H1234" i="1"/>
  <c r="G1234" i="1"/>
  <c r="F1234" i="1"/>
  <c r="H1233" i="1"/>
  <c r="G1233" i="1"/>
  <c r="F1233" i="1"/>
  <c r="H1232" i="1"/>
  <c r="G1232" i="1"/>
  <c r="F1232" i="1"/>
  <c r="H1231" i="1"/>
  <c r="G1231" i="1"/>
  <c r="F1231" i="1"/>
  <c r="H1230" i="1"/>
  <c r="G1230" i="1"/>
  <c r="F1230" i="1"/>
  <c r="H1229" i="1"/>
  <c r="G1229" i="1"/>
  <c r="F1229" i="1"/>
  <c r="H1228" i="1"/>
  <c r="H1225" i="1" s="1"/>
  <c r="G1228" i="1"/>
  <c r="F1228" i="1"/>
  <c r="F1225" i="1" s="1"/>
  <c r="H1227" i="1"/>
  <c r="G1227" i="1"/>
  <c r="F1227" i="1"/>
  <c r="G1226" i="1"/>
  <c r="G1225" i="1"/>
  <c r="C1225" i="1"/>
  <c r="H1223" i="1"/>
  <c r="G1223" i="1"/>
  <c r="F1223" i="1"/>
  <c r="H1222" i="1"/>
  <c r="H1221" i="1" s="1"/>
  <c r="G1222" i="1"/>
  <c r="G1221" i="1" s="1"/>
  <c r="F1222" i="1"/>
  <c r="F1221" i="1" s="1"/>
  <c r="C1221" i="1"/>
  <c r="H1219" i="1"/>
  <c r="G1219" i="1"/>
  <c r="F1219" i="1"/>
  <c r="H1218" i="1"/>
  <c r="G1218" i="1"/>
  <c r="F1218" i="1"/>
  <c r="H1217" i="1"/>
  <c r="G1217" i="1"/>
  <c r="F1217" i="1"/>
  <c r="H1216" i="1"/>
  <c r="G1216" i="1"/>
  <c r="F1216" i="1"/>
  <c r="H1215" i="1"/>
  <c r="G1215" i="1"/>
  <c r="F1215" i="1"/>
  <c r="H1214" i="1"/>
  <c r="G1214" i="1"/>
  <c r="F1214" i="1"/>
  <c r="F1211" i="1" s="1"/>
  <c r="H1213" i="1"/>
  <c r="H1211" i="1" s="1"/>
  <c r="G1213" i="1"/>
  <c r="G1211" i="1" s="1"/>
  <c r="F1213" i="1"/>
  <c r="G1212" i="1"/>
  <c r="C1211" i="1"/>
  <c r="H1209" i="1"/>
  <c r="G1209" i="1"/>
  <c r="F1209" i="1"/>
  <c r="H1208" i="1"/>
  <c r="G1208" i="1"/>
  <c r="F1208" i="1"/>
  <c r="H1207" i="1"/>
  <c r="G1207" i="1"/>
  <c r="F1207" i="1"/>
  <c r="H1206" i="1"/>
  <c r="G1206" i="1"/>
  <c r="F1206" i="1"/>
  <c r="H1205" i="1"/>
  <c r="G1205" i="1"/>
  <c r="F1205" i="1"/>
  <c r="H1204" i="1"/>
  <c r="G1204" i="1"/>
  <c r="F1204" i="1"/>
  <c r="H1203" i="1"/>
  <c r="G1203" i="1"/>
  <c r="F1203" i="1"/>
  <c r="H1202" i="1"/>
  <c r="G1202" i="1"/>
  <c r="F1202" i="1"/>
  <c r="F1200" i="1" s="1"/>
  <c r="G1201" i="1"/>
  <c r="G1200" i="1" s="1"/>
  <c r="H1200" i="1"/>
  <c r="C1200" i="1"/>
  <c r="H1198" i="1"/>
  <c r="G1198" i="1"/>
  <c r="F1198" i="1"/>
  <c r="G1197" i="1"/>
  <c r="F1197" i="1"/>
  <c r="H1196" i="1"/>
  <c r="G1196" i="1"/>
  <c r="F1196" i="1"/>
  <c r="H1195" i="1"/>
  <c r="G1195" i="1"/>
  <c r="F1195" i="1"/>
  <c r="H1194" i="1"/>
  <c r="G1194" i="1"/>
  <c r="G1187" i="1" s="1"/>
  <c r="F1194" i="1"/>
  <c r="H1193" i="1"/>
  <c r="G1193" i="1"/>
  <c r="F1193" i="1"/>
  <c r="H1192" i="1"/>
  <c r="G1192" i="1"/>
  <c r="F1192" i="1"/>
  <c r="H1191" i="1"/>
  <c r="H1187" i="1" s="1"/>
  <c r="G1191" i="1"/>
  <c r="F1191" i="1"/>
  <c r="H1190" i="1"/>
  <c r="G1190" i="1"/>
  <c r="F1190" i="1"/>
  <c r="H1189" i="1"/>
  <c r="G1189" i="1"/>
  <c r="F1189" i="1"/>
  <c r="F1187" i="1" s="1"/>
  <c r="G1188" i="1"/>
  <c r="C1187" i="1"/>
  <c r="H1185" i="1"/>
  <c r="G1185" i="1"/>
  <c r="F1185" i="1"/>
  <c r="G1184" i="1"/>
  <c r="F1184" i="1"/>
  <c r="H1183" i="1"/>
  <c r="G1183" i="1"/>
  <c r="F1183" i="1"/>
  <c r="H1182" i="1"/>
  <c r="G1182" i="1"/>
  <c r="F1182" i="1"/>
  <c r="H1181" i="1"/>
  <c r="G1181" i="1"/>
  <c r="F1181" i="1"/>
  <c r="H1180" i="1"/>
  <c r="G1180" i="1"/>
  <c r="F1180" i="1"/>
  <c r="H1179" i="1"/>
  <c r="G1179" i="1"/>
  <c r="F1179" i="1"/>
  <c r="H1178" i="1"/>
  <c r="G1178" i="1"/>
  <c r="G1177" i="1" s="1"/>
  <c r="F1178" i="1"/>
  <c r="F1177" i="1" s="1"/>
  <c r="H1177" i="1"/>
  <c r="C1177" i="1"/>
  <c r="H1175" i="1"/>
  <c r="G1175" i="1"/>
  <c r="F1175" i="1"/>
  <c r="G1174" i="1"/>
  <c r="F1174" i="1"/>
  <c r="H1173" i="1"/>
  <c r="G1173" i="1"/>
  <c r="F1173" i="1"/>
  <c r="H1172" i="1"/>
  <c r="G1172" i="1"/>
  <c r="F1172" i="1"/>
  <c r="H1171" i="1"/>
  <c r="G1171" i="1"/>
  <c r="F1171" i="1"/>
  <c r="H1170" i="1"/>
  <c r="G1170" i="1"/>
  <c r="G1163" i="1" s="1"/>
  <c r="F1170" i="1"/>
  <c r="H1169" i="1"/>
  <c r="G1169" i="1"/>
  <c r="F1169" i="1"/>
  <c r="H1168" i="1"/>
  <c r="G1168" i="1"/>
  <c r="F1168" i="1"/>
  <c r="H1167" i="1"/>
  <c r="H1163" i="1" s="1"/>
  <c r="G1167" i="1"/>
  <c r="F1167" i="1"/>
  <c r="H1166" i="1"/>
  <c r="G1166" i="1"/>
  <c r="F1166" i="1"/>
  <c r="H1165" i="1"/>
  <c r="G1165" i="1"/>
  <c r="F1165" i="1"/>
  <c r="F1163" i="1" s="1"/>
  <c r="G1164" i="1"/>
  <c r="C1163" i="1"/>
  <c r="H1161" i="1"/>
  <c r="G1161" i="1"/>
  <c r="F1161" i="1"/>
  <c r="G1160" i="1"/>
  <c r="F1160" i="1"/>
  <c r="F1159" i="1"/>
  <c r="H1158" i="1"/>
  <c r="G1158" i="1"/>
  <c r="F1158" i="1"/>
  <c r="H1157" i="1"/>
  <c r="G1157" i="1"/>
  <c r="F1157" i="1"/>
  <c r="H1156" i="1"/>
  <c r="G1156" i="1"/>
  <c r="F1156" i="1"/>
  <c r="H1155" i="1"/>
  <c r="G1155" i="1"/>
  <c r="F1155" i="1"/>
  <c r="H1154" i="1"/>
  <c r="G1154" i="1"/>
  <c r="F1154" i="1"/>
  <c r="H1153" i="1"/>
  <c r="G1153" i="1"/>
  <c r="F1153" i="1"/>
  <c r="H1152" i="1"/>
  <c r="G1152" i="1"/>
  <c r="F1152" i="1"/>
  <c r="F1148" i="1" s="1"/>
  <c r="H1151" i="1"/>
  <c r="G1151" i="1"/>
  <c r="F1151" i="1"/>
  <c r="H1150" i="1"/>
  <c r="G1150" i="1"/>
  <c r="G1148" i="1" s="1"/>
  <c r="F1150" i="1"/>
  <c r="G1149" i="1"/>
  <c r="H1148" i="1"/>
  <c r="C1148" i="1"/>
  <c r="H1146" i="1"/>
  <c r="G1146" i="1"/>
  <c r="F1146" i="1"/>
  <c r="H1145" i="1"/>
  <c r="G1145" i="1"/>
  <c r="F1145" i="1"/>
  <c r="H1144" i="1"/>
  <c r="G1144" i="1"/>
  <c r="F1144" i="1"/>
  <c r="H1143" i="1"/>
  <c r="G1143" i="1"/>
  <c r="F1143" i="1"/>
  <c r="H1142" i="1"/>
  <c r="H1135" i="1" s="1"/>
  <c r="G1142" i="1"/>
  <c r="F1142" i="1"/>
  <c r="H1141" i="1"/>
  <c r="G1141" i="1"/>
  <c r="F1141" i="1"/>
  <c r="H1140" i="1"/>
  <c r="G1140" i="1"/>
  <c r="F1140" i="1"/>
  <c r="F1135" i="1" s="1"/>
  <c r="H1139" i="1"/>
  <c r="G1139" i="1"/>
  <c r="F1139" i="1"/>
  <c r="H1138" i="1"/>
  <c r="G1138" i="1"/>
  <c r="F1138" i="1"/>
  <c r="H1137" i="1"/>
  <c r="G1137" i="1"/>
  <c r="F1137" i="1"/>
  <c r="G1136" i="1"/>
  <c r="G1135" i="1" s="1"/>
  <c r="C1135" i="1"/>
  <c r="H1133" i="1"/>
  <c r="G1133" i="1"/>
  <c r="F1133" i="1"/>
  <c r="H1132" i="1"/>
  <c r="G1132" i="1"/>
  <c r="F1132" i="1"/>
  <c r="H1131" i="1"/>
  <c r="G1131" i="1"/>
  <c r="F1131" i="1"/>
  <c r="H1130" i="1"/>
  <c r="G1130" i="1"/>
  <c r="F1130" i="1"/>
  <c r="H1129" i="1"/>
  <c r="G1129" i="1"/>
  <c r="F1129" i="1"/>
  <c r="H1128" i="1"/>
  <c r="G1128" i="1"/>
  <c r="F1128" i="1"/>
  <c r="H1127" i="1"/>
  <c r="G1127" i="1"/>
  <c r="F1127" i="1"/>
  <c r="H1126" i="1"/>
  <c r="G1126" i="1"/>
  <c r="F1126" i="1"/>
  <c r="H1125" i="1"/>
  <c r="H1122" i="1" s="1"/>
  <c r="G1125" i="1"/>
  <c r="G1122" i="1" s="1"/>
  <c r="F1125" i="1"/>
  <c r="H1124" i="1"/>
  <c r="G1124" i="1"/>
  <c r="F1124" i="1"/>
  <c r="G1123" i="1"/>
  <c r="F1122" i="1"/>
  <c r="C1122" i="1"/>
  <c r="H1120" i="1"/>
  <c r="G1120" i="1"/>
  <c r="F1120" i="1"/>
  <c r="G1119" i="1"/>
  <c r="F1119" i="1"/>
  <c r="H1118" i="1"/>
  <c r="G1118" i="1"/>
  <c r="F1118" i="1"/>
  <c r="H1117" i="1"/>
  <c r="G1117" i="1"/>
  <c r="F1117" i="1"/>
  <c r="H1116" i="1"/>
  <c r="G1116" i="1"/>
  <c r="F1116" i="1"/>
  <c r="H1115" i="1"/>
  <c r="H1110" i="1" s="1"/>
  <c r="G1115" i="1"/>
  <c r="F1115" i="1"/>
  <c r="H1114" i="1"/>
  <c r="G1114" i="1"/>
  <c r="F1114" i="1"/>
  <c r="H1113" i="1"/>
  <c r="G1113" i="1"/>
  <c r="F1113" i="1"/>
  <c r="F1110" i="1" s="1"/>
  <c r="H1112" i="1"/>
  <c r="G1112" i="1"/>
  <c r="F1112" i="1"/>
  <c r="H1111" i="1"/>
  <c r="G1111" i="1"/>
  <c r="F1111" i="1"/>
  <c r="G1110" i="1"/>
  <c r="C1110" i="1"/>
  <c r="H1108" i="1"/>
  <c r="G1108" i="1"/>
  <c r="F1108" i="1"/>
  <c r="G1107" i="1"/>
  <c r="F1107" i="1"/>
  <c r="F1106" i="1"/>
  <c r="H1105" i="1"/>
  <c r="G1105" i="1"/>
  <c r="F1105" i="1"/>
  <c r="H1104" i="1"/>
  <c r="G1104" i="1"/>
  <c r="F1104" i="1"/>
  <c r="H1103" i="1"/>
  <c r="G1103" i="1"/>
  <c r="F1103" i="1"/>
  <c r="H1102" i="1"/>
  <c r="G1102" i="1"/>
  <c r="F1102" i="1"/>
  <c r="H1101" i="1"/>
  <c r="G1101" i="1"/>
  <c r="F1101" i="1"/>
  <c r="H1100" i="1"/>
  <c r="H1095" i="1" s="1"/>
  <c r="G1100" i="1"/>
  <c r="F1100" i="1"/>
  <c r="H1099" i="1"/>
  <c r="G1099" i="1"/>
  <c r="F1099" i="1"/>
  <c r="H1098" i="1"/>
  <c r="G1098" i="1"/>
  <c r="F1098" i="1"/>
  <c r="F1095" i="1" s="1"/>
  <c r="H1097" i="1"/>
  <c r="G1097" i="1"/>
  <c r="G1095" i="1" s="1"/>
  <c r="F1097" i="1"/>
  <c r="G1096" i="1"/>
  <c r="C1095" i="1"/>
  <c r="H1093" i="1"/>
  <c r="G1093" i="1"/>
  <c r="F1093" i="1"/>
  <c r="G1092" i="1"/>
  <c r="F1092" i="1"/>
  <c r="F1091" i="1"/>
  <c r="H1090" i="1"/>
  <c r="G1090" i="1"/>
  <c r="F1090" i="1"/>
  <c r="H1089" i="1"/>
  <c r="G1089" i="1"/>
  <c r="F1089" i="1"/>
  <c r="H1088" i="1"/>
  <c r="G1088" i="1"/>
  <c r="F1088" i="1"/>
  <c r="H1087" i="1"/>
  <c r="H1080" i="1" s="1"/>
  <c r="G1087" i="1"/>
  <c r="F1087" i="1"/>
  <c r="H1086" i="1"/>
  <c r="G1086" i="1"/>
  <c r="F1086" i="1"/>
  <c r="H1085" i="1"/>
  <c r="G1085" i="1"/>
  <c r="F1085" i="1"/>
  <c r="H1084" i="1"/>
  <c r="G1084" i="1"/>
  <c r="F1084" i="1"/>
  <c r="H1083" i="1"/>
  <c r="G1083" i="1"/>
  <c r="F1083" i="1"/>
  <c r="H1082" i="1"/>
  <c r="G1082" i="1"/>
  <c r="F1082" i="1"/>
  <c r="F1080" i="1" s="1"/>
  <c r="G1081" i="1"/>
  <c r="G1080" i="1" s="1"/>
  <c r="C1080" i="1"/>
  <c r="H1078" i="1"/>
  <c r="G1078" i="1"/>
  <c r="F1078" i="1"/>
  <c r="G1077" i="1"/>
  <c r="F1077" i="1"/>
  <c r="H1076" i="1"/>
  <c r="G1076" i="1"/>
  <c r="F1076" i="1"/>
  <c r="H1075" i="1"/>
  <c r="G1075" i="1"/>
  <c r="F1075" i="1"/>
  <c r="H1074" i="1"/>
  <c r="G1074" i="1"/>
  <c r="F1074" i="1"/>
  <c r="H1073" i="1"/>
  <c r="G1073" i="1"/>
  <c r="F1073" i="1"/>
  <c r="H1072" i="1"/>
  <c r="G1072" i="1"/>
  <c r="F1072" i="1"/>
  <c r="H1071" i="1"/>
  <c r="G1071" i="1"/>
  <c r="F1071" i="1"/>
  <c r="H1070" i="1"/>
  <c r="G1070" i="1"/>
  <c r="F1070" i="1"/>
  <c r="F1067" i="1" s="1"/>
  <c r="H1069" i="1"/>
  <c r="H1067" i="1" s="1"/>
  <c r="G1069" i="1"/>
  <c r="F1069" i="1"/>
  <c r="G1068" i="1"/>
  <c r="G1067" i="1" s="1"/>
  <c r="C1067" i="1"/>
  <c r="H1065" i="1"/>
  <c r="G1065" i="1"/>
  <c r="F1065" i="1"/>
  <c r="G1064" i="1"/>
  <c r="F1064" i="1"/>
  <c r="H1063" i="1"/>
  <c r="G1063" i="1"/>
  <c r="F1063" i="1"/>
  <c r="H1062" i="1"/>
  <c r="G1062" i="1"/>
  <c r="F1062" i="1"/>
  <c r="H1061" i="1"/>
  <c r="G1061" i="1"/>
  <c r="F1061" i="1"/>
  <c r="H1060" i="1"/>
  <c r="G1060" i="1"/>
  <c r="F1060" i="1"/>
  <c r="H1059" i="1"/>
  <c r="G1059" i="1"/>
  <c r="F1059" i="1"/>
  <c r="H1058" i="1"/>
  <c r="G1058" i="1"/>
  <c r="F1058" i="1"/>
  <c r="H1057" i="1"/>
  <c r="H1055" i="1" s="1"/>
  <c r="G1057" i="1"/>
  <c r="F1057" i="1"/>
  <c r="F1055" i="1" s="1"/>
  <c r="G1056" i="1"/>
  <c r="G1055" i="1" s="1"/>
  <c r="C1055" i="1"/>
  <c r="H1053" i="1"/>
  <c r="G1053" i="1"/>
  <c r="F1053" i="1"/>
  <c r="H1052" i="1"/>
  <c r="G1052" i="1"/>
  <c r="F1052" i="1"/>
  <c r="H1051" i="1"/>
  <c r="G1051" i="1"/>
  <c r="F1051" i="1"/>
  <c r="H1050" i="1"/>
  <c r="H1049" i="1" s="1"/>
  <c r="G1050" i="1"/>
  <c r="G1049" i="1" s="1"/>
  <c r="F1050" i="1"/>
  <c r="F1049" i="1" s="1"/>
  <c r="C1049" i="1"/>
  <c r="H1047" i="1"/>
  <c r="G1047" i="1"/>
  <c r="F1047" i="1"/>
  <c r="G1046" i="1"/>
  <c r="G1045" i="1"/>
  <c r="F1045" i="1"/>
  <c r="G1044" i="1"/>
  <c r="F1043" i="1"/>
  <c r="H1042" i="1"/>
  <c r="G1042" i="1"/>
  <c r="F1042" i="1"/>
  <c r="H1041" i="1"/>
  <c r="G1041" i="1"/>
  <c r="F1041" i="1"/>
  <c r="H1040" i="1"/>
  <c r="G1040" i="1"/>
  <c r="F1040" i="1"/>
  <c r="G1039" i="1"/>
  <c r="H1038" i="1"/>
  <c r="G1038" i="1"/>
  <c r="F1038" i="1"/>
  <c r="H1037" i="1"/>
  <c r="G1037" i="1"/>
  <c r="F1037" i="1"/>
  <c r="H1036" i="1"/>
  <c r="H1031" i="1" s="1"/>
  <c r="G1036" i="1"/>
  <c r="F1036" i="1"/>
  <c r="H1035" i="1"/>
  <c r="G1035" i="1"/>
  <c r="F1035" i="1"/>
  <c r="H1034" i="1"/>
  <c r="G1034" i="1"/>
  <c r="F1034" i="1"/>
  <c r="H1033" i="1"/>
  <c r="G1033" i="1"/>
  <c r="F1033" i="1"/>
  <c r="F1031" i="1" s="1"/>
  <c r="G1032" i="1"/>
  <c r="G1031" i="1" s="1"/>
  <c r="C1031" i="1"/>
  <c r="H1029" i="1"/>
  <c r="G1029" i="1"/>
  <c r="F1029" i="1"/>
  <c r="G1028" i="1"/>
  <c r="F1028" i="1"/>
  <c r="G1027" i="1"/>
  <c r="F1026" i="1"/>
  <c r="H1025" i="1"/>
  <c r="G1025" i="1"/>
  <c r="F1025" i="1"/>
  <c r="H1024" i="1"/>
  <c r="G1024" i="1"/>
  <c r="F1024" i="1"/>
  <c r="H1023" i="1"/>
  <c r="G1023" i="1"/>
  <c r="F1023" i="1"/>
  <c r="H1022" i="1"/>
  <c r="G1022" i="1"/>
  <c r="F1022" i="1"/>
  <c r="F1015" i="1" s="1"/>
  <c r="H1021" i="1"/>
  <c r="G1021" i="1"/>
  <c r="F1021" i="1"/>
  <c r="H1020" i="1"/>
  <c r="G1020" i="1"/>
  <c r="F1020" i="1"/>
  <c r="H1019" i="1"/>
  <c r="G1019" i="1"/>
  <c r="F1019" i="1"/>
  <c r="H1018" i="1"/>
  <c r="G1018" i="1"/>
  <c r="F1018" i="1"/>
  <c r="H1017" i="1"/>
  <c r="H1015" i="1" s="1"/>
  <c r="G1017" i="1"/>
  <c r="F1017" i="1"/>
  <c r="G1016" i="1"/>
  <c r="G1015" i="1" s="1"/>
  <c r="C1015" i="1"/>
  <c r="H1013" i="1"/>
  <c r="G1013" i="1"/>
  <c r="F1013" i="1"/>
  <c r="G1012" i="1"/>
  <c r="F1012" i="1"/>
  <c r="F1011" i="1"/>
  <c r="H1010" i="1"/>
  <c r="G1010" i="1"/>
  <c r="F1010" i="1"/>
  <c r="H1009" i="1"/>
  <c r="G1009" i="1"/>
  <c r="F1009" i="1"/>
  <c r="H1008" i="1"/>
  <c r="G1008" i="1"/>
  <c r="F1008" i="1"/>
  <c r="H1007" i="1"/>
  <c r="G1007" i="1"/>
  <c r="G1000" i="1" s="1"/>
  <c r="F1007" i="1"/>
  <c r="H1006" i="1"/>
  <c r="G1006" i="1"/>
  <c r="F1006" i="1"/>
  <c r="H1005" i="1"/>
  <c r="G1005" i="1"/>
  <c r="F1005" i="1"/>
  <c r="H1004" i="1"/>
  <c r="G1004" i="1"/>
  <c r="F1004" i="1"/>
  <c r="H1003" i="1"/>
  <c r="G1003" i="1"/>
  <c r="F1003" i="1"/>
  <c r="H1002" i="1"/>
  <c r="H1000" i="1" s="1"/>
  <c r="G1002" i="1"/>
  <c r="F1002" i="1"/>
  <c r="F1000" i="1" s="1"/>
  <c r="G1001" i="1"/>
  <c r="C1000" i="1"/>
  <c r="H998" i="1"/>
  <c r="G998" i="1"/>
  <c r="F998" i="1"/>
  <c r="G997" i="1"/>
  <c r="F997" i="1"/>
  <c r="F996" i="1"/>
  <c r="H995" i="1"/>
  <c r="G995" i="1"/>
  <c r="F995" i="1"/>
  <c r="H994" i="1"/>
  <c r="G994" i="1"/>
  <c r="F994" i="1"/>
  <c r="H993" i="1"/>
  <c r="G993" i="1"/>
  <c r="F993" i="1"/>
  <c r="H992" i="1"/>
  <c r="G992" i="1"/>
  <c r="F992" i="1"/>
  <c r="H991" i="1"/>
  <c r="G991" i="1"/>
  <c r="F991" i="1"/>
  <c r="H990" i="1"/>
  <c r="G990" i="1"/>
  <c r="F990" i="1"/>
  <c r="H989" i="1"/>
  <c r="G989" i="1"/>
  <c r="F989" i="1"/>
  <c r="H988" i="1"/>
  <c r="G988" i="1"/>
  <c r="F988" i="1"/>
  <c r="H987" i="1"/>
  <c r="G987" i="1"/>
  <c r="F987" i="1"/>
  <c r="F985" i="1" s="1"/>
  <c r="G986" i="1"/>
  <c r="G985" i="1" s="1"/>
  <c r="H985" i="1"/>
  <c r="C985" i="1"/>
  <c r="H983" i="1"/>
  <c r="G983" i="1"/>
  <c r="F983" i="1"/>
  <c r="H982" i="1"/>
  <c r="G982" i="1"/>
  <c r="F982" i="1"/>
  <c r="H981" i="1"/>
  <c r="G981" i="1"/>
  <c r="G978" i="1" s="1"/>
  <c r="F981" i="1"/>
  <c r="H980" i="1"/>
  <c r="G980" i="1"/>
  <c r="F980" i="1"/>
  <c r="H979" i="1"/>
  <c r="H978" i="1" s="1"/>
  <c r="G979" i="1"/>
  <c r="F979" i="1"/>
  <c r="F978" i="1"/>
  <c r="C978" i="1"/>
  <c r="H976" i="1"/>
  <c r="G976" i="1"/>
  <c r="F976" i="1"/>
  <c r="H975" i="1"/>
  <c r="G975" i="1"/>
  <c r="G969" i="1" s="1"/>
  <c r="F975" i="1"/>
  <c r="H974" i="1"/>
  <c r="G974" i="1"/>
  <c r="F974" i="1"/>
  <c r="H973" i="1"/>
  <c r="G973" i="1"/>
  <c r="F973" i="1"/>
  <c r="H972" i="1"/>
  <c r="H969" i="1" s="1"/>
  <c r="G972" i="1"/>
  <c r="F972" i="1"/>
  <c r="H971" i="1"/>
  <c r="G971" i="1"/>
  <c r="F971" i="1"/>
  <c r="H970" i="1"/>
  <c r="G970" i="1"/>
  <c r="F970" i="1"/>
  <c r="F969" i="1" s="1"/>
  <c r="C969" i="1"/>
  <c r="H967" i="1"/>
  <c r="H966" i="1" s="1"/>
  <c r="G967" i="1"/>
  <c r="F967" i="1"/>
  <c r="G966" i="1"/>
  <c r="F966" i="1"/>
  <c r="C966" i="1"/>
  <c r="H964" i="1"/>
  <c r="G964" i="1"/>
  <c r="F964" i="1"/>
  <c r="G963" i="1"/>
  <c r="F963" i="1"/>
  <c r="H962" i="1"/>
  <c r="G962" i="1"/>
  <c r="F962" i="1"/>
  <c r="H961" i="1"/>
  <c r="G961" i="1"/>
  <c r="F961" i="1"/>
  <c r="H960" i="1"/>
  <c r="G960" i="1"/>
  <c r="G956" i="1" s="1"/>
  <c r="F960" i="1"/>
  <c r="H959" i="1"/>
  <c r="G959" i="1"/>
  <c r="F959" i="1"/>
  <c r="H958" i="1"/>
  <c r="G958" i="1"/>
  <c r="F958" i="1"/>
  <c r="H957" i="1"/>
  <c r="H956" i="1" s="1"/>
  <c r="G957" i="1"/>
  <c r="F957" i="1"/>
  <c r="F956" i="1"/>
  <c r="C956" i="1"/>
  <c r="H954" i="1"/>
  <c r="G954" i="1"/>
  <c r="F954" i="1"/>
  <c r="G953" i="1"/>
  <c r="F953" i="1"/>
  <c r="H952" i="1"/>
  <c r="G952" i="1"/>
  <c r="F952" i="1"/>
  <c r="H951" i="1"/>
  <c r="G951" i="1"/>
  <c r="F951" i="1"/>
  <c r="H950" i="1"/>
  <c r="G950" i="1"/>
  <c r="F950" i="1"/>
  <c r="H949" i="1"/>
  <c r="H942" i="1" s="1"/>
  <c r="G949" i="1"/>
  <c r="F949" i="1"/>
  <c r="H948" i="1"/>
  <c r="G948" i="1"/>
  <c r="F948" i="1"/>
  <c r="H947" i="1"/>
  <c r="G947" i="1"/>
  <c r="F947" i="1"/>
  <c r="H946" i="1"/>
  <c r="G946" i="1"/>
  <c r="F946" i="1"/>
  <c r="H945" i="1"/>
  <c r="G945" i="1"/>
  <c r="F945" i="1"/>
  <c r="H944" i="1"/>
  <c r="G944" i="1"/>
  <c r="G942" i="1" s="1"/>
  <c r="F944" i="1"/>
  <c r="F942" i="1" s="1"/>
  <c r="G943" i="1"/>
  <c r="C942" i="1"/>
  <c r="H940" i="1"/>
  <c r="G940" i="1"/>
  <c r="F940" i="1"/>
  <c r="H939" i="1"/>
  <c r="G939" i="1"/>
  <c r="F939" i="1"/>
  <c r="H938" i="1"/>
  <c r="G938" i="1"/>
  <c r="F938" i="1"/>
  <c r="H937" i="1"/>
  <c r="G937" i="1"/>
  <c r="F937" i="1"/>
  <c r="G936" i="1"/>
  <c r="H935" i="1"/>
  <c r="G935" i="1"/>
  <c r="F935" i="1"/>
  <c r="H934" i="1"/>
  <c r="G934" i="1"/>
  <c r="F934" i="1"/>
  <c r="H933" i="1"/>
  <c r="G933" i="1"/>
  <c r="F933" i="1"/>
  <c r="F929" i="1" s="1"/>
  <c r="H932" i="1"/>
  <c r="G932" i="1"/>
  <c r="F932" i="1"/>
  <c r="H931" i="1"/>
  <c r="H929" i="1" s="1"/>
  <c r="G931" i="1"/>
  <c r="F931" i="1"/>
  <c r="G930" i="1"/>
  <c r="G929" i="1" s="1"/>
  <c r="C929" i="1"/>
  <c r="H927" i="1"/>
  <c r="G927" i="1"/>
  <c r="F927" i="1"/>
  <c r="H926" i="1"/>
  <c r="G926" i="1"/>
  <c r="F926" i="1"/>
  <c r="H925" i="1"/>
  <c r="G925" i="1"/>
  <c r="F925" i="1"/>
  <c r="F918" i="1" s="1"/>
  <c r="H924" i="1"/>
  <c r="G924" i="1"/>
  <c r="F924" i="1"/>
  <c r="H923" i="1"/>
  <c r="G923" i="1"/>
  <c r="F923" i="1"/>
  <c r="H922" i="1"/>
  <c r="G922" i="1"/>
  <c r="F922" i="1"/>
  <c r="H921" i="1"/>
  <c r="G921" i="1"/>
  <c r="F921" i="1"/>
  <c r="H920" i="1"/>
  <c r="H918" i="1" s="1"/>
  <c r="G920" i="1"/>
  <c r="F920" i="1"/>
  <c r="G919" i="1"/>
  <c r="G918" i="1" s="1"/>
  <c r="C918" i="1"/>
  <c r="H916" i="1"/>
  <c r="G916" i="1"/>
  <c r="F916" i="1"/>
  <c r="G915" i="1"/>
  <c r="F915" i="1"/>
  <c r="H914" i="1"/>
  <c r="G914" i="1"/>
  <c r="F914" i="1"/>
  <c r="H913" i="1"/>
  <c r="G913" i="1"/>
  <c r="F913" i="1"/>
  <c r="H912" i="1"/>
  <c r="G912" i="1"/>
  <c r="F912" i="1"/>
  <c r="H911" i="1"/>
  <c r="G911" i="1"/>
  <c r="F911" i="1"/>
  <c r="H910" i="1"/>
  <c r="G910" i="1"/>
  <c r="F910" i="1"/>
  <c r="H909" i="1"/>
  <c r="G909" i="1"/>
  <c r="F909" i="1"/>
  <c r="H908" i="1"/>
  <c r="H904" i="1" s="1"/>
  <c r="G908" i="1"/>
  <c r="F908" i="1"/>
  <c r="H907" i="1"/>
  <c r="G907" i="1"/>
  <c r="F907" i="1"/>
  <c r="H906" i="1"/>
  <c r="G906" i="1"/>
  <c r="F906" i="1"/>
  <c r="G905" i="1"/>
  <c r="G904" i="1" s="1"/>
  <c r="F904" i="1"/>
  <c r="C904" i="1"/>
  <c r="H902" i="1"/>
  <c r="G902" i="1"/>
  <c r="F902" i="1"/>
  <c r="G901" i="1"/>
  <c r="F901" i="1"/>
  <c r="G900" i="1"/>
  <c r="H899" i="1"/>
  <c r="G899" i="1"/>
  <c r="F899" i="1"/>
  <c r="H898" i="1"/>
  <c r="G898" i="1"/>
  <c r="F898" i="1"/>
  <c r="H897" i="1"/>
  <c r="G897" i="1"/>
  <c r="F897" i="1"/>
  <c r="F889" i="1" s="1"/>
  <c r="H896" i="1"/>
  <c r="G896" i="1"/>
  <c r="F896" i="1"/>
  <c r="H895" i="1"/>
  <c r="G895" i="1"/>
  <c r="F895" i="1"/>
  <c r="H894" i="1"/>
  <c r="G894" i="1"/>
  <c r="G889" i="1" s="1"/>
  <c r="F894" i="1"/>
  <c r="H893" i="1"/>
  <c r="G893" i="1"/>
  <c r="F893" i="1"/>
  <c r="H892" i="1"/>
  <c r="G892" i="1"/>
  <c r="F892" i="1"/>
  <c r="H891" i="1"/>
  <c r="H889" i="1" s="1"/>
  <c r="G891" i="1"/>
  <c r="F891" i="1"/>
  <c r="G890" i="1"/>
  <c r="C889" i="1"/>
  <c r="H887" i="1"/>
  <c r="G887" i="1"/>
  <c r="F887" i="1"/>
  <c r="G886" i="1"/>
  <c r="F886" i="1"/>
  <c r="G885" i="1"/>
  <c r="F884" i="1"/>
  <c r="H883" i="1"/>
  <c r="G883" i="1"/>
  <c r="F883" i="1"/>
  <c r="H882" i="1"/>
  <c r="G882" i="1"/>
  <c r="F882" i="1"/>
  <c r="H881" i="1"/>
  <c r="G881" i="1"/>
  <c r="F881" i="1"/>
  <c r="H880" i="1"/>
  <c r="H873" i="1" s="1"/>
  <c r="G880" i="1"/>
  <c r="F880" i="1"/>
  <c r="H879" i="1"/>
  <c r="G879" i="1"/>
  <c r="F879" i="1"/>
  <c r="H878" i="1"/>
  <c r="G878" i="1"/>
  <c r="F878" i="1"/>
  <c r="F873" i="1" s="1"/>
  <c r="H877" i="1"/>
  <c r="G877" i="1"/>
  <c r="F877" i="1"/>
  <c r="H876" i="1"/>
  <c r="G876" i="1"/>
  <c r="F876" i="1"/>
  <c r="H875" i="1"/>
  <c r="G875" i="1"/>
  <c r="G873" i="1" s="1"/>
  <c r="F875" i="1"/>
  <c r="G874" i="1"/>
  <c r="C873" i="1"/>
  <c r="H871" i="1"/>
  <c r="G871" i="1"/>
  <c r="F871" i="1"/>
  <c r="G870" i="1"/>
  <c r="G869" i="1"/>
  <c r="F869" i="1"/>
  <c r="G868" i="1"/>
  <c r="F867" i="1"/>
  <c r="H866" i="1"/>
  <c r="G866" i="1"/>
  <c r="F866" i="1"/>
  <c r="H865" i="1"/>
  <c r="G865" i="1"/>
  <c r="F865" i="1"/>
  <c r="H864" i="1"/>
  <c r="G864" i="1"/>
  <c r="F864" i="1"/>
  <c r="G863" i="1"/>
  <c r="H862" i="1"/>
  <c r="G862" i="1"/>
  <c r="F862" i="1"/>
  <c r="H861" i="1"/>
  <c r="G861" i="1"/>
  <c r="F861" i="1"/>
  <c r="H860" i="1"/>
  <c r="G860" i="1"/>
  <c r="G855" i="1" s="1"/>
  <c r="F860" i="1"/>
  <c r="H859" i="1"/>
  <c r="G859" i="1"/>
  <c r="F859" i="1"/>
  <c r="H858" i="1"/>
  <c r="G858" i="1"/>
  <c r="F858" i="1"/>
  <c r="H857" i="1"/>
  <c r="H855" i="1" s="1"/>
  <c r="G857" i="1"/>
  <c r="F857" i="1"/>
  <c r="G856" i="1"/>
  <c r="F855" i="1"/>
  <c r="C855" i="1"/>
  <c r="H853" i="1"/>
  <c r="G853" i="1"/>
  <c r="F853" i="1"/>
  <c r="G852" i="1"/>
  <c r="F852" i="1"/>
  <c r="H851" i="1"/>
  <c r="G851" i="1"/>
  <c r="F851" i="1"/>
  <c r="H850" i="1"/>
  <c r="G850" i="1"/>
  <c r="F850" i="1"/>
  <c r="H849" i="1"/>
  <c r="G849" i="1"/>
  <c r="F849" i="1"/>
  <c r="H848" i="1"/>
  <c r="G848" i="1"/>
  <c r="F848" i="1"/>
  <c r="H847" i="1"/>
  <c r="G847" i="1"/>
  <c r="F847" i="1"/>
  <c r="H846" i="1"/>
  <c r="G846" i="1"/>
  <c r="F846" i="1"/>
  <c r="H845" i="1"/>
  <c r="G845" i="1"/>
  <c r="F845" i="1"/>
  <c r="H844" i="1"/>
  <c r="G844" i="1"/>
  <c r="F844" i="1"/>
  <c r="H843" i="1"/>
  <c r="H841" i="1" s="1"/>
  <c r="G843" i="1"/>
  <c r="F843" i="1"/>
  <c r="F841" i="1" s="1"/>
  <c r="G842" i="1"/>
  <c r="G841" i="1" s="1"/>
  <c r="C841" i="1"/>
  <c r="H839" i="1"/>
  <c r="G839" i="1"/>
  <c r="F839" i="1"/>
  <c r="G838" i="1"/>
  <c r="F838" i="1"/>
  <c r="G837" i="1"/>
  <c r="H836" i="1"/>
  <c r="G836" i="1"/>
  <c r="F836" i="1"/>
  <c r="H835" i="1"/>
  <c r="G835" i="1"/>
  <c r="F835" i="1"/>
  <c r="H834" i="1"/>
  <c r="G834" i="1"/>
  <c r="F834" i="1"/>
  <c r="H833" i="1"/>
  <c r="G833" i="1"/>
  <c r="F833" i="1"/>
  <c r="H832" i="1"/>
  <c r="G832" i="1"/>
  <c r="F832" i="1"/>
  <c r="H831" i="1"/>
  <c r="G831" i="1"/>
  <c r="F831" i="1"/>
  <c r="H830" i="1"/>
  <c r="G830" i="1"/>
  <c r="F830" i="1"/>
  <c r="H829" i="1"/>
  <c r="H826" i="1" s="1"/>
  <c r="G829" i="1"/>
  <c r="F829" i="1"/>
  <c r="H828" i="1"/>
  <c r="G828" i="1"/>
  <c r="F828" i="1"/>
  <c r="F826" i="1" s="1"/>
  <c r="G827" i="1"/>
  <c r="G826" i="1"/>
  <c r="C826" i="1"/>
  <c r="H824" i="1"/>
  <c r="G824" i="1"/>
  <c r="F824" i="1"/>
  <c r="G823" i="1"/>
  <c r="F823" i="1"/>
  <c r="H822" i="1"/>
  <c r="G822" i="1"/>
  <c r="F822" i="1"/>
  <c r="H821" i="1"/>
  <c r="G821" i="1"/>
  <c r="F821" i="1"/>
  <c r="H820" i="1"/>
  <c r="G820" i="1"/>
  <c r="F820" i="1"/>
  <c r="G819" i="1"/>
  <c r="H818" i="1"/>
  <c r="G818" i="1"/>
  <c r="F818" i="1"/>
  <c r="H817" i="1"/>
  <c r="G817" i="1"/>
  <c r="F817" i="1"/>
  <c r="H816" i="1"/>
  <c r="G816" i="1"/>
  <c r="F816" i="1"/>
  <c r="H815" i="1"/>
  <c r="G815" i="1"/>
  <c r="F815" i="1"/>
  <c r="H814" i="1"/>
  <c r="H811" i="1" s="1"/>
  <c r="G814" i="1"/>
  <c r="G811" i="1" s="1"/>
  <c r="F814" i="1"/>
  <c r="F811" i="1" s="1"/>
  <c r="H813" i="1"/>
  <c r="G813" i="1"/>
  <c r="F813" i="1"/>
  <c r="G812" i="1"/>
  <c r="C811" i="1"/>
  <c r="H809" i="1"/>
  <c r="G809" i="1"/>
  <c r="F809" i="1"/>
  <c r="G808" i="1"/>
  <c r="F808" i="1"/>
  <c r="F807" i="1"/>
  <c r="H806" i="1"/>
  <c r="G806" i="1"/>
  <c r="F806" i="1"/>
  <c r="H805" i="1"/>
  <c r="G805" i="1"/>
  <c r="F805" i="1"/>
  <c r="H804" i="1"/>
  <c r="G804" i="1"/>
  <c r="F804" i="1"/>
  <c r="H803" i="1"/>
  <c r="G803" i="1"/>
  <c r="F803" i="1"/>
  <c r="H802" i="1"/>
  <c r="G802" i="1"/>
  <c r="F802" i="1"/>
  <c r="H801" i="1"/>
  <c r="G801" i="1"/>
  <c r="F801" i="1"/>
  <c r="H800" i="1"/>
  <c r="G800" i="1"/>
  <c r="F800" i="1"/>
  <c r="H799" i="1"/>
  <c r="G799" i="1"/>
  <c r="F799" i="1"/>
  <c r="H798" i="1"/>
  <c r="H796" i="1" s="1"/>
  <c r="G798" i="1"/>
  <c r="F798" i="1"/>
  <c r="F796" i="1" s="1"/>
  <c r="G797" i="1"/>
  <c r="G796" i="1" s="1"/>
  <c r="C796" i="1"/>
  <c r="H794" i="1"/>
  <c r="G794" i="1"/>
  <c r="G791" i="1" s="1"/>
  <c r="F794" i="1"/>
  <c r="F791" i="1" s="1"/>
  <c r="H793" i="1"/>
  <c r="G793" i="1"/>
  <c r="F793" i="1"/>
  <c r="H792" i="1"/>
  <c r="G792" i="1"/>
  <c r="F792" i="1"/>
  <c r="H791" i="1"/>
  <c r="C791" i="1"/>
  <c r="H789" i="1"/>
  <c r="G789" i="1"/>
  <c r="F789" i="1"/>
  <c r="H788" i="1"/>
  <c r="G788" i="1"/>
  <c r="F788" i="1"/>
  <c r="F786" i="1" s="1"/>
  <c r="H787" i="1"/>
  <c r="H786" i="1" s="1"/>
  <c r="G787" i="1"/>
  <c r="G786" i="1" s="1"/>
  <c r="F787" i="1"/>
  <c r="C786" i="1"/>
  <c r="H784" i="1"/>
  <c r="G784" i="1"/>
  <c r="F784" i="1"/>
  <c r="G783" i="1"/>
  <c r="F783" i="1"/>
  <c r="F782" i="1"/>
  <c r="H781" i="1"/>
  <c r="G781" i="1"/>
  <c r="F781" i="1"/>
  <c r="H780" i="1"/>
  <c r="G780" i="1"/>
  <c r="F780" i="1"/>
  <c r="H779" i="1"/>
  <c r="G779" i="1"/>
  <c r="F779" i="1"/>
  <c r="H778" i="1"/>
  <c r="G778" i="1"/>
  <c r="F778" i="1"/>
  <c r="H777" i="1"/>
  <c r="G777" i="1"/>
  <c r="F777" i="1"/>
  <c r="H776" i="1"/>
  <c r="G776" i="1"/>
  <c r="F776" i="1"/>
  <c r="H775" i="1"/>
  <c r="G775" i="1"/>
  <c r="F775" i="1"/>
  <c r="H774" i="1"/>
  <c r="G774" i="1"/>
  <c r="F774" i="1"/>
  <c r="H773" i="1"/>
  <c r="H771" i="1" s="1"/>
  <c r="G773" i="1"/>
  <c r="F773" i="1"/>
  <c r="F771" i="1" s="1"/>
  <c r="G772" i="1"/>
  <c r="G771" i="1" s="1"/>
  <c r="C771" i="1"/>
  <c r="H769" i="1"/>
  <c r="G769" i="1"/>
  <c r="F769" i="1"/>
  <c r="G768" i="1"/>
  <c r="F768" i="1"/>
  <c r="H767" i="1"/>
  <c r="G767" i="1"/>
  <c r="F767" i="1"/>
  <c r="H766" i="1"/>
  <c r="G766" i="1"/>
  <c r="F766" i="1"/>
  <c r="H765" i="1"/>
  <c r="G765" i="1"/>
  <c r="F765" i="1"/>
  <c r="H764" i="1"/>
  <c r="G764" i="1"/>
  <c r="F764" i="1"/>
  <c r="H763" i="1"/>
  <c r="H760" i="1" s="1"/>
  <c r="G763" i="1"/>
  <c r="F763" i="1"/>
  <c r="H762" i="1"/>
  <c r="G762" i="1"/>
  <c r="F762" i="1"/>
  <c r="G761" i="1"/>
  <c r="G760" i="1"/>
  <c r="F760" i="1"/>
  <c r="C760" i="1"/>
  <c r="H758" i="1"/>
  <c r="G758" i="1"/>
  <c r="F758" i="1"/>
  <c r="H757" i="1"/>
  <c r="G757" i="1"/>
  <c r="F757" i="1"/>
  <c r="F751" i="1" s="1"/>
  <c r="H756" i="1"/>
  <c r="G756" i="1"/>
  <c r="F756" i="1"/>
  <c r="H755" i="1"/>
  <c r="G755" i="1"/>
  <c r="F755" i="1"/>
  <c r="H754" i="1"/>
  <c r="G754" i="1"/>
  <c r="G751" i="1" s="1"/>
  <c r="F754" i="1"/>
  <c r="H753" i="1"/>
  <c r="G753" i="1"/>
  <c r="F753" i="1"/>
  <c r="H752" i="1"/>
  <c r="G752" i="1"/>
  <c r="F752" i="1"/>
  <c r="H751" i="1"/>
  <c r="C751" i="1"/>
  <c r="H749" i="1"/>
  <c r="G749" i="1"/>
  <c r="F749" i="1"/>
  <c r="H748" i="1"/>
  <c r="G748" i="1"/>
  <c r="F748" i="1"/>
  <c r="C748" i="1"/>
  <c r="H746" i="1"/>
  <c r="G746" i="1"/>
  <c r="F746" i="1"/>
  <c r="H745" i="1"/>
  <c r="G745" i="1"/>
  <c r="F745" i="1"/>
  <c r="H744" i="1"/>
  <c r="G744" i="1"/>
  <c r="F744" i="1"/>
  <c r="H743" i="1"/>
  <c r="G743" i="1"/>
  <c r="F743" i="1"/>
  <c r="H742" i="1"/>
  <c r="G742" i="1"/>
  <c r="F742" i="1"/>
  <c r="H741" i="1"/>
  <c r="G741" i="1"/>
  <c r="F741" i="1"/>
  <c r="H740" i="1"/>
  <c r="G740" i="1"/>
  <c r="F740" i="1"/>
  <c r="H739" i="1"/>
  <c r="G739" i="1"/>
  <c r="F739" i="1"/>
  <c r="F736" i="1" s="1"/>
  <c r="H738" i="1"/>
  <c r="H736" i="1" s="1"/>
  <c r="G738" i="1"/>
  <c r="F738" i="1"/>
  <c r="G737" i="1"/>
  <c r="G736" i="1"/>
  <c r="C736" i="1"/>
  <c r="H735" i="1"/>
  <c r="G735" i="1"/>
  <c r="F735" i="1"/>
  <c r="G734" i="1"/>
  <c r="F734" i="1"/>
  <c r="G733" i="1"/>
  <c r="F733" i="1"/>
  <c r="H732" i="1"/>
  <c r="F732" i="1"/>
  <c r="H731" i="1"/>
  <c r="F731" i="1"/>
  <c r="H730" i="1"/>
  <c r="G730" i="1"/>
  <c r="F730" i="1"/>
  <c r="H729" i="1"/>
  <c r="G729" i="1"/>
  <c r="F729" i="1"/>
  <c r="H728" i="1"/>
  <c r="G728" i="1"/>
  <c r="F728" i="1"/>
  <c r="H727" i="1"/>
  <c r="G727" i="1"/>
  <c r="F727" i="1"/>
  <c r="H726" i="1"/>
  <c r="G726" i="1"/>
  <c r="F726" i="1"/>
  <c r="H725" i="1"/>
  <c r="G725" i="1"/>
  <c r="F725" i="1"/>
  <c r="H724" i="1"/>
  <c r="G724" i="1"/>
  <c r="F724" i="1"/>
  <c r="F721" i="1" s="1"/>
  <c r="H723" i="1"/>
  <c r="H721" i="1" s="1"/>
  <c r="G723" i="1"/>
  <c r="F723" i="1"/>
  <c r="G722" i="1"/>
  <c r="G721" i="1"/>
  <c r="C721" i="1"/>
  <c r="H719" i="1"/>
  <c r="G719" i="1"/>
  <c r="F719" i="1"/>
  <c r="H718" i="1"/>
  <c r="G718" i="1"/>
  <c r="F718" i="1"/>
  <c r="H717" i="1"/>
  <c r="G717" i="1"/>
  <c r="G714" i="1" s="1"/>
  <c r="F717" i="1"/>
  <c r="H716" i="1"/>
  <c r="G716" i="1"/>
  <c r="F716" i="1"/>
  <c r="F714" i="1" s="1"/>
  <c r="G715" i="1"/>
  <c r="H714" i="1"/>
  <c r="C714" i="1"/>
  <c r="H712" i="1"/>
  <c r="G712" i="1"/>
  <c r="F712" i="1"/>
  <c r="H711" i="1"/>
  <c r="F711" i="1"/>
  <c r="H710" i="1"/>
  <c r="F710" i="1"/>
  <c r="H709" i="1"/>
  <c r="G709" i="1"/>
  <c r="F709" i="1"/>
  <c r="H708" i="1"/>
  <c r="G708" i="1"/>
  <c r="F708" i="1"/>
  <c r="H707" i="1"/>
  <c r="G707" i="1"/>
  <c r="F707" i="1"/>
  <c r="H706" i="1"/>
  <c r="G706" i="1"/>
  <c r="F706" i="1"/>
  <c r="H705" i="1"/>
  <c r="G705" i="1"/>
  <c r="F705" i="1"/>
  <c r="H704" i="1"/>
  <c r="H703" i="1" s="1"/>
  <c r="G704" i="1"/>
  <c r="G703" i="1" s="1"/>
  <c r="F704" i="1"/>
  <c r="F703" i="1" s="1"/>
  <c r="C703" i="1"/>
  <c r="H701" i="1"/>
  <c r="G701" i="1"/>
  <c r="F701" i="1"/>
  <c r="G700" i="1"/>
  <c r="F700" i="1"/>
  <c r="G699" i="1"/>
  <c r="F699" i="1"/>
  <c r="H698" i="1"/>
  <c r="F698" i="1"/>
  <c r="H697" i="1"/>
  <c r="G697" i="1"/>
  <c r="F697" i="1"/>
  <c r="H696" i="1"/>
  <c r="G696" i="1"/>
  <c r="F696" i="1"/>
  <c r="H695" i="1"/>
  <c r="H688" i="1" s="1"/>
  <c r="G695" i="1"/>
  <c r="F695" i="1"/>
  <c r="H694" i="1"/>
  <c r="G694" i="1"/>
  <c r="F694" i="1"/>
  <c r="H693" i="1"/>
  <c r="G693" i="1"/>
  <c r="F693" i="1"/>
  <c r="H692" i="1"/>
  <c r="G692" i="1"/>
  <c r="F692" i="1"/>
  <c r="H691" i="1"/>
  <c r="G691" i="1"/>
  <c r="F691" i="1"/>
  <c r="F688" i="1" s="1"/>
  <c r="H690" i="1"/>
  <c r="G690" i="1"/>
  <c r="G688" i="1" s="1"/>
  <c r="F690" i="1"/>
  <c r="G689" i="1"/>
  <c r="C688" i="1"/>
  <c r="H686" i="1"/>
  <c r="F686" i="1"/>
  <c r="H685" i="1"/>
  <c r="G685" i="1"/>
  <c r="F685" i="1"/>
  <c r="F684" i="1" s="1"/>
  <c r="H684" i="1"/>
  <c r="G684" i="1"/>
  <c r="C684" i="1"/>
  <c r="H682" i="1"/>
  <c r="G682" i="1"/>
  <c r="F682" i="1"/>
  <c r="H681" i="1"/>
  <c r="F681" i="1"/>
  <c r="H680" i="1"/>
  <c r="G680" i="1"/>
  <c r="F680" i="1"/>
  <c r="H679" i="1"/>
  <c r="H672" i="1" s="1"/>
  <c r="G679" i="1"/>
  <c r="F679" i="1"/>
  <c r="H678" i="1"/>
  <c r="G678" i="1"/>
  <c r="F678" i="1"/>
  <c r="H677" i="1"/>
  <c r="G677" i="1"/>
  <c r="F677" i="1"/>
  <c r="H676" i="1"/>
  <c r="G676" i="1"/>
  <c r="F676" i="1"/>
  <c r="H675" i="1"/>
  <c r="G675" i="1"/>
  <c r="F675" i="1"/>
  <c r="F672" i="1" s="1"/>
  <c r="H674" i="1"/>
  <c r="G674" i="1"/>
  <c r="G672" i="1" s="1"/>
  <c r="F674" i="1"/>
  <c r="G673" i="1"/>
  <c r="C672" i="1"/>
  <c r="H670" i="1"/>
  <c r="G670" i="1"/>
  <c r="F670" i="1"/>
  <c r="G669" i="1"/>
  <c r="F669" i="1"/>
  <c r="H668" i="1"/>
  <c r="F668" i="1"/>
  <c r="H667" i="1"/>
  <c r="G667" i="1"/>
  <c r="F667" i="1"/>
  <c r="H666" i="1"/>
  <c r="G666" i="1"/>
  <c r="F666" i="1"/>
  <c r="H665" i="1"/>
  <c r="G665" i="1"/>
  <c r="F665" i="1"/>
  <c r="H664" i="1"/>
  <c r="G664" i="1"/>
  <c r="F664" i="1"/>
  <c r="H663" i="1"/>
  <c r="H662" i="1" s="1"/>
  <c r="G663" i="1"/>
  <c r="G662" i="1" s="1"/>
  <c r="F663" i="1"/>
  <c r="F662" i="1" s="1"/>
  <c r="C662" i="1"/>
  <c r="H660" i="1"/>
  <c r="G660" i="1"/>
  <c r="F660" i="1"/>
  <c r="G659" i="1"/>
  <c r="F659" i="1"/>
  <c r="H658" i="1"/>
  <c r="F658" i="1"/>
  <c r="H657" i="1"/>
  <c r="G657" i="1"/>
  <c r="F657" i="1"/>
  <c r="H656" i="1"/>
  <c r="G656" i="1"/>
  <c r="F656" i="1"/>
  <c r="G655" i="1"/>
  <c r="H654" i="1"/>
  <c r="G654" i="1"/>
  <c r="F654" i="1"/>
  <c r="H653" i="1"/>
  <c r="G653" i="1"/>
  <c r="F653" i="1"/>
  <c r="H652" i="1"/>
  <c r="G652" i="1"/>
  <c r="F652" i="1"/>
  <c r="H651" i="1"/>
  <c r="G651" i="1"/>
  <c r="F651" i="1"/>
  <c r="H650" i="1"/>
  <c r="G650" i="1"/>
  <c r="F650" i="1"/>
  <c r="H649" i="1"/>
  <c r="H647" i="1" s="1"/>
  <c r="G649" i="1"/>
  <c r="F649" i="1"/>
  <c r="F647" i="1" s="1"/>
  <c r="G648" i="1"/>
  <c r="G647" i="1" s="1"/>
  <c r="C647" i="1"/>
  <c r="H645" i="1"/>
  <c r="G645" i="1"/>
  <c r="F645" i="1"/>
  <c r="G644" i="1"/>
  <c r="F644" i="1"/>
  <c r="H643" i="1"/>
  <c r="F643" i="1"/>
  <c r="H642" i="1"/>
  <c r="G642" i="1"/>
  <c r="F642" i="1"/>
  <c r="H641" i="1"/>
  <c r="G641" i="1"/>
  <c r="F641" i="1"/>
  <c r="H640" i="1"/>
  <c r="G640" i="1"/>
  <c r="F640" i="1"/>
  <c r="H639" i="1"/>
  <c r="G639" i="1"/>
  <c r="F639" i="1"/>
  <c r="H638" i="1"/>
  <c r="G638" i="1"/>
  <c r="F638" i="1"/>
  <c r="H637" i="1"/>
  <c r="H634" i="1" s="1"/>
  <c r="G637" i="1"/>
  <c r="F637" i="1"/>
  <c r="H636" i="1"/>
  <c r="G636" i="1"/>
  <c r="F636" i="1"/>
  <c r="H635" i="1"/>
  <c r="G635" i="1"/>
  <c r="G634" i="1" s="1"/>
  <c r="F635" i="1"/>
  <c r="F634" i="1" s="1"/>
  <c r="C634" i="1"/>
  <c r="H632" i="1"/>
  <c r="G632" i="1"/>
  <c r="F632" i="1"/>
  <c r="H631" i="1"/>
  <c r="G631" i="1"/>
  <c r="F631" i="1"/>
  <c r="H630" i="1"/>
  <c r="G630" i="1"/>
  <c r="G627" i="1" s="1"/>
  <c r="F630" i="1"/>
  <c r="H629" i="1"/>
  <c r="G629" i="1"/>
  <c r="F629" i="1"/>
  <c r="H628" i="1"/>
  <c r="G628" i="1"/>
  <c r="F628" i="1"/>
  <c r="F627" i="1" s="1"/>
  <c r="H627" i="1"/>
  <c r="C627" i="1"/>
  <c r="H625" i="1"/>
  <c r="H624" i="1" s="1"/>
  <c r="G625" i="1"/>
  <c r="F625" i="1"/>
  <c r="G624" i="1"/>
  <c r="F624" i="1"/>
  <c r="C624" i="1"/>
  <c r="H622" i="1"/>
  <c r="G622" i="1"/>
  <c r="F622" i="1"/>
  <c r="G621" i="1"/>
  <c r="F621" i="1"/>
  <c r="H620" i="1"/>
  <c r="F620" i="1"/>
  <c r="H619" i="1"/>
  <c r="F619" i="1"/>
  <c r="H618" i="1"/>
  <c r="G618" i="1"/>
  <c r="F618" i="1"/>
  <c r="H617" i="1"/>
  <c r="G617" i="1"/>
  <c r="F617" i="1"/>
  <c r="H616" i="1"/>
  <c r="G616" i="1"/>
  <c r="F616" i="1"/>
  <c r="H615" i="1"/>
  <c r="G615" i="1"/>
  <c r="F615" i="1"/>
  <c r="H614" i="1"/>
  <c r="G614" i="1"/>
  <c r="F614" i="1"/>
  <c r="H613" i="1"/>
  <c r="G613" i="1"/>
  <c r="F613" i="1"/>
  <c r="H612" i="1"/>
  <c r="G612" i="1"/>
  <c r="F612" i="1"/>
  <c r="F609" i="1" s="1"/>
  <c r="H611" i="1"/>
  <c r="H609" i="1" s="1"/>
  <c r="G611" i="1"/>
  <c r="F611" i="1"/>
  <c r="G610" i="1"/>
  <c r="G609" i="1" s="1"/>
  <c r="C609" i="1"/>
  <c r="H607" i="1"/>
  <c r="G607" i="1"/>
  <c r="F607" i="1"/>
  <c r="H606" i="1"/>
  <c r="F606" i="1"/>
  <c r="H605" i="1"/>
  <c r="F605" i="1"/>
  <c r="H604" i="1"/>
  <c r="H595" i="1" s="1"/>
  <c r="G604" i="1"/>
  <c r="F604" i="1"/>
  <c r="H603" i="1"/>
  <c r="G603" i="1"/>
  <c r="F603" i="1"/>
  <c r="H602" i="1"/>
  <c r="G602" i="1"/>
  <c r="F602" i="1"/>
  <c r="H601" i="1"/>
  <c r="G601" i="1"/>
  <c r="F601" i="1"/>
  <c r="H600" i="1"/>
  <c r="G600" i="1"/>
  <c r="F600" i="1"/>
  <c r="H599" i="1"/>
  <c r="G599" i="1"/>
  <c r="F599" i="1"/>
  <c r="H598" i="1"/>
  <c r="G598" i="1"/>
  <c r="F598" i="1"/>
  <c r="F595" i="1" s="1"/>
  <c r="H597" i="1"/>
  <c r="G597" i="1"/>
  <c r="F597" i="1"/>
  <c r="G596" i="1"/>
  <c r="G595" i="1" s="1"/>
  <c r="C595" i="1"/>
  <c r="H593" i="1"/>
  <c r="G593" i="1"/>
  <c r="F593" i="1"/>
  <c r="G592" i="1"/>
  <c r="F592" i="1"/>
  <c r="H591" i="1"/>
  <c r="F591" i="1"/>
  <c r="H590" i="1"/>
  <c r="F590" i="1"/>
  <c r="H589" i="1"/>
  <c r="G589" i="1"/>
  <c r="F589" i="1"/>
  <c r="F580" i="1" s="1"/>
  <c r="H588" i="1"/>
  <c r="G588" i="1"/>
  <c r="F588" i="1"/>
  <c r="H587" i="1"/>
  <c r="G587" i="1"/>
  <c r="F587" i="1"/>
  <c r="H586" i="1"/>
  <c r="G586" i="1"/>
  <c r="F586" i="1"/>
  <c r="H585" i="1"/>
  <c r="G585" i="1"/>
  <c r="F585" i="1"/>
  <c r="H584" i="1"/>
  <c r="G584" i="1"/>
  <c r="F584" i="1"/>
  <c r="H583" i="1"/>
  <c r="G583" i="1"/>
  <c r="F583" i="1"/>
  <c r="H582" i="1"/>
  <c r="H580" i="1" s="1"/>
  <c r="G582" i="1"/>
  <c r="F582" i="1"/>
  <c r="G581" i="1"/>
  <c r="G580" i="1"/>
  <c r="C580" i="1"/>
  <c r="H578" i="1"/>
  <c r="G578" i="1"/>
  <c r="F578" i="1"/>
  <c r="H577" i="1"/>
  <c r="F577" i="1"/>
  <c r="H576" i="1"/>
  <c r="F576" i="1"/>
  <c r="H575" i="1"/>
  <c r="G575" i="1"/>
  <c r="F575" i="1"/>
  <c r="H574" i="1"/>
  <c r="G574" i="1"/>
  <c r="F574" i="1"/>
  <c r="H573" i="1"/>
  <c r="H569" i="1" s="1"/>
  <c r="G573" i="1"/>
  <c r="F573" i="1"/>
  <c r="H572" i="1"/>
  <c r="G572" i="1"/>
  <c r="F572" i="1"/>
  <c r="H571" i="1"/>
  <c r="G571" i="1"/>
  <c r="F571" i="1"/>
  <c r="F569" i="1" s="1"/>
  <c r="G570" i="1"/>
  <c r="G569" i="1" s="1"/>
  <c r="C569" i="1"/>
  <c r="H567" i="1"/>
  <c r="G567" i="1"/>
  <c r="F567" i="1"/>
  <c r="G566" i="1"/>
  <c r="F566" i="1"/>
  <c r="H565" i="1"/>
  <c r="F565" i="1"/>
  <c r="H564" i="1"/>
  <c r="F564" i="1"/>
  <c r="H563" i="1"/>
  <c r="G563" i="1"/>
  <c r="G554" i="1" s="1"/>
  <c r="F563" i="1"/>
  <c r="H562" i="1"/>
  <c r="G562" i="1"/>
  <c r="F562" i="1"/>
  <c r="H561" i="1"/>
  <c r="G561" i="1"/>
  <c r="F561" i="1"/>
  <c r="H560" i="1"/>
  <c r="G560" i="1"/>
  <c r="F560" i="1"/>
  <c r="H559" i="1"/>
  <c r="G559" i="1"/>
  <c r="F559" i="1"/>
  <c r="H558" i="1"/>
  <c r="G558" i="1"/>
  <c r="F558" i="1"/>
  <c r="F554" i="1" s="1"/>
  <c r="H557" i="1"/>
  <c r="G557" i="1"/>
  <c r="F557" i="1"/>
  <c r="H556" i="1"/>
  <c r="G556" i="1"/>
  <c r="F556" i="1"/>
  <c r="G555" i="1"/>
  <c r="H554" i="1"/>
  <c r="C554" i="1"/>
  <c r="H552" i="1"/>
  <c r="G552" i="1"/>
  <c r="F552" i="1"/>
  <c r="H551" i="1"/>
  <c r="G551" i="1"/>
  <c r="G550" i="1" s="1"/>
  <c r="F551" i="1"/>
  <c r="F550" i="1" s="1"/>
  <c r="H550" i="1"/>
  <c r="C550" i="1"/>
  <c r="H548" i="1"/>
  <c r="G548" i="1"/>
  <c r="F548" i="1"/>
  <c r="G547" i="1"/>
  <c r="F547" i="1"/>
  <c r="H546" i="1"/>
  <c r="F546" i="1"/>
  <c r="H545" i="1"/>
  <c r="F545" i="1"/>
  <c r="H544" i="1"/>
  <c r="G544" i="1"/>
  <c r="F544" i="1"/>
  <c r="H543" i="1"/>
  <c r="G543" i="1"/>
  <c r="F543" i="1"/>
  <c r="H542" i="1"/>
  <c r="G542" i="1"/>
  <c r="F542" i="1"/>
  <c r="H541" i="1"/>
  <c r="G541" i="1"/>
  <c r="F541" i="1"/>
  <c r="H540" i="1"/>
  <c r="G540" i="1"/>
  <c r="F540" i="1"/>
  <c r="H539" i="1"/>
  <c r="G539" i="1"/>
  <c r="F539" i="1"/>
  <c r="H538" i="1"/>
  <c r="H536" i="1" s="1"/>
  <c r="G538" i="1"/>
  <c r="F538" i="1"/>
  <c r="F536" i="1" s="1"/>
  <c r="G537" i="1"/>
  <c r="G536" i="1" s="1"/>
  <c r="C536" i="1"/>
  <c r="H534" i="1"/>
  <c r="G534" i="1"/>
  <c r="F534" i="1"/>
  <c r="H533" i="1"/>
  <c r="F533" i="1"/>
  <c r="H532" i="1"/>
  <c r="G532" i="1"/>
  <c r="F532" i="1"/>
  <c r="H531" i="1"/>
  <c r="G531" i="1"/>
  <c r="F531" i="1"/>
  <c r="H530" i="1"/>
  <c r="G530" i="1"/>
  <c r="F530" i="1"/>
  <c r="H529" i="1"/>
  <c r="G529" i="1"/>
  <c r="F529" i="1"/>
  <c r="H528" i="1"/>
  <c r="G528" i="1"/>
  <c r="F528" i="1"/>
  <c r="H527" i="1"/>
  <c r="G527" i="1"/>
  <c r="F527" i="1"/>
  <c r="H526" i="1"/>
  <c r="H524" i="1" s="1"/>
  <c r="G526" i="1"/>
  <c r="G524" i="1" s="1"/>
  <c r="F526" i="1"/>
  <c r="F524" i="1" s="1"/>
  <c r="G525" i="1"/>
  <c r="C524" i="1"/>
  <c r="H522" i="1"/>
  <c r="G522" i="1"/>
  <c r="F522" i="1"/>
  <c r="H521" i="1"/>
  <c r="F521" i="1"/>
  <c r="H520" i="1"/>
  <c r="G520" i="1"/>
  <c r="F520" i="1"/>
  <c r="H519" i="1"/>
  <c r="G519" i="1"/>
  <c r="F519" i="1"/>
  <c r="H518" i="1"/>
  <c r="G518" i="1"/>
  <c r="F518" i="1"/>
  <c r="H517" i="1"/>
  <c r="G517" i="1"/>
  <c r="F517" i="1"/>
  <c r="H516" i="1"/>
  <c r="G516" i="1"/>
  <c r="F516" i="1"/>
  <c r="H515" i="1"/>
  <c r="G515" i="1"/>
  <c r="F515" i="1"/>
  <c r="H514" i="1"/>
  <c r="H511" i="1" s="1"/>
  <c r="G514" i="1"/>
  <c r="G511" i="1" s="1"/>
  <c r="F514" i="1"/>
  <c r="H513" i="1"/>
  <c r="G513" i="1"/>
  <c r="F513" i="1"/>
  <c r="G512" i="1"/>
  <c r="F511" i="1"/>
  <c r="C511" i="1"/>
  <c r="H509" i="1"/>
  <c r="G509" i="1"/>
  <c r="F509" i="1"/>
  <c r="G507" i="1"/>
  <c r="F507" i="1"/>
  <c r="G506" i="1"/>
  <c r="F506" i="1"/>
  <c r="H505" i="1"/>
  <c r="F505" i="1"/>
  <c r="H504" i="1"/>
  <c r="F504" i="1"/>
  <c r="H503" i="1"/>
  <c r="G503" i="1"/>
  <c r="F503" i="1"/>
  <c r="H502" i="1"/>
  <c r="G502" i="1"/>
  <c r="F502" i="1"/>
  <c r="G501" i="1"/>
  <c r="H500" i="1"/>
  <c r="G500" i="1"/>
  <c r="F500" i="1"/>
  <c r="H499" i="1"/>
  <c r="G499" i="1"/>
  <c r="F499" i="1"/>
  <c r="H498" i="1"/>
  <c r="G498" i="1"/>
  <c r="F498" i="1"/>
  <c r="H497" i="1"/>
  <c r="G497" i="1"/>
  <c r="F497" i="1"/>
  <c r="H496" i="1"/>
  <c r="G496" i="1"/>
  <c r="G494" i="1" s="1"/>
  <c r="F496" i="1"/>
  <c r="H495" i="1"/>
  <c r="H494" i="1" s="1"/>
  <c r="G495" i="1"/>
  <c r="F495" i="1"/>
  <c r="F494" i="1"/>
  <c r="C494" i="1"/>
  <c r="H492" i="1"/>
  <c r="G492" i="1"/>
  <c r="F492" i="1"/>
  <c r="G491" i="1"/>
  <c r="F491" i="1"/>
  <c r="H490" i="1"/>
  <c r="F490" i="1"/>
  <c r="H489" i="1"/>
  <c r="F489" i="1"/>
  <c r="H488" i="1"/>
  <c r="G488" i="1"/>
  <c r="F488" i="1"/>
  <c r="H487" i="1"/>
  <c r="G487" i="1"/>
  <c r="F487" i="1"/>
  <c r="F484" i="1" s="1"/>
  <c r="H486" i="1"/>
  <c r="H484" i="1" s="1"/>
  <c r="G486" i="1"/>
  <c r="F486" i="1"/>
  <c r="H485" i="1"/>
  <c r="G485" i="1"/>
  <c r="F485" i="1"/>
  <c r="G484" i="1"/>
  <c r="C484" i="1"/>
  <c r="H482" i="1"/>
  <c r="G482" i="1"/>
  <c r="F482" i="1"/>
  <c r="G481" i="1"/>
  <c r="F481" i="1"/>
  <c r="H480" i="1"/>
  <c r="F480" i="1"/>
  <c r="H479" i="1"/>
  <c r="F479" i="1"/>
  <c r="H478" i="1"/>
  <c r="G478" i="1"/>
  <c r="F478" i="1"/>
  <c r="H477" i="1"/>
  <c r="G477" i="1"/>
  <c r="F477" i="1"/>
  <c r="H476" i="1"/>
  <c r="G476" i="1"/>
  <c r="F476" i="1"/>
  <c r="H475" i="1"/>
  <c r="G475" i="1"/>
  <c r="F475" i="1"/>
  <c r="H474" i="1"/>
  <c r="G474" i="1"/>
  <c r="F474" i="1"/>
  <c r="H473" i="1"/>
  <c r="G473" i="1"/>
  <c r="F473" i="1"/>
  <c r="H472" i="1"/>
  <c r="G472" i="1"/>
  <c r="F472" i="1"/>
  <c r="F469" i="1" s="1"/>
  <c r="H471" i="1"/>
  <c r="H469" i="1" s="1"/>
  <c r="G471" i="1"/>
  <c r="F471" i="1"/>
  <c r="G470" i="1"/>
  <c r="G469" i="1" s="1"/>
  <c r="C469" i="1"/>
  <c r="H467" i="1"/>
  <c r="G467" i="1"/>
  <c r="F467" i="1"/>
  <c r="H466" i="1"/>
  <c r="G466" i="1"/>
  <c r="F466" i="1"/>
  <c r="H465" i="1"/>
  <c r="G465" i="1"/>
  <c r="F465" i="1"/>
  <c r="H464" i="1"/>
  <c r="G464" i="1"/>
  <c r="F464" i="1"/>
  <c r="H463" i="1"/>
  <c r="G463" i="1"/>
  <c r="F463" i="1"/>
  <c r="H462" i="1"/>
  <c r="G462" i="1"/>
  <c r="F462" i="1"/>
  <c r="H461" i="1"/>
  <c r="G461" i="1"/>
  <c r="F461" i="1"/>
  <c r="H460" i="1"/>
  <c r="G460" i="1"/>
  <c r="F460" i="1"/>
  <c r="F457" i="1" s="1"/>
  <c r="H459" i="1"/>
  <c r="H457" i="1" s="1"/>
  <c r="G459" i="1"/>
  <c r="G457" i="1" s="1"/>
  <c r="F459" i="1"/>
  <c r="G458" i="1"/>
  <c r="C457" i="1"/>
  <c r="H455" i="1"/>
  <c r="G455" i="1"/>
  <c r="F455" i="1"/>
  <c r="G454" i="1"/>
  <c r="F454" i="1"/>
  <c r="H453" i="1"/>
  <c r="F453" i="1"/>
  <c r="H452" i="1"/>
  <c r="G452" i="1"/>
  <c r="F452" i="1"/>
  <c r="H451" i="1"/>
  <c r="G451" i="1"/>
  <c r="F451" i="1"/>
  <c r="H450" i="1"/>
  <c r="G450" i="1"/>
  <c r="F450" i="1"/>
  <c r="H449" i="1"/>
  <c r="H448" i="1" s="1"/>
  <c r="G449" i="1"/>
  <c r="G448" i="1" s="1"/>
  <c r="F449" i="1"/>
  <c r="F448" i="1" s="1"/>
  <c r="C448" i="1"/>
  <c r="H446" i="1"/>
  <c r="G446" i="1"/>
  <c r="F446" i="1"/>
  <c r="H445" i="1"/>
  <c r="F445" i="1"/>
  <c r="H444" i="1"/>
  <c r="G444" i="1"/>
  <c r="F444" i="1"/>
  <c r="H443" i="1"/>
  <c r="G443" i="1"/>
  <c r="G441" i="1" s="1"/>
  <c r="F443" i="1"/>
  <c r="H442" i="1"/>
  <c r="H441" i="1" s="1"/>
  <c r="G442" i="1"/>
  <c r="F442" i="1"/>
  <c r="F441" i="1"/>
  <c r="C441" i="1"/>
  <c r="H439" i="1"/>
  <c r="G439" i="1"/>
  <c r="G438" i="1" s="1"/>
  <c r="F439" i="1"/>
  <c r="H438" i="1"/>
  <c r="F438" i="1"/>
  <c r="C438" i="1"/>
  <c r="H436" i="1"/>
  <c r="H432" i="1" s="1"/>
  <c r="G436" i="1"/>
  <c r="F436" i="1"/>
  <c r="H435" i="1"/>
  <c r="G435" i="1"/>
  <c r="F435" i="1"/>
  <c r="H434" i="1"/>
  <c r="G434" i="1"/>
  <c r="F434" i="1"/>
  <c r="F432" i="1" s="1"/>
  <c r="H433" i="1"/>
  <c r="G433" i="1"/>
  <c r="G432" i="1" s="1"/>
  <c r="F433" i="1"/>
  <c r="C432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H425" i="1"/>
  <c r="H423" i="1" s="1"/>
  <c r="G425" i="1"/>
  <c r="F425" i="1"/>
  <c r="F423" i="1" s="1"/>
  <c r="G424" i="1"/>
  <c r="G423" i="1" s="1"/>
  <c r="C423" i="1"/>
  <c r="H421" i="1"/>
  <c r="G421" i="1"/>
  <c r="F421" i="1"/>
  <c r="G419" i="1"/>
  <c r="F419" i="1"/>
  <c r="G418" i="1"/>
  <c r="F418" i="1"/>
  <c r="H417" i="1"/>
  <c r="F417" i="1"/>
  <c r="H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F406" i="1" s="1"/>
  <c r="H410" i="1"/>
  <c r="G410" i="1"/>
  <c r="F410" i="1"/>
  <c r="H409" i="1"/>
  <c r="G409" i="1"/>
  <c r="F409" i="1"/>
  <c r="H408" i="1"/>
  <c r="H406" i="1" s="1"/>
  <c r="G408" i="1"/>
  <c r="F408" i="1"/>
  <c r="G407" i="1"/>
  <c r="G406" i="1" s="1"/>
  <c r="C406" i="1"/>
  <c r="H404" i="1"/>
  <c r="G404" i="1"/>
  <c r="F404" i="1"/>
  <c r="G403" i="1"/>
  <c r="F403" i="1"/>
  <c r="H402" i="1"/>
  <c r="F402" i="1"/>
  <c r="H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H391" i="1" s="1"/>
  <c r="G393" i="1"/>
  <c r="F393" i="1"/>
  <c r="F391" i="1" s="1"/>
  <c r="G392" i="1"/>
  <c r="G391" i="1" s="1"/>
  <c r="C391" i="1"/>
  <c r="H389" i="1"/>
  <c r="G389" i="1"/>
  <c r="F389" i="1"/>
  <c r="H388" i="1"/>
  <c r="F388" i="1"/>
  <c r="H387" i="1"/>
  <c r="G387" i="1"/>
  <c r="F387" i="1"/>
  <c r="H386" i="1"/>
  <c r="G386" i="1"/>
  <c r="F386" i="1"/>
  <c r="H385" i="1"/>
  <c r="H381" i="1" s="1"/>
  <c r="G385" i="1"/>
  <c r="F385" i="1"/>
  <c r="H384" i="1"/>
  <c r="G384" i="1"/>
  <c r="F384" i="1"/>
  <c r="H383" i="1"/>
  <c r="G383" i="1"/>
  <c r="G381" i="1" s="1"/>
  <c r="F383" i="1"/>
  <c r="F381" i="1" s="1"/>
  <c r="H382" i="1"/>
  <c r="G382" i="1"/>
  <c r="F382" i="1"/>
  <c r="C381" i="1"/>
  <c r="H379" i="1"/>
  <c r="H378" i="1" s="1"/>
  <c r="G379" i="1"/>
  <c r="F379" i="1"/>
  <c r="G378" i="1"/>
  <c r="F378" i="1"/>
  <c r="C378" i="1"/>
  <c r="H376" i="1"/>
  <c r="H373" i="1" s="1"/>
  <c r="G376" i="1"/>
  <c r="F376" i="1"/>
  <c r="H375" i="1"/>
  <c r="G375" i="1"/>
  <c r="F375" i="1"/>
  <c r="H374" i="1"/>
  <c r="G374" i="1"/>
  <c r="G373" i="1" s="1"/>
  <c r="F374" i="1"/>
  <c r="F373" i="1" s="1"/>
  <c r="C373" i="1"/>
  <c r="H371" i="1"/>
  <c r="G371" i="1"/>
  <c r="F371" i="1"/>
  <c r="H370" i="1"/>
  <c r="F370" i="1"/>
  <c r="H369" i="1"/>
  <c r="G369" i="1"/>
  <c r="F369" i="1"/>
  <c r="H368" i="1"/>
  <c r="G368" i="1"/>
  <c r="F368" i="1"/>
  <c r="H367" i="1"/>
  <c r="H363" i="1" s="1"/>
  <c r="G367" i="1"/>
  <c r="F367" i="1"/>
  <c r="H366" i="1"/>
  <c r="G366" i="1"/>
  <c r="F366" i="1"/>
  <c r="H365" i="1"/>
  <c r="G365" i="1"/>
  <c r="F365" i="1"/>
  <c r="F363" i="1" s="1"/>
  <c r="G364" i="1"/>
  <c r="G363" i="1" s="1"/>
  <c r="C363" i="1"/>
  <c r="H361" i="1"/>
  <c r="G361" i="1"/>
  <c r="F361" i="1"/>
  <c r="G360" i="1"/>
  <c r="F360" i="1"/>
  <c r="H359" i="1"/>
  <c r="F359" i="1"/>
  <c r="H358" i="1"/>
  <c r="G358" i="1"/>
  <c r="F358" i="1"/>
  <c r="H357" i="1"/>
  <c r="H354" i="1" s="1"/>
  <c r="G357" i="1"/>
  <c r="F357" i="1"/>
  <c r="H356" i="1"/>
  <c r="G356" i="1"/>
  <c r="F356" i="1"/>
  <c r="H355" i="1"/>
  <c r="G355" i="1"/>
  <c r="G354" i="1" s="1"/>
  <c r="F355" i="1"/>
  <c r="F354" i="1" s="1"/>
  <c r="C354" i="1"/>
  <c r="H352" i="1"/>
  <c r="G352" i="1"/>
  <c r="F352" i="1"/>
  <c r="G351" i="1"/>
  <c r="F351" i="1"/>
  <c r="H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F340" i="1" s="1"/>
  <c r="H342" i="1"/>
  <c r="H340" i="1" s="1"/>
  <c r="G342" i="1"/>
  <c r="F342" i="1"/>
  <c r="G341" i="1"/>
  <c r="G340" i="1" s="1"/>
  <c r="C340" i="1"/>
  <c r="H338" i="1"/>
  <c r="G338" i="1"/>
  <c r="F338" i="1"/>
  <c r="H337" i="1"/>
  <c r="H336" i="1" s="1"/>
  <c r="G337" i="1"/>
  <c r="F337" i="1"/>
  <c r="G336" i="1"/>
  <c r="F336" i="1"/>
  <c r="C336" i="1"/>
  <c r="H334" i="1"/>
  <c r="G334" i="1"/>
  <c r="F334" i="1"/>
  <c r="H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H324" i="1" s="1"/>
  <c r="G328" i="1"/>
  <c r="F328" i="1"/>
  <c r="H327" i="1"/>
  <c r="G327" i="1"/>
  <c r="F327" i="1"/>
  <c r="H326" i="1"/>
  <c r="G326" i="1"/>
  <c r="F326" i="1"/>
  <c r="G325" i="1"/>
  <c r="G324" i="1" s="1"/>
  <c r="F324" i="1"/>
  <c r="C324" i="1"/>
  <c r="H322" i="1"/>
  <c r="G322" i="1"/>
  <c r="F322" i="1"/>
  <c r="F320" i="1" s="1"/>
  <c r="H321" i="1"/>
  <c r="G321" i="1"/>
  <c r="F321" i="1"/>
  <c r="H320" i="1"/>
  <c r="G320" i="1"/>
  <c r="C320" i="1"/>
  <c r="H318" i="1"/>
  <c r="G318" i="1"/>
  <c r="F318" i="1"/>
  <c r="G317" i="1"/>
  <c r="F317" i="1"/>
  <c r="G316" i="1"/>
  <c r="F316" i="1"/>
  <c r="H315" i="1"/>
  <c r="F315" i="1"/>
  <c r="H314" i="1"/>
  <c r="F314" i="1"/>
  <c r="H313" i="1"/>
  <c r="G313" i="1"/>
  <c r="F313" i="1"/>
  <c r="G312" i="1"/>
  <c r="H311" i="1"/>
  <c r="G311" i="1"/>
  <c r="F311" i="1"/>
  <c r="H310" i="1"/>
  <c r="G310" i="1"/>
  <c r="F310" i="1"/>
  <c r="H309" i="1"/>
  <c r="G309" i="1"/>
  <c r="F309" i="1"/>
  <c r="H308" i="1"/>
  <c r="H304" i="1" s="1"/>
  <c r="G308" i="1"/>
  <c r="F308" i="1"/>
  <c r="H307" i="1"/>
  <c r="G307" i="1"/>
  <c r="F307" i="1"/>
  <c r="H306" i="1"/>
  <c r="G306" i="1"/>
  <c r="F306" i="1"/>
  <c r="G305" i="1"/>
  <c r="G304" i="1" s="1"/>
  <c r="F304" i="1"/>
  <c r="C304" i="1"/>
  <c r="H302" i="1"/>
  <c r="H301" i="1" s="1"/>
  <c r="G302" i="1"/>
  <c r="F302" i="1"/>
  <c r="F301" i="1" s="1"/>
  <c r="G301" i="1"/>
  <c r="C301" i="1"/>
  <c r="H299" i="1"/>
  <c r="G299" i="1"/>
  <c r="F299" i="1"/>
  <c r="G298" i="1"/>
  <c r="F298" i="1"/>
  <c r="H297" i="1"/>
  <c r="F297" i="1"/>
  <c r="H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H286" i="1" s="1"/>
  <c r="G290" i="1"/>
  <c r="F290" i="1"/>
  <c r="H289" i="1"/>
  <c r="G289" i="1"/>
  <c r="F289" i="1"/>
  <c r="H288" i="1"/>
  <c r="G288" i="1"/>
  <c r="G286" i="1" s="1"/>
  <c r="F288" i="1"/>
  <c r="F286" i="1" s="1"/>
  <c r="G287" i="1"/>
  <c r="C286" i="1"/>
  <c r="H284" i="1"/>
  <c r="F284" i="1"/>
  <c r="H283" i="1"/>
  <c r="G283" i="1"/>
  <c r="F283" i="1"/>
  <c r="H282" i="1"/>
  <c r="H280" i="1" s="1"/>
  <c r="G282" i="1"/>
  <c r="F282" i="1"/>
  <c r="H281" i="1"/>
  <c r="G281" i="1"/>
  <c r="G280" i="1" s="1"/>
  <c r="F281" i="1"/>
  <c r="F280" i="1" s="1"/>
  <c r="C280" i="1"/>
  <c r="H278" i="1"/>
  <c r="G278" i="1"/>
  <c r="F278" i="1"/>
  <c r="H277" i="1"/>
  <c r="F277" i="1"/>
  <c r="H276" i="1"/>
  <c r="G276" i="1"/>
  <c r="F276" i="1"/>
  <c r="H275" i="1"/>
  <c r="G275" i="1"/>
  <c r="F275" i="1"/>
  <c r="H274" i="1"/>
  <c r="H270" i="1" s="1"/>
  <c r="G274" i="1"/>
  <c r="F274" i="1"/>
  <c r="H273" i="1"/>
  <c r="G273" i="1"/>
  <c r="F273" i="1"/>
  <c r="H272" i="1"/>
  <c r="G272" i="1"/>
  <c r="G270" i="1" s="1"/>
  <c r="F272" i="1"/>
  <c r="F270" i="1" s="1"/>
  <c r="G271" i="1"/>
  <c r="C270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H262" i="1" s="1"/>
  <c r="G264" i="1"/>
  <c r="F264" i="1"/>
  <c r="G263" i="1"/>
  <c r="G262" i="1"/>
  <c r="F262" i="1"/>
  <c r="C262" i="1"/>
  <c r="H260" i="1"/>
  <c r="H259" i="1" s="1"/>
  <c r="G260" i="1"/>
  <c r="F260" i="1"/>
  <c r="G259" i="1"/>
  <c r="F259" i="1"/>
  <c r="C259" i="1"/>
  <c r="H257" i="1"/>
  <c r="G257" i="1"/>
  <c r="F257" i="1"/>
  <c r="H256" i="1"/>
  <c r="F256" i="1"/>
  <c r="H255" i="1"/>
  <c r="G255" i="1"/>
  <c r="F255" i="1"/>
  <c r="F251" i="1" s="1"/>
  <c r="H254" i="1"/>
  <c r="G254" i="1"/>
  <c r="F254" i="1"/>
  <c r="H253" i="1"/>
  <c r="G253" i="1"/>
  <c r="F253" i="1"/>
  <c r="H252" i="1"/>
  <c r="H251" i="1" s="1"/>
  <c r="G252" i="1"/>
  <c r="G251" i="1" s="1"/>
  <c r="F252" i="1"/>
  <c r="C251" i="1"/>
  <c r="H249" i="1"/>
  <c r="G249" i="1"/>
  <c r="F249" i="1"/>
  <c r="G248" i="1"/>
  <c r="F248" i="1"/>
  <c r="G247" i="1"/>
  <c r="F247" i="1"/>
  <c r="H246" i="1"/>
  <c r="F246" i="1"/>
  <c r="H245" i="1"/>
  <c r="F245" i="1"/>
  <c r="H244" i="1"/>
  <c r="G244" i="1"/>
  <c r="F244" i="1"/>
  <c r="H243" i="1"/>
  <c r="G243" i="1"/>
  <c r="F243" i="1"/>
  <c r="G242" i="1"/>
  <c r="H241" i="1"/>
  <c r="G241" i="1"/>
  <c r="F241" i="1"/>
  <c r="H240" i="1"/>
  <c r="G240" i="1"/>
  <c r="F240" i="1"/>
  <c r="H239" i="1"/>
  <c r="G239" i="1"/>
  <c r="F239" i="1"/>
  <c r="F234" i="1" s="1"/>
  <c r="H238" i="1"/>
  <c r="G238" i="1"/>
  <c r="F238" i="1"/>
  <c r="H237" i="1"/>
  <c r="G237" i="1"/>
  <c r="F237" i="1"/>
  <c r="H236" i="1"/>
  <c r="H234" i="1" s="1"/>
  <c r="G236" i="1"/>
  <c r="G234" i="1" s="1"/>
  <c r="F236" i="1"/>
  <c r="G235" i="1"/>
  <c r="C234" i="1"/>
  <c r="H232" i="1"/>
  <c r="G232" i="1"/>
  <c r="F232" i="1"/>
  <c r="G231" i="1"/>
  <c r="F231" i="1"/>
  <c r="G230" i="1"/>
  <c r="F230" i="1"/>
  <c r="H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H219" i="1" s="1"/>
  <c r="G221" i="1"/>
  <c r="F221" i="1"/>
  <c r="F219" i="1" s="1"/>
  <c r="G220" i="1"/>
  <c r="G219" i="1" s="1"/>
  <c r="C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H210" i="1" s="1"/>
  <c r="G212" i="1"/>
  <c r="G210" i="1" s="1"/>
  <c r="F212" i="1"/>
  <c r="H211" i="1"/>
  <c r="G211" i="1"/>
  <c r="F211" i="1"/>
  <c r="F210" i="1"/>
  <c r="C210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G204" i="1"/>
  <c r="H203" i="1"/>
  <c r="G203" i="1"/>
  <c r="F203" i="1"/>
  <c r="H202" i="1"/>
  <c r="G202" i="1"/>
  <c r="F202" i="1"/>
  <c r="H201" i="1"/>
  <c r="G201" i="1"/>
  <c r="F201" i="1"/>
  <c r="G200" i="1"/>
  <c r="G197" i="1" s="1"/>
  <c r="F200" i="1"/>
  <c r="H199" i="1"/>
  <c r="H197" i="1" s="1"/>
  <c r="G199" i="1"/>
  <c r="F199" i="1"/>
  <c r="G198" i="1"/>
  <c r="F197" i="1"/>
  <c r="C197" i="1"/>
  <c r="H195" i="1"/>
  <c r="G195" i="1"/>
  <c r="F195" i="1"/>
  <c r="G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H183" i="1" s="1"/>
  <c r="G187" i="1"/>
  <c r="F187" i="1"/>
  <c r="G186" i="1"/>
  <c r="F186" i="1"/>
  <c r="H185" i="1"/>
  <c r="G185" i="1"/>
  <c r="F185" i="1"/>
  <c r="F183" i="1" s="1"/>
  <c r="G184" i="1"/>
  <c r="G183" i="1" s="1"/>
  <c r="C183" i="1"/>
  <c r="H181" i="1"/>
  <c r="G181" i="1"/>
  <c r="F181" i="1"/>
  <c r="H180" i="1"/>
  <c r="H177" i="1" s="1"/>
  <c r="G180" i="1"/>
  <c r="G177" i="1" s="1"/>
  <c r="F180" i="1"/>
  <c r="H179" i="1"/>
  <c r="G179" i="1"/>
  <c r="F179" i="1"/>
  <c r="H178" i="1"/>
  <c r="G178" i="1"/>
  <c r="F178" i="1"/>
  <c r="F177" i="1" s="1"/>
  <c r="C177" i="1"/>
  <c r="H175" i="1"/>
  <c r="G175" i="1"/>
  <c r="F175" i="1"/>
  <c r="G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H164" i="1" s="1"/>
  <c r="G168" i="1"/>
  <c r="F168" i="1"/>
  <c r="G167" i="1"/>
  <c r="F167" i="1"/>
  <c r="F164" i="1" s="1"/>
  <c r="H166" i="1"/>
  <c r="G166" i="1"/>
  <c r="F166" i="1"/>
  <c r="G165" i="1"/>
  <c r="G164" i="1" s="1"/>
  <c r="C164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H155" i="1" s="1"/>
  <c r="G157" i="1"/>
  <c r="F157" i="1"/>
  <c r="H156" i="1"/>
  <c r="G156" i="1"/>
  <c r="G155" i="1" s="1"/>
  <c r="F156" i="1"/>
  <c r="F155" i="1" s="1"/>
  <c r="C155" i="1"/>
  <c r="H153" i="1"/>
  <c r="G153" i="1"/>
  <c r="F153" i="1"/>
  <c r="H152" i="1"/>
  <c r="H151" i="1" s="1"/>
  <c r="G152" i="1"/>
  <c r="F152" i="1"/>
  <c r="F151" i="1" s="1"/>
  <c r="G151" i="1"/>
  <c r="C151" i="1"/>
  <c r="H149" i="1"/>
  <c r="G149" i="1"/>
  <c r="F149" i="1"/>
  <c r="G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F137" i="1" s="1"/>
  <c r="G140" i="1"/>
  <c r="F140" i="1"/>
  <c r="H139" i="1"/>
  <c r="H137" i="1" s="1"/>
  <c r="G139" i="1"/>
  <c r="F139" i="1"/>
  <c r="G138" i="1"/>
  <c r="G137" i="1"/>
  <c r="C137" i="1"/>
  <c r="H135" i="1"/>
  <c r="G135" i="1"/>
  <c r="F135" i="1"/>
  <c r="H134" i="1"/>
  <c r="G134" i="1"/>
  <c r="F134" i="1"/>
  <c r="F131" i="1" s="1"/>
  <c r="H133" i="1"/>
  <c r="G133" i="1"/>
  <c r="F133" i="1"/>
  <c r="H132" i="1"/>
  <c r="H131" i="1" s="1"/>
  <c r="G132" i="1"/>
  <c r="F132" i="1"/>
  <c r="G131" i="1"/>
  <c r="C131" i="1"/>
  <c r="H129" i="1"/>
  <c r="G129" i="1"/>
  <c r="F129" i="1"/>
  <c r="H128" i="1"/>
  <c r="G128" i="1"/>
  <c r="F128" i="1"/>
  <c r="H127" i="1"/>
  <c r="H123" i="1" s="1"/>
  <c r="G127" i="1"/>
  <c r="F127" i="1"/>
  <c r="H126" i="1"/>
  <c r="G126" i="1"/>
  <c r="F126" i="1"/>
  <c r="H125" i="1"/>
  <c r="G125" i="1"/>
  <c r="F125" i="1"/>
  <c r="G124" i="1"/>
  <c r="G123" i="1" s="1"/>
  <c r="F124" i="1"/>
  <c r="F123" i="1" s="1"/>
  <c r="C123" i="1"/>
  <c r="H121" i="1"/>
  <c r="H118" i="1" s="1"/>
  <c r="G121" i="1"/>
  <c r="F121" i="1"/>
  <c r="H120" i="1"/>
  <c r="G120" i="1"/>
  <c r="F120" i="1"/>
  <c r="H119" i="1"/>
  <c r="G119" i="1"/>
  <c r="G118" i="1" s="1"/>
  <c r="F119" i="1"/>
  <c r="F118" i="1" s="1"/>
  <c r="C118" i="1"/>
  <c r="H116" i="1"/>
  <c r="G116" i="1"/>
  <c r="F116" i="1"/>
  <c r="H115" i="1"/>
  <c r="H112" i="1" s="1"/>
  <c r="G115" i="1"/>
  <c r="G112" i="1" s="1"/>
  <c r="F115" i="1"/>
  <c r="H114" i="1"/>
  <c r="G114" i="1"/>
  <c r="F114" i="1"/>
  <c r="H113" i="1"/>
  <c r="G113" i="1"/>
  <c r="F113" i="1"/>
  <c r="F112" i="1" s="1"/>
  <c r="C112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F104" i="1" s="1"/>
  <c r="H106" i="1"/>
  <c r="G106" i="1"/>
  <c r="F106" i="1"/>
  <c r="H105" i="1"/>
  <c r="H104" i="1" s="1"/>
  <c r="G105" i="1"/>
  <c r="F105" i="1"/>
  <c r="G104" i="1"/>
  <c r="C104" i="1"/>
  <c r="H101" i="1"/>
  <c r="G101" i="1"/>
  <c r="F101" i="1"/>
  <c r="G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G94" i="1"/>
  <c r="H93" i="1"/>
  <c r="G93" i="1"/>
  <c r="F93" i="1"/>
  <c r="F86" i="1" s="1"/>
  <c r="H92" i="1"/>
  <c r="G92" i="1"/>
  <c r="F92" i="1"/>
  <c r="H91" i="1"/>
  <c r="G91" i="1"/>
  <c r="F91" i="1"/>
  <c r="H90" i="1"/>
  <c r="H86" i="1" s="1"/>
  <c r="G90" i="1"/>
  <c r="F90" i="1"/>
  <c r="G89" i="1"/>
  <c r="F89" i="1"/>
  <c r="H88" i="1"/>
  <c r="G88" i="1"/>
  <c r="F88" i="1"/>
  <c r="G87" i="1"/>
  <c r="G86" i="1" s="1"/>
  <c r="C86" i="1"/>
  <c r="H84" i="1"/>
  <c r="G84" i="1"/>
  <c r="F84" i="1"/>
  <c r="H83" i="1"/>
  <c r="H81" i="1" s="1"/>
  <c r="G83" i="1"/>
  <c r="F83" i="1"/>
  <c r="H82" i="1"/>
  <c r="G82" i="1"/>
  <c r="G81" i="1" s="1"/>
  <c r="F82" i="1"/>
  <c r="F81" i="1"/>
  <c r="C81" i="1"/>
  <c r="H79" i="1"/>
  <c r="G79" i="1"/>
  <c r="F79" i="1"/>
  <c r="H78" i="1"/>
  <c r="G78" i="1"/>
  <c r="F78" i="1"/>
  <c r="H77" i="1"/>
  <c r="H75" i="1" s="1"/>
  <c r="G77" i="1"/>
  <c r="F77" i="1"/>
  <c r="H76" i="1"/>
  <c r="G76" i="1"/>
  <c r="G75" i="1" s="1"/>
  <c r="F76" i="1"/>
  <c r="F75" i="1"/>
  <c r="C75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G64" i="1" s="1"/>
  <c r="F66" i="1"/>
  <c r="H65" i="1"/>
  <c r="H64" i="1" s="1"/>
  <c r="G65" i="1"/>
  <c r="F65" i="1"/>
  <c r="F64" i="1" s="1"/>
  <c r="C64" i="1"/>
  <c r="H62" i="1"/>
  <c r="G62" i="1"/>
  <c r="F62" i="1"/>
  <c r="H61" i="1"/>
  <c r="H60" i="1" s="1"/>
  <c r="G61" i="1"/>
  <c r="F61" i="1"/>
  <c r="G60" i="1"/>
  <c r="F60" i="1"/>
  <c r="C60" i="1"/>
  <c r="H58" i="1"/>
  <c r="G58" i="1"/>
  <c r="F58" i="1"/>
  <c r="G57" i="1"/>
  <c r="H56" i="1"/>
  <c r="G56" i="1"/>
  <c r="F56" i="1"/>
  <c r="H55" i="1"/>
  <c r="G55" i="1"/>
  <c r="F55" i="1"/>
  <c r="H54" i="1"/>
  <c r="G54" i="1"/>
  <c r="F54" i="1"/>
  <c r="H53" i="1"/>
  <c r="G53" i="1"/>
  <c r="G49" i="1" s="1"/>
  <c r="F53" i="1"/>
  <c r="H52" i="1"/>
  <c r="G52" i="1"/>
  <c r="F52" i="1"/>
  <c r="H51" i="1"/>
  <c r="G51" i="1"/>
  <c r="F51" i="1"/>
  <c r="F49" i="1" s="1"/>
  <c r="H50" i="1"/>
  <c r="H49" i="1" s="1"/>
  <c r="G50" i="1"/>
  <c r="F50" i="1"/>
  <c r="C49" i="1"/>
  <c r="H47" i="1"/>
  <c r="G47" i="1"/>
  <c r="G43" i="1" s="1"/>
  <c r="F47" i="1"/>
  <c r="H46" i="1"/>
  <c r="G46" i="1"/>
  <c r="F46" i="1"/>
  <c r="H45" i="1"/>
  <c r="G45" i="1"/>
  <c r="F45" i="1"/>
  <c r="F43" i="1" s="1"/>
  <c r="H44" i="1"/>
  <c r="H43" i="1" s="1"/>
  <c r="G44" i="1"/>
  <c r="F44" i="1"/>
  <c r="C43" i="1"/>
  <c r="H41" i="1"/>
  <c r="H38" i="1" s="1"/>
  <c r="G41" i="1"/>
  <c r="F41" i="1"/>
  <c r="H40" i="1"/>
  <c r="G40" i="1"/>
  <c r="F40" i="1"/>
  <c r="H39" i="1"/>
  <c r="G39" i="1"/>
  <c r="G38" i="1" s="1"/>
  <c r="F39" i="1"/>
  <c r="F38" i="1" s="1"/>
  <c r="C38" i="1"/>
  <c r="H36" i="1"/>
  <c r="G36" i="1"/>
  <c r="F36" i="1"/>
  <c r="H35" i="1"/>
  <c r="H33" i="1" s="1"/>
  <c r="G35" i="1"/>
  <c r="F35" i="1"/>
  <c r="H34" i="1"/>
  <c r="G34" i="1"/>
  <c r="G33" i="1" s="1"/>
  <c r="F34" i="1"/>
  <c r="F33" i="1"/>
  <c r="C33" i="1"/>
  <c r="H31" i="1"/>
  <c r="G31" i="1"/>
  <c r="F31" i="1"/>
  <c r="F30" i="1" s="1"/>
  <c r="H30" i="1"/>
  <c r="G30" i="1"/>
  <c r="C30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H20" i="1" s="1"/>
  <c r="G23" i="1"/>
  <c r="F23" i="1"/>
  <c r="H22" i="1"/>
  <c r="G22" i="1"/>
  <c r="F22" i="1"/>
  <c r="H21" i="1"/>
  <c r="G21" i="1"/>
  <c r="G20" i="1" s="1"/>
  <c r="F21" i="1"/>
  <c r="F20" i="1" s="1"/>
  <c r="C20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G8" i="1" s="1"/>
  <c r="F12" i="1"/>
  <c r="F8" i="1" s="1"/>
  <c r="G11" i="1"/>
  <c r="F11" i="1"/>
  <c r="H10" i="1"/>
  <c r="G10" i="1"/>
  <c r="F10" i="1"/>
  <c r="G9" i="1"/>
  <c r="H8" i="1"/>
  <c r="C8" i="1"/>
  <c r="H6" i="1"/>
  <c r="H4" i="1" s="1"/>
  <c r="G6" i="1"/>
  <c r="F6" i="1"/>
  <c r="H5" i="1"/>
  <c r="G5" i="1"/>
  <c r="G4" i="1" s="1"/>
  <c r="F5" i="1"/>
  <c r="F4" i="1" s="1"/>
  <c r="C4" i="1"/>
  <c r="E2" i="1"/>
  <c r="G1679" i="1" l="1"/>
  <c r="G1760" i="1"/>
  <c r="F2" i="1"/>
  <c r="G2" i="1"/>
  <c r="G1790" i="1"/>
  <c r="H2" i="1"/>
  <c r="G1521" i="2"/>
  <c r="G3036" i="2"/>
  <c r="G3122" i="2"/>
  <c r="H353" i="2"/>
  <c r="H2" i="2" s="1"/>
  <c r="F383" i="2"/>
  <c r="H487" i="2"/>
  <c r="H834" i="2"/>
  <c r="G1131" i="2"/>
  <c r="H1153" i="2"/>
  <c r="F1774" i="2"/>
  <c r="H1934" i="2"/>
  <c r="H2267" i="2"/>
  <c r="F2289" i="2"/>
  <c r="H2597" i="2"/>
  <c r="H2689" i="2"/>
  <c r="G2751" i="2"/>
  <c r="H2976" i="2"/>
  <c r="H3062" i="2"/>
  <c r="F3178" i="2"/>
  <c r="AN98" i="4"/>
  <c r="F353" i="2"/>
  <c r="F2" i="2" s="1"/>
  <c r="F446" i="2"/>
  <c r="H499" i="2"/>
  <c r="H513" i="2"/>
  <c r="G526" i="2"/>
  <c r="H563" i="2"/>
  <c r="H752" i="2"/>
  <c r="F834" i="2"/>
  <c r="G929" i="2"/>
  <c r="H1003" i="2"/>
  <c r="F1120" i="2"/>
  <c r="G1138" i="2"/>
  <c r="G1224" i="2"/>
  <c r="H1304" i="2"/>
  <c r="G1410" i="2"/>
  <c r="G1725" i="2"/>
  <c r="G1851" i="2"/>
  <c r="H1990" i="2"/>
  <c r="G2104" i="2"/>
  <c r="H2333" i="2"/>
  <c r="F2397" i="2"/>
  <c r="G2442" i="2"/>
  <c r="H2658" i="2"/>
  <c r="F3052" i="2"/>
  <c r="G3178" i="2"/>
  <c r="G3246" i="2"/>
  <c r="F3299" i="2"/>
  <c r="H427" i="2"/>
  <c r="F472" i="2"/>
  <c r="H472" i="2"/>
  <c r="G547" i="2"/>
  <c r="G672" i="2"/>
  <c r="H780" i="2"/>
  <c r="F795" i="2"/>
  <c r="H1052" i="2"/>
  <c r="H1164" i="2"/>
  <c r="G1204" i="2"/>
  <c r="G1375" i="2"/>
  <c r="G1536" i="2"/>
  <c r="F1787" i="2"/>
  <c r="F2147" i="2"/>
  <c r="F2218" i="2"/>
  <c r="F2450" i="2"/>
  <c r="H2581" i="2"/>
  <c r="G2767" i="2"/>
  <c r="H2904" i="2"/>
  <c r="H3022" i="2"/>
  <c r="G3062" i="2"/>
  <c r="G3163" i="2"/>
  <c r="H3178" i="2"/>
  <c r="F3188" i="2"/>
  <c r="AC45" i="4"/>
  <c r="AN45" i="4" s="1"/>
  <c r="AO45" i="4"/>
  <c r="H446" i="2"/>
  <c r="F487" i="2"/>
  <c r="F526" i="2"/>
  <c r="G537" i="2"/>
  <c r="G629" i="2"/>
  <c r="F672" i="2"/>
  <c r="H1287" i="2"/>
  <c r="H1375" i="2"/>
  <c r="F2023" i="2"/>
  <c r="G2132" i="2"/>
  <c r="H2204" i="2"/>
  <c r="F2250" i="2"/>
  <c r="G2303" i="2"/>
  <c r="G2355" i="2"/>
  <c r="H2397" i="2"/>
  <c r="F2612" i="2"/>
  <c r="G2624" i="2"/>
  <c r="G2845" i="2"/>
  <c r="G2874" i="2"/>
  <c r="F3022" i="2"/>
  <c r="G3042" i="2"/>
  <c r="H3052" i="2"/>
  <c r="G400" i="2"/>
  <c r="G2" i="2" s="1"/>
  <c r="F580" i="2"/>
  <c r="G874" i="2"/>
  <c r="G1120" i="2"/>
  <c r="G1153" i="2"/>
  <c r="F1333" i="2"/>
  <c r="F1563" i="2"/>
  <c r="H1725" i="2"/>
  <c r="G1866" i="2"/>
  <c r="G2023" i="2"/>
  <c r="F2476" i="2"/>
  <c r="G2517" i="2"/>
  <c r="G2564" i="2"/>
  <c r="G460" i="2"/>
  <c r="F460" i="2"/>
  <c r="H547" i="2"/>
  <c r="G580" i="2"/>
  <c r="H672" i="2"/>
  <c r="F864" i="2"/>
  <c r="H943" i="2"/>
  <c r="G969" i="2"/>
  <c r="G1033" i="2"/>
  <c r="F1082" i="2"/>
  <c r="H1138" i="2"/>
  <c r="F1480" i="2"/>
  <c r="F1576" i="2"/>
  <c r="G1670" i="2"/>
  <c r="F1701" i="2"/>
  <c r="G1817" i="2"/>
  <c r="G1894" i="2"/>
  <c r="G1934" i="2"/>
  <c r="G2341" i="2"/>
  <c r="F2427" i="2"/>
  <c r="G2689" i="2"/>
  <c r="G2826" i="2"/>
  <c r="G2976" i="2"/>
  <c r="H3163" i="2"/>
  <c r="G3321" i="2"/>
  <c r="O2" i="4"/>
  <c r="U20" i="4"/>
  <c r="T25" i="4"/>
  <c r="V35" i="4"/>
  <c r="V38" i="4"/>
  <c r="J38" i="4"/>
  <c r="U38" i="4" s="1"/>
  <c r="O91" i="4"/>
  <c r="V91" i="4"/>
  <c r="O99" i="4"/>
  <c r="V99" i="4"/>
  <c r="O107" i="4"/>
  <c r="V107" i="4"/>
  <c r="G3337" i="2"/>
  <c r="F3351" i="2"/>
  <c r="G3362" i="2"/>
  <c r="V3" i="4"/>
  <c r="O5" i="4"/>
  <c r="U5" i="4" s="1"/>
  <c r="V5" i="4"/>
  <c r="U9" i="4"/>
  <c r="U13" i="4"/>
  <c r="BG14" i="4"/>
  <c r="V18" i="4"/>
  <c r="AN18" i="4"/>
  <c r="AC21" i="4"/>
  <c r="AN21" i="4" s="1"/>
  <c r="AO21" i="4"/>
  <c r="AO25" i="4"/>
  <c r="O29" i="4"/>
  <c r="U29" i="4" s="1"/>
  <c r="V29" i="4"/>
  <c r="U31" i="4"/>
  <c r="AO31" i="4"/>
  <c r="AH31" i="4"/>
  <c r="AN31" i="4" s="1"/>
  <c r="U36" i="4"/>
  <c r="AN38" i="4"/>
  <c r="T41" i="4"/>
  <c r="G3333" i="2"/>
  <c r="AN4" i="4"/>
  <c r="T17" i="4"/>
  <c r="V27" i="4"/>
  <c r="V30" i="4"/>
  <c r="J30" i="4"/>
  <c r="U30" i="4" s="1"/>
  <c r="U40" i="4"/>
  <c r="O42" i="4"/>
  <c r="U45" i="4"/>
  <c r="U62" i="4"/>
  <c r="O80" i="4"/>
  <c r="V80" i="4"/>
  <c r="U88" i="4"/>
  <c r="U96" i="4"/>
  <c r="V6" i="4"/>
  <c r="J6" i="4"/>
  <c r="U6" i="4" s="1"/>
  <c r="BH7" i="4"/>
  <c r="AX7" i="4"/>
  <c r="BG7" i="4" s="1"/>
  <c r="BH11" i="4"/>
  <c r="AX11" i="4"/>
  <c r="BG11" i="4" s="1"/>
  <c r="V15" i="4"/>
  <c r="J15" i="4"/>
  <c r="U15" i="4" s="1"/>
  <c r="V25" i="4"/>
  <c r="AC37" i="4"/>
  <c r="AN37" i="4" s="1"/>
  <c r="AO37" i="4"/>
  <c r="O45" i="4"/>
  <c r="V45" i="4"/>
  <c r="U4" i="4"/>
  <c r="BG6" i="4"/>
  <c r="AN7" i="4"/>
  <c r="V8" i="4"/>
  <c r="AN8" i="4"/>
  <c r="V10" i="4"/>
  <c r="J10" i="4"/>
  <c r="U10" i="4" s="1"/>
  <c r="AN11" i="4"/>
  <c r="V12" i="4"/>
  <c r="AN12" i="4"/>
  <c r="AO17" i="4"/>
  <c r="O21" i="4"/>
  <c r="U21" i="4" s="1"/>
  <c r="V21" i="4"/>
  <c r="U23" i="4"/>
  <c r="AO23" i="4"/>
  <c r="AH23" i="4"/>
  <c r="AN23" i="4" s="1"/>
  <c r="U28" i="4"/>
  <c r="T33" i="4"/>
  <c r="AN41" i="4"/>
  <c r="V43" i="4"/>
  <c r="AN44" i="4"/>
  <c r="V46" i="4"/>
  <c r="J46" i="4"/>
  <c r="U46" i="4" s="1"/>
  <c r="V68" i="4"/>
  <c r="J68" i="4"/>
  <c r="U68" i="4" s="1"/>
  <c r="H3376" i="2"/>
  <c r="V2" i="4"/>
  <c r="AN2" i="4"/>
  <c r="V4" i="4"/>
  <c r="AN6" i="4"/>
  <c r="BK16" i="4"/>
  <c r="BG10" i="4"/>
  <c r="AN15" i="4"/>
  <c r="AN17" i="4"/>
  <c r="AN20" i="4"/>
  <c r="V22" i="4"/>
  <c r="J22" i="4"/>
  <c r="U22" i="4" s="1"/>
  <c r="V28" i="4"/>
  <c r="U32" i="4"/>
  <c r="V41" i="4"/>
  <c r="V113" i="4"/>
  <c r="J113" i="4"/>
  <c r="U113" i="4" s="1"/>
  <c r="AC5" i="4"/>
  <c r="AN5" i="4" s="1"/>
  <c r="AO5" i="4"/>
  <c r="U7" i="4"/>
  <c r="O8" i="4"/>
  <c r="AN10" i="4"/>
  <c r="U11" i="4"/>
  <c r="O12" i="4"/>
  <c r="V14" i="4"/>
  <c r="V17" i="4"/>
  <c r="AN26" i="4"/>
  <c r="AC29" i="4"/>
  <c r="AN29" i="4" s="1"/>
  <c r="AO29" i="4"/>
  <c r="AO33" i="4"/>
  <c r="O37" i="4"/>
  <c r="U37" i="4" s="1"/>
  <c r="V37" i="4"/>
  <c r="U39" i="4"/>
  <c r="AO39" i="4"/>
  <c r="AH39" i="4"/>
  <c r="AN39" i="4" s="1"/>
  <c r="U44" i="4"/>
  <c r="AN46" i="4"/>
  <c r="V84" i="4"/>
  <c r="J84" i="4"/>
  <c r="U84" i="4" s="1"/>
  <c r="AN50" i="4"/>
  <c r="AN55" i="4"/>
  <c r="AN58" i="4"/>
  <c r="V65" i="4"/>
  <c r="J65" i="4"/>
  <c r="U65" i="4" s="1"/>
  <c r="AN69" i="4"/>
  <c r="V77" i="4"/>
  <c r="T79" i="4"/>
  <c r="U80" i="4"/>
  <c r="AN82" i="4"/>
  <c r="U91" i="4"/>
  <c r="U99" i="4"/>
  <c r="U107" i="4"/>
  <c r="O112" i="4"/>
  <c r="V112" i="4"/>
  <c r="AN113" i="4"/>
  <c r="AC120" i="4"/>
  <c r="AN120" i="4" s="1"/>
  <c r="AO120" i="4"/>
  <c r="AN122" i="4"/>
  <c r="AC142" i="4"/>
  <c r="AN142" i="4" s="1"/>
  <c r="AO142" i="4"/>
  <c r="J3" i="4"/>
  <c r="U3" i="4" s="1"/>
  <c r="BR8" i="4"/>
  <c r="BW8" i="4" s="1"/>
  <c r="BN9" i="4"/>
  <c r="BR12" i="4"/>
  <c r="BW12" i="4" s="1"/>
  <c r="J14" i="4"/>
  <c r="U14" i="4" s="1"/>
  <c r="BN14" i="4"/>
  <c r="BW14" i="4" s="1"/>
  <c r="BA16" i="4"/>
  <c r="BB16" i="4" s="1"/>
  <c r="BG16" i="4" s="1"/>
  <c r="J19" i="4"/>
  <c r="U19" i="4" s="1"/>
  <c r="J27" i="4"/>
  <c r="U27" i="4" s="1"/>
  <c r="J35" i="4"/>
  <c r="U35" i="4" s="1"/>
  <c r="J43" i="4"/>
  <c r="U43" i="4" s="1"/>
  <c r="V49" i="4"/>
  <c r="J49" i="4"/>
  <c r="U49" i="4" s="1"/>
  <c r="V57" i="4"/>
  <c r="J57" i="4"/>
  <c r="U57" i="4" s="1"/>
  <c r="V78" i="4"/>
  <c r="O88" i="4"/>
  <c r="V88" i="4"/>
  <c r="V92" i="4"/>
  <c r="J92" i="4"/>
  <c r="U92" i="4" s="1"/>
  <c r="O96" i="4"/>
  <c r="V96" i="4"/>
  <c r="V100" i="4"/>
  <c r="J100" i="4"/>
  <c r="U100" i="4" s="1"/>
  <c r="O104" i="4"/>
  <c r="U104" i="4" s="1"/>
  <c r="V104" i="4"/>
  <c r="V108" i="4"/>
  <c r="J108" i="4"/>
  <c r="U108" i="4" s="1"/>
  <c r="AO116" i="4"/>
  <c r="AM116" i="4"/>
  <c r="AN116" i="4" s="1"/>
  <c r="O174" i="4"/>
  <c r="V174" i="4"/>
  <c r="AO15" i="4"/>
  <c r="BJ16" i="4"/>
  <c r="BR16" i="4" s="1"/>
  <c r="AO22" i="4"/>
  <c r="AO30" i="4"/>
  <c r="AO38" i="4"/>
  <c r="AO46" i="4"/>
  <c r="AO53" i="4"/>
  <c r="AN61" i="4"/>
  <c r="AC64" i="4"/>
  <c r="AN64" i="4" s="1"/>
  <c r="V67" i="4"/>
  <c r="AO74" i="4"/>
  <c r="V79" i="4"/>
  <c r="V81" i="4"/>
  <c r="J81" i="4"/>
  <c r="U81" i="4" s="1"/>
  <c r="V86" i="4"/>
  <c r="AN87" i="4"/>
  <c r="AH90" i="4"/>
  <c r="AN90" i="4" s="1"/>
  <c r="V94" i="4"/>
  <c r="AN95" i="4"/>
  <c r="AH98" i="4"/>
  <c r="V102" i="4"/>
  <c r="AN103" i="4"/>
  <c r="AH106" i="4"/>
  <c r="AN106" i="4" s="1"/>
  <c r="U115" i="4"/>
  <c r="V124" i="4"/>
  <c r="AC126" i="4"/>
  <c r="AN126" i="4" s="1"/>
  <c r="AO126" i="4"/>
  <c r="U166" i="4"/>
  <c r="V167" i="4"/>
  <c r="J167" i="4"/>
  <c r="U167" i="4" s="1"/>
  <c r="AX8" i="4"/>
  <c r="BG8" i="4" s="1"/>
  <c r="BR9" i="4"/>
  <c r="BN10" i="4"/>
  <c r="BW10" i="4" s="1"/>
  <c r="AX12" i="4"/>
  <c r="BG12" i="4" s="1"/>
  <c r="BR14" i="4"/>
  <c r="J17" i="4"/>
  <c r="U17" i="4" s="1"/>
  <c r="J25" i="4"/>
  <c r="U25" i="4" s="1"/>
  <c r="J33" i="4"/>
  <c r="J41" i="4"/>
  <c r="U41" i="4" s="1"/>
  <c r="AC53" i="4"/>
  <c r="AN53" i="4" s="1"/>
  <c r="T63" i="4"/>
  <c r="AN67" i="4"/>
  <c r="AO71" i="4"/>
  <c r="O72" i="4"/>
  <c r="U72" i="4" s="1"/>
  <c r="V72" i="4"/>
  <c r="V74" i="4"/>
  <c r="AN74" i="4"/>
  <c r="AM76" i="4"/>
  <c r="AN76" i="4" s="1"/>
  <c r="V83" i="4"/>
  <c r="V87" i="4"/>
  <c r="V89" i="4"/>
  <c r="J89" i="4"/>
  <c r="U89" i="4" s="1"/>
  <c r="V95" i="4"/>
  <c r="V97" i="4"/>
  <c r="J97" i="4"/>
  <c r="U97" i="4" s="1"/>
  <c r="V103" i="4"/>
  <c r="V105" i="4"/>
  <c r="J105" i="4"/>
  <c r="U105" i="4" s="1"/>
  <c r="AC112" i="4"/>
  <c r="AN112" i="4" s="1"/>
  <c r="AO112" i="4"/>
  <c r="V117" i="4"/>
  <c r="V119" i="4"/>
  <c r="O120" i="4"/>
  <c r="U120" i="4" s="1"/>
  <c r="V120" i="4"/>
  <c r="V121" i="4"/>
  <c r="J121" i="4"/>
  <c r="U121" i="4" s="1"/>
  <c r="AO4" i="4"/>
  <c r="AO7" i="4"/>
  <c r="AO11" i="4"/>
  <c r="AO20" i="4"/>
  <c r="AO28" i="4"/>
  <c r="AO36" i="4"/>
  <c r="AO44" i="4"/>
  <c r="AN48" i="4"/>
  <c r="V52" i="4"/>
  <c r="J52" i="4"/>
  <c r="U52" i="4" s="1"/>
  <c r="U53" i="4"/>
  <c r="T55" i="4"/>
  <c r="AN56" i="4"/>
  <c r="V60" i="4"/>
  <c r="J60" i="4"/>
  <c r="U60" i="4" s="1"/>
  <c r="AN60" i="4"/>
  <c r="V61" i="4"/>
  <c r="U64" i="4"/>
  <c r="U67" i="4"/>
  <c r="V71" i="4"/>
  <c r="AN83" i="4"/>
  <c r="O117" i="4"/>
  <c r="U123" i="4"/>
  <c r="BH14" i="4"/>
  <c r="V51" i="4"/>
  <c r="AN52" i="4"/>
  <c r="U56" i="4"/>
  <c r="V59" i="4"/>
  <c r="AO63" i="4"/>
  <c r="O64" i="4"/>
  <c r="V64" i="4"/>
  <c r="AN66" i="4"/>
  <c r="V73" i="4"/>
  <c r="J73" i="4"/>
  <c r="U73" i="4" s="1"/>
  <c r="AO75" i="4"/>
  <c r="AN77" i="4"/>
  <c r="AO85" i="4"/>
  <c r="AN91" i="4"/>
  <c r="AO93" i="4"/>
  <c r="AN99" i="4"/>
  <c r="AO101" i="4"/>
  <c r="AN107" i="4"/>
  <c r="AO114" i="4"/>
  <c r="AH114" i="4"/>
  <c r="AN114" i="4" s="1"/>
  <c r="AN125" i="4"/>
  <c r="AO152" i="4"/>
  <c r="AH152" i="4"/>
  <c r="J2" i="4"/>
  <c r="U2" i="4" s="1"/>
  <c r="J8" i="4"/>
  <c r="J12" i="4"/>
  <c r="U12" i="4" s="1"/>
  <c r="J18" i="4"/>
  <c r="U18" i="4" s="1"/>
  <c r="J26" i="4"/>
  <c r="U26" i="4" s="1"/>
  <c r="J34" i="4"/>
  <c r="U34" i="4" s="1"/>
  <c r="J42" i="4"/>
  <c r="U42" i="4" s="1"/>
  <c r="AN47" i="4"/>
  <c r="O48" i="4"/>
  <c r="U48" i="4" s="1"/>
  <c r="AO50" i="4"/>
  <c r="AO52" i="4"/>
  <c r="AO55" i="4"/>
  <c r="O56" i="4"/>
  <c r="AO58" i="4"/>
  <c r="O61" i="4"/>
  <c r="U61" i="4" s="1"/>
  <c r="V63" i="4"/>
  <c r="AO69" i="4"/>
  <c r="AN71" i="4"/>
  <c r="V76" i="4"/>
  <c r="J76" i="4"/>
  <c r="U76" i="4" s="1"/>
  <c r="U77" i="4"/>
  <c r="AO82" i="4"/>
  <c r="U83" i="4"/>
  <c r="AN85" i="4"/>
  <c r="AC88" i="4"/>
  <c r="AN88" i="4" s="1"/>
  <c r="AN93" i="4"/>
  <c r="AC96" i="4"/>
  <c r="AN96" i="4" s="1"/>
  <c r="AN101" i="4"/>
  <c r="AC104" i="4"/>
  <c r="AN104" i="4" s="1"/>
  <c r="AN109" i="4"/>
  <c r="U112" i="4"/>
  <c r="AO122" i="4"/>
  <c r="T124" i="4"/>
  <c r="V127" i="4"/>
  <c r="U127" i="4"/>
  <c r="AN127" i="4"/>
  <c r="O131" i="4"/>
  <c r="V148" i="4"/>
  <c r="AC150" i="4"/>
  <c r="AN150" i="4" s="1"/>
  <c r="AO150" i="4"/>
  <c r="AN152" i="4"/>
  <c r="AO160" i="4"/>
  <c r="AH160" i="4"/>
  <c r="U174" i="4"/>
  <c r="V175" i="4"/>
  <c r="J175" i="4"/>
  <c r="U175" i="4" s="1"/>
  <c r="J180" i="4"/>
  <c r="U180" i="4" s="1"/>
  <c r="V180" i="4"/>
  <c r="U215" i="4"/>
  <c r="J110" i="4"/>
  <c r="U110" i="4" s="1"/>
  <c r="T116" i="4"/>
  <c r="U116" i="4" s="1"/>
  <c r="J118" i="4"/>
  <c r="U118" i="4" s="1"/>
  <c r="AO118" i="4"/>
  <c r="O125" i="4"/>
  <c r="U125" i="4" s="1"/>
  <c r="V129" i="4"/>
  <c r="V132" i="4"/>
  <c r="AC134" i="4"/>
  <c r="AN134" i="4" s="1"/>
  <c r="AO134" i="4"/>
  <c r="AO144" i="4"/>
  <c r="AH144" i="4"/>
  <c r="AN144" i="4" s="1"/>
  <c r="V159" i="4"/>
  <c r="J159" i="4"/>
  <c r="U159" i="4" s="1"/>
  <c r="AN159" i="4"/>
  <c r="V163" i="4"/>
  <c r="O166" i="4"/>
  <c r="V166" i="4"/>
  <c r="AN169" i="4"/>
  <c r="AO206" i="4"/>
  <c r="AH206" i="4"/>
  <c r="AO49" i="4"/>
  <c r="AO57" i="4"/>
  <c r="AO65" i="4"/>
  <c r="AO73" i="4"/>
  <c r="AO81" i="4"/>
  <c r="AO89" i="4"/>
  <c r="AO97" i="4"/>
  <c r="AO105" i="4"/>
  <c r="AO113" i="4"/>
  <c r="V130" i="4"/>
  <c r="J130" i="4"/>
  <c r="AO136" i="4"/>
  <c r="AH136" i="4"/>
  <c r="AN136" i="4" s="1"/>
  <c r="V138" i="4"/>
  <c r="U150" i="4"/>
  <c r="V151" i="4"/>
  <c r="J151" i="4"/>
  <c r="U151" i="4" s="1"/>
  <c r="O158" i="4"/>
  <c r="U158" i="4" s="1"/>
  <c r="V158" i="4"/>
  <c r="V165" i="4"/>
  <c r="U206" i="4"/>
  <c r="J124" i="4"/>
  <c r="U142" i="4"/>
  <c r="V143" i="4"/>
  <c r="J143" i="4"/>
  <c r="U143" i="4" s="1"/>
  <c r="AN143" i="4"/>
  <c r="V147" i="4"/>
  <c r="O150" i="4"/>
  <c r="V150" i="4"/>
  <c r="AN153" i="4"/>
  <c r="V157" i="4"/>
  <c r="U161" i="4"/>
  <c r="T162" i="4"/>
  <c r="O163" i="4"/>
  <c r="J199" i="4"/>
  <c r="U199" i="4" s="1"/>
  <c r="V199" i="4"/>
  <c r="AC212" i="4"/>
  <c r="AN212" i="4" s="1"/>
  <c r="AO212" i="4"/>
  <c r="V221" i="4"/>
  <c r="J221" i="4"/>
  <c r="U221" i="4" s="1"/>
  <c r="J55" i="4"/>
  <c r="U55" i="4" s="1"/>
  <c r="J63" i="4"/>
  <c r="U63" i="4" s="1"/>
  <c r="J71" i="4"/>
  <c r="U71" i="4" s="1"/>
  <c r="J79" i="4"/>
  <c r="AO79" i="4"/>
  <c r="J87" i="4"/>
  <c r="U87" i="4" s="1"/>
  <c r="AO87" i="4"/>
  <c r="J95" i="4"/>
  <c r="U95" i="4" s="1"/>
  <c r="AO95" i="4"/>
  <c r="J103" i="4"/>
  <c r="U103" i="4" s="1"/>
  <c r="AO103" i="4"/>
  <c r="J111" i="4"/>
  <c r="U111" i="4" s="1"/>
  <c r="AO111" i="4"/>
  <c r="J119" i="4"/>
  <c r="U119" i="4" s="1"/>
  <c r="V128" i="4"/>
  <c r="AN131" i="4"/>
  <c r="U134" i="4"/>
  <c r="V135" i="4"/>
  <c r="J135" i="4"/>
  <c r="U135" i="4" s="1"/>
  <c r="AN135" i="4"/>
  <c r="V139" i="4"/>
  <c r="O142" i="4"/>
  <c r="V142" i="4"/>
  <c r="AN145" i="4"/>
  <c r="U153" i="4"/>
  <c r="AN170" i="4"/>
  <c r="AC174" i="4"/>
  <c r="AN174" i="4" s="1"/>
  <c r="AO174" i="4"/>
  <c r="J50" i="4"/>
  <c r="U50" i="4" s="1"/>
  <c r="J58" i="4"/>
  <c r="U58" i="4" s="1"/>
  <c r="J66" i="4"/>
  <c r="U66" i="4" s="1"/>
  <c r="J74" i="4"/>
  <c r="U74" i="4" s="1"/>
  <c r="J82" i="4"/>
  <c r="U82" i="4" s="1"/>
  <c r="J90" i="4"/>
  <c r="U90" i="4" s="1"/>
  <c r="J98" i="4"/>
  <c r="U98" i="4" s="1"/>
  <c r="J106" i="4"/>
  <c r="U106" i="4" s="1"/>
  <c r="J114" i="4"/>
  <c r="U114" i="4" s="1"/>
  <c r="J122" i="4"/>
  <c r="U122" i="4" s="1"/>
  <c r="AO125" i="4"/>
  <c r="T130" i="4"/>
  <c r="V131" i="4"/>
  <c r="AN133" i="4"/>
  <c r="O134" i="4"/>
  <c r="V134" i="4"/>
  <c r="AN137" i="4"/>
  <c r="V141" i="4"/>
  <c r="U145" i="4"/>
  <c r="T146" i="4"/>
  <c r="O147" i="4"/>
  <c r="AN162" i="4"/>
  <c r="V164" i="4"/>
  <c r="AC166" i="4"/>
  <c r="AN166" i="4" s="1"/>
  <c r="AO166" i="4"/>
  <c r="AN168" i="4"/>
  <c r="U176" i="4"/>
  <c r="AN189" i="4"/>
  <c r="V218" i="4"/>
  <c r="J218" i="4"/>
  <c r="U218" i="4" s="1"/>
  <c r="J85" i="4"/>
  <c r="U85" i="4" s="1"/>
  <c r="J93" i="4"/>
  <c r="U93" i="4" s="1"/>
  <c r="J101" i="4"/>
  <c r="U101" i="4" s="1"/>
  <c r="J109" i="4"/>
  <c r="U109" i="4" s="1"/>
  <c r="J117" i="4"/>
  <c r="U117" i="4" s="1"/>
  <c r="AO128" i="4"/>
  <c r="AH128" i="4"/>
  <c r="AN128" i="4" s="1"/>
  <c r="V133" i="4"/>
  <c r="U137" i="4"/>
  <c r="T138" i="4"/>
  <c r="U138" i="4" s="1"/>
  <c r="O139" i="4"/>
  <c r="V156" i="4"/>
  <c r="AC158" i="4"/>
  <c r="AN158" i="4" s="1"/>
  <c r="AO158" i="4"/>
  <c r="AN160" i="4"/>
  <c r="AO168" i="4"/>
  <c r="AH168" i="4"/>
  <c r="V170" i="4"/>
  <c r="U178" i="4"/>
  <c r="AN180" i="4"/>
  <c r="T182" i="4"/>
  <c r="U182" i="4" s="1"/>
  <c r="V182" i="4"/>
  <c r="AN215" i="4"/>
  <c r="AO177" i="4"/>
  <c r="O193" i="4"/>
  <c r="V194" i="4"/>
  <c r="J194" i="4"/>
  <c r="U194" i="4" s="1"/>
  <c r="V197" i="4"/>
  <c r="J197" i="4"/>
  <c r="U197" i="4" s="1"/>
  <c r="AN197" i="4"/>
  <c r="AO200" i="4"/>
  <c r="AM200" i="4"/>
  <c r="AN201" i="4"/>
  <c r="AN206" i="4"/>
  <c r="V212" i="4"/>
  <c r="T216" i="4"/>
  <c r="V225" i="4"/>
  <c r="AN227" i="4"/>
  <c r="V229" i="4"/>
  <c r="J229" i="4"/>
  <c r="U229" i="4" s="1"/>
  <c r="AN229" i="4"/>
  <c r="AN231" i="4"/>
  <c r="AO234" i="4"/>
  <c r="AM234" i="4"/>
  <c r="AN234" i="4" s="1"/>
  <c r="J132" i="4"/>
  <c r="U132" i="4" s="1"/>
  <c r="AO132" i="4"/>
  <c r="J140" i="4"/>
  <c r="U140" i="4" s="1"/>
  <c r="AO140" i="4"/>
  <c r="J148" i="4"/>
  <c r="U148" i="4" s="1"/>
  <c r="AO148" i="4"/>
  <c r="J156" i="4"/>
  <c r="U156" i="4" s="1"/>
  <c r="AO156" i="4"/>
  <c r="J164" i="4"/>
  <c r="U164" i="4" s="1"/>
  <c r="AO164" i="4"/>
  <c r="J172" i="4"/>
  <c r="U172" i="4" s="1"/>
  <c r="AO172" i="4"/>
  <c r="V179" i="4"/>
  <c r="J179" i="4"/>
  <c r="U179" i="4" s="1"/>
  <c r="V189" i="4"/>
  <c r="J189" i="4"/>
  <c r="U189" i="4" s="1"/>
  <c r="AN192" i="4"/>
  <c r="T200" i="4"/>
  <c r="U212" i="4"/>
  <c r="U231" i="4"/>
  <c r="AC179" i="4"/>
  <c r="AN179" i="4" s="1"/>
  <c r="AO179" i="4"/>
  <c r="V202" i="4"/>
  <c r="J202" i="4"/>
  <c r="U202" i="4" s="1"/>
  <c r="V205" i="4"/>
  <c r="J205" i="4"/>
  <c r="U205" i="4" s="1"/>
  <c r="AO208" i="4"/>
  <c r="AM208" i="4"/>
  <c r="AN208" i="4" s="1"/>
  <c r="V226" i="4"/>
  <c r="J226" i="4"/>
  <c r="U226" i="4" s="1"/>
  <c r="O264" i="4"/>
  <c r="V264" i="4"/>
  <c r="V273" i="4"/>
  <c r="J273" i="4"/>
  <c r="U273" i="4" s="1"/>
  <c r="AO130" i="4"/>
  <c r="AO138" i="4"/>
  <c r="J146" i="4"/>
  <c r="U146" i="4" s="1"/>
  <c r="AO146" i="4"/>
  <c r="J154" i="4"/>
  <c r="U154" i="4" s="1"/>
  <c r="AO154" i="4"/>
  <c r="J162" i="4"/>
  <c r="U162" i="4" s="1"/>
  <c r="AO162" i="4"/>
  <c r="J170" i="4"/>
  <c r="U170" i="4" s="1"/>
  <c r="AO170" i="4"/>
  <c r="AM176" i="4"/>
  <c r="AN176" i="4" s="1"/>
  <c r="J181" i="4"/>
  <c r="U181" i="4" s="1"/>
  <c r="V185" i="4"/>
  <c r="AC185" i="4"/>
  <c r="AN185" i="4" s="1"/>
  <c r="U196" i="4"/>
  <c r="O206" i="4"/>
  <c r="AN211" i="4"/>
  <c r="AO214" i="4"/>
  <c r="AH214" i="4"/>
  <c r="AN214" i="4" s="1"/>
  <c r="V216" i="4"/>
  <c r="AC228" i="4"/>
  <c r="AN228" i="4" s="1"/>
  <c r="AO228" i="4"/>
  <c r="J232" i="4"/>
  <c r="U232" i="4" s="1"/>
  <c r="V232" i="4"/>
  <c r="J133" i="4"/>
  <c r="U133" i="4" s="1"/>
  <c r="J141" i="4"/>
  <c r="U141" i="4" s="1"/>
  <c r="J149" i="4"/>
  <c r="U149" i="4" s="1"/>
  <c r="J157" i="4"/>
  <c r="U157" i="4" s="1"/>
  <c r="J165" i="4"/>
  <c r="U165" i="4" s="1"/>
  <c r="J173" i="4"/>
  <c r="U173" i="4" s="1"/>
  <c r="AN182" i="4"/>
  <c r="AO192" i="4"/>
  <c r="AM192" i="4"/>
  <c r="V204" i="4"/>
  <c r="V211" i="4"/>
  <c r="V224" i="4"/>
  <c r="U234" i="4"/>
  <c r="AO252" i="4"/>
  <c r="AM252" i="4"/>
  <c r="J128" i="4"/>
  <c r="U128" i="4" s="1"/>
  <c r="J136" i="4"/>
  <c r="U136" i="4" s="1"/>
  <c r="J144" i="4"/>
  <c r="U144" i="4" s="1"/>
  <c r="J152" i="4"/>
  <c r="U152" i="4" s="1"/>
  <c r="J168" i="4"/>
  <c r="U168" i="4" s="1"/>
  <c r="AO183" i="4"/>
  <c r="V193" i="4"/>
  <c r="AN195" i="4"/>
  <c r="U198" i="4"/>
  <c r="AO198" i="4"/>
  <c r="AH198" i="4"/>
  <c r="AN198" i="4" s="1"/>
  <c r="V200" i="4"/>
  <c r="AM205" i="4"/>
  <c r="AN205" i="4" s="1"/>
  <c r="V210" i="4"/>
  <c r="J210" i="4"/>
  <c r="U210" i="4" s="1"/>
  <c r="V213" i="4"/>
  <c r="J213" i="4"/>
  <c r="U213" i="4" s="1"/>
  <c r="AN213" i="4"/>
  <c r="AC217" i="4"/>
  <c r="AN217" i="4" s="1"/>
  <c r="U228" i="4"/>
  <c r="U230" i="4"/>
  <c r="AO230" i="4"/>
  <c r="AH230" i="4"/>
  <c r="AN230" i="4" s="1"/>
  <c r="J131" i="4"/>
  <c r="U131" i="4" s="1"/>
  <c r="J139" i="4"/>
  <c r="U139" i="4" s="1"/>
  <c r="J147" i="4"/>
  <c r="U147" i="4" s="1"/>
  <c r="J155" i="4"/>
  <c r="U155" i="4" s="1"/>
  <c r="J163" i="4"/>
  <c r="U163" i="4" s="1"/>
  <c r="J171" i="4"/>
  <c r="U171" i="4" s="1"/>
  <c r="V177" i="4"/>
  <c r="J177" i="4"/>
  <c r="U177" i="4" s="1"/>
  <c r="AH182" i="4"/>
  <c r="V184" i="4"/>
  <c r="J184" i="4"/>
  <c r="U184" i="4" s="1"/>
  <c r="AN184" i="4"/>
  <c r="AN187" i="4"/>
  <c r="T192" i="4"/>
  <c r="V195" i="4"/>
  <c r="AO196" i="4"/>
  <c r="AN200" i="4"/>
  <c r="U204" i="4"/>
  <c r="O214" i="4"/>
  <c r="U214" i="4" s="1"/>
  <c r="V217" i="4"/>
  <c r="AN219" i="4"/>
  <c r="U222" i="4"/>
  <c r="AO222" i="4"/>
  <c r="AH222" i="4"/>
  <c r="AN222" i="4" s="1"/>
  <c r="AN225" i="4"/>
  <c r="O228" i="4"/>
  <c r="V228" i="4"/>
  <c r="AO231" i="4"/>
  <c r="O240" i="4"/>
  <c r="U240" i="4" s="1"/>
  <c r="AO250" i="4"/>
  <c r="AH250" i="4"/>
  <c r="AO260" i="4"/>
  <c r="AM260" i="4"/>
  <c r="AN260" i="4" s="1"/>
  <c r="AN261" i="4"/>
  <c r="U264" i="4"/>
  <c r="O272" i="4"/>
  <c r="V272" i="4"/>
  <c r="AN273" i="4"/>
  <c r="AN275" i="4"/>
  <c r="T276" i="4"/>
  <c r="AN241" i="4"/>
  <c r="AO244" i="4"/>
  <c r="AM244" i="4"/>
  <c r="O256" i="4"/>
  <c r="U256" i="4" s="1"/>
  <c r="V256" i="4"/>
  <c r="V265" i="4"/>
  <c r="J265" i="4"/>
  <c r="U265" i="4" s="1"/>
  <c r="U296" i="4"/>
  <c r="AO189" i="4"/>
  <c r="AO197" i="4"/>
  <c r="AO235" i="4"/>
  <c r="AM236" i="4"/>
  <c r="AN236" i="4" s="1"/>
  <c r="T237" i="4"/>
  <c r="V241" i="4"/>
  <c r="J241" i="4"/>
  <c r="U241" i="4" s="1"/>
  <c r="O248" i="4"/>
  <c r="U248" i="4" s="1"/>
  <c r="V248" i="4"/>
  <c r="T252" i="4"/>
  <c r="V257" i="4"/>
  <c r="J257" i="4"/>
  <c r="U257" i="4" s="1"/>
  <c r="O261" i="4"/>
  <c r="U261" i="4" s="1"/>
  <c r="V262" i="4"/>
  <c r="V263" i="4"/>
  <c r="AC341" i="4"/>
  <c r="AN341" i="4" s="1"/>
  <c r="AO341" i="4"/>
  <c r="J192" i="4"/>
  <c r="J200" i="4"/>
  <c r="U200" i="4" s="1"/>
  <c r="J208" i="4"/>
  <c r="U208" i="4" s="1"/>
  <c r="J216" i="4"/>
  <c r="J224" i="4"/>
  <c r="U224" i="4" s="1"/>
  <c r="J233" i="4"/>
  <c r="U233" i="4" s="1"/>
  <c r="V234" i="4"/>
  <c r="V240" i="4"/>
  <c r="V249" i="4"/>
  <c r="J249" i="4"/>
  <c r="U249" i="4" s="1"/>
  <c r="V255" i="4"/>
  <c r="U259" i="4"/>
  <c r="AC272" i="4"/>
  <c r="AN272" i="4" s="1"/>
  <c r="AO272" i="4"/>
  <c r="V276" i="4"/>
  <c r="AO279" i="4"/>
  <c r="AC279" i="4"/>
  <c r="AN279" i="4" s="1"/>
  <c r="J187" i="4"/>
  <c r="U187" i="4" s="1"/>
  <c r="AO187" i="4"/>
  <c r="J195" i="4"/>
  <c r="U195" i="4" s="1"/>
  <c r="AO195" i="4"/>
  <c r="J203" i="4"/>
  <c r="U203" i="4" s="1"/>
  <c r="AO203" i="4"/>
  <c r="J211" i="4"/>
  <c r="U211" i="4" s="1"/>
  <c r="AO211" i="4"/>
  <c r="J219" i="4"/>
  <c r="U219" i="4" s="1"/>
  <c r="AO219" i="4"/>
  <c r="J227" i="4"/>
  <c r="U227" i="4" s="1"/>
  <c r="AO227" i="4"/>
  <c r="V236" i="4"/>
  <c r="V238" i="4"/>
  <c r="AO238" i="4"/>
  <c r="O245" i="4"/>
  <c r="V246" i="4"/>
  <c r="V247" i="4"/>
  <c r="U251" i="4"/>
  <c r="AC264" i="4"/>
  <c r="AN264" i="4" s="1"/>
  <c r="AO264" i="4"/>
  <c r="AN266" i="4"/>
  <c r="V268" i="4"/>
  <c r="AO274" i="4"/>
  <c r="AH274" i="4"/>
  <c r="AN274" i="4" s="1"/>
  <c r="AN276" i="4"/>
  <c r="V312" i="4"/>
  <c r="V237" i="4"/>
  <c r="AO237" i="4"/>
  <c r="V239" i="4"/>
  <c r="J239" i="4"/>
  <c r="U239" i="4" s="1"/>
  <c r="V242" i="4"/>
  <c r="AN252" i="4"/>
  <c r="AC256" i="4"/>
  <c r="AN256" i="4" s="1"/>
  <c r="AO256" i="4"/>
  <c r="AN258" i="4"/>
  <c r="V260" i="4"/>
  <c r="AO266" i="4"/>
  <c r="AH266" i="4"/>
  <c r="AO276" i="4"/>
  <c r="AM276" i="4"/>
  <c r="AN277" i="4"/>
  <c r="V279" i="4"/>
  <c r="J279" i="4"/>
  <c r="U279" i="4" s="1"/>
  <c r="J185" i="4"/>
  <c r="U185" i="4" s="1"/>
  <c r="J193" i="4"/>
  <c r="U193" i="4" s="1"/>
  <c r="J201" i="4"/>
  <c r="U201" i="4" s="1"/>
  <c r="J209" i="4"/>
  <c r="U209" i="4" s="1"/>
  <c r="J217" i="4"/>
  <c r="U217" i="4" s="1"/>
  <c r="J225" i="4"/>
  <c r="U225" i="4" s="1"/>
  <c r="O236" i="4"/>
  <c r="U236" i="4" s="1"/>
  <c r="AC237" i="4"/>
  <c r="AN237" i="4" s="1"/>
  <c r="O238" i="4"/>
  <c r="U238" i="4" s="1"/>
  <c r="AO242" i="4"/>
  <c r="AH242" i="4"/>
  <c r="AN242" i="4" s="1"/>
  <c r="AN244" i="4"/>
  <c r="AC248" i="4"/>
  <c r="AN248" i="4" s="1"/>
  <c r="AO248" i="4"/>
  <c r="AN250" i="4"/>
  <c r="V252" i="4"/>
  <c r="AO258" i="4"/>
  <c r="AH258" i="4"/>
  <c r="AO268" i="4"/>
  <c r="AM268" i="4"/>
  <c r="AN268" i="4" s="1"/>
  <c r="AN269" i="4"/>
  <c r="U272" i="4"/>
  <c r="V277" i="4"/>
  <c r="AO287" i="4"/>
  <c r="AC287" i="4"/>
  <c r="AN287" i="4" s="1"/>
  <c r="U309" i="4"/>
  <c r="V278" i="4"/>
  <c r="V282" i="4"/>
  <c r="V283" i="4"/>
  <c r="J283" i="4"/>
  <c r="U283" i="4" s="1"/>
  <c r="V284" i="4"/>
  <c r="AC285" i="4"/>
  <c r="AN285" i="4" s="1"/>
  <c r="AO285" i="4"/>
  <c r="AN290" i="4"/>
  <c r="AN297" i="4"/>
  <c r="U300" i="4"/>
  <c r="U304" i="4"/>
  <c r="U311" i="4"/>
  <c r="AO315" i="4"/>
  <c r="AM315" i="4"/>
  <c r="AN315" i="4" s="1"/>
  <c r="V318" i="4"/>
  <c r="J318" i="4"/>
  <c r="U318" i="4" s="1"/>
  <c r="U320" i="4"/>
  <c r="U322" i="4"/>
  <c r="O338" i="4"/>
  <c r="U340" i="4"/>
  <c r="J246" i="4"/>
  <c r="U246" i="4" s="1"/>
  <c r="J254" i="4"/>
  <c r="U254" i="4" s="1"/>
  <c r="J262" i="4"/>
  <c r="U262" i="4" s="1"/>
  <c r="J270" i="4"/>
  <c r="U270" i="4" s="1"/>
  <c r="J278" i="4"/>
  <c r="U278" i="4" s="1"/>
  <c r="T291" i="4"/>
  <c r="V294" i="4"/>
  <c r="J294" i="4"/>
  <c r="U294" i="4" s="1"/>
  <c r="V296" i="4"/>
  <c r="V300" i="4"/>
  <c r="AC301" i="4"/>
  <c r="AN301" i="4" s="1"/>
  <c r="AO301" i="4"/>
  <c r="AO303" i="4"/>
  <c r="AC303" i="4"/>
  <c r="AN303" i="4" s="1"/>
  <c r="V310" i="4"/>
  <c r="J310" i="4"/>
  <c r="U310" i="4" s="1"/>
  <c r="AC325" i="4"/>
  <c r="AN325" i="4" s="1"/>
  <c r="AO325" i="4"/>
  <c r="V334" i="4"/>
  <c r="J334" i="4"/>
  <c r="U334" i="4" s="1"/>
  <c r="AO241" i="4"/>
  <c r="AO249" i="4"/>
  <c r="AO257" i="4"/>
  <c r="AO265" i="4"/>
  <c r="AO273" i="4"/>
  <c r="AC278" i="4"/>
  <c r="AN278" i="4" s="1"/>
  <c r="V299" i="4"/>
  <c r="J299" i="4"/>
  <c r="U299" i="4" s="1"/>
  <c r="T307" i="4"/>
  <c r="AO319" i="4"/>
  <c r="AC319" i="4"/>
  <c r="AN319" i="4" s="1"/>
  <c r="V323" i="4"/>
  <c r="V336" i="4"/>
  <c r="AO337" i="4"/>
  <c r="AH337" i="4"/>
  <c r="AN337" i="4" s="1"/>
  <c r="AO343" i="4"/>
  <c r="AC343" i="4"/>
  <c r="AN343" i="4" s="1"/>
  <c r="J244" i="4"/>
  <c r="U244" i="4" s="1"/>
  <c r="J252" i="4"/>
  <c r="U252" i="4" s="1"/>
  <c r="J260" i="4"/>
  <c r="U260" i="4" s="1"/>
  <c r="J268" i="4"/>
  <c r="U268" i="4" s="1"/>
  <c r="J276" i="4"/>
  <c r="U276" i="4" s="1"/>
  <c r="V289" i="4"/>
  <c r="AN305" i="4"/>
  <c r="AC317" i="4"/>
  <c r="AN317" i="4" s="1"/>
  <c r="AO317" i="4"/>
  <c r="V321" i="4"/>
  <c r="AO327" i="4"/>
  <c r="AC327" i="4"/>
  <c r="AN327" i="4" s="1"/>
  <c r="AO331" i="4"/>
  <c r="AC333" i="4"/>
  <c r="AN333" i="4" s="1"/>
  <c r="AO333" i="4"/>
  <c r="AO239" i="4"/>
  <c r="J247" i="4"/>
  <c r="U247" i="4" s="1"/>
  <c r="AO247" i="4"/>
  <c r="J255" i="4"/>
  <c r="U255" i="4" s="1"/>
  <c r="AO255" i="4"/>
  <c r="J263" i="4"/>
  <c r="U263" i="4" s="1"/>
  <c r="AO263" i="4"/>
  <c r="J271" i="4"/>
  <c r="U271" i="4" s="1"/>
  <c r="AO271" i="4"/>
  <c r="AC281" i="4"/>
  <c r="AN281" i="4" s="1"/>
  <c r="AO281" i="4"/>
  <c r="V286" i="4"/>
  <c r="J286" i="4"/>
  <c r="U286" i="4" s="1"/>
  <c r="AN286" i="4"/>
  <c r="V288" i="4"/>
  <c r="O292" i="4"/>
  <c r="U292" i="4" s="1"/>
  <c r="AN298" i="4"/>
  <c r="V305" i="4"/>
  <c r="O308" i="4"/>
  <c r="U308" i="4" s="1"/>
  <c r="V317" i="4"/>
  <c r="AN329" i="4"/>
  <c r="V331" i="4"/>
  <c r="V333" i="4"/>
  <c r="AO339" i="4"/>
  <c r="AM339" i="4"/>
  <c r="AN339" i="4" s="1"/>
  <c r="J242" i="4"/>
  <c r="U242" i="4" s="1"/>
  <c r="J250" i="4"/>
  <c r="U250" i="4" s="1"/>
  <c r="J258" i="4"/>
  <c r="U258" i="4" s="1"/>
  <c r="J266" i="4"/>
  <c r="U266" i="4" s="1"/>
  <c r="J274" i="4"/>
  <c r="U274" i="4" s="1"/>
  <c r="V281" i="4"/>
  <c r="AN288" i="4"/>
  <c r="V290" i="4"/>
  <c r="V291" i="4"/>
  <c r="J291" i="4"/>
  <c r="U291" i="4" s="1"/>
  <c r="AC293" i="4"/>
  <c r="AN293" i="4" s="1"/>
  <c r="AO293" i="4"/>
  <c r="AO295" i="4"/>
  <c r="AC295" i="4"/>
  <c r="AN295" i="4" s="1"/>
  <c r="AN300" i="4"/>
  <c r="V302" i="4"/>
  <c r="J302" i="4"/>
  <c r="U302" i="4" s="1"/>
  <c r="AN302" i="4"/>
  <c r="AC309" i="4"/>
  <c r="AN309" i="4" s="1"/>
  <c r="AO309" i="4"/>
  <c r="V311" i="4"/>
  <c r="AO311" i="4"/>
  <c r="AC311" i="4"/>
  <c r="AN311" i="4" s="1"/>
  <c r="AN313" i="4"/>
  <c r="V315" i="4"/>
  <c r="AN324" i="4"/>
  <c r="U327" i="4"/>
  <c r="V335" i="4"/>
  <c r="AO335" i="4"/>
  <c r="AC335" i="4"/>
  <c r="AN335" i="4" s="1"/>
  <c r="AN338" i="4"/>
  <c r="AN340" i="4"/>
  <c r="AN342" i="4"/>
  <c r="J237" i="4"/>
  <c r="U237" i="4" s="1"/>
  <c r="J245" i="4"/>
  <c r="U245" i="4" s="1"/>
  <c r="J253" i="4"/>
  <c r="U253" i="4" s="1"/>
  <c r="J269" i="4"/>
  <c r="U269" i="4" s="1"/>
  <c r="J277" i="4"/>
  <c r="U277" i="4" s="1"/>
  <c r="O284" i="4"/>
  <c r="U284" i="4" s="1"/>
  <c r="V293" i="4"/>
  <c r="V295" i="4"/>
  <c r="T299" i="4"/>
  <c r="AN304" i="4"/>
  <c r="V306" i="4"/>
  <c r="V307" i="4"/>
  <c r="J307" i="4"/>
  <c r="U307" i="4" s="1"/>
  <c r="V309" i="4"/>
  <c r="V313" i="4"/>
  <c r="AN318" i="4"/>
  <c r="AN320" i="4"/>
  <c r="AN322" i="4"/>
  <c r="T323" i="4"/>
  <c r="V324" i="4"/>
  <c r="V326" i="4"/>
  <c r="J326" i="4"/>
  <c r="U326" i="4" s="1"/>
  <c r="AN326" i="4"/>
  <c r="V329" i="4"/>
  <c r="T337" i="4"/>
  <c r="U337" i="4" s="1"/>
  <c r="U338" i="4"/>
  <c r="V340" i="4"/>
  <c r="V342" i="4"/>
  <c r="J342" i="4"/>
  <c r="U342" i="4" s="1"/>
  <c r="J285" i="4"/>
  <c r="U285" i="4" s="1"/>
  <c r="J293" i="4"/>
  <c r="U293" i="4" s="1"/>
  <c r="J301" i="4"/>
  <c r="U301" i="4" s="1"/>
  <c r="J325" i="4"/>
  <c r="U325" i="4" s="1"/>
  <c r="J333" i="4"/>
  <c r="U333" i="4" s="1"/>
  <c r="AO283" i="4"/>
  <c r="AO291" i="4"/>
  <c r="AO299" i="4"/>
  <c r="AO307" i="4"/>
  <c r="J315" i="4"/>
  <c r="U315" i="4" s="1"/>
  <c r="J323" i="4"/>
  <c r="U323" i="4" s="1"/>
  <c r="AO323" i="4"/>
  <c r="J331" i="4"/>
  <c r="U331" i="4" s="1"/>
  <c r="J339" i="4"/>
  <c r="U339" i="4" s="1"/>
  <c r="AO310" i="4"/>
  <c r="AO318" i="4"/>
  <c r="AO326" i="4"/>
  <c r="AO334" i="4"/>
  <c r="AO342" i="4"/>
  <c r="J281" i="4"/>
  <c r="U281" i="4" s="1"/>
  <c r="J289" i="4"/>
  <c r="U289" i="4" s="1"/>
  <c r="AO289" i="4"/>
  <c r="J297" i="4"/>
  <c r="U297" i="4" s="1"/>
  <c r="AO297" i="4"/>
  <c r="J305" i="4"/>
  <c r="U305" i="4" s="1"/>
  <c r="AO305" i="4"/>
  <c r="J313" i="4"/>
  <c r="U313" i="4" s="1"/>
  <c r="AO313" i="4"/>
  <c r="J321" i="4"/>
  <c r="U321" i="4" s="1"/>
  <c r="AO321" i="4"/>
  <c r="J329" i="4"/>
  <c r="U329" i="4" s="1"/>
  <c r="AO329" i="4"/>
  <c r="J316" i="4"/>
  <c r="U316" i="4" s="1"/>
  <c r="J324" i="4"/>
  <c r="U324" i="4" s="1"/>
  <c r="J287" i="4"/>
  <c r="U287" i="4" s="1"/>
  <c r="J295" i="4"/>
  <c r="U295" i="4" s="1"/>
  <c r="J303" i="4"/>
  <c r="U303" i="4" s="1"/>
  <c r="J319" i="4"/>
  <c r="U319" i="4" s="1"/>
  <c r="J335" i="4"/>
  <c r="U335" i="4" s="1"/>
  <c r="J343" i="4"/>
  <c r="U343" i="4" s="1"/>
  <c r="U216" i="4" l="1"/>
  <c r="U130" i="4"/>
  <c r="U8" i="4"/>
  <c r="U33" i="4"/>
  <c r="BN16" i="4"/>
  <c r="BW16" i="4" s="1"/>
  <c r="U350" i="4"/>
  <c r="U349" i="4"/>
  <c r="U348" i="4"/>
  <c r="U347" i="4"/>
  <c r="BV16" i="4"/>
  <c r="U192" i="4"/>
  <c r="U124" i="4"/>
  <c r="U79" i="4"/>
  <c r="BW9" i="4"/>
  <c r="BH16" i="4"/>
  <c r="V348" i="4" l="1"/>
  <c r="V347" i="4"/>
</calcChain>
</file>

<file path=xl/sharedStrings.xml><?xml version="1.0" encoding="utf-8"?>
<sst xmlns="http://schemas.openxmlformats.org/spreadsheetml/2006/main" count="18337" uniqueCount="877">
  <si>
    <t>Departamento</t>
  </si>
  <si>
    <t>Municipio</t>
  </si>
  <si>
    <t>MUN_DEP</t>
  </si>
  <si>
    <t>CLASE DE VEHÍCULO</t>
  </si>
  <si>
    <t>Con gasolina</t>
  </si>
  <si>
    <t>Con diesel</t>
  </si>
  <si>
    <t>Con gas</t>
  </si>
  <si>
    <t>Bolivia</t>
  </si>
  <si>
    <t>TOTAL</t>
  </si>
  <si>
    <t>Chuquisaca</t>
  </si>
  <si>
    <t>Alcalá</t>
  </si>
  <si>
    <t>Camión</t>
  </si>
  <si>
    <t>Vagoneta</t>
  </si>
  <si>
    <t>Camargo</t>
  </si>
  <si>
    <t>Ambulancia(3)</t>
  </si>
  <si>
    <t>Automóvil</t>
  </si>
  <si>
    <t>Bus(1)</t>
  </si>
  <si>
    <t>Camioneta</t>
  </si>
  <si>
    <t>Jeep</t>
  </si>
  <si>
    <t>Microbús</t>
  </si>
  <si>
    <t>Minibús</t>
  </si>
  <si>
    <t>Moto</t>
  </si>
  <si>
    <t>Culpina</t>
  </si>
  <si>
    <t>El Villar</t>
  </si>
  <si>
    <t>Incahuasi</t>
  </si>
  <si>
    <t>Las Carreras</t>
  </si>
  <si>
    <t>Macharetí</t>
  </si>
  <si>
    <t>Padilla</t>
  </si>
  <si>
    <t>Tracto - Camión</t>
  </si>
  <si>
    <t>Poroma</t>
  </si>
  <si>
    <t>San Lucas</t>
  </si>
  <si>
    <t>Furgón</t>
  </si>
  <si>
    <t>San Pablo de Huacareta</t>
  </si>
  <si>
    <t>Sopachuy</t>
  </si>
  <si>
    <t>Sucre</t>
  </si>
  <si>
    <t>Maquinaria pesada(2)</t>
  </si>
  <si>
    <t>Quadra-Trac</t>
  </si>
  <si>
    <t>Torpedo</t>
  </si>
  <si>
    <t>Tarabuco</t>
  </si>
  <si>
    <t>Villa Abecia (Camataqui)</t>
  </si>
  <si>
    <t>Villa Arias (Tarvita)</t>
  </si>
  <si>
    <t>Villa Azurduy</t>
  </si>
  <si>
    <t>Villa Mojocoya</t>
  </si>
  <si>
    <t>Villa Monteagudo</t>
  </si>
  <si>
    <t>Villa R. Mujía (Icla)</t>
  </si>
  <si>
    <t>Villa Serrano</t>
  </si>
  <si>
    <t>Villa Tomina</t>
  </si>
  <si>
    <t>Villa Vaca Guzmán (Muyupampa)</t>
  </si>
  <si>
    <t>Villa Zudáñez (Tacopaya)</t>
  </si>
  <si>
    <t>Yamparáez</t>
  </si>
  <si>
    <t>Yotala</t>
  </si>
  <si>
    <t>La Paz</t>
  </si>
  <si>
    <t>Achacachi</t>
  </si>
  <si>
    <t>Ambulancia(2)</t>
  </si>
  <si>
    <t>Achocalla</t>
  </si>
  <si>
    <t>Maquinaria pesada(3)</t>
  </si>
  <si>
    <t>Alto Beni</t>
  </si>
  <si>
    <t>Ayata</t>
  </si>
  <si>
    <t>Ayo Ayo</t>
  </si>
  <si>
    <t>Batallas</t>
  </si>
  <si>
    <t>Calacoto</t>
  </si>
  <si>
    <t>Calamarca</t>
  </si>
  <si>
    <t>Caquiaviri</t>
  </si>
  <si>
    <t>Caranavi</t>
  </si>
  <si>
    <t>Charaña</t>
  </si>
  <si>
    <t>Chulumani</t>
  </si>
  <si>
    <t>Chuma</t>
  </si>
  <si>
    <t>Collana</t>
  </si>
  <si>
    <t>Colquencha</t>
  </si>
  <si>
    <t>Colquiri</t>
  </si>
  <si>
    <t>Copacabana</t>
  </si>
  <si>
    <t>Coro Coro</t>
  </si>
  <si>
    <t>Coroico</t>
  </si>
  <si>
    <t>Desaguadero</t>
  </si>
  <si>
    <t>El Alto</t>
  </si>
  <si>
    <t>Trimoviles</t>
  </si>
  <si>
    <t>Gral. Pérez (Charazani)</t>
  </si>
  <si>
    <t>Guanay</t>
  </si>
  <si>
    <t>Guaqui</t>
  </si>
  <si>
    <t>Huarina</t>
  </si>
  <si>
    <t>Huatajata</t>
  </si>
  <si>
    <t>Inquisivi</t>
  </si>
  <si>
    <t>Irupana</t>
  </si>
  <si>
    <t>Jesús de Machaca</t>
  </si>
  <si>
    <t>Trimóvil - Camión</t>
  </si>
  <si>
    <t>Laja</t>
  </si>
  <si>
    <t>Luribay</t>
  </si>
  <si>
    <t>Mecapaca</t>
  </si>
  <si>
    <t>Moco Moco</t>
  </si>
  <si>
    <t>Palca</t>
  </si>
  <si>
    <t>Palos Blancos</t>
  </si>
  <si>
    <t>Patacamaya</t>
  </si>
  <si>
    <t>Pucarani</t>
  </si>
  <si>
    <t>Puerto Acosta</t>
  </si>
  <si>
    <t>Puerto Mayor Carabuco Ch.</t>
  </si>
  <si>
    <t>Quime</t>
  </si>
  <si>
    <t>Santiago de Huata</t>
  </si>
  <si>
    <t>Sapahaqui</t>
  </si>
  <si>
    <t>Sica Sica</t>
  </si>
  <si>
    <t>Sorata</t>
  </si>
  <si>
    <t>Tacacoma</t>
  </si>
  <si>
    <t>Taraco</t>
  </si>
  <si>
    <t>Tihuanacu</t>
  </si>
  <si>
    <t>Umala</t>
  </si>
  <si>
    <t>Viacha</t>
  </si>
  <si>
    <t>Cochabamba</t>
  </si>
  <si>
    <t>Aiquile</t>
  </si>
  <si>
    <t>Alalay</t>
  </si>
  <si>
    <t>Anzaldo</t>
  </si>
  <si>
    <t>Arani</t>
  </si>
  <si>
    <t>Arbieto</t>
  </si>
  <si>
    <t>Arque</t>
  </si>
  <si>
    <t>Bolívar</t>
  </si>
  <si>
    <t>Capinota</t>
  </si>
  <si>
    <t>Chimoré</t>
  </si>
  <si>
    <t>Maquinaria pesada(4)</t>
  </si>
  <si>
    <t>Cliza</t>
  </si>
  <si>
    <t>Cocapata</t>
  </si>
  <si>
    <t>Colcapirhua</t>
  </si>
  <si>
    <t>Colomi</t>
  </si>
  <si>
    <t>Entre Ríos</t>
  </si>
  <si>
    <t>Independencia (Ayopaya)</t>
  </si>
  <si>
    <t>Mizque</t>
  </si>
  <si>
    <t>Morochata</t>
  </si>
  <si>
    <t>Omereque</t>
  </si>
  <si>
    <t>Pasorapa</t>
  </si>
  <si>
    <t>Pocona</t>
  </si>
  <si>
    <t>Pojo</t>
  </si>
  <si>
    <t>Puerto Villarroel</t>
  </si>
  <si>
    <t>Punata</t>
  </si>
  <si>
    <t>Quillacollo</t>
  </si>
  <si>
    <t>Sacaba</t>
  </si>
  <si>
    <t>Sacabamba</t>
  </si>
  <si>
    <t>San Benito</t>
  </si>
  <si>
    <t>Santiváñez</t>
  </si>
  <si>
    <t>Shinahota</t>
  </si>
  <si>
    <t>Sipe Sipe</t>
  </si>
  <si>
    <t>Tacopaya</t>
  </si>
  <si>
    <t>Tapacarí</t>
  </si>
  <si>
    <t>Tarata</t>
  </si>
  <si>
    <t>Tiquipaya</t>
  </si>
  <si>
    <t>Tiraque</t>
  </si>
  <si>
    <t>Toco</t>
  </si>
  <si>
    <t>Tolata</t>
  </si>
  <si>
    <t>Totora</t>
  </si>
  <si>
    <t>Vacas</t>
  </si>
  <si>
    <t>Vila Vila</t>
  </si>
  <si>
    <t>Villa Rivero</t>
  </si>
  <si>
    <t>Tracto-camión</t>
  </si>
  <si>
    <t>Villa Tunari</t>
  </si>
  <si>
    <t>Vinto</t>
  </si>
  <si>
    <t>Oruro</t>
  </si>
  <si>
    <t>Andamarca</t>
  </si>
  <si>
    <t>Belén de Andamarca</t>
  </si>
  <si>
    <t>Caracollo</t>
  </si>
  <si>
    <t>Carangas</t>
  </si>
  <si>
    <t>Challapata</t>
  </si>
  <si>
    <t>Chipaya</t>
  </si>
  <si>
    <t>Coipasa</t>
  </si>
  <si>
    <t>Corque</t>
  </si>
  <si>
    <t>Cruz de Machamarca</t>
  </si>
  <si>
    <t>Curahuara de Carangas</t>
  </si>
  <si>
    <t>Escara</t>
  </si>
  <si>
    <t>Esmeralda</t>
  </si>
  <si>
    <t>Eucaliptus</t>
  </si>
  <si>
    <t>Ómnibus</t>
  </si>
  <si>
    <t>Huachacalla</t>
  </si>
  <si>
    <t>La Riviera</t>
  </si>
  <si>
    <t>Machacamarca</t>
  </si>
  <si>
    <t>Pampa Aullagas</t>
  </si>
  <si>
    <t>Pazña</t>
  </si>
  <si>
    <t>Poopo</t>
  </si>
  <si>
    <t>Quillacas</t>
  </si>
  <si>
    <t>Sabaya</t>
  </si>
  <si>
    <t>Salinas de Garci Mendoza</t>
  </si>
  <si>
    <t>San Pedro de Totora</t>
  </si>
  <si>
    <t>Santiago de Andamarca</t>
  </si>
  <si>
    <t>Santiago de Huallamarca</t>
  </si>
  <si>
    <t>Santiago de Huari</t>
  </si>
  <si>
    <t>Soracachi</t>
  </si>
  <si>
    <t>Toledo</t>
  </si>
  <si>
    <t>Turco</t>
  </si>
  <si>
    <t>Villa Huanuni</t>
  </si>
  <si>
    <t>Potosí</t>
  </si>
  <si>
    <t>Acasio</t>
  </si>
  <si>
    <t>Atocha</t>
  </si>
  <si>
    <t>Belen de Urmiri</t>
  </si>
  <si>
    <t>Betanzos</t>
  </si>
  <si>
    <t>Caiza</t>
  </si>
  <si>
    <t>Caripuyo</t>
  </si>
  <si>
    <t>Chaqui</t>
  </si>
  <si>
    <t>Chayanta</t>
  </si>
  <si>
    <t>Colcha (Villa Martín)</t>
  </si>
  <si>
    <t>Colquechaca</t>
  </si>
  <si>
    <t>Cotagaita</t>
  </si>
  <si>
    <t>Llallagua</t>
  </si>
  <si>
    <t>Llica</t>
  </si>
  <si>
    <t>Ocuri</t>
  </si>
  <si>
    <t>Pocoata</t>
  </si>
  <si>
    <t>Porco</t>
  </si>
  <si>
    <t>Puna</t>
  </si>
  <si>
    <t>Ravelo</t>
  </si>
  <si>
    <t>San Antonio de Esmoruco</t>
  </si>
  <si>
    <t>San Pedro de Buena Vista</t>
  </si>
  <si>
    <t>Tahua</t>
  </si>
  <si>
    <t>Tinquipaya</t>
  </si>
  <si>
    <t>Tomave</t>
  </si>
  <si>
    <t>Tupiza</t>
  </si>
  <si>
    <t>Uncía</t>
  </si>
  <si>
    <t>Uyuni</t>
  </si>
  <si>
    <t>Villazón</t>
  </si>
  <si>
    <t>Vitichi</t>
  </si>
  <si>
    <t>Yocalla</t>
  </si>
  <si>
    <t>Tarija</t>
  </si>
  <si>
    <t>Bermejo</t>
  </si>
  <si>
    <t>Caraparí</t>
  </si>
  <si>
    <t>El Puente - Tarija</t>
  </si>
  <si>
    <t>La Moreta (Entre Ríos)</t>
  </si>
  <si>
    <t>Padcaya</t>
  </si>
  <si>
    <t>San Lorenzo</t>
  </si>
  <si>
    <t>Uriondo (Concepción)</t>
  </si>
  <si>
    <t>Villamontes</t>
  </si>
  <si>
    <t>Yacuiba</t>
  </si>
  <si>
    <t>Yunchará</t>
  </si>
  <si>
    <t>Santa Cruz</t>
  </si>
  <si>
    <t>Asunción de Guarayos</t>
  </si>
  <si>
    <t>Boyuibe</t>
  </si>
  <si>
    <t>Buena Vista</t>
  </si>
  <si>
    <t>Cabezas</t>
  </si>
  <si>
    <t>Camiri</t>
  </si>
  <si>
    <t>Charagua</t>
  </si>
  <si>
    <t>Colpa Bélgica</t>
  </si>
  <si>
    <t>Comarapa</t>
  </si>
  <si>
    <t>Concepción</t>
  </si>
  <si>
    <t>Cotoca</t>
  </si>
  <si>
    <t>Cuatro Cañadas</t>
  </si>
  <si>
    <t>Cuevo</t>
  </si>
  <si>
    <t>El Torno</t>
  </si>
  <si>
    <t>Fernández Alonso</t>
  </si>
  <si>
    <t>Gral. Saavedra</t>
  </si>
  <si>
    <t>Gutiérrez</t>
  </si>
  <si>
    <t>La Guardia</t>
  </si>
  <si>
    <t>Lagunillas</t>
  </si>
  <si>
    <t>Mairana</t>
  </si>
  <si>
    <t>Mineros</t>
  </si>
  <si>
    <t>Montero</t>
  </si>
  <si>
    <t>Moromoro</t>
  </si>
  <si>
    <t>Okinawa</t>
  </si>
  <si>
    <t>Pailón</t>
  </si>
  <si>
    <t>Pampa Grande</t>
  </si>
  <si>
    <t>Porongo (Ayacucho)</t>
  </si>
  <si>
    <t>Portachuelo</t>
  </si>
  <si>
    <t>Puerto Quijarro</t>
  </si>
  <si>
    <t>Puerto Suárez</t>
  </si>
  <si>
    <t>Roboré</t>
  </si>
  <si>
    <t>Saipina</t>
  </si>
  <si>
    <t>Samaipata</t>
  </si>
  <si>
    <t>San Carlos</t>
  </si>
  <si>
    <t>San Ignacio (Santa Cruz)</t>
  </si>
  <si>
    <t>San Javier (SCZ)</t>
  </si>
  <si>
    <t>San José</t>
  </si>
  <si>
    <t>San Juan</t>
  </si>
  <si>
    <t>San Julián</t>
  </si>
  <si>
    <t>San Matías</t>
  </si>
  <si>
    <t>San Miguel</t>
  </si>
  <si>
    <t>San Pedro</t>
  </si>
  <si>
    <t>San Ramón</t>
  </si>
  <si>
    <t>Santa Cruz de la Sierra</t>
  </si>
  <si>
    <t>Santa Rosa del Sara</t>
  </si>
  <si>
    <t>Trigal</t>
  </si>
  <si>
    <t>Urubichá</t>
  </si>
  <si>
    <t>Vallegrande</t>
  </si>
  <si>
    <t>Warnes</t>
  </si>
  <si>
    <t>Yapacaní</t>
  </si>
  <si>
    <t>Beni</t>
  </si>
  <si>
    <t>Puerto Guayaramerín</t>
  </si>
  <si>
    <t>Puerto Rurrenabaque</t>
  </si>
  <si>
    <t>Riberalta</t>
  </si>
  <si>
    <t>San Borja</t>
  </si>
  <si>
    <t>San Ignacio (Beni)</t>
  </si>
  <si>
    <t>San Javier (Trinidad)</t>
  </si>
  <si>
    <t>San Joaquín</t>
  </si>
  <si>
    <t>Santa Ana del Yacuma</t>
  </si>
  <si>
    <t>Trinidad</t>
  </si>
  <si>
    <t>Pando</t>
  </si>
  <si>
    <t>Cobija</t>
  </si>
  <si>
    <t>Bus(2)</t>
  </si>
  <si>
    <t>Minibus</t>
  </si>
  <si>
    <t>Ambulancia(1)</t>
  </si>
  <si>
    <t>Trimóvil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</si>
  <si>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</si>
  <si>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</si>
  <si>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Quadratrack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</si>
  <si>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</si>
  <si>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</si>
  <si>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</si>
  <si>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</si>
  <si>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t>Ancoraimes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</si>
  <si>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</si>
  <si>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Apolo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</si>
  <si>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</si>
  <si>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</si>
  <si>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</si>
  <si>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</si>
  <si>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Cairoma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</si>
  <si>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</si>
  <si>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</si>
  <si>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Cajuata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</si>
  <si>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</si>
  <si>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Furgoneta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</si>
  <si>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</si>
  <si>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</si>
  <si>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</si>
  <si>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</si>
  <si>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</si>
  <si>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t>Micro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</si>
  <si>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</si>
  <si>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Omnibus</t>
  </si>
  <si>
    <t>Tracto-Camion</t>
  </si>
  <si>
    <t>Chua Cocani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</si>
  <si>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</si>
  <si>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</si>
  <si>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</si>
  <si>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</si>
  <si>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</si>
  <si>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</si>
  <si>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</si>
  <si>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</si>
  <si>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Combaya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</si>
  <si>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</si>
  <si>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</si>
  <si>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</si>
  <si>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</si>
  <si>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</si>
  <si>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Coripata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</si>
  <si>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</si>
  <si>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</si>
  <si>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</si>
  <si>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</si>
  <si>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Escoma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</si>
  <si>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</si>
  <si>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</si>
  <si>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</si>
  <si>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</si>
  <si>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</si>
  <si>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</si>
  <si>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Humanata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</si>
  <si>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</si>
  <si>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</si>
  <si>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</si>
  <si>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</si>
  <si>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</si>
  <si>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</si>
  <si>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t>Ixiamas</t>
  </si>
  <si>
    <t>La Asunta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</si>
  <si>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</si>
  <si>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</si>
  <si>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</si>
  <si>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</si>
  <si>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</si>
  <si>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</si>
  <si>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</si>
  <si>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</si>
  <si>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</si>
  <si>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</si>
  <si>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</si>
  <si>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</si>
  <si>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</si>
  <si>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</si>
  <si>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t>Papel Pampa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</si>
  <si>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</si>
  <si>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</si>
  <si>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</si>
  <si>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Pelechuco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</si>
  <si>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</si>
  <si>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</si>
  <si>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</si>
  <si>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</si>
  <si>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</si>
  <si>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</si>
  <si>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Puerto Perez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</si>
  <si>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</si>
  <si>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San Andrés de Machaca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</si>
  <si>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</si>
  <si>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San Buenaventura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</si>
  <si>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</si>
  <si>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San Pedro de Tiquina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</si>
  <si>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</si>
  <si>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Santiago de Callapa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</si>
  <si>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</si>
  <si>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</si>
  <si>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</si>
  <si>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</si>
  <si>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</si>
  <si>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</si>
  <si>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</si>
  <si>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</si>
  <si>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</si>
  <si>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</si>
  <si>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</si>
  <si>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t>Tito Yupanqui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</si>
  <si>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</si>
  <si>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</si>
  <si>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</si>
  <si>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</si>
  <si>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</si>
  <si>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t>Waldo Ballivian Tumarapi</t>
  </si>
  <si>
    <t>Yaco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</si>
  <si>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</si>
  <si>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</si>
  <si>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</si>
  <si>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</si>
  <si>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</si>
  <si>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Bus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</si>
  <si>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</si>
  <si>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</si>
  <si>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</si>
  <si>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</si>
  <si>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</si>
  <si>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</si>
  <si>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</si>
  <si>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</si>
  <si>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</si>
  <si>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</si>
  <si>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</si>
  <si>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</si>
  <si>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</si>
  <si>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</si>
  <si>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</si>
  <si>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</si>
  <si>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</si>
  <si>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</si>
  <si>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</si>
  <si>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</si>
  <si>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</si>
  <si>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</si>
  <si>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</si>
  <si>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</si>
  <si>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</si>
  <si>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</si>
  <si>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</si>
  <si>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</si>
  <si>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</si>
  <si>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</si>
  <si>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</si>
  <si>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</si>
  <si>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</si>
  <si>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</si>
  <si>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</si>
  <si>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</si>
  <si>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</si>
  <si>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</si>
  <si>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</si>
  <si>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</si>
  <si>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</si>
  <si>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</si>
  <si>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</si>
  <si>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</si>
  <si>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</si>
  <si>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</si>
  <si>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</si>
  <si>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</si>
  <si>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</si>
  <si>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</si>
  <si>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</si>
  <si>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</si>
  <si>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</si>
  <si>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</si>
  <si>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</si>
  <si>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</si>
  <si>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</si>
  <si>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</si>
  <si>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</si>
  <si>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</si>
  <si>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</si>
  <si>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</si>
  <si>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</si>
  <si>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</si>
  <si>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</si>
  <si>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</si>
  <si>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Antequera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</si>
  <si>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</si>
  <si>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</si>
  <si>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</si>
  <si>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</si>
  <si>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</si>
  <si>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</si>
  <si>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</si>
  <si>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</si>
  <si>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</si>
  <si>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Choqueota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</si>
  <si>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</si>
  <si>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</si>
  <si>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</si>
  <si>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</si>
  <si>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</si>
  <si>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</si>
  <si>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</si>
  <si>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</si>
  <si>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El Choro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</si>
  <si>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</si>
  <si>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</si>
  <si>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</si>
  <si>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</si>
  <si>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</si>
  <si>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</si>
  <si>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</si>
  <si>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</si>
  <si>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</si>
  <si>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</si>
  <si>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</si>
  <si>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</si>
  <si>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</si>
  <si>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</si>
  <si>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</si>
  <si>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</si>
  <si>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</si>
  <si>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</si>
  <si>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</si>
  <si>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t>Ambulancia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</si>
  <si>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</si>
  <si>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</si>
  <si>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</si>
  <si>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</si>
  <si>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t>Santiago de Quillacas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</si>
  <si>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</si>
  <si>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</si>
  <si>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</si>
  <si>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</si>
  <si>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</si>
  <si>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Todos Santos</t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</si>
  <si>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</si>
  <si>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</si>
  <si>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</si>
  <si>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</si>
  <si>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</si>
  <si>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</si>
  <si>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t>Yunguyo de Litoral</t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</si>
  <si>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</si>
  <si>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Maquinaria pesada</t>
    </r>
    <r>
      <rPr>
        <vertAlign val="superscript"/>
        <sz val="10"/>
        <color theme="1"/>
        <rFont val="Arial"/>
        <family val="2"/>
      </rPr>
      <t>(3)</t>
    </r>
  </si>
  <si>
    <r>
      <rPr>
        <sz val="10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</si>
  <si>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</si>
  <si>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</si>
  <si>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</si>
  <si>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t>Ckochas</t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</si>
  <si>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</si>
  <si>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</si>
  <si>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</si>
  <si>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</si>
  <si>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</si>
  <si>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</si>
  <si>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</si>
  <si>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Maquinaria pesada</t>
    </r>
    <r>
      <rPr>
        <vertAlign val="superscript"/>
        <sz val="10"/>
        <color theme="1"/>
        <rFont val="Arial"/>
        <family val="2"/>
      </rPr>
      <t>(3)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</si>
  <si>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</si>
  <si>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</si>
  <si>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</si>
  <si>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</si>
  <si>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Maquinaria pesada</t>
    </r>
    <r>
      <rPr>
        <vertAlign val="superscript"/>
        <sz val="10"/>
        <color theme="1"/>
        <rFont val="Arial"/>
        <family val="2"/>
      </rPr>
      <t>(3)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</si>
  <si>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</si>
  <si>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</si>
  <si>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</si>
  <si>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</si>
  <si>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Maquinaria pesada</t>
    </r>
    <r>
      <rPr>
        <vertAlign val="superscript"/>
        <sz val="10"/>
        <color theme="1"/>
        <rFont val="Arial"/>
        <family val="2"/>
      </rPr>
      <t>(3)</t>
    </r>
  </si>
  <si>
    <t>San Pedro de Macha</t>
  </si>
  <si>
    <t>Toro Toro</t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</si>
  <si>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</si>
  <si>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</si>
  <si>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</si>
  <si>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</si>
  <si>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</si>
  <si>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</si>
  <si>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</si>
  <si>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</si>
  <si>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Maquinaria pesada</t>
    </r>
    <r>
      <rPr>
        <vertAlign val="superscript"/>
        <sz val="10"/>
        <color theme="1"/>
        <rFont val="Arial"/>
        <family val="2"/>
      </rPr>
      <t>(3)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</si>
  <si>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</si>
  <si>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</si>
  <si>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</si>
  <si>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</si>
  <si>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</si>
  <si>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</si>
  <si>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</si>
  <si>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</si>
  <si>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</si>
  <si>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</si>
  <si>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</si>
  <si>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</si>
  <si>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</si>
  <si>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</si>
  <si>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</si>
  <si>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</si>
  <si>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</si>
  <si>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</si>
  <si>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</si>
  <si>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</si>
  <si>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</si>
  <si>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</si>
  <si>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</si>
  <si>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</si>
  <si>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</si>
  <si>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</si>
  <si>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</si>
  <si>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</si>
  <si>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</si>
  <si>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</si>
  <si>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</si>
  <si>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</si>
  <si>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</si>
  <si>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</si>
  <si>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</si>
  <si>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</si>
  <si>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</si>
  <si>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</si>
  <si>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</si>
  <si>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</si>
  <si>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</si>
  <si>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</si>
  <si>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</si>
  <si>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</si>
  <si>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</si>
  <si>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</si>
  <si>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</si>
  <si>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</si>
  <si>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</si>
  <si>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</si>
  <si>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</si>
  <si>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</si>
  <si>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</si>
  <si>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</si>
  <si>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t>Kereimba Iyaamba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</si>
  <si>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</si>
  <si>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</si>
  <si>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</si>
  <si>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</si>
  <si>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</si>
  <si>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</si>
  <si>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</si>
  <si>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</si>
  <si>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</si>
  <si>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</si>
  <si>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</si>
  <si>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</si>
  <si>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</si>
  <si>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</si>
  <si>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</si>
  <si>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</si>
  <si>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</si>
  <si>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</si>
  <si>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</si>
  <si>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</si>
  <si>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</si>
  <si>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</si>
  <si>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</si>
  <si>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</si>
  <si>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</si>
  <si>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</si>
  <si>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</si>
  <si>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</si>
  <si>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</si>
  <si>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</si>
  <si>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</si>
  <si>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</si>
  <si>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</si>
  <si>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</si>
  <si>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</si>
  <si>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</si>
  <si>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</si>
  <si>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</si>
  <si>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</si>
  <si>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</si>
  <si>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</si>
  <si>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</si>
  <si>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</si>
  <si>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</si>
  <si>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</si>
  <si>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</si>
  <si>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</si>
  <si>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</si>
  <si>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</si>
  <si>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t xml:space="preserve">Santa Rosa del Sara </t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</si>
  <si>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</si>
  <si>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</si>
  <si>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</si>
  <si>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</si>
  <si>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</si>
  <si>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</si>
  <si>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</si>
  <si>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(1)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</si>
  <si>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</si>
  <si>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(3)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</si>
  <si>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</si>
  <si>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</si>
  <si>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</si>
  <si>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Maquinaria pesada</t>
    </r>
    <r>
      <rPr>
        <vertAlign val="superscript"/>
        <sz val="10"/>
        <color theme="1"/>
        <rFont val="Arial"/>
        <family val="2"/>
      </rPr>
      <t>(3)</t>
    </r>
  </si>
  <si>
    <t>San Andrés</t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</si>
  <si>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</si>
  <si>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</si>
  <si>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</si>
  <si>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Ambulancia</t>
    </r>
    <r>
      <rPr>
        <vertAlign val="superscript"/>
        <sz val="10"/>
        <color theme="1"/>
        <rFont val="Arial"/>
        <family val="2"/>
      </rPr>
      <t>(1)</t>
    </r>
  </si>
  <si>
    <r>
      <rPr>
        <sz val="10"/>
        <color theme="1"/>
        <rFont val="Arial"/>
        <family val="2"/>
      </rPr>
      <t>Bus</t>
    </r>
    <r>
      <rPr>
        <vertAlign val="superscript"/>
        <sz val="10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</si>
  <si>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Ambulancia</t>
    </r>
    <r>
      <rPr>
        <vertAlign val="superscript"/>
        <sz val="9"/>
        <color theme="1"/>
        <rFont val="Arial"/>
        <family val="2"/>
      </rPr>
      <t>(2)</t>
    </r>
  </si>
  <si>
    <r>
      <rPr>
        <sz val="9"/>
        <color theme="1"/>
        <rFont val="Arial"/>
        <family val="2"/>
      </rPr>
      <t>Bus</t>
    </r>
    <r>
      <rPr>
        <vertAlign val="superscript"/>
        <sz val="9"/>
        <color theme="1"/>
        <rFont val="Arial"/>
        <family val="2"/>
      </rPr>
      <t>(3)</t>
    </r>
  </si>
  <si>
    <r>
      <rPr>
        <sz val="9"/>
        <color theme="1"/>
        <rFont val="Arial"/>
        <family val="2"/>
      </rPr>
      <t>Maquinaria pesada</t>
    </r>
    <r>
      <rPr>
        <vertAlign val="superscript"/>
        <sz val="9"/>
        <color theme="1"/>
        <rFont val="Arial"/>
        <family val="2"/>
      </rPr>
      <t>(4)</t>
    </r>
  </si>
  <si>
    <t>Porvenir</t>
  </si>
  <si>
    <t>TRANSPORTE - GASOLINA ESPECIAL - DIÓXIDO DE CARBONO (10³ t)</t>
  </si>
  <si>
    <t>TRANSPORTE - GASOLINA ESPECIAL PLUS - DIÓXIDO DE CARBONO (10³ t)</t>
  </si>
  <si>
    <t>TRANSPORTE - GASOLINA PREMIUM - DIÓXIDO DE CARBONO (10³ t)</t>
  </si>
  <si>
    <t>TRANSPORTE - GASOLINA PREMIUM PLUS - DIÓXIDO DE CARBONO (10³ t)</t>
  </si>
  <si>
    <t>TRANSPORTE - GASOLINA ULTRA PREMIUM 100 - DIÓXIDO DE CARBONO (10³ t)</t>
  </si>
  <si>
    <t>TRANSPORTE - GASOLINA SUPER 92 - DIÓXIDO DE CARBONO (10³ t)</t>
  </si>
  <si>
    <t>INDUSTRIAL - DIESEL OIL - DIÓXIDO DE CARBONO (10³ t)</t>
  </si>
  <si>
    <t>TRANSPORTE - DIESEL OIL PLUS - DIÓXIDO DE CARBONO (10³ t)</t>
  </si>
  <si>
    <t>TRANSPORTE - DIESEL OIL ULS - DIÓXIDO DE CARBONO (10³ t)</t>
  </si>
  <si>
    <t>TRANSPORTE - DIESEL OIL ULS PLUS - DIÓXIDO DE CARBONO (10³ t)</t>
  </si>
  <si>
    <t>TRANSPORTE - GAS NATURAL - DIÓXIDO DE CARBONO (10³ t)</t>
  </si>
  <si>
    <t>ID</t>
  </si>
  <si>
    <t>Total vehiculos 2015</t>
  </si>
  <si>
    <t>Población total 2015</t>
  </si>
  <si>
    <t>Vehiculos con gasolina 2015</t>
  </si>
  <si>
    <t>Volumen de gasolina comercializada 2015 (litros)</t>
  </si>
  <si>
    <t>Emisiones departamentales de (tCO2)</t>
  </si>
  <si>
    <t>Proporción emisiones municipales por departamento</t>
  </si>
  <si>
    <t>Emisiones municipales de tCO2 por transporte per cápita</t>
  </si>
  <si>
    <t>Vehiculos con diesel 2015</t>
  </si>
  <si>
    <t>Volumen de diesel comercializado 2015 (litros)</t>
  </si>
  <si>
    <t>Vehiculos con gas 2015</t>
  </si>
  <si>
    <t>Volumen de gas comercializado 2015 (litros)</t>
  </si>
  <si>
    <t>Emisiones totales municipales de tCO2 por transporte per cápita</t>
  </si>
  <si>
    <t>Emisiones totales municipales de tCO2 por transporte</t>
  </si>
  <si>
    <t>Total vehiculos 2024</t>
  </si>
  <si>
    <t>Población 2024</t>
  </si>
  <si>
    <t>Vehiculos con gasolina 2024</t>
  </si>
  <si>
    <t>Volumen de gasolina comercializada 2024 (litros)</t>
  </si>
  <si>
    <t>Vehiculos con diesel 2024</t>
  </si>
  <si>
    <t>Volumen de diesel comercializado 2024 (litros)</t>
  </si>
  <si>
    <t>Vehiculos con gas 2024</t>
  </si>
  <si>
    <t>Volumen de gas comercializado 2024 (litros)</t>
  </si>
  <si>
    <t>Fi gasolina</t>
  </si>
  <si>
    <t>Fi Diesel</t>
  </si>
  <si>
    <t>Fi gas</t>
  </si>
  <si>
    <t>Azurduy</t>
  </si>
  <si>
    <t>Emisiones departamentales de tCO2 por transporte per cápita</t>
  </si>
  <si>
    <t>Emisiones totales municipales de tCO2 por transporte per cápita 2015</t>
  </si>
  <si>
    <t>Emisiones municipales de tCO2 por transporte per cápita 2024</t>
  </si>
  <si>
    <t>Tarvita</t>
  </si>
  <si>
    <t>Zudáñez</t>
  </si>
  <si>
    <t>Presto</t>
  </si>
  <si>
    <t>Mojocoya</t>
  </si>
  <si>
    <t>Icla</t>
  </si>
  <si>
    <t>Tomina</t>
  </si>
  <si>
    <t>Gran Chaco</t>
  </si>
  <si>
    <t>Monteagudo</t>
  </si>
  <si>
    <t>Huacareta</t>
  </si>
  <si>
    <t>Villa Charcas</t>
  </si>
  <si>
    <t>Villa Abecia</t>
  </si>
  <si>
    <t>Villa Vaca Guzmán</t>
  </si>
  <si>
    <t>Huacaya (Autonomía Guaraní Chaqueño de Huacaya)</t>
  </si>
  <si>
    <t>Nuestra Señora de La Paz</t>
  </si>
  <si>
    <t>Villa Ancoraimes</t>
  </si>
  <si>
    <t>Corocoro</t>
  </si>
  <si>
    <t>Comanche</t>
  </si>
  <si>
    <t>Waldo Ballivián</t>
  </si>
  <si>
    <t>Nazacara de Pacajes</t>
  </si>
  <si>
    <t>Mocomoco</t>
  </si>
  <si>
    <t>Puerto Mayor de Carabuco</t>
  </si>
  <si>
    <t>Aucapata</t>
  </si>
  <si>
    <t>Quiabaya</t>
  </si>
  <si>
    <t>Tipuani</t>
  </si>
  <si>
    <t>Mapiri</t>
  </si>
  <si>
    <t>Teoponte</t>
  </si>
  <si>
    <t>Puerto Mayor de Guaqui</t>
  </si>
  <si>
    <t>Tiahuanacu</t>
  </si>
  <si>
    <t>La (Marka) San Andrés de Machaca</t>
  </si>
  <si>
    <t>Jesús de Machaka</t>
  </si>
  <si>
    <t>Malla</t>
  </si>
  <si>
    <t>Ichoca</t>
  </si>
  <si>
    <t>Villa Libertad Licoma</t>
  </si>
  <si>
    <t>Yanacachi</t>
  </si>
  <si>
    <t>Puerto Pérez</t>
  </si>
  <si>
    <t>Sicasica</t>
  </si>
  <si>
    <t>Charazani</t>
  </si>
  <si>
    <t>Curva</t>
  </si>
  <si>
    <t>San Pedro de Curahuara</t>
  </si>
  <si>
    <t>Chacarilla</t>
  </si>
  <si>
    <t>Santiago de Machaca</t>
  </si>
  <si>
    <t>Catacora</t>
  </si>
  <si>
    <t>Ayopaya</t>
  </si>
  <si>
    <t>Sicaya</t>
  </si>
  <si>
    <t>Sipesipe</t>
  </si>
  <si>
    <t>TIOC-Raqaypampa</t>
  </si>
  <si>
    <t>Tacachi</t>
  </si>
  <si>
    <t>Villa Gualberto Villarroel</t>
  </si>
  <si>
    <t>Paria</t>
  </si>
  <si>
    <t>Santuario de Quillacas</t>
  </si>
  <si>
    <t>Choquecota</t>
  </si>
  <si>
    <t>Cruz de Machacamarca</t>
  </si>
  <si>
    <t>Yunguyo del Litoral</t>
  </si>
  <si>
    <t>Poopó</t>
  </si>
  <si>
    <t>Huanuni</t>
  </si>
  <si>
    <t>Salinas de Garci Mendoza (Autonomía Indígena Originario Campesina de Salinas)</t>
  </si>
  <si>
    <t>Uru Chipaya (Nación Originaria Uru Chipaya)</t>
  </si>
  <si>
    <t>La Rivera</t>
  </si>
  <si>
    <t>Santiago de Huayllamarca</t>
  </si>
  <si>
    <t>Tinguipaya</t>
  </si>
  <si>
    <t>Urmiri</t>
  </si>
  <si>
    <t>Chuquihuta Ayllu Jucumani</t>
  </si>
  <si>
    <t>Chaquí</t>
  </si>
  <si>
    <t>Tacobamba</t>
  </si>
  <si>
    <t>Ocurí</t>
  </si>
  <si>
    <t>Sacaca</t>
  </si>
  <si>
    <t>Colcha "K"</t>
  </si>
  <si>
    <t>San Pedro de Quemes</t>
  </si>
  <si>
    <t>San Pablo</t>
  </si>
  <si>
    <t>Mojinete</t>
  </si>
  <si>
    <t>Caiza "D"</t>
  </si>
  <si>
    <t>TIOC-Jatun Ayllu Yura</t>
  </si>
  <si>
    <t>Arampampa</t>
  </si>
  <si>
    <t>San Agustín</t>
  </si>
  <si>
    <t>Villa Montes</t>
  </si>
  <si>
    <t>Uriondo</t>
  </si>
  <si>
    <t>El Puente</t>
  </si>
  <si>
    <t>Porongo</t>
  </si>
  <si>
    <t>Okinawa Uno</t>
  </si>
  <si>
    <t>San Ignacio</t>
  </si>
  <si>
    <t>San Rafael</t>
  </si>
  <si>
    <t>Santa Rosa</t>
  </si>
  <si>
    <t>Charagua (Autonomía Guaraní Charagua Iyambae)</t>
  </si>
  <si>
    <t>Gutiérrez (Autonomía Indígena Kereimba Iyaambae)</t>
  </si>
  <si>
    <t>Postrervalle</t>
  </si>
  <si>
    <t>Pucará</t>
  </si>
  <si>
    <t>Pampagrande</t>
  </si>
  <si>
    <t>Quirusillas</t>
  </si>
  <si>
    <t>General Saavedra</t>
  </si>
  <si>
    <t>San Javier</t>
  </si>
  <si>
    <t>San Antonio de Lomerio</t>
  </si>
  <si>
    <t>El Carmen Rivero Tórrez</t>
  </si>
  <si>
    <t>Ascención de Guarayos</t>
  </si>
  <si>
    <t>Guayaramerín</t>
  </si>
  <si>
    <t>Reyes</t>
  </si>
  <si>
    <t>Puerto Menor de Rurrenabaque</t>
  </si>
  <si>
    <t>Santa Ana</t>
  </si>
  <si>
    <t>Exaltación</t>
  </si>
  <si>
    <t>Loreto</t>
  </si>
  <si>
    <t>Puerto Siles</t>
  </si>
  <si>
    <t>Magdalena</t>
  </si>
  <si>
    <t>Baures</t>
  </si>
  <si>
    <t>Huacaraje</t>
  </si>
  <si>
    <t>TIOC-Territorio Indígena Multiétnico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</si>
  <si>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</si>
  <si>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</si>
  <si>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</si>
  <si>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</si>
  <si>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</si>
  <si>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</si>
  <si>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</si>
  <si>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</si>
  <si>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</si>
  <si>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</si>
  <si>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promedio</t>
  </si>
  <si>
    <t>desviacion</t>
  </si>
  <si>
    <t>max</t>
  </si>
  <si>
    <t>min</t>
  </si>
  <si>
    <t>Emisiones municipales por gasolina</t>
  </si>
  <si>
    <t>13_02_02_03_ect_2015</t>
  </si>
  <si>
    <t>13_02_02_03_ect_2024</t>
  </si>
  <si>
    <t>13_02_02_03_ect_2015_abs</t>
  </si>
  <si>
    <t>13_02_02_03_ect_2024_abs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</si>
  <si>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</si>
  <si>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</si>
  <si>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</si>
  <si>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</si>
  <si>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</si>
  <si>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</si>
  <si>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</si>
  <si>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</si>
  <si>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</si>
  <si>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</si>
  <si>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Emisiones de CO2 por transporte per cápita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</si>
</sst>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_-* #,##0.00000000_-;\-* #,##0.00000000_-;_-* &quot;-&quot;??_-;_-@"/>
    <numFmt numFmtId="166" formatCode="0.000"/>
    <numFmt numFmtId="167" formatCode="_-* #,##0.000000000_-;\-* #,##0.000000000_-;_-* &quot;-&quot;??_-;_-@"/>
    <numFmt numFmtId="168" formatCode="0.0"/>
  </numFmts>
  <fonts count="16" x14ac:knownFonts="1">
    <font>
      <sz val="10"/>
      <color rgb="FF000000"/>
      <name val="Arial"/>
      <scheme val="minor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1"/>
      <name val="Aptos Display"/>
      <family val="2"/>
    </font>
    <font>
      <vertAlign val="superscript"/>
      <sz val="9"/>
      <color theme="1"/>
      <name val="Arial"/>
      <family val="2"/>
    </font>
    <font>
      <vertAlign val="superscript"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7223D"/>
        <bgColor rgb="FF17223D"/>
      </patternFill>
    </fill>
    <fill>
      <patternFill patternType="solid">
        <fgColor rgb="FF44618C"/>
        <bgColor rgb="FF44618C"/>
      </patternFill>
    </fill>
    <fill>
      <patternFill patternType="solid">
        <fgColor rgb="FFC5D9F1"/>
        <bgColor rgb="FFC5D9F1"/>
      </patternFill>
    </fill>
    <fill>
      <patternFill patternType="solid">
        <fgColor rgb="FFC6D9F0"/>
        <bgColor rgb="FFC6D9F0"/>
      </patternFill>
    </fill>
    <fill>
      <patternFill patternType="solid">
        <fgColor rgb="FF93C5FD"/>
        <bgColor rgb="FF93C5FD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2">
    <border>
      <left/>
      <right/>
      <top/>
      <bottom/>
      <diagonal/>
    </border>
    <border>
      <left style="thin">
        <color rgb="FF17223D"/>
      </left>
      <right style="thin">
        <color rgb="FFFFFFFF"/>
      </right>
      <top style="thin">
        <color rgb="FF17223D"/>
      </top>
      <bottom/>
      <diagonal/>
    </border>
    <border>
      <left style="thin">
        <color rgb="FFFFFFFF"/>
      </left>
      <right style="thin">
        <color rgb="FFFFFFFF"/>
      </right>
      <top style="thin">
        <color rgb="FF17223D"/>
      </top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1" fillId="3" borderId="0" xfId="0" applyFont="1" applyFill="1" applyAlignment="1">
      <alignment horizontal="left"/>
    </xf>
    <xf numFmtId="0" fontId="1" fillId="3" borderId="3" xfId="0" applyFont="1" applyFill="1" applyBorder="1" applyAlignment="1">
      <alignment horizontal="left"/>
    </xf>
    <xf numFmtId="3" fontId="1" fillId="3" borderId="3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3" fillId="4" borderId="3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4" borderId="3" xfId="0" applyFont="1" applyFill="1" applyBorder="1" applyAlignment="1">
      <alignment horizontal="right"/>
    </xf>
    <xf numFmtId="1" fontId="4" fillId="0" borderId="0" xfId="0" applyNumberFormat="1" applyFont="1"/>
    <xf numFmtId="0" fontId="3" fillId="4" borderId="0" xfId="0" applyFont="1" applyFill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right"/>
    </xf>
    <xf numFmtId="2" fontId="4" fillId="0" borderId="0" xfId="0" applyNumberFormat="1" applyFont="1"/>
    <xf numFmtId="0" fontId="5" fillId="0" borderId="4" xfId="0" applyFont="1" applyBorder="1"/>
    <xf numFmtId="0" fontId="4" fillId="0" borderId="0" xfId="0" applyFont="1"/>
    <xf numFmtId="0" fontId="5" fillId="0" borderId="0" xfId="0" applyFont="1" applyAlignment="1">
      <alignment horizontal="left"/>
    </xf>
    <xf numFmtId="3" fontId="3" fillId="4" borderId="3" xfId="0" applyNumberFormat="1" applyFont="1" applyFill="1" applyBorder="1" applyAlignment="1">
      <alignment horizontal="right"/>
    </xf>
    <xf numFmtId="3" fontId="5" fillId="0" borderId="4" xfId="0" applyNumberFormat="1" applyFont="1" applyBorder="1" applyAlignment="1">
      <alignment horizontal="right"/>
    </xf>
    <xf numFmtId="3" fontId="4" fillId="0" borderId="0" xfId="0" applyNumberFormat="1" applyFont="1"/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3" fontId="5" fillId="0" borderId="4" xfId="0" applyNumberFormat="1" applyFont="1" applyBorder="1"/>
    <xf numFmtId="0" fontId="5" fillId="0" borderId="0" xfId="0" applyFont="1"/>
    <xf numFmtId="0" fontId="4" fillId="0" borderId="4" xfId="0" applyFont="1" applyBorder="1" applyAlignment="1">
      <alignment horizontal="left"/>
    </xf>
    <xf numFmtId="3" fontId="4" fillId="0" borderId="4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3" fontId="4" fillId="0" borderId="4" xfId="0" applyNumberFormat="1" applyFont="1" applyBorder="1"/>
    <xf numFmtId="0" fontId="4" fillId="0" borderId="0" xfId="0" applyFont="1" applyAlignment="1">
      <alignment horizontal="left"/>
    </xf>
    <xf numFmtId="3" fontId="6" fillId="0" borderId="4" xfId="0" applyNumberFormat="1" applyFont="1" applyBorder="1"/>
    <xf numFmtId="0" fontId="4" fillId="0" borderId="5" xfId="0" applyFont="1" applyBorder="1" applyAlignment="1">
      <alignment horizontal="left"/>
    </xf>
    <xf numFmtId="3" fontId="4" fillId="0" borderId="5" xfId="0" applyNumberFormat="1" applyFont="1" applyBorder="1" applyAlignment="1">
      <alignment horizontal="right"/>
    </xf>
    <xf numFmtId="3" fontId="3" fillId="0" borderId="4" xfId="0" applyNumberFormat="1" applyFont="1" applyBorder="1"/>
    <xf numFmtId="3" fontId="5" fillId="0" borderId="0" xfId="0" applyNumberFormat="1" applyFont="1" applyAlignment="1">
      <alignment horizontal="right"/>
    </xf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3" fontId="3" fillId="5" borderId="4" xfId="0" applyNumberFormat="1" applyFont="1" applyFill="1" applyBorder="1" applyAlignment="1">
      <alignment horizontal="right"/>
    </xf>
    <xf numFmtId="0" fontId="4" fillId="0" borderId="4" xfId="0" applyFont="1" applyBorder="1"/>
    <xf numFmtId="0" fontId="3" fillId="5" borderId="6" xfId="0" applyFont="1" applyFill="1" applyBorder="1"/>
    <xf numFmtId="3" fontId="3" fillId="5" borderId="6" xfId="0" applyNumberFormat="1" applyFont="1" applyFill="1" applyBorder="1" applyAlignment="1">
      <alignment horizontal="right"/>
    </xf>
    <xf numFmtId="0" fontId="3" fillId="5" borderId="4" xfId="0" applyFont="1" applyFill="1" applyBorder="1"/>
    <xf numFmtId="3" fontId="4" fillId="5" borderId="6" xfId="0" applyNumberFormat="1" applyFont="1" applyFill="1" applyBorder="1"/>
    <xf numFmtId="0" fontId="4" fillId="0" borderId="4" xfId="0" applyFont="1" applyBorder="1" applyAlignment="1">
      <alignment horizontal="right"/>
    </xf>
    <xf numFmtId="0" fontId="5" fillId="0" borderId="5" xfId="0" applyFont="1" applyBorder="1"/>
    <xf numFmtId="3" fontId="3" fillId="5" borderId="7" xfId="0" applyNumberFormat="1" applyFont="1" applyFill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3" fontId="5" fillId="0" borderId="8" xfId="0" applyNumberFormat="1" applyFont="1" applyBorder="1" applyAlignment="1">
      <alignment horizontal="right"/>
    </xf>
    <xf numFmtId="3" fontId="4" fillId="0" borderId="8" xfId="0" applyNumberFormat="1" applyFont="1" applyBorder="1"/>
    <xf numFmtId="0" fontId="4" fillId="0" borderId="5" xfId="0" applyFont="1" applyBorder="1"/>
    <xf numFmtId="0" fontId="3" fillId="5" borderId="9" xfId="0" applyFont="1" applyFill="1" applyBorder="1"/>
    <xf numFmtId="3" fontId="3" fillId="5" borderId="9" xfId="0" applyNumberFormat="1" applyFont="1" applyFill="1" applyBorder="1" applyAlignment="1">
      <alignment horizontal="right"/>
    </xf>
    <xf numFmtId="0" fontId="3" fillId="5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6" borderId="0" xfId="0" applyFont="1" applyFill="1"/>
    <xf numFmtId="0" fontId="8" fillId="6" borderId="10" xfId="0" applyFont="1" applyFill="1" applyBorder="1"/>
    <xf numFmtId="0" fontId="7" fillId="6" borderId="10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right"/>
    </xf>
    <xf numFmtId="0" fontId="7" fillId="6" borderId="0" xfId="0" applyFont="1" applyFill="1"/>
    <xf numFmtId="0" fontId="7" fillId="6" borderId="10" xfId="0" applyFont="1" applyFill="1" applyBorder="1"/>
    <xf numFmtId="164" fontId="7" fillId="0" borderId="10" xfId="0" applyNumberFormat="1" applyFont="1" applyBorder="1" applyAlignment="1">
      <alignment horizontal="right"/>
    </xf>
    <xf numFmtId="164" fontId="8" fillId="0" borderId="10" xfId="0" applyNumberFormat="1" applyFont="1" applyBorder="1"/>
    <xf numFmtId="164" fontId="9" fillId="0" borderId="0" xfId="0" applyNumberFormat="1" applyFont="1"/>
    <xf numFmtId="3" fontId="9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9" fillId="0" borderId="0" xfId="0" applyNumberFormat="1" applyFont="1"/>
    <xf numFmtId="164" fontId="8" fillId="0" borderId="0" xfId="0" applyNumberFormat="1" applyFont="1"/>
    <xf numFmtId="0" fontId="8" fillId="6" borderId="10" xfId="0" applyFont="1" applyFill="1" applyBorder="1" applyAlignment="1">
      <alignment horizontal="right"/>
    </xf>
    <xf numFmtId="164" fontId="8" fillId="0" borderId="10" xfId="0" applyNumberFormat="1" applyFont="1" applyBorder="1" applyAlignment="1">
      <alignment horizontal="right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165" fontId="12" fillId="0" borderId="10" xfId="0" applyNumberFormat="1" applyFont="1" applyBorder="1"/>
    <xf numFmtId="0" fontId="8" fillId="0" borderId="0" xfId="0" applyFont="1" applyAlignment="1">
      <alignment horizontal="right"/>
    </xf>
    <xf numFmtId="0" fontId="8" fillId="0" borderId="17" xfId="0" applyFont="1" applyBorder="1" applyAlignment="1">
      <alignment horizontal="right"/>
    </xf>
    <xf numFmtId="3" fontId="8" fillId="0" borderId="18" xfId="0" applyNumberFormat="1" applyFont="1" applyBorder="1" applyAlignment="1">
      <alignment horizontal="right"/>
    </xf>
    <xf numFmtId="1" fontId="8" fillId="0" borderId="17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6" fontId="8" fillId="0" borderId="18" xfId="0" applyNumberFormat="1" applyFont="1" applyBorder="1" applyAlignment="1">
      <alignment horizontal="right"/>
    </xf>
    <xf numFmtId="1" fontId="8" fillId="0" borderId="0" xfId="0" applyNumberFormat="1" applyFont="1" applyAlignment="1">
      <alignment horizontal="right"/>
    </xf>
    <xf numFmtId="37" fontId="8" fillId="0" borderId="0" xfId="0" applyNumberFormat="1" applyFont="1" applyAlignment="1">
      <alignment horizontal="right"/>
    </xf>
    <xf numFmtId="166" fontId="9" fillId="0" borderId="17" xfId="0" applyNumberFormat="1" applyFont="1" applyBorder="1"/>
    <xf numFmtId="0" fontId="11" fillId="0" borderId="10" xfId="0" applyFont="1" applyBorder="1"/>
    <xf numFmtId="167" fontId="9" fillId="0" borderId="10" xfId="0" applyNumberFormat="1" applyFont="1" applyBorder="1"/>
    <xf numFmtId="0" fontId="9" fillId="0" borderId="10" xfId="0" applyFont="1" applyBorder="1"/>
    <xf numFmtId="0" fontId="8" fillId="0" borderId="17" xfId="0" applyFont="1" applyBorder="1"/>
    <xf numFmtId="3" fontId="8" fillId="0" borderId="18" xfId="0" applyNumberFormat="1" applyFont="1" applyBorder="1"/>
    <xf numFmtId="1" fontId="8" fillId="0" borderId="17" xfId="0" applyNumberFormat="1" applyFont="1" applyBorder="1"/>
    <xf numFmtId="1" fontId="8" fillId="0" borderId="0" xfId="0" applyNumberFormat="1" applyFont="1"/>
    <xf numFmtId="0" fontId="11" fillId="0" borderId="0" xfId="0" applyFont="1"/>
    <xf numFmtId="0" fontId="10" fillId="8" borderId="0" xfId="0" applyFont="1" applyFill="1" applyAlignment="1">
      <alignment horizontal="center" vertical="center" wrapText="1"/>
    </xf>
    <xf numFmtId="1" fontId="9" fillId="0" borderId="0" xfId="0" applyNumberFormat="1" applyFont="1"/>
    <xf numFmtId="166" fontId="9" fillId="0" borderId="0" xfId="0" applyNumberFormat="1" applyFont="1"/>
    <xf numFmtId="37" fontId="9" fillId="0" borderId="0" xfId="0" applyNumberFormat="1" applyFont="1"/>
    <xf numFmtId="3" fontId="8" fillId="0" borderId="17" xfId="0" applyNumberFormat="1" applyFont="1" applyBorder="1"/>
    <xf numFmtId="0" fontId="9" fillId="10" borderId="0" xfId="0" applyFont="1" applyFill="1"/>
    <xf numFmtId="3" fontId="8" fillId="0" borderId="0" xfId="0" applyNumberFormat="1" applyFont="1"/>
    <xf numFmtId="37" fontId="8" fillId="0" borderId="0" xfId="0" applyNumberFormat="1" applyFont="1"/>
    <xf numFmtId="0" fontId="8" fillId="0" borderId="19" xfId="0" applyFont="1" applyBorder="1"/>
    <xf numFmtId="3" fontId="8" fillId="0" borderId="20" xfId="0" applyNumberFormat="1" applyFont="1" applyBorder="1"/>
    <xf numFmtId="1" fontId="8" fillId="0" borderId="19" xfId="0" applyNumberFormat="1" applyFont="1" applyBorder="1"/>
    <xf numFmtId="3" fontId="8" fillId="0" borderId="21" xfId="0" applyNumberFormat="1" applyFont="1" applyBorder="1" applyAlignment="1">
      <alignment horizontal="right"/>
    </xf>
    <xf numFmtId="166" fontId="8" fillId="0" borderId="21" xfId="0" applyNumberFormat="1" applyFont="1" applyBorder="1" applyAlignment="1">
      <alignment horizontal="right"/>
    </xf>
    <xf numFmtId="166" fontId="8" fillId="0" borderId="20" xfId="0" applyNumberFormat="1" applyFont="1" applyBorder="1" applyAlignment="1">
      <alignment horizontal="right"/>
    </xf>
    <xf numFmtId="1" fontId="8" fillId="0" borderId="21" xfId="0" applyNumberFormat="1" applyFont="1" applyBorder="1"/>
    <xf numFmtId="3" fontId="8" fillId="0" borderId="20" xfId="0" applyNumberFormat="1" applyFont="1" applyBorder="1" applyAlignment="1">
      <alignment horizontal="right"/>
    </xf>
    <xf numFmtId="37" fontId="8" fillId="0" borderId="21" xfId="0" applyNumberFormat="1" applyFont="1" applyBorder="1" applyAlignment="1">
      <alignment horizontal="right"/>
    </xf>
    <xf numFmtId="166" fontId="9" fillId="0" borderId="19" xfId="0" applyNumberFormat="1" applyFont="1" applyBorder="1"/>
    <xf numFmtId="168" fontId="8" fillId="0" borderId="0" xfId="0" applyNumberFormat="1" applyFont="1"/>
    <xf numFmtId="166" fontId="8" fillId="0" borderId="0" xfId="0" applyNumberFormat="1" applyFont="1"/>
    <xf numFmtId="0" fontId="8" fillId="0" borderId="10" xfId="0" applyFont="1" applyBorder="1" applyAlignment="1">
      <alignment horizontal="right"/>
    </xf>
    <xf numFmtId="0" fontId="8" fillId="0" borderId="10" xfId="0" applyFont="1" applyBorder="1"/>
    <xf numFmtId="2" fontId="9" fillId="0" borderId="10" xfId="0" applyNumberFormat="1" applyFont="1" applyBorder="1"/>
    <xf numFmtId="3" fontId="9" fillId="0" borderId="10" xfId="0" applyNumberFormat="1" applyFont="1" applyBorder="1"/>
    <xf numFmtId="0" fontId="10" fillId="11" borderId="10" xfId="0" applyFont="1" applyFill="1" applyBorder="1" applyAlignment="1">
      <alignment horizontal="center" wrapText="1"/>
    </xf>
    <xf numFmtId="0" fontId="13" fillId="12" borderId="10" xfId="0" applyFont="1" applyFill="1" applyBorder="1" applyAlignment="1">
      <alignment horizontal="center" wrapText="1"/>
    </xf>
    <xf numFmtId="0" fontId="13" fillId="10" borderId="10" xfId="0" applyFont="1" applyFill="1" applyBorder="1" applyAlignment="1">
      <alignment horizontal="center" wrapText="1"/>
    </xf>
    <xf numFmtId="0" fontId="13" fillId="13" borderId="10" xfId="0" applyFont="1" applyFill="1" applyBorder="1" applyAlignment="1">
      <alignment horizontal="center" wrapText="1"/>
    </xf>
    <xf numFmtId="0" fontId="13" fillId="14" borderId="10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C6D9F0"/>
          <bgColor rgb="FFC6D9F0"/>
        </patternFill>
      </fill>
    </dxf>
    <dxf>
      <fill>
        <patternFill patternType="solid">
          <fgColor rgb="FFC5D9F1"/>
          <bgColor rgb="FFC5D9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I2874"/>
  <sheetViews>
    <sheetView workbookViewId="0"/>
  </sheetViews>
  <sheetFormatPr baseColWidth="10" defaultColWidth="12.6640625" defaultRowHeight="15" customHeight="1" x14ac:dyDescent="0.25"/>
  <cols>
    <col min="1" max="6" width="12.664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>
        <v>2015</v>
      </c>
      <c r="F1" s="4" t="s">
        <v>4</v>
      </c>
      <c r="G1" s="4" t="s">
        <v>5</v>
      </c>
      <c r="H1" s="4" t="s">
        <v>6</v>
      </c>
    </row>
    <row r="2" spans="1:8" ht="15.75" customHeight="1" x14ac:dyDescent="0.25">
      <c r="A2" s="5"/>
      <c r="B2" s="5" t="s">
        <v>7</v>
      </c>
      <c r="C2" s="5"/>
      <c r="D2" s="6" t="s">
        <v>8</v>
      </c>
      <c r="E2" s="7">
        <f t="shared" ref="E2:H2" si="0">SUM(E4:E2661)</f>
        <v>3145862</v>
      </c>
      <c r="F2" s="7">
        <f t="shared" si="0"/>
        <v>2580147.5485047251</v>
      </c>
      <c r="G2" s="7">
        <f t="shared" si="0"/>
        <v>442655.18665456743</v>
      </c>
      <c r="H2" s="7">
        <f t="shared" si="0"/>
        <v>122791.51757985346</v>
      </c>
    </row>
    <row r="3" spans="1:8" ht="15.75" customHeight="1" x14ac:dyDescent="0.25">
      <c r="A3" s="8"/>
      <c r="B3" s="8"/>
      <c r="C3" s="8"/>
      <c r="D3" s="9"/>
      <c r="E3" s="10"/>
    </row>
    <row r="4" spans="1:8" ht="15.75" hidden="1" customHeight="1" x14ac:dyDescent="0.25">
      <c r="A4" s="8" t="s">
        <v>9</v>
      </c>
      <c r="B4" s="11" t="s">
        <v>10</v>
      </c>
      <c r="C4" s="12" t="str">
        <f>B4&amp;"_"&amp;A4</f>
        <v>Alcalá_Chuquisaca</v>
      </c>
      <c r="E4" s="13">
        <v>0</v>
      </c>
      <c r="F4" s="14">
        <f t="shared" ref="F4:H4" si="1">SUM(F5:F6)</f>
        <v>0</v>
      </c>
      <c r="G4" s="14">
        <f t="shared" si="1"/>
        <v>0</v>
      </c>
      <c r="H4" s="14">
        <f t="shared" si="1"/>
        <v>0</v>
      </c>
    </row>
    <row r="5" spans="1:8" ht="15.75" hidden="1" customHeight="1" x14ac:dyDescent="0.25">
      <c r="A5" s="8" t="s">
        <v>9</v>
      </c>
      <c r="B5" s="11" t="s">
        <v>10</v>
      </c>
      <c r="C5" s="15"/>
      <c r="D5" s="16" t="s">
        <v>11</v>
      </c>
      <c r="E5" s="17">
        <v>0</v>
      </c>
      <c r="F5" s="18">
        <f>E5*0.0664298401420959</f>
        <v>0</v>
      </c>
      <c r="G5" s="18">
        <f>E5*0.932326820603908</f>
        <v>0</v>
      </c>
      <c r="H5" s="18">
        <f>E5*0.00106571936056838</f>
        <v>0</v>
      </c>
    </row>
    <row r="6" spans="1:8" ht="15.75" hidden="1" customHeight="1" x14ac:dyDescent="0.25">
      <c r="A6" s="8" t="s">
        <v>9</v>
      </c>
      <c r="B6" s="11" t="s">
        <v>10</v>
      </c>
      <c r="C6" s="15"/>
      <c r="D6" s="16" t="s">
        <v>12</v>
      </c>
      <c r="E6" s="17">
        <v>0</v>
      </c>
      <c r="F6" s="18">
        <f>E6* 0.889957698325317</f>
        <v>0</v>
      </c>
      <c r="G6" s="18">
        <f>E6* 0.0573100770701744</f>
        <v>0</v>
      </c>
      <c r="H6" s="18">
        <f>E6* 0.0526742771049429</f>
        <v>0</v>
      </c>
    </row>
    <row r="7" spans="1:8" ht="15.75" hidden="1" customHeight="1" x14ac:dyDescent="0.25">
      <c r="A7" s="8" t="s">
        <v>9</v>
      </c>
      <c r="B7" s="8"/>
      <c r="C7" s="8"/>
      <c r="D7" s="9"/>
      <c r="E7" s="19"/>
    </row>
    <row r="8" spans="1:8" ht="15.75" hidden="1" customHeight="1" x14ac:dyDescent="0.25">
      <c r="A8" s="8" t="s">
        <v>9</v>
      </c>
      <c r="B8" s="11" t="s">
        <v>13</v>
      </c>
      <c r="C8" s="12" t="str">
        <f>B8&amp;"_"&amp;A8</f>
        <v>Camargo_Chuquisaca</v>
      </c>
      <c r="E8" s="13">
        <v>130</v>
      </c>
      <c r="F8" s="14">
        <f t="shared" ref="F8:H8" si="2">SUM(F9:F18)</f>
        <v>103.59604131533985</v>
      </c>
      <c r="G8" s="14">
        <f t="shared" si="2"/>
        <v>23.873277598274633</v>
      </c>
      <c r="H8" s="14">
        <f t="shared" si="2"/>
        <v>2.5266613311256965</v>
      </c>
    </row>
    <row r="9" spans="1:8" ht="15.75" hidden="1" customHeight="1" x14ac:dyDescent="0.25">
      <c r="A9" s="8" t="s">
        <v>9</v>
      </c>
      <c r="B9" s="11" t="s">
        <v>13</v>
      </c>
      <c r="C9" s="15"/>
      <c r="D9" s="16" t="s">
        <v>14</v>
      </c>
      <c r="E9" s="17">
        <v>0</v>
      </c>
      <c r="F9" s="20">
        <v>0</v>
      </c>
      <c r="G9" s="20">
        <f>E9</f>
        <v>0</v>
      </c>
      <c r="H9" s="20">
        <v>0</v>
      </c>
    </row>
    <row r="10" spans="1:8" ht="15.75" hidden="1" customHeight="1" x14ac:dyDescent="0.25">
      <c r="A10" s="8" t="s">
        <v>9</v>
      </c>
      <c r="B10" s="11" t="s">
        <v>13</v>
      </c>
      <c r="C10" s="15"/>
      <c r="D10" s="16" t="s">
        <v>15</v>
      </c>
      <c r="E10" s="17">
        <v>25</v>
      </c>
      <c r="F10" s="18">
        <f>E10* 0.962408869987849</f>
        <v>24.060221749696225</v>
      </c>
      <c r="G10" s="18">
        <f>E10*0.00425273390036452</f>
        <v>0.106318347509113</v>
      </c>
      <c r="H10" s="18">
        <f>E10*0.0333383961117862</f>
        <v>0.83345990279465498</v>
      </c>
    </row>
    <row r="11" spans="1:8" ht="15.75" hidden="1" customHeight="1" x14ac:dyDescent="0.25">
      <c r="A11" s="8" t="s">
        <v>9</v>
      </c>
      <c r="B11" s="11" t="s">
        <v>13</v>
      </c>
      <c r="C11" s="15"/>
      <c r="D11" s="16" t="s">
        <v>16</v>
      </c>
      <c r="E11" s="17">
        <v>1</v>
      </c>
      <c r="F11" s="18">
        <f>E11* 0.03</f>
        <v>0.03</v>
      </c>
      <c r="G11" s="18">
        <f>E11* 0.97</f>
        <v>0.97</v>
      </c>
      <c r="H11" s="20">
        <v>0</v>
      </c>
    </row>
    <row r="12" spans="1:8" ht="15.75" hidden="1" customHeight="1" x14ac:dyDescent="0.25">
      <c r="A12" s="8" t="s">
        <v>9</v>
      </c>
      <c r="B12" s="11" t="s">
        <v>13</v>
      </c>
      <c r="C12" s="15"/>
      <c r="D12" s="16" t="s">
        <v>11</v>
      </c>
      <c r="E12" s="17">
        <v>21</v>
      </c>
      <c r="F12" s="18">
        <f>E12*0.0664298401420959</f>
        <v>1.3950266429840137</v>
      </c>
      <c r="G12" s="18">
        <f>E12*0.932326820603908</f>
        <v>19.578863232682068</v>
      </c>
      <c r="H12" s="18">
        <f>E12*0.00106571936056838</f>
        <v>2.2380106571935978E-2</v>
      </c>
    </row>
    <row r="13" spans="1:8" ht="15.75" hidden="1" customHeight="1" x14ac:dyDescent="0.25">
      <c r="A13" s="8" t="s">
        <v>9</v>
      </c>
      <c r="B13" s="11" t="s">
        <v>13</v>
      </c>
      <c r="C13" s="15"/>
      <c r="D13" s="16" t="s">
        <v>17</v>
      </c>
      <c r="E13" s="17">
        <v>24</v>
      </c>
      <c r="F13" s="18">
        <f>E13*0.860929374266063</f>
        <v>20.66230498238551</v>
      </c>
      <c r="G13" s="18">
        <f>E13*0.0811944304646871</f>
        <v>1.9486663311524905</v>
      </c>
      <c r="H13" s="18">
        <f>E13*0.0578761952692501</f>
        <v>1.3890286864620025</v>
      </c>
    </row>
    <row r="14" spans="1:8" ht="15.75" hidden="1" customHeight="1" x14ac:dyDescent="0.25">
      <c r="A14" s="8" t="s">
        <v>9</v>
      </c>
      <c r="B14" s="11" t="s">
        <v>13</v>
      </c>
      <c r="C14" s="15"/>
      <c r="D14" s="16" t="s">
        <v>18</v>
      </c>
      <c r="E14" s="17">
        <v>0</v>
      </c>
      <c r="F14" s="18">
        <f>E14*0.949854952341484</f>
        <v>0</v>
      </c>
      <c r="G14" s="18">
        <f>E14*0.0439287194363862</f>
        <v>0</v>
      </c>
      <c r="H14" s="18">
        <f>E14*0.00621632822213013</f>
        <v>0</v>
      </c>
    </row>
    <row r="15" spans="1:8" ht="15.75" hidden="1" customHeight="1" x14ac:dyDescent="0.25">
      <c r="A15" s="8" t="s">
        <v>9</v>
      </c>
      <c r="B15" s="11" t="s">
        <v>13</v>
      </c>
      <c r="C15" s="15"/>
      <c r="D15" s="16" t="s">
        <v>19</v>
      </c>
      <c r="E15" s="17">
        <v>1</v>
      </c>
      <c r="F15" s="18">
        <f>E15*0.0187085093542547</f>
        <v>1.87085093542547E-2</v>
      </c>
      <c r="G15" s="18">
        <f>E15*0.978877489438745</f>
        <v>0.97887748943874497</v>
      </c>
      <c r="H15" s="18">
        <f>E15*0.0024140012070006</f>
        <v>2.4140012070006001E-3</v>
      </c>
    </row>
    <row r="16" spans="1:8" ht="15.75" hidden="1" customHeight="1" x14ac:dyDescent="0.25">
      <c r="A16" s="8" t="s">
        <v>9</v>
      </c>
      <c r="B16" s="11" t="s">
        <v>13</v>
      </c>
      <c r="C16" s="15"/>
      <c r="D16" s="16" t="s">
        <v>20</v>
      </c>
      <c r="E16" s="17">
        <v>0</v>
      </c>
      <c r="F16" s="18">
        <f>E16* 0.557228915662651</f>
        <v>0</v>
      </c>
      <c r="G16" s="18">
        <f>E16*0.390562248995984</f>
        <v>0</v>
      </c>
      <c r="H16" s="18">
        <f>E16*0.0522088353413655</f>
        <v>0</v>
      </c>
    </row>
    <row r="17" spans="1:8" ht="15.75" hidden="1" customHeight="1" x14ac:dyDescent="0.25">
      <c r="A17" s="8" t="s">
        <v>9</v>
      </c>
      <c r="B17" s="11" t="s">
        <v>13</v>
      </c>
      <c r="C17" s="15"/>
      <c r="D17" s="16" t="s">
        <v>21</v>
      </c>
      <c r="E17" s="17">
        <v>53</v>
      </c>
      <c r="F17" s="18">
        <f>E17* 0.999622470552703</f>
        <v>52.979990939293259</v>
      </c>
      <c r="G17" s="18">
        <f>E17* 0.0000755058894593778</f>
        <v>4.0018121413470239E-3</v>
      </c>
      <c r="H17" s="18">
        <f>E17* 0.000302023557837511</f>
        <v>1.6007248565388082E-2</v>
      </c>
    </row>
    <row r="18" spans="1:8" ht="15.75" hidden="1" customHeight="1" x14ac:dyDescent="0.25">
      <c r="A18" s="8" t="s">
        <v>9</v>
      </c>
      <c r="B18" s="11" t="s">
        <v>13</v>
      </c>
      <c r="C18" s="15"/>
      <c r="D18" s="16" t="s">
        <v>12</v>
      </c>
      <c r="E18" s="17">
        <v>5</v>
      </c>
      <c r="F18" s="18">
        <f>E18* 0.889957698325317</f>
        <v>4.4497884916265846</v>
      </c>
      <c r="G18" s="18">
        <f>E18* 0.0573100770701744</f>
        <v>0.28655038535087202</v>
      </c>
      <c r="H18" s="18">
        <f>E18* 0.0526742771049429</f>
        <v>0.26337138552471451</v>
      </c>
    </row>
    <row r="19" spans="1:8" ht="15.75" hidden="1" customHeight="1" x14ac:dyDescent="0.25">
      <c r="A19" s="8" t="s">
        <v>9</v>
      </c>
      <c r="B19" s="8"/>
      <c r="C19" s="8"/>
      <c r="D19" s="9"/>
      <c r="E19" s="19"/>
    </row>
    <row r="20" spans="1:8" ht="15.75" hidden="1" customHeight="1" x14ac:dyDescent="0.25">
      <c r="A20" s="8" t="s">
        <v>9</v>
      </c>
      <c r="B20" s="11" t="s">
        <v>22</v>
      </c>
      <c r="C20" s="12" t="str">
        <f>B20&amp;"_"&amp;A20</f>
        <v>Culpina_Chuquisaca</v>
      </c>
      <c r="E20" s="13">
        <v>91</v>
      </c>
      <c r="F20" s="14">
        <f t="shared" ref="F20:H20" si="3">SUM(F21:F28)</f>
        <v>66.261459346384683</v>
      </c>
      <c r="G20" s="14">
        <f t="shared" si="3"/>
        <v>22.313775198973005</v>
      </c>
      <c r="H20" s="14">
        <f t="shared" si="3"/>
        <v>2.4187754843972686</v>
      </c>
    </row>
    <row r="21" spans="1:8" ht="15.75" hidden="1" customHeight="1" x14ac:dyDescent="0.25">
      <c r="A21" s="8" t="s">
        <v>9</v>
      </c>
      <c r="B21" s="11" t="s">
        <v>22</v>
      </c>
      <c r="C21" s="15"/>
      <c r="D21" s="16" t="s">
        <v>15</v>
      </c>
      <c r="E21" s="17">
        <v>1</v>
      </c>
      <c r="F21" s="18">
        <f>E21* 0.962408869987849</f>
        <v>0.96240886998784902</v>
      </c>
      <c r="G21" s="18">
        <f>E21*0.00425273390036452</f>
        <v>4.2527339003645198E-3</v>
      </c>
      <c r="H21" s="18">
        <f>E21*0.0333383961117862</f>
        <v>3.3338396111786198E-2</v>
      </c>
    </row>
    <row r="22" spans="1:8" ht="15.75" hidden="1" customHeight="1" x14ac:dyDescent="0.25">
      <c r="A22" s="8" t="s">
        <v>9</v>
      </c>
      <c r="B22" s="11" t="s">
        <v>22</v>
      </c>
      <c r="C22" s="15"/>
      <c r="D22" s="16" t="s">
        <v>11</v>
      </c>
      <c r="E22" s="17">
        <v>21</v>
      </c>
      <c r="F22" s="18">
        <f>E22*0.0664298401420959</f>
        <v>1.3950266429840137</v>
      </c>
      <c r="G22" s="18">
        <f>E22*0.932326820603908</f>
        <v>19.578863232682068</v>
      </c>
      <c r="H22" s="18">
        <f>E22*0.00106571936056838</f>
        <v>2.2380106571935978E-2</v>
      </c>
    </row>
    <row r="23" spans="1:8" ht="15.75" hidden="1" customHeight="1" x14ac:dyDescent="0.25">
      <c r="A23" s="8" t="s">
        <v>9</v>
      </c>
      <c r="B23" s="11" t="s">
        <v>22</v>
      </c>
      <c r="C23" s="15"/>
      <c r="D23" s="16" t="s">
        <v>17</v>
      </c>
      <c r="E23" s="17">
        <v>5</v>
      </c>
      <c r="F23" s="18">
        <f>E23*0.860929374266063</f>
        <v>4.3046468713303145</v>
      </c>
      <c r="G23" s="18">
        <f>E23*0.0811944304646871</f>
        <v>0.40597215232343553</v>
      </c>
      <c r="H23" s="18">
        <f>E23*0.0578761952692501</f>
        <v>0.28938097634625048</v>
      </c>
    </row>
    <row r="24" spans="1:8" ht="15.75" hidden="1" customHeight="1" x14ac:dyDescent="0.25">
      <c r="A24" s="8" t="s">
        <v>9</v>
      </c>
      <c r="B24" s="11" t="s">
        <v>22</v>
      </c>
      <c r="C24" s="15"/>
      <c r="D24" s="16" t="s">
        <v>18</v>
      </c>
      <c r="E24" s="17">
        <v>2</v>
      </c>
      <c r="F24" s="18">
        <f>E24*0.949854952341484</f>
        <v>1.899709904682968</v>
      </c>
      <c r="G24" s="18">
        <f>E24*0.0439287194363862</f>
        <v>8.7857438872772406E-2</v>
      </c>
      <c r="H24" s="18">
        <f>E24*0.00621632822213013</f>
        <v>1.2432656444260261E-2</v>
      </c>
    </row>
    <row r="25" spans="1:8" ht="15.75" hidden="1" customHeight="1" x14ac:dyDescent="0.25">
      <c r="A25" s="8" t="s">
        <v>9</v>
      </c>
      <c r="B25" s="11" t="s">
        <v>22</v>
      </c>
      <c r="C25" s="15"/>
      <c r="D25" s="16" t="s">
        <v>19</v>
      </c>
      <c r="E25" s="17">
        <v>0</v>
      </c>
      <c r="F25" s="18">
        <f>E25*0.0187085093542547</f>
        <v>0</v>
      </c>
      <c r="G25" s="18">
        <f>E25*0.978877489438745</f>
        <v>0</v>
      </c>
      <c r="H25" s="18">
        <f>E25*0.0024140012070006</f>
        <v>0</v>
      </c>
    </row>
    <row r="26" spans="1:8" ht="15.75" hidden="1" customHeight="1" x14ac:dyDescent="0.25">
      <c r="A26" s="8" t="s">
        <v>9</v>
      </c>
      <c r="B26" s="11" t="s">
        <v>22</v>
      </c>
      <c r="C26" s="15"/>
      <c r="D26" s="16" t="s">
        <v>20</v>
      </c>
      <c r="E26" s="17">
        <v>0</v>
      </c>
      <c r="F26" s="18">
        <f>E26* 0.557228915662651</f>
        <v>0</v>
      </c>
      <c r="G26" s="18">
        <f>E26*0.390562248995984</f>
        <v>0</v>
      </c>
      <c r="H26" s="18">
        <f>E26*0.0522088353413655</f>
        <v>0</v>
      </c>
    </row>
    <row r="27" spans="1:8" ht="15.75" hidden="1" customHeight="1" x14ac:dyDescent="0.25">
      <c r="A27" s="8" t="s">
        <v>9</v>
      </c>
      <c r="B27" s="11" t="s">
        <v>22</v>
      </c>
      <c r="C27" s="15"/>
      <c r="D27" s="16" t="s">
        <v>21</v>
      </c>
      <c r="E27" s="17">
        <v>23</v>
      </c>
      <c r="F27" s="18">
        <f>E27* 0.999622470552703</f>
        <v>22.991316822712172</v>
      </c>
      <c r="G27" s="18">
        <f>E27* 0.0000755058894593778</f>
        <v>1.7366354575656896E-3</v>
      </c>
      <c r="H27" s="18">
        <f>E27* 0.000302023557837511</f>
        <v>6.9465418302627532E-3</v>
      </c>
    </row>
    <row r="28" spans="1:8" ht="15.75" hidden="1" customHeight="1" x14ac:dyDescent="0.25">
      <c r="A28" s="8" t="s">
        <v>9</v>
      </c>
      <c r="B28" s="11" t="s">
        <v>22</v>
      </c>
      <c r="C28" s="15"/>
      <c r="D28" s="16" t="s">
        <v>12</v>
      </c>
      <c r="E28" s="17">
        <v>39</v>
      </c>
      <c r="F28" s="18">
        <f>E28* 0.889957698325317</f>
        <v>34.708350234687366</v>
      </c>
      <c r="G28" s="18">
        <f>E28* 0.0573100770701744</f>
        <v>2.2350930057368017</v>
      </c>
      <c r="H28" s="18">
        <f>E28* 0.0526742771049429</f>
        <v>2.054296807092773</v>
      </c>
    </row>
    <row r="29" spans="1:8" ht="15.75" hidden="1" customHeight="1" x14ac:dyDescent="0.25">
      <c r="A29" s="8" t="s">
        <v>9</v>
      </c>
      <c r="B29" s="8"/>
      <c r="C29" s="8"/>
      <c r="D29" s="9"/>
      <c r="E29" s="19"/>
    </row>
    <row r="30" spans="1:8" ht="15.75" hidden="1" customHeight="1" x14ac:dyDescent="0.25">
      <c r="A30" s="8" t="s">
        <v>9</v>
      </c>
      <c r="B30" s="11" t="s">
        <v>23</v>
      </c>
      <c r="C30" s="12" t="str">
        <f>B30&amp;"_"&amp;A30</f>
        <v>El Villar_Chuquisaca</v>
      </c>
      <c r="E30" s="13">
        <v>1</v>
      </c>
      <c r="F30" s="14">
        <f t="shared" ref="F30:H30" si="4">F31</f>
        <v>0.86092937426606297</v>
      </c>
      <c r="G30" s="14">
        <f t="shared" si="4"/>
        <v>8.1194430464687106E-2</v>
      </c>
      <c r="H30" s="14">
        <f t="shared" si="4"/>
        <v>5.78761952692501E-2</v>
      </c>
    </row>
    <row r="31" spans="1:8" ht="15.75" hidden="1" customHeight="1" x14ac:dyDescent="0.25">
      <c r="A31" s="8" t="s">
        <v>9</v>
      </c>
      <c r="B31" s="11" t="s">
        <v>23</v>
      </c>
      <c r="C31" s="15"/>
      <c r="D31" s="16" t="s">
        <v>17</v>
      </c>
      <c r="E31" s="17">
        <v>1</v>
      </c>
      <c r="F31" s="18">
        <f>E31*0.860929374266063</f>
        <v>0.86092937426606297</v>
      </c>
      <c r="G31" s="18">
        <f>E31*0.0811944304646871</f>
        <v>8.1194430464687106E-2</v>
      </c>
      <c r="H31" s="18">
        <f>E31*0.0578761952692501</f>
        <v>5.78761952692501E-2</v>
      </c>
    </row>
    <row r="32" spans="1:8" ht="15.75" hidden="1" customHeight="1" x14ac:dyDescent="0.25">
      <c r="A32" s="8" t="s">
        <v>9</v>
      </c>
      <c r="B32" s="21"/>
      <c r="C32" s="21"/>
      <c r="D32" s="16"/>
      <c r="E32" s="19"/>
    </row>
    <row r="33" spans="1:8" ht="15.75" hidden="1" customHeight="1" x14ac:dyDescent="0.25">
      <c r="A33" s="8" t="s">
        <v>9</v>
      </c>
      <c r="B33" s="11" t="s">
        <v>24</v>
      </c>
      <c r="C33" s="12" t="str">
        <f>B33&amp;"_"&amp;A33</f>
        <v>Incahuasi_Chuquisaca</v>
      </c>
      <c r="E33" s="13">
        <v>15</v>
      </c>
      <c r="F33" s="14">
        <f t="shared" ref="F33:H33" si="5">SUM(F34:F36)</f>
        <v>3.3799462045033395</v>
      </c>
      <c r="G33" s="14">
        <f t="shared" si="5"/>
        <v>11.431505138640958</v>
      </c>
      <c r="H33" s="14">
        <f t="shared" si="5"/>
        <v>0.18641721813457088</v>
      </c>
    </row>
    <row r="34" spans="1:8" ht="15.75" hidden="1" customHeight="1" x14ac:dyDescent="0.25">
      <c r="A34" s="8" t="s">
        <v>9</v>
      </c>
      <c r="B34" s="11" t="s">
        <v>24</v>
      </c>
      <c r="C34" s="15"/>
      <c r="D34" s="16" t="s">
        <v>11</v>
      </c>
      <c r="E34" s="17">
        <v>12</v>
      </c>
      <c r="F34" s="18">
        <f>E34*0.0664298401420959</f>
        <v>0.79715808170515068</v>
      </c>
      <c r="G34" s="18">
        <f>E34*0.932326820603908</f>
        <v>11.187921847246896</v>
      </c>
      <c r="H34" s="18">
        <f>E34*0.00106571936056838</f>
        <v>1.278863232682056E-2</v>
      </c>
    </row>
    <row r="35" spans="1:8" ht="15.75" hidden="1" customHeight="1" x14ac:dyDescent="0.25">
      <c r="A35" s="8" t="s">
        <v>9</v>
      </c>
      <c r="B35" s="11" t="s">
        <v>24</v>
      </c>
      <c r="C35" s="15"/>
      <c r="D35" s="16" t="s">
        <v>17</v>
      </c>
      <c r="E35" s="17">
        <v>3</v>
      </c>
      <c r="F35" s="18">
        <f>E35*0.860929374266063</f>
        <v>2.5827881227981888</v>
      </c>
      <c r="G35" s="18">
        <f>E35*0.0811944304646871</f>
        <v>0.24358329139406132</v>
      </c>
      <c r="H35" s="18">
        <f>E35*0.0578761952692501</f>
        <v>0.17362858580775031</v>
      </c>
    </row>
    <row r="36" spans="1:8" ht="15.75" hidden="1" customHeight="1" x14ac:dyDescent="0.25">
      <c r="A36" s="8" t="s">
        <v>9</v>
      </c>
      <c r="B36" s="11" t="s">
        <v>24</v>
      </c>
      <c r="C36" s="15"/>
      <c r="D36" s="16" t="s">
        <v>12</v>
      </c>
      <c r="E36" s="17">
        <v>0</v>
      </c>
      <c r="F36" s="18">
        <f>E36* 0.889957698325317</f>
        <v>0</v>
      </c>
      <c r="G36" s="18">
        <f>E36* 0.0573100770701744</f>
        <v>0</v>
      </c>
      <c r="H36" s="18">
        <f>E36* 0.0526742771049429</f>
        <v>0</v>
      </c>
    </row>
    <row r="37" spans="1:8" ht="15.75" hidden="1" customHeight="1" x14ac:dyDescent="0.25">
      <c r="A37" s="8" t="s">
        <v>9</v>
      </c>
      <c r="B37" s="8"/>
      <c r="C37" s="8"/>
      <c r="D37" s="9"/>
      <c r="E37" s="19"/>
    </row>
    <row r="38" spans="1:8" ht="15.75" hidden="1" customHeight="1" x14ac:dyDescent="0.25">
      <c r="A38" s="8" t="s">
        <v>9</v>
      </c>
      <c r="B38" s="11" t="s">
        <v>25</v>
      </c>
      <c r="C38" s="12" t="str">
        <f>B38&amp;"_"&amp;A38</f>
        <v>Las Carreras_Chuquisaca</v>
      </c>
      <c r="E38" s="13">
        <v>7</v>
      </c>
      <c r="F38" s="14">
        <f t="shared" ref="F38:H38" si="6">SUM(F39:F41)</f>
        <v>2.0540079492426053</v>
      </c>
      <c r="G38" s="14">
        <f t="shared" si="6"/>
        <v>4.8240229639489138</v>
      </c>
      <c r="H38" s="14">
        <f t="shared" si="6"/>
        <v>0.12108098734134209</v>
      </c>
    </row>
    <row r="39" spans="1:8" ht="15.75" hidden="1" customHeight="1" x14ac:dyDescent="0.25">
      <c r="A39" s="8" t="s">
        <v>9</v>
      </c>
      <c r="B39" s="11" t="s">
        <v>25</v>
      </c>
      <c r="C39" s="15"/>
      <c r="D39" s="16" t="s">
        <v>15</v>
      </c>
      <c r="E39" s="17">
        <v>0</v>
      </c>
      <c r="F39" s="18">
        <f>E39* 0.962408869987849</f>
        <v>0</v>
      </c>
      <c r="G39" s="18">
        <f>E39*0.00425273390036452</f>
        <v>0</v>
      </c>
      <c r="H39" s="18">
        <f>E39*0.0333383961117862</f>
        <v>0</v>
      </c>
    </row>
    <row r="40" spans="1:8" ht="15.75" hidden="1" customHeight="1" x14ac:dyDescent="0.25">
      <c r="A40" s="8" t="s">
        <v>9</v>
      </c>
      <c r="B40" s="11" t="s">
        <v>25</v>
      </c>
      <c r="C40" s="15"/>
      <c r="D40" s="16" t="s">
        <v>11</v>
      </c>
      <c r="E40" s="17">
        <v>5</v>
      </c>
      <c r="F40" s="18">
        <f>E40*0.0664298401420959</f>
        <v>0.33214920071047949</v>
      </c>
      <c r="G40" s="18">
        <f>E40*0.932326820603908</f>
        <v>4.6616341030195398</v>
      </c>
      <c r="H40" s="18">
        <f>E40*0.00106571936056838</f>
        <v>5.3285968028419003E-3</v>
      </c>
    </row>
    <row r="41" spans="1:8" ht="15.75" hidden="1" customHeight="1" x14ac:dyDescent="0.25">
      <c r="A41" s="8" t="s">
        <v>9</v>
      </c>
      <c r="B41" s="11" t="s">
        <v>25</v>
      </c>
      <c r="C41" s="15"/>
      <c r="D41" s="16" t="s">
        <v>17</v>
      </c>
      <c r="E41" s="17">
        <v>2</v>
      </c>
      <c r="F41" s="18">
        <f>E41*0.860929374266063</f>
        <v>1.7218587485321259</v>
      </c>
      <c r="G41" s="18">
        <f>E41*0.0811944304646871</f>
        <v>0.16238886092937421</v>
      </c>
      <c r="H41" s="18">
        <f>E41*0.0578761952692501</f>
        <v>0.1157523905385002</v>
      </c>
    </row>
    <row r="42" spans="1:8" ht="15.75" hidden="1" customHeight="1" x14ac:dyDescent="0.25">
      <c r="A42" s="8" t="s">
        <v>9</v>
      </c>
      <c r="B42" s="8"/>
      <c r="C42" s="8"/>
      <c r="D42" s="9"/>
      <c r="E42" s="19"/>
    </row>
    <row r="43" spans="1:8" ht="15.75" hidden="1" customHeight="1" x14ac:dyDescent="0.25">
      <c r="A43" s="8" t="s">
        <v>9</v>
      </c>
      <c r="B43" s="11" t="s">
        <v>26</v>
      </c>
      <c r="C43" s="12" t="str">
        <f>B43&amp;"_"&amp;A43</f>
        <v>Macharetí_Chuquisaca</v>
      </c>
      <c r="E43" s="13">
        <v>9</v>
      </c>
      <c r="F43" s="14">
        <f t="shared" ref="F43:H43" si="7">SUM(F44:F47)</f>
        <v>6.3662447803567286</v>
      </c>
      <c r="G43" s="14">
        <f t="shared" si="7"/>
        <v>2.3345988790095111</v>
      </c>
      <c r="H43" s="14">
        <f t="shared" si="7"/>
        <v>0.29874315334734031</v>
      </c>
    </row>
    <row r="44" spans="1:8" ht="15.75" hidden="1" customHeight="1" x14ac:dyDescent="0.25">
      <c r="A44" s="8" t="s">
        <v>9</v>
      </c>
      <c r="B44" s="11" t="s">
        <v>26</v>
      </c>
      <c r="C44" s="15"/>
      <c r="D44" s="16" t="s">
        <v>11</v>
      </c>
      <c r="E44" s="17">
        <v>2</v>
      </c>
      <c r="F44" s="18">
        <f>E44*0.0664298401420959</f>
        <v>0.13285968028419179</v>
      </c>
      <c r="G44" s="18">
        <f>E44*0.932326820603908</f>
        <v>1.8646536412078161</v>
      </c>
      <c r="H44" s="18">
        <f>E44*0.00106571936056838</f>
        <v>2.1314387211367599E-3</v>
      </c>
    </row>
    <row r="45" spans="1:8" ht="15.75" hidden="1" customHeight="1" x14ac:dyDescent="0.25">
      <c r="A45" s="8" t="s">
        <v>9</v>
      </c>
      <c r="B45" s="11" t="s">
        <v>26</v>
      </c>
      <c r="C45" s="15"/>
      <c r="D45" s="16" t="s">
        <v>17</v>
      </c>
      <c r="E45" s="17">
        <v>4</v>
      </c>
      <c r="F45" s="18">
        <f>E45*0.860929374266063</f>
        <v>3.4437174970642519</v>
      </c>
      <c r="G45" s="18">
        <f>E45*0.0811944304646871</f>
        <v>0.32477772185874842</v>
      </c>
      <c r="H45" s="18">
        <f>E45*0.0578761952692501</f>
        <v>0.2315047810770004</v>
      </c>
    </row>
    <row r="46" spans="1:8" ht="15.75" hidden="1" customHeight="1" x14ac:dyDescent="0.25">
      <c r="A46" s="8" t="s">
        <v>9</v>
      </c>
      <c r="B46" s="11" t="s">
        <v>26</v>
      </c>
      <c r="C46" s="15"/>
      <c r="D46" s="16" t="s">
        <v>18</v>
      </c>
      <c r="E46" s="17">
        <v>2</v>
      </c>
      <c r="F46" s="18">
        <f>E46*0.949854952341484</f>
        <v>1.899709904682968</v>
      </c>
      <c r="G46" s="18">
        <f>E46*0.0439287194363862</f>
        <v>8.7857438872772406E-2</v>
      </c>
      <c r="H46" s="18">
        <f>E46*0.00621632822213013</f>
        <v>1.2432656444260261E-2</v>
      </c>
    </row>
    <row r="47" spans="1:8" ht="15.75" hidden="1" customHeight="1" x14ac:dyDescent="0.25">
      <c r="A47" s="8" t="s">
        <v>9</v>
      </c>
      <c r="B47" s="11" t="s">
        <v>26</v>
      </c>
      <c r="C47" s="15"/>
      <c r="D47" s="16" t="s">
        <v>12</v>
      </c>
      <c r="E47" s="17">
        <v>1</v>
      </c>
      <c r="F47" s="18">
        <f>E47* 0.889957698325317</f>
        <v>0.88995769832531701</v>
      </c>
      <c r="G47" s="18">
        <f>E47* 0.0573100770701744</f>
        <v>5.7310077070174402E-2</v>
      </c>
      <c r="H47" s="18">
        <f>E47* 0.0526742771049429</f>
        <v>5.26742771049429E-2</v>
      </c>
    </row>
    <row r="48" spans="1:8" ht="15.75" hidden="1" customHeight="1" x14ac:dyDescent="0.25">
      <c r="A48" s="8" t="s">
        <v>9</v>
      </c>
      <c r="B48" s="8"/>
      <c r="C48" s="8"/>
      <c r="D48" s="9"/>
      <c r="E48" s="19"/>
    </row>
    <row r="49" spans="1:8" ht="15.75" hidden="1" customHeight="1" x14ac:dyDescent="0.25">
      <c r="A49" s="8" t="s">
        <v>9</v>
      </c>
      <c r="B49" s="11" t="s">
        <v>27</v>
      </c>
      <c r="C49" s="12" t="str">
        <f>B49&amp;"_"&amp;A49</f>
        <v>Padilla_Chuquisaca</v>
      </c>
      <c r="E49" s="13">
        <v>7</v>
      </c>
      <c r="F49" s="14">
        <f t="shared" ref="F49:H49" si="8">SUM(F50:F58)</f>
        <v>4.6052279719604012</v>
      </c>
      <c r="G49" s="14">
        <f t="shared" si="8"/>
        <v>2.1656225155615112</v>
      </c>
      <c r="H49" s="14">
        <f t="shared" si="8"/>
        <v>0.22873632519166748</v>
      </c>
    </row>
    <row r="50" spans="1:8" ht="15.75" hidden="1" customHeight="1" x14ac:dyDescent="0.25">
      <c r="A50" s="8" t="s">
        <v>9</v>
      </c>
      <c r="B50" s="11" t="s">
        <v>27</v>
      </c>
      <c r="C50" s="15"/>
      <c r="D50" s="16" t="s">
        <v>15</v>
      </c>
      <c r="E50" s="17">
        <v>0</v>
      </c>
      <c r="F50" s="18">
        <f>E50* 0.962408869987849</f>
        <v>0</v>
      </c>
      <c r="G50" s="18">
        <f>E50*0.00425273390036452</f>
        <v>0</v>
      </c>
      <c r="H50" s="18">
        <f>E50*0.0333383961117862</f>
        <v>0</v>
      </c>
    </row>
    <row r="51" spans="1:8" ht="15.75" hidden="1" customHeight="1" x14ac:dyDescent="0.25">
      <c r="A51" s="8" t="s">
        <v>9</v>
      </c>
      <c r="B51" s="11" t="s">
        <v>27</v>
      </c>
      <c r="C51" s="15"/>
      <c r="D51" s="16" t="s">
        <v>11</v>
      </c>
      <c r="E51" s="17">
        <v>2</v>
      </c>
      <c r="F51" s="18">
        <f>E51*0.0664298401420959</f>
        <v>0.13285968028419179</v>
      </c>
      <c r="G51" s="18">
        <f>E51*0.932326820603908</f>
        <v>1.8646536412078161</v>
      </c>
      <c r="H51" s="18">
        <f>E51*0.00106571936056838</f>
        <v>2.1314387211367599E-3</v>
      </c>
    </row>
    <row r="52" spans="1:8" ht="15.75" hidden="1" customHeight="1" x14ac:dyDescent="0.25">
      <c r="A52" s="8" t="s">
        <v>9</v>
      </c>
      <c r="B52" s="11" t="s">
        <v>27</v>
      </c>
      <c r="C52" s="15"/>
      <c r="D52" s="16" t="s">
        <v>17</v>
      </c>
      <c r="E52" s="17">
        <v>3</v>
      </c>
      <c r="F52" s="18">
        <f>E52*0.860929374266063</f>
        <v>2.5827881227981888</v>
      </c>
      <c r="G52" s="18">
        <f>E52*0.0811944304646871</f>
        <v>0.24358329139406132</v>
      </c>
      <c r="H52" s="18">
        <f>E52*0.0578761952692501</f>
        <v>0.17362858580775031</v>
      </c>
    </row>
    <row r="53" spans="1:8" ht="15.75" hidden="1" customHeight="1" x14ac:dyDescent="0.25">
      <c r="A53" s="8" t="s">
        <v>9</v>
      </c>
      <c r="B53" s="11" t="s">
        <v>27</v>
      </c>
      <c r="C53" s="15"/>
      <c r="D53" s="16" t="s">
        <v>18</v>
      </c>
      <c r="E53" s="17">
        <v>0</v>
      </c>
      <c r="F53" s="18">
        <f>E53*0.949854952341484</f>
        <v>0</v>
      </c>
      <c r="G53" s="18">
        <f>E53*0.0439287194363862</f>
        <v>0</v>
      </c>
      <c r="H53" s="18">
        <f>E53*0.00621632822213013</f>
        <v>0</v>
      </c>
    </row>
    <row r="54" spans="1:8" ht="15.75" hidden="1" customHeight="1" x14ac:dyDescent="0.25">
      <c r="A54" s="8" t="s">
        <v>9</v>
      </c>
      <c r="B54" s="11" t="s">
        <v>27</v>
      </c>
      <c r="C54" s="15"/>
      <c r="D54" s="16" t="s">
        <v>19</v>
      </c>
      <c r="E54" s="17">
        <v>0</v>
      </c>
      <c r="F54" s="18">
        <f>E54*0.0187085093542547</f>
        <v>0</v>
      </c>
      <c r="G54" s="18">
        <f>E54*0.978877489438745</f>
        <v>0</v>
      </c>
      <c r="H54" s="18">
        <f>E54*0.0024140012070006</f>
        <v>0</v>
      </c>
    </row>
    <row r="55" spans="1:8" ht="15.75" hidden="1" customHeight="1" x14ac:dyDescent="0.25">
      <c r="A55" s="8" t="s">
        <v>9</v>
      </c>
      <c r="B55" s="11" t="s">
        <v>27</v>
      </c>
      <c r="C55" s="15"/>
      <c r="D55" s="16" t="s">
        <v>20</v>
      </c>
      <c r="E55" s="17">
        <v>0</v>
      </c>
      <c r="F55" s="18">
        <f>E55* 0.557228915662651</f>
        <v>0</v>
      </c>
      <c r="G55" s="18">
        <f>E55*0.390562248995984</f>
        <v>0</v>
      </c>
      <c r="H55" s="18">
        <f>E55*0.0522088353413655</f>
        <v>0</v>
      </c>
    </row>
    <row r="56" spans="1:8" ht="15.75" hidden="1" customHeight="1" x14ac:dyDescent="0.25">
      <c r="A56" s="8" t="s">
        <v>9</v>
      </c>
      <c r="B56" s="11" t="s">
        <v>27</v>
      </c>
      <c r="C56" s="15"/>
      <c r="D56" s="16" t="s">
        <v>21</v>
      </c>
      <c r="E56" s="17">
        <v>1</v>
      </c>
      <c r="F56" s="18">
        <f>E56* 0.999622470552703</f>
        <v>0.99962247055270304</v>
      </c>
      <c r="G56" s="18">
        <f>E56* 0.0000755058894593778</f>
        <v>7.5505889459377804E-5</v>
      </c>
      <c r="H56" s="18">
        <f>E56* 0.000302023557837511</f>
        <v>3.02023557837511E-4</v>
      </c>
    </row>
    <row r="57" spans="1:8" ht="15.75" hidden="1" customHeight="1" x14ac:dyDescent="0.25">
      <c r="A57" s="8" t="s">
        <v>9</v>
      </c>
      <c r="B57" s="11" t="s">
        <v>27</v>
      </c>
      <c r="C57" s="15"/>
      <c r="D57" s="16" t="s">
        <v>28</v>
      </c>
      <c r="E57" s="17">
        <v>0</v>
      </c>
      <c r="F57" s="20">
        <v>0</v>
      </c>
      <c r="G57" s="20">
        <f>E57</f>
        <v>0</v>
      </c>
      <c r="H57" s="20">
        <v>0</v>
      </c>
    </row>
    <row r="58" spans="1:8" ht="15.75" hidden="1" customHeight="1" x14ac:dyDescent="0.25">
      <c r="A58" s="8" t="s">
        <v>9</v>
      </c>
      <c r="B58" s="11" t="s">
        <v>27</v>
      </c>
      <c r="C58" s="15"/>
      <c r="D58" s="16" t="s">
        <v>12</v>
      </c>
      <c r="E58" s="17">
        <v>1</v>
      </c>
      <c r="F58" s="18">
        <f>E58* 0.889957698325317</f>
        <v>0.88995769832531701</v>
      </c>
      <c r="G58" s="18">
        <f>E58* 0.0573100770701744</f>
        <v>5.7310077070174402E-2</v>
      </c>
      <c r="H58" s="18">
        <f>E58* 0.0526742771049429</f>
        <v>5.26742771049429E-2</v>
      </c>
    </row>
    <row r="59" spans="1:8" ht="15.75" hidden="1" customHeight="1" x14ac:dyDescent="0.25">
      <c r="A59" s="8" t="s">
        <v>9</v>
      </c>
      <c r="B59" s="8"/>
      <c r="C59" s="8"/>
      <c r="D59" s="9"/>
      <c r="E59" s="19"/>
    </row>
    <row r="60" spans="1:8" ht="15.75" hidden="1" customHeight="1" x14ac:dyDescent="0.25">
      <c r="A60" s="8" t="s">
        <v>9</v>
      </c>
      <c r="B60" s="11" t="s">
        <v>29</v>
      </c>
      <c r="C60" s="12" t="str">
        <f>B60&amp;"_"&amp;A60</f>
        <v>Poroma_Chuquisaca</v>
      </c>
      <c r="E60" s="13">
        <v>2</v>
      </c>
      <c r="F60" s="14">
        <f t="shared" ref="F60:H60" si="9">SUM(F61:F62)</f>
        <v>0.95638753846741287</v>
      </c>
      <c r="G60" s="14">
        <f t="shared" si="9"/>
        <v>0.98963689767408247</v>
      </c>
      <c r="H60" s="14">
        <f t="shared" si="9"/>
        <v>5.3739996465511281E-2</v>
      </c>
    </row>
    <row r="61" spans="1:8" ht="15.75" hidden="1" customHeight="1" x14ac:dyDescent="0.25">
      <c r="A61" s="8" t="s">
        <v>9</v>
      </c>
      <c r="B61" s="11" t="s">
        <v>29</v>
      </c>
      <c r="C61" s="15"/>
      <c r="D61" s="16" t="s">
        <v>11</v>
      </c>
      <c r="E61" s="17">
        <v>1</v>
      </c>
      <c r="F61" s="18">
        <f>E61*0.0664298401420959</f>
        <v>6.6429840142095894E-2</v>
      </c>
      <c r="G61" s="18">
        <f>E61*0.932326820603908</f>
        <v>0.93232682060390804</v>
      </c>
      <c r="H61" s="18">
        <f>E61*0.00106571936056838</f>
        <v>1.06571936056838E-3</v>
      </c>
    </row>
    <row r="62" spans="1:8" ht="15.75" hidden="1" customHeight="1" x14ac:dyDescent="0.25">
      <c r="A62" s="8" t="s">
        <v>9</v>
      </c>
      <c r="B62" s="11" t="s">
        <v>29</v>
      </c>
      <c r="C62" s="15"/>
      <c r="D62" s="16" t="s">
        <v>12</v>
      </c>
      <c r="E62" s="17">
        <v>1</v>
      </c>
      <c r="F62" s="18">
        <f>E62* 0.889957698325317</f>
        <v>0.88995769832531701</v>
      </c>
      <c r="G62" s="18">
        <f>E62* 0.0573100770701744</f>
        <v>5.7310077070174402E-2</v>
      </c>
      <c r="H62" s="18">
        <f>E62* 0.0526742771049429</f>
        <v>5.26742771049429E-2</v>
      </c>
    </row>
    <row r="63" spans="1:8" ht="15.75" hidden="1" customHeight="1" x14ac:dyDescent="0.25">
      <c r="A63" s="8" t="s">
        <v>9</v>
      </c>
      <c r="B63" s="8"/>
      <c r="C63" s="8"/>
      <c r="D63" s="9"/>
      <c r="E63" s="19"/>
    </row>
    <row r="64" spans="1:8" ht="15.75" hidden="1" customHeight="1" x14ac:dyDescent="0.25">
      <c r="A64" s="8" t="s">
        <v>9</v>
      </c>
      <c r="B64" s="11" t="s">
        <v>30</v>
      </c>
      <c r="C64" s="12" t="str">
        <f>B64&amp;"_"&amp;A64</f>
        <v>San Lucas_Chuquisaca</v>
      </c>
      <c r="E64" s="13">
        <v>29</v>
      </c>
      <c r="F64" s="14">
        <f t="shared" ref="F64:H64" si="10">SUM(F65:F73)</f>
        <v>16.755915097468616</v>
      </c>
      <c r="G64" s="14">
        <f t="shared" si="10"/>
        <v>11.539749046087286</v>
      </c>
      <c r="H64" s="14">
        <f t="shared" si="10"/>
        <v>0.70238203761639384</v>
      </c>
    </row>
    <row r="65" spans="1:8" ht="15.75" hidden="1" customHeight="1" x14ac:dyDescent="0.25">
      <c r="A65" s="8" t="s">
        <v>9</v>
      </c>
      <c r="B65" s="11" t="s">
        <v>30</v>
      </c>
      <c r="C65" s="15"/>
      <c r="D65" s="16" t="s">
        <v>15</v>
      </c>
      <c r="E65" s="17">
        <v>0</v>
      </c>
      <c r="F65" s="18">
        <f>E65* 0.962408869987849</f>
        <v>0</v>
      </c>
      <c r="G65" s="18">
        <f>E65*0.00425273390036452</f>
        <v>0</v>
      </c>
      <c r="H65" s="18">
        <f>E65*0.0333383961117862</f>
        <v>0</v>
      </c>
    </row>
    <row r="66" spans="1:8" ht="15.75" hidden="1" customHeight="1" x14ac:dyDescent="0.25">
      <c r="A66" s="8" t="s">
        <v>9</v>
      </c>
      <c r="B66" s="11" t="s">
        <v>30</v>
      </c>
      <c r="C66" s="15"/>
      <c r="D66" s="16" t="s">
        <v>11</v>
      </c>
      <c r="E66" s="17">
        <v>11</v>
      </c>
      <c r="F66" s="18">
        <f>E66*0.0664298401420959</f>
        <v>0.73072824156305483</v>
      </c>
      <c r="G66" s="18">
        <f>E66*0.932326820603908</f>
        <v>10.255595026642988</v>
      </c>
      <c r="H66" s="18">
        <f>E66*0.00106571936056838</f>
        <v>1.1722912966252179E-2</v>
      </c>
    </row>
    <row r="67" spans="1:8" ht="15.75" hidden="1" customHeight="1" x14ac:dyDescent="0.25">
      <c r="A67" s="8" t="s">
        <v>9</v>
      </c>
      <c r="B67" s="11" t="s">
        <v>30</v>
      </c>
      <c r="C67" s="15"/>
      <c r="D67" s="16" t="s">
        <v>17</v>
      </c>
      <c r="E67" s="17">
        <v>11</v>
      </c>
      <c r="F67" s="18">
        <f>E67*0.860929374266063</f>
        <v>9.4702231169266931</v>
      </c>
      <c r="G67" s="18">
        <f>E67*0.0811944304646871</f>
        <v>0.89313873511155817</v>
      </c>
      <c r="H67" s="18">
        <f>E67*0.0578761952692501</f>
        <v>0.63663814796175111</v>
      </c>
    </row>
    <row r="68" spans="1:8" ht="15.75" hidden="1" customHeight="1" x14ac:dyDescent="0.25">
      <c r="A68" s="8" t="s">
        <v>9</v>
      </c>
      <c r="B68" s="11" t="s">
        <v>30</v>
      </c>
      <c r="C68" s="15"/>
      <c r="D68" s="16" t="s">
        <v>31</v>
      </c>
      <c r="E68" s="17">
        <v>0</v>
      </c>
      <c r="F68" s="18">
        <f>E68*0.935483870967742</f>
        <v>0</v>
      </c>
      <c r="G68" s="18">
        <f>E68*0.0403225806451613</f>
        <v>0</v>
      </c>
      <c r="H68" s="18">
        <f>E68*0.0241935483870968</f>
        <v>0</v>
      </c>
    </row>
    <row r="69" spans="1:8" ht="15.75" hidden="1" customHeight="1" x14ac:dyDescent="0.25">
      <c r="A69" s="8" t="s">
        <v>9</v>
      </c>
      <c r="B69" s="11" t="s">
        <v>30</v>
      </c>
      <c r="C69" s="15"/>
      <c r="D69" s="16" t="s">
        <v>18</v>
      </c>
      <c r="E69" s="17">
        <v>0</v>
      </c>
      <c r="F69" s="18">
        <f>E69*0.949854952341484</f>
        <v>0</v>
      </c>
      <c r="G69" s="18">
        <f>E69*0.0439287194363862</f>
        <v>0</v>
      </c>
      <c r="H69" s="18">
        <f>E69*0.00621632822213013</f>
        <v>0</v>
      </c>
    </row>
    <row r="70" spans="1:8" ht="15.75" hidden="1" customHeight="1" x14ac:dyDescent="0.25">
      <c r="A70" s="8" t="s">
        <v>9</v>
      </c>
      <c r="B70" s="11" t="s">
        <v>30</v>
      </c>
      <c r="C70" s="15"/>
      <c r="D70" s="16" t="s">
        <v>19</v>
      </c>
      <c r="E70" s="17">
        <v>0</v>
      </c>
      <c r="F70" s="18">
        <f>E70*0.0187085093542547</f>
        <v>0</v>
      </c>
      <c r="G70" s="18">
        <f>E70*0.978877489438745</f>
        <v>0</v>
      </c>
      <c r="H70" s="18">
        <f>E70*0.0024140012070006</f>
        <v>0</v>
      </c>
    </row>
    <row r="71" spans="1:8" ht="15.75" hidden="1" customHeight="1" x14ac:dyDescent="0.25">
      <c r="A71" s="8" t="s">
        <v>9</v>
      </c>
      <c r="B71" s="11" t="s">
        <v>30</v>
      </c>
      <c r="C71" s="15"/>
      <c r="D71" s="16" t="s">
        <v>20</v>
      </c>
      <c r="E71" s="17">
        <v>1</v>
      </c>
      <c r="F71" s="18">
        <f>E71* 0.557228915662651</f>
        <v>0.55722891566265098</v>
      </c>
      <c r="G71" s="18">
        <f>E71*0.390562248995984</f>
        <v>0.39056224899598402</v>
      </c>
      <c r="H71" s="18">
        <f>E71*0.0522088353413655</f>
        <v>5.22088353413655E-2</v>
      </c>
    </row>
    <row r="72" spans="1:8" ht="15.75" hidden="1" customHeight="1" x14ac:dyDescent="0.25">
      <c r="A72" s="8" t="s">
        <v>9</v>
      </c>
      <c r="B72" s="11" t="s">
        <v>30</v>
      </c>
      <c r="C72" s="15"/>
      <c r="D72" s="16" t="s">
        <v>21</v>
      </c>
      <c r="E72" s="17">
        <v>6</v>
      </c>
      <c r="F72" s="18">
        <f>E72* 0.999622470552703</f>
        <v>5.9977348233162182</v>
      </c>
      <c r="G72" s="18">
        <f>E72* 0.0000755058894593778</f>
        <v>4.5303533675626682E-4</v>
      </c>
      <c r="H72" s="18">
        <f>E72* 0.000302023557837511</f>
        <v>1.812141347025066E-3</v>
      </c>
    </row>
    <row r="73" spans="1:8" ht="15.75" hidden="1" customHeight="1" x14ac:dyDescent="0.25">
      <c r="A73" s="8" t="s">
        <v>9</v>
      </c>
      <c r="B73" s="11" t="s">
        <v>30</v>
      </c>
      <c r="C73" s="15"/>
      <c r="D73" s="16" t="s">
        <v>12</v>
      </c>
      <c r="E73" s="17">
        <v>0</v>
      </c>
      <c r="F73" s="18">
        <f>E73* 0.889957698325317</f>
        <v>0</v>
      </c>
      <c r="G73" s="18">
        <f>E73* 0.0573100770701744</f>
        <v>0</v>
      </c>
      <c r="H73" s="18">
        <f>E73* 0.0526742771049429</f>
        <v>0</v>
      </c>
    </row>
    <row r="74" spans="1:8" ht="15.75" hidden="1" customHeight="1" x14ac:dyDescent="0.25">
      <c r="A74" s="8" t="s">
        <v>9</v>
      </c>
      <c r="B74" s="8"/>
      <c r="C74" s="8"/>
      <c r="D74" s="9"/>
      <c r="E74" s="19"/>
    </row>
    <row r="75" spans="1:8" ht="15.75" hidden="1" customHeight="1" x14ac:dyDescent="0.25">
      <c r="A75" s="8" t="s">
        <v>9</v>
      </c>
      <c r="B75" s="11" t="s">
        <v>32</v>
      </c>
      <c r="C75" s="12" t="str">
        <f>B75&amp;"_"&amp;A75</f>
        <v>San Pablo de Huacareta_Chuquisaca</v>
      </c>
      <c r="E75" s="13">
        <v>4</v>
      </c>
      <c r="F75" s="14">
        <f t="shared" ref="F75:H75" si="11">SUM(F76:F79)</f>
        <v>3.6215686532150939</v>
      </c>
      <c r="G75" s="14">
        <f t="shared" si="11"/>
        <v>0.25024629980214663</v>
      </c>
      <c r="H75" s="14">
        <f t="shared" si="11"/>
        <v>0.12818504698276045</v>
      </c>
    </row>
    <row r="76" spans="1:8" ht="15.75" hidden="1" customHeight="1" x14ac:dyDescent="0.25">
      <c r="A76" s="8" t="s">
        <v>9</v>
      </c>
      <c r="B76" s="11" t="s">
        <v>32</v>
      </c>
      <c r="C76" s="15"/>
      <c r="D76" s="16" t="s">
        <v>11</v>
      </c>
      <c r="E76" s="17">
        <v>0</v>
      </c>
      <c r="F76" s="18">
        <f>E76*0.0664298401420959</f>
        <v>0</v>
      </c>
      <c r="G76" s="18">
        <f>E76*0.932326820603908</f>
        <v>0</v>
      </c>
      <c r="H76" s="18">
        <f>E76*0.00106571936056838</f>
        <v>0</v>
      </c>
    </row>
    <row r="77" spans="1:8" ht="15.75" hidden="1" customHeight="1" x14ac:dyDescent="0.25">
      <c r="A77" s="8" t="s">
        <v>9</v>
      </c>
      <c r="B77" s="11" t="s">
        <v>32</v>
      </c>
      <c r="C77" s="15"/>
      <c r="D77" s="16" t="s">
        <v>17</v>
      </c>
      <c r="E77" s="17">
        <v>2</v>
      </c>
      <c r="F77" s="18">
        <f>E77*0.860929374266063</f>
        <v>1.7218587485321259</v>
      </c>
      <c r="G77" s="18">
        <f>E77*0.0811944304646871</f>
        <v>0.16238886092937421</v>
      </c>
      <c r="H77" s="18">
        <f>E77*0.0578761952692501</f>
        <v>0.1157523905385002</v>
      </c>
    </row>
    <row r="78" spans="1:8" ht="15.75" hidden="1" customHeight="1" x14ac:dyDescent="0.25">
      <c r="A78" s="8" t="s">
        <v>9</v>
      </c>
      <c r="B78" s="11" t="s">
        <v>32</v>
      </c>
      <c r="C78" s="15"/>
      <c r="D78" s="16" t="s">
        <v>18</v>
      </c>
      <c r="E78" s="17">
        <v>2</v>
      </c>
      <c r="F78" s="18">
        <f>E78*0.949854952341484</f>
        <v>1.899709904682968</v>
      </c>
      <c r="G78" s="18">
        <f>E78*0.0439287194363862</f>
        <v>8.7857438872772406E-2</v>
      </c>
      <c r="H78" s="18">
        <f>E78*0.00621632822213013</f>
        <v>1.2432656444260261E-2</v>
      </c>
    </row>
    <row r="79" spans="1:8" ht="15.75" hidden="1" customHeight="1" x14ac:dyDescent="0.25">
      <c r="A79" s="8" t="s">
        <v>9</v>
      </c>
      <c r="B79" s="11" t="s">
        <v>32</v>
      </c>
      <c r="C79" s="15"/>
      <c r="D79" s="16" t="s">
        <v>12</v>
      </c>
      <c r="E79" s="17">
        <v>0</v>
      </c>
      <c r="F79" s="18">
        <f>E79* 0.889957698325317</f>
        <v>0</v>
      </c>
      <c r="G79" s="18">
        <f>E79* 0.0573100770701744</f>
        <v>0</v>
      </c>
      <c r="H79" s="18">
        <f>E79* 0.0526742771049429</f>
        <v>0</v>
      </c>
    </row>
    <row r="80" spans="1:8" ht="15.75" hidden="1" customHeight="1" x14ac:dyDescent="0.25">
      <c r="A80" s="8" t="s">
        <v>9</v>
      </c>
      <c r="B80" s="8"/>
      <c r="C80" s="8"/>
      <c r="D80" s="9"/>
      <c r="E80" s="19"/>
    </row>
    <row r="81" spans="1:8" ht="15.75" hidden="1" customHeight="1" x14ac:dyDescent="0.25">
      <c r="A81" s="8" t="s">
        <v>9</v>
      </c>
      <c r="B81" s="11" t="s">
        <v>33</v>
      </c>
      <c r="C81" s="12" t="str">
        <f>B81&amp;"_"&amp;A81</f>
        <v>Sopachuy_Chuquisaca</v>
      </c>
      <c r="E81" s="13">
        <v>4</v>
      </c>
      <c r="F81" s="14">
        <f t="shared" ref="F81:H81" si="12">SUM(F82:F84)</f>
        <v>3.5824105933508918</v>
      </c>
      <c r="G81" s="14">
        <f t="shared" si="12"/>
        <v>0.24365879728352069</v>
      </c>
      <c r="H81" s="14">
        <f t="shared" si="12"/>
        <v>0.17393060936558782</v>
      </c>
    </row>
    <row r="82" spans="1:8" ht="15.75" hidden="1" customHeight="1" x14ac:dyDescent="0.25">
      <c r="A82" s="8" t="s">
        <v>9</v>
      </c>
      <c r="B82" s="11" t="s">
        <v>33</v>
      </c>
      <c r="C82" s="15"/>
      <c r="D82" s="16" t="s">
        <v>11</v>
      </c>
      <c r="E82" s="17">
        <v>0</v>
      </c>
      <c r="F82" s="18">
        <f>E82*0.0664298401420959</f>
        <v>0</v>
      </c>
      <c r="G82" s="18">
        <f>E82*0.932326820603908</f>
        <v>0</v>
      </c>
      <c r="H82" s="18">
        <f>E82*0.00106571936056838</f>
        <v>0</v>
      </c>
    </row>
    <row r="83" spans="1:8" ht="15.75" hidden="1" customHeight="1" x14ac:dyDescent="0.25">
      <c r="A83" s="8" t="s">
        <v>9</v>
      </c>
      <c r="B83" s="11" t="s">
        <v>33</v>
      </c>
      <c r="C83" s="15"/>
      <c r="D83" s="16" t="s">
        <v>17</v>
      </c>
      <c r="E83" s="17">
        <v>3</v>
      </c>
      <c r="F83" s="18">
        <f>E83*0.860929374266063</f>
        <v>2.5827881227981888</v>
      </c>
      <c r="G83" s="18">
        <f>E83*0.0811944304646871</f>
        <v>0.24358329139406132</v>
      </c>
      <c r="H83" s="18">
        <f>E83*0.0578761952692501</f>
        <v>0.17362858580775031</v>
      </c>
    </row>
    <row r="84" spans="1:8" ht="15.75" hidden="1" customHeight="1" x14ac:dyDescent="0.25">
      <c r="A84" s="8" t="s">
        <v>9</v>
      </c>
      <c r="B84" s="11" t="s">
        <v>33</v>
      </c>
      <c r="C84" s="15"/>
      <c r="D84" s="16" t="s">
        <v>21</v>
      </c>
      <c r="E84" s="17">
        <v>1</v>
      </c>
      <c r="F84" s="18">
        <f>E84* 0.999622470552703</f>
        <v>0.99962247055270304</v>
      </c>
      <c r="G84" s="18">
        <f>E84* 0.0000755058894593778</f>
        <v>7.5505889459377804E-5</v>
      </c>
      <c r="H84" s="18">
        <f>E84* 0.000302023557837511</f>
        <v>3.02023557837511E-4</v>
      </c>
    </row>
    <row r="85" spans="1:8" ht="15.75" hidden="1" customHeight="1" x14ac:dyDescent="0.25">
      <c r="A85" s="8" t="s">
        <v>9</v>
      </c>
      <c r="B85" s="8"/>
      <c r="C85" s="8"/>
      <c r="D85" s="9"/>
      <c r="E85" s="19"/>
    </row>
    <row r="86" spans="1:8" ht="15.75" hidden="1" customHeight="1" x14ac:dyDescent="0.25">
      <c r="A86" s="8" t="s">
        <v>9</v>
      </c>
      <c r="B86" s="11" t="s">
        <v>34</v>
      </c>
      <c r="C86" s="12" t="str">
        <f>B86&amp;"_"&amp;A86</f>
        <v>Sucre_Chuquisaca</v>
      </c>
      <c r="E86" s="22">
        <v>60425</v>
      </c>
      <c r="F86" s="14">
        <f t="shared" ref="F86:H86" si="13">SUM(F87:F101)</f>
        <v>48495.819865374884</v>
      </c>
      <c r="G86" s="14">
        <f t="shared" si="13"/>
        <v>10191.267010968009</v>
      </c>
      <c r="H86" s="14">
        <f t="shared" si="13"/>
        <v>1735.9852149164967</v>
      </c>
    </row>
    <row r="87" spans="1:8" ht="15.75" hidden="1" customHeight="1" x14ac:dyDescent="0.25">
      <c r="A87" s="8" t="s">
        <v>9</v>
      </c>
      <c r="B87" s="11" t="s">
        <v>34</v>
      </c>
      <c r="C87" s="15"/>
      <c r="D87" s="16" t="s">
        <v>14</v>
      </c>
      <c r="E87" s="17">
        <v>0</v>
      </c>
      <c r="F87" s="20">
        <v>0</v>
      </c>
      <c r="G87" s="20">
        <f>E87</f>
        <v>0</v>
      </c>
      <c r="H87" s="20">
        <v>0</v>
      </c>
    </row>
    <row r="88" spans="1:8" ht="15.75" hidden="1" customHeight="1" x14ac:dyDescent="0.25">
      <c r="A88" s="8" t="s">
        <v>9</v>
      </c>
      <c r="B88" s="11" t="s">
        <v>34</v>
      </c>
      <c r="C88" s="15"/>
      <c r="D88" s="16" t="s">
        <v>15</v>
      </c>
      <c r="E88" s="23">
        <v>13082</v>
      </c>
      <c r="F88" s="18">
        <f>E88* 0.962408869987849</f>
        <v>12590.232837181042</v>
      </c>
      <c r="G88" s="18">
        <f>E88*0.00425273390036452</f>
        <v>55.634264884568651</v>
      </c>
      <c r="H88" s="18">
        <f>E88*0.0333383961117862</f>
        <v>436.13289793438702</v>
      </c>
    </row>
    <row r="89" spans="1:8" ht="15.75" hidden="1" customHeight="1" x14ac:dyDescent="0.25">
      <c r="A89" s="8" t="s">
        <v>9</v>
      </c>
      <c r="B89" s="11" t="s">
        <v>34</v>
      </c>
      <c r="C89" s="15"/>
      <c r="D89" s="16" t="s">
        <v>16</v>
      </c>
      <c r="E89" s="17">
        <v>283</v>
      </c>
      <c r="F89" s="18">
        <f>E89* 0.03</f>
        <v>8.49</v>
      </c>
      <c r="G89" s="18">
        <f>E89* 0.97</f>
        <v>274.51</v>
      </c>
      <c r="H89" s="20">
        <v>0</v>
      </c>
    </row>
    <row r="90" spans="1:8" ht="15.75" hidden="1" customHeight="1" x14ac:dyDescent="0.25">
      <c r="A90" s="8" t="s">
        <v>9</v>
      </c>
      <c r="B90" s="11" t="s">
        <v>34</v>
      </c>
      <c r="C90" s="15"/>
      <c r="D90" s="16" t="s">
        <v>11</v>
      </c>
      <c r="E90" s="23">
        <v>5368</v>
      </c>
      <c r="F90" s="18">
        <f>E90*0.0664298401420959</f>
        <v>356.59538188277077</v>
      </c>
      <c r="G90" s="18">
        <f>E90*0.932326820603908</f>
        <v>5004.7303730017784</v>
      </c>
      <c r="H90" s="18">
        <f>E90*0.00106571936056838</f>
        <v>5.7207815275310638</v>
      </c>
    </row>
    <row r="91" spans="1:8" ht="15.75" hidden="1" customHeight="1" x14ac:dyDescent="0.25">
      <c r="A91" s="8" t="s">
        <v>9</v>
      </c>
      <c r="B91" s="11" t="s">
        <v>34</v>
      </c>
      <c r="C91" s="15"/>
      <c r="D91" s="16" t="s">
        <v>17</v>
      </c>
      <c r="E91" s="23">
        <v>5737</v>
      </c>
      <c r="F91" s="18">
        <f>E91*0.860929374266063</f>
        <v>4939.151820164403</v>
      </c>
      <c r="G91" s="18">
        <f>E91*0.0811944304646871</f>
        <v>465.81244757590991</v>
      </c>
      <c r="H91" s="18">
        <f>E91*0.0578761952692501</f>
        <v>332.03573225968785</v>
      </c>
    </row>
    <row r="92" spans="1:8" ht="15.75" hidden="1" customHeight="1" x14ac:dyDescent="0.25">
      <c r="A92" s="8" t="s">
        <v>9</v>
      </c>
      <c r="B92" s="11" t="s">
        <v>34</v>
      </c>
      <c r="C92" s="15"/>
      <c r="D92" s="16" t="s">
        <v>31</v>
      </c>
      <c r="E92" s="17">
        <v>124</v>
      </c>
      <c r="F92" s="18">
        <f>E92*0.935483870967742</f>
        <v>116</v>
      </c>
      <c r="G92" s="18">
        <f>E92*0.0403225806451613</f>
        <v>5.0000000000000018</v>
      </c>
      <c r="H92" s="18">
        <f>E92*0.0241935483870968</f>
        <v>3.0000000000000036</v>
      </c>
    </row>
    <row r="93" spans="1:8" ht="15.75" hidden="1" customHeight="1" x14ac:dyDescent="0.25">
      <c r="A93" s="8" t="s">
        <v>9</v>
      </c>
      <c r="B93" s="11" t="s">
        <v>34</v>
      </c>
      <c r="C93" s="15"/>
      <c r="D93" s="16" t="s">
        <v>18</v>
      </c>
      <c r="E93" s="23">
        <v>2369</v>
      </c>
      <c r="F93" s="18">
        <f>E93*0.949854952341484</f>
        <v>2250.2063820969756</v>
      </c>
      <c r="G93" s="18">
        <f>E93*0.0439287194363862</f>
        <v>104.06713634479891</v>
      </c>
      <c r="H93" s="18">
        <f>E93*0.00621632822213013</f>
        <v>14.726481558226279</v>
      </c>
    </row>
    <row r="94" spans="1:8" ht="15.75" hidden="1" customHeight="1" x14ac:dyDescent="0.25">
      <c r="A94" s="8" t="s">
        <v>9</v>
      </c>
      <c r="B94" s="11" t="s">
        <v>34</v>
      </c>
      <c r="C94" s="15"/>
      <c r="D94" s="16" t="s">
        <v>35</v>
      </c>
      <c r="E94" s="17">
        <v>0</v>
      </c>
      <c r="F94" s="20">
        <v>0</v>
      </c>
      <c r="G94" s="20">
        <f>E94</f>
        <v>0</v>
      </c>
      <c r="H94" s="20">
        <v>0</v>
      </c>
    </row>
    <row r="95" spans="1:8" ht="15.75" hidden="1" customHeight="1" x14ac:dyDescent="0.25">
      <c r="A95" s="8" t="s">
        <v>9</v>
      </c>
      <c r="B95" s="11" t="s">
        <v>34</v>
      </c>
      <c r="C95" s="15"/>
      <c r="D95" s="16" t="s">
        <v>19</v>
      </c>
      <c r="E95" s="23">
        <v>1608</v>
      </c>
      <c r="F95" s="18">
        <f>E95*0.0187085093542547</f>
        <v>30.083283041641558</v>
      </c>
      <c r="G95" s="18">
        <f>E95*0.978877489438745</f>
        <v>1574.0350030175018</v>
      </c>
      <c r="H95" s="18">
        <f>E95*0.0024140012070006</f>
        <v>3.8817139408569648</v>
      </c>
    </row>
    <row r="96" spans="1:8" ht="15.75" hidden="1" customHeight="1" x14ac:dyDescent="0.25">
      <c r="A96" s="8" t="s">
        <v>9</v>
      </c>
      <c r="B96" s="11" t="s">
        <v>34</v>
      </c>
      <c r="C96" s="15"/>
      <c r="D96" s="16" t="s">
        <v>20</v>
      </c>
      <c r="E96" s="17">
        <v>975</v>
      </c>
      <c r="F96" s="18">
        <f>E96* 0.557228915662651</f>
        <v>543.2981927710847</v>
      </c>
      <c r="G96" s="18">
        <f>E96*0.390562248995984</f>
        <v>380.79819277108442</v>
      </c>
      <c r="H96" s="18">
        <f>E96*0.0522088353413655</f>
        <v>50.90361445783136</v>
      </c>
    </row>
    <row r="97" spans="1:8" ht="15.75" hidden="1" customHeight="1" x14ac:dyDescent="0.25">
      <c r="A97" s="8" t="s">
        <v>9</v>
      </c>
      <c r="B97" s="11" t="s">
        <v>34</v>
      </c>
      <c r="C97" s="15"/>
      <c r="D97" s="16" t="s">
        <v>21</v>
      </c>
      <c r="E97" s="23">
        <v>12626</v>
      </c>
      <c r="F97" s="18">
        <f>E97* 0.999622470552703</f>
        <v>12621.233313198429</v>
      </c>
      <c r="G97" s="18">
        <f>E97* 0.0000755058894593778</f>
        <v>0.9533373603141041</v>
      </c>
      <c r="H97" s="18">
        <f>E97* 0.000302023557837511</f>
        <v>3.8133494412564137</v>
      </c>
    </row>
    <row r="98" spans="1:8" ht="15.75" hidden="1" customHeight="1" x14ac:dyDescent="0.25">
      <c r="A98" s="8" t="s">
        <v>9</v>
      </c>
      <c r="B98" s="11" t="s">
        <v>34</v>
      </c>
      <c r="C98" s="15"/>
      <c r="D98" s="16" t="s">
        <v>36</v>
      </c>
      <c r="E98" s="17">
        <v>75</v>
      </c>
      <c r="F98" s="18">
        <f>E98*1</f>
        <v>75</v>
      </c>
      <c r="G98" s="20">
        <f>E98*0</f>
        <v>0</v>
      </c>
      <c r="H98" s="20">
        <f t="shared" ref="H98:H99" si="14">E98*0</f>
        <v>0</v>
      </c>
    </row>
    <row r="99" spans="1:8" ht="15.75" hidden="1" customHeight="1" x14ac:dyDescent="0.25">
      <c r="A99" s="8" t="s">
        <v>9</v>
      </c>
      <c r="B99" s="11" t="s">
        <v>34</v>
      </c>
      <c r="C99" s="15"/>
      <c r="D99" s="16" t="s">
        <v>37</v>
      </c>
      <c r="E99" s="17">
        <v>3</v>
      </c>
      <c r="F99" s="20">
        <f>E99*0</f>
        <v>0</v>
      </c>
      <c r="G99" s="20">
        <f>E99*1</f>
        <v>3</v>
      </c>
      <c r="H99" s="20">
        <f t="shared" si="14"/>
        <v>0</v>
      </c>
    </row>
    <row r="100" spans="1:8" ht="15.75" hidden="1" customHeight="1" x14ac:dyDescent="0.25">
      <c r="A100" s="8" t="s">
        <v>9</v>
      </c>
      <c r="B100" s="11" t="s">
        <v>34</v>
      </c>
      <c r="C100" s="15"/>
      <c r="D100" s="16" t="s">
        <v>28</v>
      </c>
      <c r="E100" s="23">
        <v>1359</v>
      </c>
      <c r="F100" s="20">
        <v>0</v>
      </c>
      <c r="G100" s="24">
        <f>E100</f>
        <v>1359</v>
      </c>
      <c r="H100" s="20">
        <v>0</v>
      </c>
    </row>
    <row r="101" spans="1:8" ht="15.75" hidden="1" customHeight="1" x14ac:dyDescent="0.25">
      <c r="A101" s="8" t="s">
        <v>9</v>
      </c>
      <c r="B101" s="11" t="s">
        <v>34</v>
      </c>
      <c r="C101" s="15"/>
      <c r="D101" s="16" t="s">
        <v>12</v>
      </c>
      <c r="E101" s="23">
        <v>16816</v>
      </c>
      <c r="F101" s="18">
        <f>E101* 0.889957698325317</f>
        <v>14965.528655038532</v>
      </c>
      <c r="G101" s="18">
        <f>E101* 0.0573100770701744</f>
        <v>963.72625601205277</v>
      </c>
      <c r="H101" s="18">
        <f>E101* 0.0526742771049429</f>
        <v>885.77064379671981</v>
      </c>
    </row>
    <row r="102" spans="1:8" ht="15.75" hidden="1" customHeight="1" x14ac:dyDescent="0.25">
      <c r="A102" s="8" t="s">
        <v>9</v>
      </c>
      <c r="B102" s="8"/>
      <c r="C102" s="8"/>
      <c r="D102" s="9"/>
      <c r="E102" s="19"/>
    </row>
    <row r="103" spans="1:8" ht="15.75" hidden="1" customHeight="1" x14ac:dyDescent="0.25">
      <c r="A103" s="8" t="s">
        <v>9</v>
      </c>
      <c r="B103" s="8"/>
      <c r="C103" s="8"/>
      <c r="D103" s="9"/>
      <c r="E103" s="19"/>
    </row>
    <row r="104" spans="1:8" ht="15.75" hidden="1" customHeight="1" x14ac:dyDescent="0.25">
      <c r="A104" s="8" t="s">
        <v>9</v>
      </c>
      <c r="B104" s="11" t="s">
        <v>38</v>
      </c>
      <c r="C104" s="12" t="str">
        <f>B104&amp;"_"&amp;A104</f>
        <v>Tarabuco_Chuquisaca</v>
      </c>
      <c r="E104" s="13">
        <v>18</v>
      </c>
      <c r="F104" s="14">
        <f t="shared" ref="F104:H104" si="15">SUM(F105:F110)</f>
        <v>9.5009051453638751</v>
      </c>
      <c r="G104" s="14">
        <f t="shared" si="15"/>
        <v>8.0540456392036823</v>
      </c>
      <c r="H104" s="14">
        <f t="shared" si="15"/>
        <v>0.44374792867888396</v>
      </c>
    </row>
    <row r="105" spans="1:8" ht="15.75" hidden="1" customHeight="1" x14ac:dyDescent="0.25">
      <c r="A105" s="8" t="s">
        <v>9</v>
      </c>
      <c r="B105" s="11" t="s">
        <v>38</v>
      </c>
      <c r="C105" s="15"/>
      <c r="D105" s="16" t="s">
        <v>15</v>
      </c>
      <c r="E105" s="17">
        <v>1</v>
      </c>
      <c r="F105" s="18">
        <f>E105* 0.962408869987849</f>
        <v>0.96240886998784902</v>
      </c>
      <c r="G105" s="18">
        <f>E105*0.00425273390036452</f>
        <v>4.2527339003645198E-3</v>
      </c>
      <c r="H105" s="18">
        <f>E105*0.0333383961117862</f>
        <v>3.3338396111786198E-2</v>
      </c>
    </row>
    <row r="106" spans="1:8" ht="15.75" hidden="1" customHeight="1" x14ac:dyDescent="0.25">
      <c r="A106" s="8" t="s">
        <v>9</v>
      </c>
      <c r="B106" s="11" t="s">
        <v>38</v>
      </c>
      <c r="C106" s="15"/>
      <c r="D106" s="16" t="s">
        <v>11</v>
      </c>
      <c r="E106" s="17">
        <v>7</v>
      </c>
      <c r="F106" s="18">
        <f>E106*0.0664298401420959</f>
        <v>0.46500888099467125</v>
      </c>
      <c r="G106" s="18">
        <f>E106*0.932326820603908</f>
        <v>6.5262877442273561</v>
      </c>
      <c r="H106" s="18">
        <f>E106*0.00106571936056838</f>
        <v>7.4600355239786593E-3</v>
      </c>
    </row>
    <row r="107" spans="1:8" ht="15.75" hidden="1" customHeight="1" x14ac:dyDescent="0.25">
      <c r="A107" s="8" t="s">
        <v>9</v>
      </c>
      <c r="B107" s="11" t="s">
        <v>38</v>
      </c>
      <c r="C107" s="15"/>
      <c r="D107" s="16" t="s">
        <v>17</v>
      </c>
      <c r="E107" s="17">
        <v>6</v>
      </c>
      <c r="F107" s="18">
        <f>E107*0.860929374266063</f>
        <v>5.1655762455963776</v>
      </c>
      <c r="G107" s="18">
        <f>E107*0.0811944304646871</f>
        <v>0.48716658278812264</v>
      </c>
      <c r="H107" s="18">
        <f>E107*0.0578761952692501</f>
        <v>0.34725717161550063</v>
      </c>
    </row>
    <row r="108" spans="1:8" ht="15.75" hidden="1" customHeight="1" x14ac:dyDescent="0.25">
      <c r="A108" s="8" t="s">
        <v>9</v>
      </c>
      <c r="B108" s="11" t="s">
        <v>38</v>
      </c>
      <c r="C108" s="15"/>
      <c r="D108" s="16" t="s">
        <v>19</v>
      </c>
      <c r="E108" s="17">
        <v>1</v>
      </c>
      <c r="F108" s="18">
        <f>E108*0.0187085093542547</f>
        <v>1.87085093542547E-2</v>
      </c>
      <c r="G108" s="18">
        <f>E108*0.978877489438745</f>
        <v>0.97887748943874497</v>
      </c>
      <c r="H108" s="18">
        <f>E108*0.0024140012070006</f>
        <v>2.4140012070006001E-3</v>
      </c>
    </row>
    <row r="109" spans="1:8" ht="15.75" hidden="1" customHeight="1" x14ac:dyDescent="0.25">
      <c r="A109" s="8" t="s">
        <v>9</v>
      </c>
      <c r="B109" s="11" t="s">
        <v>38</v>
      </c>
      <c r="C109" s="15"/>
      <c r="D109" s="16" t="s">
        <v>21</v>
      </c>
      <c r="E109" s="17">
        <v>2</v>
      </c>
      <c r="F109" s="18">
        <f>E109* 0.999622470552703</f>
        <v>1.9992449411054061</v>
      </c>
      <c r="G109" s="18">
        <f>E109* 0.0000755058894593778</f>
        <v>1.5101177891875561E-4</v>
      </c>
      <c r="H109" s="18">
        <f>E109* 0.000302023557837511</f>
        <v>6.04047115675022E-4</v>
      </c>
    </row>
    <row r="110" spans="1:8" ht="15.75" hidden="1" customHeight="1" x14ac:dyDescent="0.25">
      <c r="A110" s="8" t="s">
        <v>9</v>
      </c>
      <c r="B110" s="11" t="s">
        <v>38</v>
      </c>
      <c r="C110" s="15"/>
      <c r="D110" s="16" t="s">
        <v>12</v>
      </c>
      <c r="E110" s="17">
        <v>1</v>
      </c>
      <c r="F110" s="18">
        <f>E110* 0.889957698325317</f>
        <v>0.88995769832531701</v>
      </c>
      <c r="G110" s="18">
        <f>E110* 0.0573100770701744</f>
        <v>5.7310077070174402E-2</v>
      </c>
      <c r="H110" s="18">
        <f>E110* 0.0526742771049429</f>
        <v>5.26742771049429E-2</v>
      </c>
    </row>
    <row r="111" spans="1:8" ht="15.75" hidden="1" customHeight="1" x14ac:dyDescent="0.25">
      <c r="A111" s="8" t="s">
        <v>9</v>
      </c>
      <c r="B111" s="8"/>
      <c r="C111" s="8"/>
      <c r="D111" s="9"/>
      <c r="E111" s="19"/>
    </row>
    <row r="112" spans="1:8" ht="15.75" hidden="1" customHeight="1" x14ac:dyDescent="0.25">
      <c r="A112" s="8" t="s">
        <v>9</v>
      </c>
      <c r="B112" s="11" t="s">
        <v>39</v>
      </c>
      <c r="C112" s="12" t="str">
        <f>B112&amp;"_"&amp;A112</f>
        <v>Villa Abecia (Camataqui)_Chuquisaca</v>
      </c>
      <c r="E112" s="13">
        <v>2</v>
      </c>
      <c r="F112" s="14">
        <f t="shared" ref="F112:H112" si="16">SUM(F113:F116)</f>
        <v>1.0162847924835798</v>
      </c>
      <c r="G112" s="14">
        <f t="shared" si="16"/>
        <v>0.97625554004029425</v>
      </c>
      <c r="H112" s="14">
        <f t="shared" si="16"/>
        <v>7.2820475826985108E-3</v>
      </c>
    </row>
    <row r="113" spans="1:8" ht="15.75" hidden="1" customHeight="1" x14ac:dyDescent="0.25">
      <c r="A113" s="8" t="s">
        <v>9</v>
      </c>
      <c r="B113" s="11" t="s">
        <v>39</v>
      </c>
      <c r="C113" s="15"/>
      <c r="D113" s="16" t="s">
        <v>15</v>
      </c>
      <c r="E113" s="17">
        <v>0</v>
      </c>
      <c r="F113" s="18">
        <f>E113* 0.962408869987849</f>
        <v>0</v>
      </c>
      <c r="G113" s="18">
        <f>E113*0.00425273390036452</f>
        <v>0</v>
      </c>
      <c r="H113" s="18">
        <f>E113*0.0333383961117862</f>
        <v>0</v>
      </c>
    </row>
    <row r="114" spans="1:8" ht="15.75" hidden="1" customHeight="1" x14ac:dyDescent="0.25">
      <c r="A114" s="8" t="s">
        <v>9</v>
      </c>
      <c r="B114" s="11" t="s">
        <v>39</v>
      </c>
      <c r="C114" s="15"/>
      <c r="D114" s="16" t="s">
        <v>11</v>
      </c>
      <c r="E114" s="17">
        <v>1</v>
      </c>
      <c r="F114" s="18">
        <f>E114*0.0664298401420959</f>
        <v>6.6429840142095894E-2</v>
      </c>
      <c r="G114" s="18">
        <f>E114*0.932326820603908</f>
        <v>0.93232682060390804</v>
      </c>
      <c r="H114" s="18">
        <f>E114*0.00106571936056838</f>
        <v>1.06571936056838E-3</v>
      </c>
    </row>
    <row r="115" spans="1:8" ht="15.75" hidden="1" customHeight="1" x14ac:dyDescent="0.25">
      <c r="A115" s="8" t="s">
        <v>9</v>
      </c>
      <c r="B115" s="11" t="s">
        <v>39</v>
      </c>
      <c r="C115" s="15"/>
      <c r="D115" s="16" t="s">
        <v>17</v>
      </c>
      <c r="E115" s="17">
        <v>0</v>
      </c>
      <c r="F115" s="18">
        <f>E115*0.860929374266063</f>
        <v>0</v>
      </c>
      <c r="G115" s="18">
        <f>E115*0.0811944304646871</f>
        <v>0</v>
      </c>
      <c r="H115" s="18">
        <f>E115*0.0578761952692501</f>
        <v>0</v>
      </c>
    </row>
    <row r="116" spans="1:8" ht="15.75" hidden="1" customHeight="1" x14ac:dyDescent="0.25">
      <c r="A116" s="8" t="s">
        <v>9</v>
      </c>
      <c r="B116" s="11" t="s">
        <v>39</v>
      </c>
      <c r="C116" s="15"/>
      <c r="D116" s="16" t="s">
        <v>18</v>
      </c>
      <c r="E116" s="17">
        <v>1</v>
      </c>
      <c r="F116" s="18">
        <f>E116*0.949854952341484</f>
        <v>0.94985495234148398</v>
      </c>
      <c r="G116" s="18">
        <f>E116*0.0439287194363862</f>
        <v>4.3928719436386203E-2</v>
      </c>
      <c r="H116" s="18">
        <f>E116*0.00621632822213013</f>
        <v>6.2163282221301304E-3</v>
      </c>
    </row>
    <row r="117" spans="1:8" ht="15.75" hidden="1" customHeight="1" x14ac:dyDescent="0.25">
      <c r="A117" s="8" t="s">
        <v>9</v>
      </c>
      <c r="B117" s="8"/>
      <c r="C117" s="8"/>
      <c r="D117" s="9"/>
      <c r="E117" s="19"/>
    </row>
    <row r="118" spans="1:8" ht="15.75" hidden="1" customHeight="1" x14ac:dyDescent="0.25">
      <c r="A118" s="8" t="s">
        <v>9</v>
      </c>
      <c r="B118" s="11" t="s">
        <v>40</v>
      </c>
      <c r="C118" s="12" t="str">
        <f>B118&amp;"_"&amp;A118</f>
        <v>Villa Arias (Tarvita)_Chuquisaca</v>
      </c>
      <c r="E118" s="13">
        <v>2</v>
      </c>
      <c r="F118" s="14">
        <f t="shared" ref="F118:H118" si="17">SUM(F119:F121)</f>
        <v>1.9620313405405521</v>
      </c>
      <c r="G118" s="14">
        <f t="shared" si="17"/>
        <v>4.3282397898238975E-3</v>
      </c>
      <c r="H118" s="14">
        <f t="shared" si="17"/>
        <v>3.3640419669623708E-2</v>
      </c>
    </row>
    <row r="119" spans="1:8" ht="15.75" hidden="1" customHeight="1" x14ac:dyDescent="0.25">
      <c r="A119" s="8" t="s">
        <v>9</v>
      </c>
      <c r="B119" s="11" t="s">
        <v>40</v>
      </c>
      <c r="C119" s="15"/>
      <c r="D119" s="16" t="s">
        <v>15</v>
      </c>
      <c r="E119" s="17">
        <v>1</v>
      </c>
      <c r="F119" s="18">
        <f>E119* 0.962408869987849</f>
        <v>0.96240886998784902</v>
      </c>
      <c r="G119" s="18">
        <f>E119*0.00425273390036452</f>
        <v>4.2527339003645198E-3</v>
      </c>
      <c r="H119" s="18">
        <f>E119*0.0333383961117862</f>
        <v>3.3338396111786198E-2</v>
      </c>
    </row>
    <row r="120" spans="1:8" ht="15.75" hidden="1" customHeight="1" x14ac:dyDescent="0.25">
      <c r="A120" s="8" t="s">
        <v>9</v>
      </c>
      <c r="B120" s="11" t="s">
        <v>40</v>
      </c>
      <c r="C120" s="15"/>
      <c r="D120" s="16" t="s">
        <v>11</v>
      </c>
      <c r="E120" s="17">
        <v>0</v>
      </c>
      <c r="F120" s="18">
        <f>E120*0.0664298401420959</f>
        <v>0</v>
      </c>
      <c r="G120" s="18">
        <f>E120*0.932326820603908</f>
        <v>0</v>
      </c>
      <c r="H120" s="18">
        <f>E120*0.00106571936056838</f>
        <v>0</v>
      </c>
    </row>
    <row r="121" spans="1:8" ht="15.75" hidden="1" customHeight="1" x14ac:dyDescent="0.25">
      <c r="A121" s="8" t="s">
        <v>9</v>
      </c>
      <c r="B121" s="11" t="s">
        <v>40</v>
      </c>
      <c r="C121" s="15"/>
      <c r="D121" s="16" t="s">
        <v>21</v>
      </c>
      <c r="E121" s="17">
        <v>1</v>
      </c>
      <c r="F121" s="18">
        <f>E121* 0.999622470552703</f>
        <v>0.99962247055270304</v>
      </c>
      <c r="G121" s="18">
        <f>E121* 0.0000755058894593778</f>
        <v>7.5505889459377804E-5</v>
      </c>
      <c r="H121" s="18">
        <f>E121* 0.000302023557837511</f>
        <v>3.02023557837511E-4</v>
      </c>
    </row>
    <row r="122" spans="1:8" ht="15.75" hidden="1" customHeight="1" x14ac:dyDescent="0.25">
      <c r="A122" s="8" t="s">
        <v>9</v>
      </c>
      <c r="B122" s="8"/>
      <c r="C122" s="8"/>
      <c r="D122" s="9"/>
      <c r="E122" s="19"/>
    </row>
    <row r="123" spans="1:8" ht="15.75" hidden="1" customHeight="1" x14ac:dyDescent="0.25">
      <c r="A123" s="8" t="s">
        <v>9</v>
      </c>
      <c r="B123" s="11" t="s">
        <v>41</v>
      </c>
      <c r="C123" s="12" t="str">
        <f>B123&amp;"_"&amp;A123</f>
        <v>Villa Azurduy_Chuquisaca</v>
      </c>
      <c r="E123" s="13">
        <v>5</v>
      </c>
      <c r="F123" s="14">
        <f t="shared" ref="F123:H123" si="18">SUM(F124:F129)</f>
        <v>2.0598413652450538</v>
      </c>
      <c r="G123" s="14">
        <f t="shared" si="18"/>
        <v>2.8782503981658705</v>
      </c>
      <c r="H123" s="14">
        <f t="shared" si="18"/>
        <v>6.1375376908792752E-2</v>
      </c>
    </row>
    <row r="124" spans="1:8" ht="15.75" hidden="1" customHeight="1" x14ac:dyDescent="0.25">
      <c r="A124" s="8" t="s">
        <v>9</v>
      </c>
      <c r="B124" s="11" t="s">
        <v>41</v>
      </c>
      <c r="C124" s="15"/>
      <c r="D124" s="16" t="s">
        <v>16</v>
      </c>
      <c r="E124" s="17">
        <v>0</v>
      </c>
      <c r="F124" s="18">
        <f>E124* 0.03</f>
        <v>0</v>
      </c>
      <c r="G124" s="18">
        <f>E124* 0.97</f>
        <v>0</v>
      </c>
      <c r="H124" s="20">
        <v>0</v>
      </c>
    </row>
    <row r="125" spans="1:8" ht="15.75" hidden="1" customHeight="1" x14ac:dyDescent="0.25">
      <c r="A125" s="8" t="s">
        <v>9</v>
      </c>
      <c r="B125" s="11" t="s">
        <v>41</v>
      </c>
      <c r="C125" s="15"/>
      <c r="D125" s="16" t="s">
        <v>11</v>
      </c>
      <c r="E125" s="17">
        <v>3</v>
      </c>
      <c r="F125" s="18">
        <f>E125*0.0664298401420959</f>
        <v>0.19928952042628767</v>
      </c>
      <c r="G125" s="18">
        <f>E125*0.932326820603908</f>
        <v>2.796980461811724</v>
      </c>
      <c r="H125" s="18">
        <f>E125*0.00106571936056838</f>
        <v>3.1971580817051399E-3</v>
      </c>
    </row>
    <row r="126" spans="1:8" ht="15.75" hidden="1" customHeight="1" x14ac:dyDescent="0.25">
      <c r="A126" s="8" t="s">
        <v>9</v>
      </c>
      <c r="B126" s="11" t="s">
        <v>41</v>
      </c>
      <c r="C126" s="15"/>
      <c r="D126" s="16" t="s">
        <v>17</v>
      </c>
      <c r="E126" s="17">
        <v>1</v>
      </c>
      <c r="F126" s="18">
        <f>E126*0.860929374266063</f>
        <v>0.86092937426606297</v>
      </c>
      <c r="G126" s="18">
        <f>E126*0.0811944304646871</f>
        <v>8.1194430464687106E-2</v>
      </c>
      <c r="H126" s="18">
        <f>E126*0.0578761952692501</f>
        <v>5.78761952692501E-2</v>
      </c>
    </row>
    <row r="127" spans="1:8" ht="15.75" hidden="1" customHeight="1" x14ac:dyDescent="0.25">
      <c r="A127" s="8" t="s">
        <v>9</v>
      </c>
      <c r="B127" s="11" t="s">
        <v>41</v>
      </c>
      <c r="C127" s="15"/>
      <c r="D127" s="16" t="s">
        <v>19</v>
      </c>
      <c r="E127" s="17">
        <v>0</v>
      </c>
      <c r="F127" s="18">
        <f>E127*0.0187085093542547</f>
        <v>0</v>
      </c>
      <c r="G127" s="18">
        <f>E127*0.978877489438745</f>
        <v>0</v>
      </c>
      <c r="H127" s="18">
        <f>E127*0.0024140012070006</f>
        <v>0</v>
      </c>
    </row>
    <row r="128" spans="1:8" ht="15.75" hidden="1" customHeight="1" x14ac:dyDescent="0.25">
      <c r="A128" s="8" t="s">
        <v>9</v>
      </c>
      <c r="B128" s="11" t="s">
        <v>41</v>
      </c>
      <c r="C128" s="15"/>
      <c r="D128" s="16" t="s">
        <v>21</v>
      </c>
      <c r="E128" s="17">
        <v>1</v>
      </c>
      <c r="F128" s="18">
        <f>E128* 0.999622470552703</f>
        <v>0.99962247055270304</v>
      </c>
      <c r="G128" s="18">
        <f>E128* 0.0000755058894593778</f>
        <v>7.5505889459377804E-5</v>
      </c>
      <c r="H128" s="18">
        <f>E128* 0.000302023557837511</f>
        <v>3.02023557837511E-4</v>
      </c>
    </row>
    <row r="129" spans="1:8" ht="15.75" hidden="1" customHeight="1" x14ac:dyDescent="0.25">
      <c r="A129" s="8" t="s">
        <v>9</v>
      </c>
      <c r="B129" s="11" t="s">
        <v>41</v>
      </c>
      <c r="C129" s="15"/>
      <c r="D129" s="16" t="s">
        <v>12</v>
      </c>
      <c r="E129" s="17">
        <v>0</v>
      </c>
      <c r="F129" s="18">
        <f>E129* 0.889957698325317</f>
        <v>0</v>
      </c>
      <c r="G129" s="18">
        <f>E129* 0.0573100770701744</f>
        <v>0</v>
      </c>
      <c r="H129" s="18">
        <f>E129* 0.0526742771049429</f>
        <v>0</v>
      </c>
    </row>
    <row r="130" spans="1:8" ht="15.75" hidden="1" customHeight="1" x14ac:dyDescent="0.25">
      <c r="A130" s="8" t="s">
        <v>9</v>
      </c>
      <c r="B130" s="8"/>
      <c r="C130" s="8"/>
      <c r="D130" s="9"/>
      <c r="E130" s="19"/>
    </row>
    <row r="131" spans="1:8" ht="15.75" hidden="1" customHeight="1" x14ac:dyDescent="0.25">
      <c r="A131" s="8" t="s">
        <v>9</v>
      </c>
      <c r="B131" s="11" t="s">
        <v>42</v>
      </c>
      <c r="C131" s="12" t="str">
        <f>B131&amp;"_"&amp;A131</f>
        <v>Villa Mojocoya_Chuquisaca</v>
      </c>
      <c r="E131" s="13">
        <v>6</v>
      </c>
      <c r="F131" s="14">
        <f t="shared" ref="F131:H131" si="19">SUM(F132:F135)</f>
        <v>3.8167497693568695</v>
      </c>
      <c r="G131" s="14">
        <f t="shared" si="19"/>
        <v>2.0313707419270144</v>
      </c>
      <c r="H131" s="14">
        <f t="shared" si="19"/>
        <v>0.15152424892926067</v>
      </c>
    </row>
    <row r="132" spans="1:8" ht="15.75" hidden="1" customHeight="1" x14ac:dyDescent="0.25">
      <c r="A132" s="8" t="s">
        <v>9</v>
      </c>
      <c r="B132" s="11" t="s">
        <v>42</v>
      </c>
      <c r="C132" s="15"/>
      <c r="D132" s="16" t="s">
        <v>15</v>
      </c>
      <c r="E132" s="17">
        <v>1</v>
      </c>
      <c r="F132" s="18">
        <f>E132* 0.962408869987849</f>
        <v>0.96240886998784902</v>
      </c>
      <c r="G132" s="18">
        <f>E132*0.00425273390036452</f>
        <v>4.2527339003645198E-3</v>
      </c>
      <c r="H132" s="18">
        <f>E132*0.0333383961117862</f>
        <v>3.3338396111786198E-2</v>
      </c>
    </row>
    <row r="133" spans="1:8" ht="15.75" hidden="1" customHeight="1" x14ac:dyDescent="0.25">
      <c r="A133" s="8" t="s">
        <v>9</v>
      </c>
      <c r="B133" s="11" t="s">
        <v>42</v>
      </c>
      <c r="C133" s="15"/>
      <c r="D133" s="16" t="s">
        <v>11</v>
      </c>
      <c r="E133" s="17">
        <v>2</v>
      </c>
      <c r="F133" s="18">
        <f>E133*0.0664298401420959</f>
        <v>0.13285968028419179</v>
      </c>
      <c r="G133" s="18">
        <f>E133*0.932326820603908</f>
        <v>1.8646536412078161</v>
      </c>
      <c r="H133" s="18">
        <f>E133*0.00106571936056838</f>
        <v>2.1314387211367599E-3</v>
      </c>
    </row>
    <row r="134" spans="1:8" ht="15.75" hidden="1" customHeight="1" x14ac:dyDescent="0.25">
      <c r="A134" s="8" t="s">
        <v>9</v>
      </c>
      <c r="B134" s="11" t="s">
        <v>42</v>
      </c>
      <c r="C134" s="15"/>
      <c r="D134" s="16" t="s">
        <v>17</v>
      </c>
      <c r="E134" s="17">
        <v>2</v>
      </c>
      <c r="F134" s="18">
        <f>E134*0.860929374266063</f>
        <v>1.7218587485321259</v>
      </c>
      <c r="G134" s="18">
        <f>E134*0.0811944304646871</f>
        <v>0.16238886092937421</v>
      </c>
      <c r="H134" s="18">
        <f>E134*0.0578761952692501</f>
        <v>0.1157523905385002</v>
      </c>
    </row>
    <row r="135" spans="1:8" ht="15.75" hidden="1" customHeight="1" x14ac:dyDescent="0.25">
      <c r="A135" s="8" t="s">
        <v>9</v>
      </c>
      <c r="B135" s="11" t="s">
        <v>42</v>
      </c>
      <c r="C135" s="15"/>
      <c r="D135" s="16" t="s">
        <v>21</v>
      </c>
      <c r="E135" s="17">
        <v>1</v>
      </c>
      <c r="F135" s="18">
        <f>E135* 0.999622470552703</f>
        <v>0.99962247055270304</v>
      </c>
      <c r="G135" s="18">
        <f>E135* 0.0000755058894593778</f>
        <v>7.5505889459377804E-5</v>
      </c>
      <c r="H135" s="18">
        <f>E135* 0.000302023557837511</f>
        <v>3.02023557837511E-4</v>
      </c>
    </row>
    <row r="136" spans="1:8" ht="15.75" hidden="1" customHeight="1" x14ac:dyDescent="0.25">
      <c r="A136" s="8" t="s">
        <v>9</v>
      </c>
      <c r="B136" s="8"/>
      <c r="C136" s="8"/>
      <c r="D136" s="9"/>
      <c r="E136" s="19"/>
    </row>
    <row r="137" spans="1:8" ht="15.75" hidden="1" customHeight="1" x14ac:dyDescent="0.25">
      <c r="A137" s="8" t="s">
        <v>9</v>
      </c>
      <c r="B137" s="11" t="s">
        <v>43</v>
      </c>
      <c r="C137" s="12" t="str">
        <f>B137&amp;"_"&amp;A137</f>
        <v>Villa Monteagudo_Chuquisaca</v>
      </c>
      <c r="E137" s="22">
        <v>1320</v>
      </c>
      <c r="F137" s="14">
        <f t="shared" ref="F137:H137" si="20">SUM(F138:F149)</f>
        <v>1048.9515980015017</v>
      </c>
      <c r="G137" s="14">
        <f t="shared" si="20"/>
        <v>240.92734191443674</v>
      </c>
      <c r="H137" s="14">
        <f t="shared" si="20"/>
        <v>30.073165477285777</v>
      </c>
    </row>
    <row r="138" spans="1:8" ht="15.75" hidden="1" customHeight="1" x14ac:dyDescent="0.25">
      <c r="A138" s="8" t="s">
        <v>9</v>
      </c>
      <c r="B138" s="11" t="s">
        <v>43</v>
      </c>
      <c r="C138" s="15"/>
      <c r="D138" s="16" t="s">
        <v>14</v>
      </c>
      <c r="E138" s="17">
        <v>0</v>
      </c>
      <c r="F138" s="20">
        <v>0</v>
      </c>
      <c r="G138" s="20">
        <f>E138</f>
        <v>0</v>
      </c>
      <c r="H138" s="20">
        <v>0</v>
      </c>
    </row>
    <row r="139" spans="1:8" ht="15.75" hidden="1" customHeight="1" x14ac:dyDescent="0.25">
      <c r="A139" s="8" t="s">
        <v>9</v>
      </c>
      <c r="B139" s="11" t="s">
        <v>43</v>
      </c>
      <c r="C139" s="15"/>
      <c r="D139" s="16" t="s">
        <v>15</v>
      </c>
      <c r="E139" s="17">
        <v>52</v>
      </c>
      <c r="F139" s="18">
        <f>E139* 0.962408869987849</f>
        <v>50.045261239368152</v>
      </c>
      <c r="G139" s="18">
        <f>E139*0.00425273390036452</f>
        <v>0.22114216281895502</v>
      </c>
      <c r="H139" s="18">
        <f>E139*0.0333383961117862</f>
        <v>1.7335965978128822</v>
      </c>
    </row>
    <row r="140" spans="1:8" ht="15.75" hidden="1" customHeight="1" x14ac:dyDescent="0.25">
      <c r="A140" s="8" t="s">
        <v>9</v>
      </c>
      <c r="B140" s="11" t="s">
        <v>43</v>
      </c>
      <c r="C140" s="15"/>
      <c r="D140" s="16" t="s">
        <v>16</v>
      </c>
      <c r="E140" s="17">
        <v>16</v>
      </c>
      <c r="F140" s="18">
        <f>E140* 0.03</f>
        <v>0.48</v>
      </c>
      <c r="G140" s="18">
        <f>E140* 0.97</f>
        <v>15.52</v>
      </c>
      <c r="H140" s="20">
        <v>0</v>
      </c>
    </row>
    <row r="141" spans="1:8" ht="15.75" hidden="1" customHeight="1" x14ac:dyDescent="0.25">
      <c r="A141" s="8" t="s">
        <v>9</v>
      </c>
      <c r="B141" s="11" t="s">
        <v>43</v>
      </c>
      <c r="C141" s="15"/>
      <c r="D141" s="16" t="s">
        <v>11</v>
      </c>
      <c r="E141" s="17">
        <v>146</v>
      </c>
      <c r="F141" s="18">
        <f>E141*0.0664298401420959</f>
        <v>9.6987566607460014</v>
      </c>
      <c r="G141" s="18">
        <f>E141*0.932326820603908</f>
        <v>136.11971580817058</v>
      </c>
      <c r="H141" s="18">
        <f>E141*0.00106571936056838</f>
        <v>0.15559502664298347</v>
      </c>
    </row>
    <row r="142" spans="1:8" ht="15.75" hidden="1" customHeight="1" x14ac:dyDescent="0.25">
      <c r="A142" s="8" t="s">
        <v>9</v>
      </c>
      <c r="B142" s="11" t="s">
        <v>43</v>
      </c>
      <c r="C142" s="15"/>
      <c r="D142" s="16" t="s">
        <v>17</v>
      </c>
      <c r="E142" s="17">
        <v>126</v>
      </c>
      <c r="F142" s="18">
        <f>E142*0.860929374266063</f>
        <v>108.47710115752393</v>
      </c>
      <c r="G142" s="18">
        <f>E142*0.0811944304646871</f>
        <v>10.230498238550576</v>
      </c>
      <c r="H142" s="18">
        <f>E142*0.0578761952692501</f>
        <v>7.2924006039255129</v>
      </c>
    </row>
    <row r="143" spans="1:8" ht="15.75" hidden="1" customHeight="1" x14ac:dyDescent="0.25">
      <c r="A143" s="8" t="s">
        <v>9</v>
      </c>
      <c r="B143" s="11" t="s">
        <v>43</v>
      </c>
      <c r="C143" s="15"/>
      <c r="D143" s="16" t="s">
        <v>18</v>
      </c>
      <c r="E143" s="17">
        <v>33</v>
      </c>
      <c r="F143" s="18">
        <f>E143*0.949854952341484</f>
        <v>31.34521342726897</v>
      </c>
      <c r="G143" s="18">
        <f>E143*0.0439287194363862</f>
        <v>1.4496477414007447</v>
      </c>
      <c r="H143" s="18">
        <f>E143*0.00621632822213013</f>
        <v>0.20513883133029431</v>
      </c>
    </row>
    <row r="144" spans="1:8" ht="15.75" hidden="1" customHeight="1" x14ac:dyDescent="0.25">
      <c r="A144" s="8" t="s">
        <v>9</v>
      </c>
      <c r="B144" s="11" t="s">
        <v>43</v>
      </c>
      <c r="C144" s="15"/>
      <c r="D144" s="16" t="s">
        <v>19</v>
      </c>
      <c r="E144" s="17">
        <v>42</v>
      </c>
      <c r="F144" s="18">
        <f>E144*0.0187085093542547</f>
        <v>0.78575739287869739</v>
      </c>
      <c r="G144" s="18">
        <f>E144*0.978877489438745</f>
        <v>41.112854556427287</v>
      </c>
      <c r="H144" s="18">
        <f>E144*0.0024140012070006</f>
        <v>0.10138805069402521</v>
      </c>
    </row>
    <row r="145" spans="1:8" ht="15.75" hidden="1" customHeight="1" x14ac:dyDescent="0.25">
      <c r="A145" s="8" t="s">
        <v>9</v>
      </c>
      <c r="B145" s="11" t="s">
        <v>43</v>
      </c>
      <c r="C145" s="15"/>
      <c r="D145" s="16" t="s">
        <v>20</v>
      </c>
      <c r="E145" s="17">
        <v>9</v>
      </c>
      <c r="F145" s="18">
        <f>E145* 0.557228915662651</f>
        <v>5.0150602409638587</v>
      </c>
      <c r="G145" s="18">
        <f>E145*0.390562248995984</f>
        <v>3.5150602409638561</v>
      </c>
      <c r="H145" s="18">
        <f>E145*0.0522088353413655</f>
        <v>0.4698795180722895</v>
      </c>
    </row>
    <row r="146" spans="1:8" ht="15.75" hidden="1" customHeight="1" x14ac:dyDescent="0.25">
      <c r="A146" s="8" t="s">
        <v>9</v>
      </c>
      <c r="B146" s="11" t="s">
        <v>43</v>
      </c>
      <c r="C146" s="15"/>
      <c r="D146" s="16" t="s">
        <v>21</v>
      </c>
      <c r="E146" s="17">
        <v>502</v>
      </c>
      <c r="F146" s="18">
        <f>E146* 0.999622470552703</f>
        <v>501.81048021745693</v>
      </c>
      <c r="G146" s="18">
        <f>E146* 0.0000755058894593778</f>
        <v>3.7903956508607659E-2</v>
      </c>
      <c r="H146" s="18">
        <f>E146* 0.000302023557837511</f>
        <v>0.15161582603443052</v>
      </c>
    </row>
    <row r="147" spans="1:8" ht="15.75" hidden="1" customHeight="1" x14ac:dyDescent="0.25">
      <c r="A147" s="8" t="s">
        <v>9</v>
      </c>
      <c r="B147" s="11" t="s">
        <v>43</v>
      </c>
      <c r="C147" s="15"/>
      <c r="D147" s="16" t="s">
        <v>36</v>
      </c>
      <c r="E147" s="17">
        <v>4</v>
      </c>
      <c r="F147" s="18">
        <f>E147*1</f>
        <v>4</v>
      </c>
      <c r="G147" s="20">
        <f>E147*0</f>
        <v>0</v>
      </c>
      <c r="H147" s="20">
        <f>E147*0</f>
        <v>0</v>
      </c>
    </row>
    <row r="148" spans="1:8" ht="15.75" hidden="1" customHeight="1" x14ac:dyDescent="0.25">
      <c r="A148" s="8" t="s">
        <v>9</v>
      </c>
      <c r="B148" s="11" t="s">
        <v>43</v>
      </c>
      <c r="C148" s="15"/>
      <c r="D148" s="16" t="s">
        <v>28</v>
      </c>
      <c r="E148" s="17">
        <v>11</v>
      </c>
      <c r="F148" s="20">
        <v>0</v>
      </c>
      <c r="G148" s="20">
        <f>E148</f>
        <v>11</v>
      </c>
      <c r="H148" s="20">
        <v>0</v>
      </c>
    </row>
    <row r="149" spans="1:8" ht="15.75" hidden="1" customHeight="1" x14ac:dyDescent="0.25">
      <c r="A149" s="8" t="s">
        <v>9</v>
      </c>
      <c r="B149" s="11" t="s">
        <v>43</v>
      </c>
      <c r="C149" s="15"/>
      <c r="D149" s="16" t="s">
        <v>12</v>
      </c>
      <c r="E149" s="17">
        <v>379</v>
      </c>
      <c r="F149" s="18">
        <f>E149* 0.889957698325317</f>
        <v>337.29396766529516</v>
      </c>
      <c r="G149" s="18">
        <f>E149* 0.0573100770701744</f>
        <v>21.720519209596098</v>
      </c>
      <c r="H149" s="18">
        <f>E149* 0.0526742771049429</f>
        <v>19.963551022773359</v>
      </c>
    </row>
    <row r="150" spans="1:8" ht="15.75" hidden="1" customHeight="1" x14ac:dyDescent="0.25">
      <c r="A150" s="8" t="s">
        <v>9</v>
      </c>
      <c r="B150" s="8"/>
      <c r="C150" s="8"/>
      <c r="D150" s="9"/>
      <c r="E150" s="19"/>
    </row>
    <row r="151" spans="1:8" ht="15.75" hidden="1" customHeight="1" x14ac:dyDescent="0.25">
      <c r="A151" s="8" t="s">
        <v>9</v>
      </c>
      <c r="B151" s="11" t="s">
        <v>44</v>
      </c>
      <c r="C151" s="12" t="str">
        <f>B151&amp;"_"&amp;A151</f>
        <v>Villa R. Mujía (Icla)_Chuquisaca</v>
      </c>
      <c r="E151" s="13">
        <v>3</v>
      </c>
      <c r="F151" s="14">
        <f t="shared" ref="F151:H151" si="21">SUM(F152:F153)</f>
        <v>1.84634523679273</v>
      </c>
      <c r="G151" s="14">
        <f t="shared" si="21"/>
        <v>1.0469469747442568</v>
      </c>
      <c r="H151" s="14">
        <f t="shared" si="21"/>
        <v>0.10641427357045417</v>
      </c>
    </row>
    <row r="152" spans="1:8" ht="15.75" hidden="1" customHeight="1" x14ac:dyDescent="0.25">
      <c r="A152" s="8" t="s">
        <v>9</v>
      </c>
      <c r="B152" s="11" t="s">
        <v>44</v>
      </c>
      <c r="C152" s="15"/>
      <c r="D152" s="16" t="s">
        <v>11</v>
      </c>
      <c r="E152" s="17">
        <v>1</v>
      </c>
      <c r="F152" s="18">
        <f>E152*0.0664298401420959</f>
        <v>6.6429840142095894E-2</v>
      </c>
      <c r="G152" s="18">
        <f>E152*0.932326820603908</f>
        <v>0.93232682060390804</v>
      </c>
      <c r="H152" s="18">
        <f>E152*0.00106571936056838</f>
        <v>1.06571936056838E-3</v>
      </c>
    </row>
    <row r="153" spans="1:8" ht="15.75" hidden="1" customHeight="1" x14ac:dyDescent="0.25">
      <c r="A153" s="8" t="s">
        <v>9</v>
      </c>
      <c r="B153" s="11" t="s">
        <v>44</v>
      </c>
      <c r="C153" s="15"/>
      <c r="D153" s="16" t="s">
        <v>12</v>
      </c>
      <c r="E153" s="17">
        <v>2</v>
      </c>
      <c r="F153" s="18">
        <f>E153* 0.889957698325317</f>
        <v>1.779915396650634</v>
      </c>
      <c r="G153" s="18">
        <f>E153* 0.0573100770701744</f>
        <v>0.1146201541403488</v>
      </c>
      <c r="H153" s="18">
        <f>E153* 0.0526742771049429</f>
        <v>0.1053485542098858</v>
      </c>
    </row>
    <row r="154" spans="1:8" ht="15.75" hidden="1" customHeight="1" x14ac:dyDescent="0.25">
      <c r="A154" s="8" t="s">
        <v>9</v>
      </c>
      <c r="B154" s="8"/>
      <c r="C154" s="8"/>
      <c r="D154" s="9"/>
      <c r="E154" s="19"/>
    </row>
    <row r="155" spans="1:8" ht="15.75" hidden="1" customHeight="1" x14ac:dyDescent="0.25">
      <c r="A155" s="8" t="s">
        <v>9</v>
      </c>
      <c r="B155" s="11" t="s">
        <v>45</v>
      </c>
      <c r="C155" s="12" t="str">
        <f>B155&amp;"_"&amp;A155</f>
        <v>Villa Serrano_Chuquisaca</v>
      </c>
      <c r="E155" s="13">
        <v>45</v>
      </c>
      <c r="F155" s="14">
        <f t="shared" ref="F155:H155" si="22">SUM(F156:F162)</f>
        <v>35.498573810973369</v>
      </c>
      <c r="G155" s="14">
        <f t="shared" si="22"/>
        <v>8.2833568349409532</v>
      </c>
      <c r="H155" s="14">
        <f t="shared" si="22"/>
        <v>1.2167101198325607</v>
      </c>
    </row>
    <row r="156" spans="1:8" ht="15.75" hidden="1" customHeight="1" x14ac:dyDescent="0.25">
      <c r="A156" s="8" t="s">
        <v>9</v>
      </c>
      <c r="B156" s="11" t="s">
        <v>45</v>
      </c>
      <c r="C156" s="15"/>
      <c r="D156" s="16" t="s">
        <v>15</v>
      </c>
      <c r="E156" s="17">
        <v>1</v>
      </c>
      <c r="F156" s="18">
        <f>E156* 0.962408869987849</f>
        <v>0.96240886998784902</v>
      </c>
      <c r="G156" s="18">
        <f>E156*0.00425273390036452</f>
        <v>4.2527339003645198E-3</v>
      </c>
      <c r="H156" s="18">
        <f>E156*0.0333383961117862</f>
        <v>3.3338396111786198E-2</v>
      </c>
    </row>
    <row r="157" spans="1:8" ht="15.75" hidden="1" customHeight="1" x14ac:dyDescent="0.25">
      <c r="A157" s="8" t="s">
        <v>9</v>
      </c>
      <c r="B157" s="11" t="s">
        <v>45</v>
      </c>
      <c r="C157" s="15"/>
      <c r="D157" s="16" t="s">
        <v>11</v>
      </c>
      <c r="E157" s="17">
        <v>7</v>
      </c>
      <c r="F157" s="18">
        <f>E157*0.0664298401420959</f>
        <v>0.46500888099467125</v>
      </c>
      <c r="G157" s="18">
        <f>E157*0.932326820603908</f>
        <v>6.5262877442273561</v>
      </c>
      <c r="H157" s="18">
        <f>E157*0.00106571936056838</f>
        <v>7.4600355239786593E-3</v>
      </c>
    </row>
    <row r="158" spans="1:8" ht="15.75" hidden="1" customHeight="1" x14ac:dyDescent="0.25">
      <c r="A158" s="8" t="s">
        <v>9</v>
      </c>
      <c r="B158" s="11" t="s">
        <v>45</v>
      </c>
      <c r="C158" s="15"/>
      <c r="D158" s="16" t="s">
        <v>17</v>
      </c>
      <c r="E158" s="17">
        <v>18</v>
      </c>
      <c r="F158" s="18">
        <f>E158*0.860929374266063</f>
        <v>15.496728736789134</v>
      </c>
      <c r="G158" s="18">
        <f>E158*0.0811944304646871</f>
        <v>1.4614997483643679</v>
      </c>
      <c r="H158" s="18">
        <f>E158*0.0578761952692501</f>
        <v>1.0417715148465019</v>
      </c>
    </row>
    <row r="159" spans="1:8" ht="15.75" hidden="1" customHeight="1" x14ac:dyDescent="0.25">
      <c r="A159" s="8" t="s">
        <v>9</v>
      </c>
      <c r="B159" s="11" t="s">
        <v>45</v>
      </c>
      <c r="C159" s="15"/>
      <c r="D159" s="16" t="s">
        <v>18</v>
      </c>
      <c r="E159" s="17">
        <v>4</v>
      </c>
      <c r="F159" s="18">
        <f>E159*0.949854952341484</f>
        <v>3.7994198093659359</v>
      </c>
      <c r="G159" s="18">
        <f>E159*0.0439287194363862</f>
        <v>0.17571487774554481</v>
      </c>
      <c r="H159" s="18">
        <f>E159*0.00621632822213013</f>
        <v>2.4865312888520522E-2</v>
      </c>
    </row>
    <row r="160" spans="1:8" ht="15.75" hidden="1" customHeight="1" x14ac:dyDescent="0.25">
      <c r="A160" s="8" t="s">
        <v>9</v>
      </c>
      <c r="B160" s="11" t="s">
        <v>45</v>
      </c>
      <c r="C160" s="15"/>
      <c r="D160" s="16" t="s">
        <v>20</v>
      </c>
      <c r="E160" s="17">
        <v>0</v>
      </c>
      <c r="F160" s="18">
        <f>E160* 0.557228915662651</f>
        <v>0</v>
      </c>
      <c r="G160" s="18">
        <f>E160*0.390562248995984</f>
        <v>0</v>
      </c>
      <c r="H160" s="18">
        <f>E160*0.0522088353413655</f>
        <v>0</v>
      </c>
    </row>
    <row r="161" spans="1:8" ht="15.75" hidden="1" customHeight="1" x14ac:dyDescent="0.25">
      <c r="A161" s="8" t="s">
        <v>9</v>
      </c>
      <c r="B161" s="11" t="s">
        <v>45</v>
      </c>
      <c r="C161" s="15"/>
      <c r="D161" s="16" t="s">
        <v>21</v>
      </c>
      <c r="E161" s="17">
        <v>13</v>
      </c>
      <c r="F161" s="18">
        <f>E161* 0.999622470552703</f>
        <v>12.995092117185139</v>
      </c>
      <c r="G161" s="18">
        <f>E161* 0.0000755058894593778</f>
        <v>9.8157656297191134E-4</v>
      </c>
      <c r="H161" s="18">
        <f>E161* 0.000302023557837511</f>
        <v>3.9263062518876428E-3</v>
      </c>
    </row>
    <row r="162" spans="1:8" ht="15.75" hidden="1" customHeight="1" x14ac:dyDescent="0.25">
      <c r="A162" s="8" t="s">
        <v>9</v>
      </c>
      <c r="B162" s="11" t="s">
        <v>45</v>
      </c>
      <c r="C162" s="15"/>
      <c r="D162" s="16" t="s">
        <v>12</v>
      </c>
      <c r="E162" s="17">
        <v>2</v>
      </c>
      <c r="F162" s="18">
        <f>E162* 0.889957698325317</f>
        <v>1.779915396650634</v>
      </c>
      <c r="G162" s="18">
        <f>E162* 0.0573100770701744</f>
        <v>0.1146201541403488</v>
      </c>
      <c r="H162" s="18">
        <f>E162* 0.0526742771049429</f>
        <v>0.1053485542098858</v>
      </c>
    </row>
    <row r="163" spans="1:8" ht="15.75" hidden="1" customHeight="1" x14ac:dyDescent="0.25">
      <c r="A163" s="8" t="s">
        <v>9</v>
      </c>
      <c r="B163" s="8"/>
      <c r="C163" s="8"/>
      <c r="D163" s="9"/>
      <c r="E163" s="19"/>
    </row>
    <row r="164" spans="1:8" ht="15.75" hidden="1" customHeight="1" x14ac:dyDescent="0.25">
      <c r="A164" s="8" t="s">
        <v>9</v>
      </c>
      <c r="B164" s="11" t="s">
        <v>46</v>
      </c>
      <c r="C164" s="12" t="str">
        <f>B164&amp;"_"&amp;A164</f>
        <v>Villa Tomina_Chuquisaca</v>
      </c>
      <c r="E164" s="13">
        <v>7</v>
      </c>
      <c r="F164" s="14">
        <f t="shared" ref="F164:H164" si="23">SUM(F165:F175)</f>
        <v>3.9494215341230738</v>
      </c>
      <c r="G164" s="14">
        <f t="shared" si="23"/>
        <v>2.9356359811255044</v>
      </c>
      <c r="H164" s="14">
        <f t="shared" si="23"/>
        <v>0.11435167757157316</v>
      </c>
    </row>
    <row r="165" spans="1:8" ht="15.75" hidden="1" customHeight="1" x14ac:dyDescent="0.25">
      <c r="A165" s="8" t="s">
        <v>9</v>
      </c>
      <c r="B165" s="11" t="s">
        <v>46</v>
      </c>
      <c r="C165" s="15"/>
      <c r="D165" s="16" t="s">
        <v>14</v>
      </c>
      <c r="E165" s="17">
        <v>0</v>
      </c>
      <c r="F165" s="20">
        <v>0</v>
      </c>
      <c r="G165" s="20">
        <f>E165</f>
        <v>0</v>
      </c>
      <c r="H165" s="20">
        <v>0</v>
      </c>
    </row>
    <row r="166" spans="1:8" ht="15.75" hidden="1" customHeight="1" x14ac:dyDescent="0.25">
      <c r="A166" s="8" t="s">
        <v>9</v>
      </c>
      <c r="B166" s="11" t="s">
        <v>46</v>
      </c>
      <c r="C166" s="15"/>
      <c r="D166" s="16" t="s">
        <v>15</v>
      </c>
      <c r="E166" s="17">
        <v>0</v>
      </c>
      <c r="F166" s="18">
        <f>E166* 0.962408869987849</f>
        <v>0</v>
      </c>
      <c r="G166" s="18">
        <f>E166*0.00425273390036452</f>
        <v>0</v>
      </c>
      <c r="H166" s="18">
        <f>E166*0.0333383961117862</f>
        <v>0</v>
      </c>
    </row>
    <row r="167" spans="1:8" ht="15.75" hidden="1" customHeight="1" x14ac:dyDescent="0.25">
      <c r="A167" s="8" t="s">
        <v>9</v>
      </c>
      <c r="B167" s="11" t="s">
        <v>46</v>
      </c>
      <c r="C167" s="15"/>
      <c r="D167" s="16" t="s">
        <v>16</v>
      </c>
      <c r="E167" s="17">
        <v>0</v>
      </c>
      <c r="F167" s="18">
        <f>E167* 0.03</f>
        <v>0</v>
      </c>
      <c r="G167" s="18">
        <f>E167* 0.97</f>
        <v>0</v>
      </c>
      <c r="H167" s="20">
        <v>0</v>
      </c>
    </row>
    <row r="168" spans="1:8" ht="15.75" hidden="1" customHeight="1" x14ac:dyDescent="0.25">
      <c r="A168" s="8" t="s">
        <v>9</v>
      </c>
      <c r="B168" s="11" t="s">
        <v>46</v>
      </c>
      <c r="C168" s="15"/>
      <c r="D168" s="16" t="s">
        <v>11</v>
      </c>
      <c r="E168" s="17">
        <v>3</v>
      </c>
      <c r="F168" s="18">
        <f>E168*0.0664298401420959</f>
        <v>0.19928952042628767</v>
      </c>
      <c r="G168" s="18">
        <f>E168*0.932326820603908</f>
        <v>2.796980461811724</v>
      </c>
      <c r="H168" s="18">
        <f>E168*0.00106571936056838</f>
        <v>3.1971580817051399E-3</v>
      </c>
    </row>
    <row r="169" spans="1:8" ht="15.75" hidden="1" customHeight="1" x14ac:dyDescent="0.25">
      <c r="A169" s="8" t="s">
        <v>9</v>
      </c>
      <c r="B169" s="11" t="s">
        <v>46</v>
      </c>
      <c r="C169" s="15"/>
      <c r="D169" s="16" t="s">
        <v>17</v>
      </c>
      <c r="E169" s="17">
        <v>1</v>
      </c>
      <c r="F169" s="18">
        <f>E169*0.860929374266063</f>
        <v>0.86092937426606297</v>
      </c>
      <c r="G169" s="18">
        <f>E169*0.0811944304646871</f>
        <v>8.1194430464687106E-2</v>
      </c>
      <c r="H169" s="18">
        <f>E169*0.0578761952692501</f>
        <v>5.78761952692501E-2</v>
      </c>
    </row>
    <row r="170" spans="1:8" ht="15.75" hidden="1" customHeight="1" x14ac:dyDescent="0.25">
      <c r="A170" s="8" t="s">
        <v>9</v>
      </c>
      <c r="B170" s="11" t="s">
        <v>46</v>
      </c>
      <c r="C170" s="15"/>
      <c r="D170" s="16" t="s">
        <v>18</v>
      </c>
      <c r="E170" s="17">
        <v>0</v>
      </c>
      <c r="F170" s="18">
        <f>E170*0.949854952341484</f>
        <v>0</v>
      </c>
      <c r="G170" s="18">
        <f>E170*0.0439287194363862</f>
        <v>0</v>
      </c>
      <c r="H170" s="18">
        <f>E170*0.00621632822213013</f>
        <v>0</v>
      </c>
    </row>
    <row r="171" spans="1:8" ht="15.75" hidden="1" customHeight="1" x14ac:dyDescent="0.25">
      <c r="A171" s="8" t="s">
        <v>9</v>
      </c>
      <c r="B171" s="11" t="s">
        <v>46</v>
      </c>
      <c r="C171" s="15"/>
      <c r="D171" s="16" t="s">
        <v>19</v>
      </c>
      <c r="E171" s="17">
        <v>0</v>
      </c>
      <c r="F171" s="18">
        <f>E171*0.0187085093542547</f>
        <v>0</v>
      </c>
      <c r="G171" s="18">
        <f>E171*0.978877489438745</f>
        <v>0</v>
      </c>
      <c r="H171" s="18">
        <f>E171*0.0024140012070006</f>
        <v>0</v>
      </c>
    </row>
    <row r="172" spans="1:8" ht="15.75" hidden="1" customHeight="1" x14ac:dyDescent="0.25">
      <c r="A172" s="8" t="s">
        <v>9</v>
      </c>
      <c r="B172" s="11" t="s">
        <v>46</v>
      </c>
      <c r="C172" s="15"/>
      <c r="D172" s="16" t="s">
        <v>20</v>
      </c>
      <c r="E172" s="17">
        <v>0</v>
      </c>
      <c r="F172" s="18">
        <f>E172* 0.557228915662651</f>
        <v>0</v>
      </c>
      <c r="G172" s="18">
        <f>E172*0.390562248995984</f>
        <v>0</v>
      </c>
      <c r="H172" s="18">
        <f>E172*0.0522088353413655</f>
        <v>0</v>
      </c>
    </row>
    <row r="173" spans="1:8" ht="15.75" hidden="1" customHeight="1" x14ac:dyDescent="0.25">
      <c r="A173" s="8" t="s">
        <v>9</v>
      </c>
      <c r="B173" s="11" t="s">
        <v>46</v>
      </c>
      <c r="C173" s="15"/>
      <c r="D173" s="16" t="s">
        <v>21</v>
      </c>
      <c r="E173" s="17">
        <v>2</v>
      </c>
      <c r="F173" s="18">
        <f>E173* 0.999622470552703</f>
        <v>1.9992449411054061</v>
      </c>
      <c r="G173" s="18">
        <f>E173* 0.0000755058894593778</f>
        <v>1.5101177891875561E-4</v>
      </c>
      <c r="H173" s="18">
        <f>E173* 0.000302023557837511</f>
        <v>6.04047115675022E-4</v>
      </c>
    </row>
    <row r="174" spans="1:8" ht="15.75" hidden="1" customHeight="1" x14ac:dyDescent="0.25">
      <c r="A174" s="8" t="s">
        <v>9</v>
      </c>
      <c r="B174" s="11" t="s">
        <v>46</v>
      </c>
      <c r="C174" s="15"/>
      <c r="D174" s="16" t="s">
        <v>28</v>
      </c>
      <c r="E174" s="17">
        <v>0</v>
      </c>
      <c r="F174" s="20">
        <v>0</v>
      </c>
      <c r="G174" s="20">
        <f>E174</f>
        <v>0</v>
      </c>
      <c r="H174" s="20">
        <v>0</v>
      </c>
    </row>
    <row r="175" spans="1:8" ht="15.75" hidden="1" customHeight="1" x14ac:dyDescent="0.25">
      <c r="A175" s="8" t="s">
        <v>9</v>
      </c>
      <c r="B175" s="11" t="s">
        <v>46</v>
      </c>
      <c r="C175" s="15"/>
      <c r="D175" s="16" t="s">
        <v>12</v>
      </c>
      <c r="E175" s="17">
        <v>1</v>
      </c>
      <c r="F175" s="18">
        <f>E175* 0.889957698325317</f>
        <v>0.88995769832531701</v>
      </c>
      <c r="G175" s="18">
        <f>E175* 0.0573100770701744</f>
        <v>5.7310077070174402E-2</v>
      </c>
      <c r="H175" s="18">
        <f>E175* 0.0526742771049429</f>
        <v>5.26742771049429E-2</v>
      </c>
    </row>
    <row r="176" spans="1:8" ht="15.75" hidden="1" customHeight="1" x14ac:dyDescent="0.25">
      <c r="A176" s="8" t="s">
        <v>9</v>
      </c>
      <c r="B176" s="21"/>
      <c r="C176" s="21"/>
      <c r="D176" s="16"/>
      <c r="E176" s="19"/>
    </row>
    <row r="177" spans="1:8" ht="15.75" hidden="1" customHeight="1" x14ac:dyDescent="0.25">
      <c r="A177" s="8" t="s">
        <v>9</v>
      </c>
      <c r="B177" s="11" t="s">
        <v>47</v>
      </c>
      <c r="C177" s="12" t="str">
        <f>B177&amp;"_"&amp;A177</f>
        <v>Villa Vaca Guzmán (Muyupampa)_Chuquisaca</v>
      </c>
      <c r="E177" s="13">
        <v>9</v>
      </c>
      <c r="F177" s="14">
        <f t="shared" ref="F177:H177" si="24">SUM(F178:F181)</f>
        <v>6.3189014439869267</v>
      </c>
      <c r="G177" s="14">
        <f t="shared" si="24"/>
        <v>2.3083042511072778</v>
      </c>
      <c r="H177" s="14">
        <f t="shared" si="24"/>
        <v>0.37232317011980914</v>
      </c>
    </row>
    <row r="178" spans="1:8" ht="15.75" hidden="1" customHeight="1" x14ac:dyDescent="0.25">
      <c r="A178" s="8" t="s">
        <v>9</v>
      </c>
      <c r="B178" s="11" t="s">
        <v>47</v>
      </c>
      <c r="C178" s="15"/>
      <c r="D178" s="16" t="s">
        <v>15</v>
      </c>
      <c r="E178" s="17">
        <v>1</v>
      </c>
      <c r="F178" s="18">
        <f>E178* 0.962408869987849</f>
        <v>0.96240886998784902</v>
      </c>
      <c r="G178" s="18">
        <f>E178*0.00425273390036452</f>
        <v>4.2527339003645198E-3</v>
      </c>
      <c r="H178" s="18">
        <f>E178*0.0333383961117862</f>
        <v>3.3338396111786198E-2</v>
      </c>
    </row>
    <row r="179" spans="1:8" ht="15.75" hidden="1" customHeight="1" x14ac:dyDescent="0.25">
      <c r="A179" s="8" t="s">
        <v>9</v>
      </c>
      <c r="B179" s="11" t="s">
        <v>47</v>
      </c>
      <c r="C179" s="15"/>
      <c r="D179" s="16" t="s">
        <v>11</v>
      </c>
      <c r="E179" s="17">
        <v>2</v>
      </c>
      <c r="F179" s="18">
        <f>E179*0.0664298401420959</f>
        <v>0.13285968028419179</v>
      </c>
      <c r="G179" s="18">
        <f>E179*0.932326820603908</f>
        <v>1.8646536412078161</v>
      </c>
      <c r="H179" s="18">
        <f>E179*0.00106571936056838</f>
        <v>2.1314387211367599E-3</v>
      </c>
    </row>
    <row r="180" spans="1:8" ht="15.75" hidden="1" customHeight="1" x14ac:dyDescent="0.25">
      <c r="A180" s="8" t="s">
        <v>9</v>
      </c>
      <c r="B180" s="11" t="s">
        <v>47</v>
      </c>
      <c r="C180" s="15"/>
      <c r="D180" s="16" t="s">
        <v>17</v>
      </c>
      <c r="E180" s="17">
        <v>4</v>
      </c>
      <c r="F180" s="18">
        <f>E180*0.860929374266063</f>
        <v>3.4437174970642519</v>
      </c>
      <c r="G180" s="18">
        <f>E180*0.0811944304646871</f>
        <v>0.32477772185874842</v>
      </c>
      <c r="H180" s="18">
        <f>E180*0.0578761952692501</f>
        <v>0.2315047810770004</v>
      </c>
    </row>
    <row r="181" spans="1:8" ht="15.75" hidden="1" customHeight="1" x14ac:dyDescent="0.25">
      <c r="A181" s="8" t="s">
        <v>9</v>
      </c>
      <c r="B181" s="11" t="s">
        <v>47</v>
      </c>
      <c r="C181" s="15"/>
      <c r="D181" s="16" t="s">
        <v>12</v>
      </c>
      <c r="E181" s="17">
        <v>2</v>
      </c>
      <c r="F181" s="18">
        <f>E181* 0.889957698325317</f>
        <v>1.779915396650634</v>
      </c>
      <c r="G181" s="18">
        <f>E181* 0.0573100770701744</f>
        <v>0.1146201541403488</v>
      </c>
      <c r="H181" s="18">
        <f>E181* 0.0526742771049429</f>
        <v>0.1053485542098858</v>
      </c>
    </row>
    <row r="182" spans="1:8" ht="15.75" hidden="1" customHeight="1" x14ac:dyDescent="0.25">
      <c r="A182" s="8" t="s">
        <v>9</v>
      </c>
      <c r="B182" s="8"/>
      <c r="C182" s="8"/>
      <c r="D182" s="9"/>
      <c r="E182" s="19"/>
    </row>
    <row r="183" spans="1:8" ht="15.75" hidden="1" customHeight="1" x14ac:dyDescent="0.25">
      <c r="A183" s="8" t="s">
        <v>9</v>
      </c>
      <c r="B183" s="11" t="s">
        <v>48</v>
      </c>
      <c r="C183" s="12" t="str">
        <f>B183&amp;"_"&amp;A183</f>
        <v>Villa Zudáñez (Tacopaya)_Chuquisaca</v>
      </c>
      <c r="E183" s="13">
        <v>2</v>
      </c>
      <c r="F183" s="14">
        <f t="shared" ref="F183:H183" si="25">SUM(F184:F195)</f>
        <v>1.066052310694799</v>
      </c>
      <c r="G183" s="14">
        <f t="shared" si="25"/>
        <v>0.93240232649336741</v>
      </c>
      <c r="H183" s="14">
        <f t="shared" si="25"/>
        <v>1.367742918405891E-3</v>
      </c>
    </row>
    <row r="184" spans="1:8" ht="15.75" hidden="1" customHeight="1" x14ac:dyDescent="0.25">
      <c r="A184" s="8" t="s">
        <v>9</v>
      </c>
      <c r="B184" s="11" t="s">
        <v>48</v>
      </c>
      <c r="C184" s="15"/>
      <c r="D184" s="16" t="s">
        <v>14</v>
      </c>
      <c r="E184" s="17">
        <v>0</v>
      </c>
      <c r="F184" s="20">
        <v>0</v>
      </c>
      <c r="G184" s="20">
        <f>E184</f>
        <v>0</v>
      </c>
      <c r="H184" s="20">
        <v>0</v>
      </c>
    </row>
    <row r="185" spans="1:8" ht="15.75" hidden="1" customHeight="1" x14ac:dyDescent="0.25">
      <c r="A185" s="8" t="s">
        <v>9</v>
      </c>
      <c r="B185" s="11" t="s">
        <v>48</v>
      </c>
      <c r="C185" s="15"/>
      <c r="D185" s="16" t="s">
        <v>15</v>
      </c>
      <c r="E185" s="17">
        <v>0</v>
      </c>
      <c r="F185" s="18">
        <f>E185* 0.962408869987849</f>
        <v>0</v>
      </c>
      <c r="G185" s="18">
        <f>E185*0.00425273390036452</f>
        <v>0</v>
      </c>
      <c r="H185" s="18">
        <f>E185*0.0333383961117862</f>
        <v>0</v>
      </c>
    </row>
    <row r="186" spans="1:8" ht="15.75" hidden="1" customHeight="1" x14ac:dyDescent="0.25">
      <c r="A186" s="8" t="s">
        <v>9</v>
      </c>
      <c r="B186" s="11" t="s">
        <v>48</v>
      </c>
      <c r="C186" s="15"/>
      <c r="D186" s="16" t="s">
        <v>16</v>
      </c>
      <c r="E186" s="17">
        <v>0</v>
      </c>
      <c r="F186" s="18">
        <f>E186* 0.03</f>
        <v>0</v>
      </c>
      <c r="G186" s="18">
        <f>E186* 0.97</f>
        <v>0</v>
      </c>
      <c r="H186" s="20">
        <v>0</v>
      </c>
    </row>
    <row r="187" spans="1:8" ht="15.75" hidden="1" customHeight="1" x14ac:dyDescent="0.25">
      <c r="A187" s="8" t="s">
        <v>9</v>
      </c>
      <c r="B187" s="11" t="s">
        <v>48</v>
      </c>
      <c r="C187" s="15"/>
      <c r="D187" s="16" t="s">
        <v>11</v>
      </c>
      <c r="E187" s="17">
        <v>1</v>
      </c>
      <c r="F187" s="18">
        <f>E187*0.0664298401420959</f>
        <v>6.6429840142095894E-2</v>
      </c>
      <c r="G187" s="18">
        <f>E187*0.932326820603908</f>
        <v>0.93232682060390804</v>
      </c>
      <c r="H187" s="18">
        <f>E187*0.00106571936056838</f>
        <v>1.06571936056838E-3</v>
      </c>
    </row>
    <row r="188" spans="1:8" ht="15.75" hidden="1" customHeight="1" x14ac:dyDescent="0.25">
      <c r="A188" s="8" t="s">
        <v>9</v>
      </c>
      <c r="B188" s="11" t="s">
        <v>48</v>
      </c>
      <c r="C188" s="15"/>
      <c r="D188" s="16" t="s">
        <v>17</v>
      </c>
      <c r="E188" s="17">
        <v>0</v>
      </c>
      <c r="F188" s="18">
        <f>E188*0.860929374266063</f>
        <v>0</v>
      </c>
      <c r="G188" s="18">
        <f>E188*0.0811944304646871</f>
        <v>0</v>
      </c>
      <c r="H188" s="18">
        <f>E188*0.0578761952692501</f>
        <v>0</v>
      </c>
    </row>
    <row r="189" spans="1:8" ht="15.75" hidden="1" customHeight="1" x14ac:dyDescent="0.25">
      <c r="A189" s="8" t="s">
        <v>9</v>
      </c>
      <c r="B189" s="11" t="s">
        <v>48</v>
      </c>
      <c r="C189" s="15"/>
      <c r="D189" s="16" t="s">
        <v>18</v>
      </c>
      <c r="E189" s="17">
        <v>0</v>
      </c>
      <c r="F189" s="18">
        <f>E189*0.949854952341484</f>
        <v>0</v>
      </c>
      <c r="G189" s="18">
        <f>E189*0.0439287194363862</f>
        <v>0</v>
      </c>
      <c r="H189" s="18">
        <f>E189*0.00621632822213013</f>
        <v>0</v>
      </c>
    </row>
    <row r="190" spans="1:8" ht="15.75" hidden="1" customHeight="1" x14ac:dyDescent="0.25">
      <c r="A190" s="8" t="s">
        <v>9</v>
      </c>
      <c r="B190" s="11" t="s">
        <v>48</v>
      </c>
      <c r="C190" s="15"/>
      <c r="D190" s="16" t="s">
        <v>19</v>
      </c>
      <c r="E190" s="17">
        <v>0</v>
      </c>
      <c r="F190" s="18">
        <f>E190*0.0187085093542547</f>
        <v>0</v>
      </c>
      <c r="G190" s="18">
        <f>E190*0.978877489438745</f>
        <v>0</v>
      </c>
      <c r="H190" s="18">
        <f>E190*0.0024140012070006</f>
        <v>0</v>
      </c>
    </row>
    <row r="191" spans="1:8" ht="15.75" hidden="1" customHeight="1" x14ac:dyDescent="0.25">
      <c r="A191" s="8" t="s">
        <v>9</v>
      </c>
      <c r="B191" s="11" t="s">
        <v>48</v>
      </c>
      <c r="C191" s="15"/>
      <c r="D191" s="16" t="s">
        <v>20</v>
      </c>
      <c r="E191" s="17">
        <v>0</v>
      </c>
      <c r="F191" s="18">
        <f>E191* 0.557228915662651</f>
        <v>0</v>
      </c>
      <c r="G191" s="18">
        <f>E191*0.390562248995984</f>
        <v>0</v>
      </c>
      <c r="H191" s="18">
        <f>E191*0.0522088353413655</f>
        <v>0</v>
      </c>
    </row>
    <row r="192" spans="1:8" ht="15.75" hidden="1" customHeight="1" x14ac:dyDescent="0.25">
      <c r="A192" s="8" t="s">
        <v>9</v>
      </c>
      <c r="B192" s="11" t="s">
        <v>48</v>
      </c>
      <c r="C192" s="15"/>
      <c r="D192" s="16" t="s">
        <v>21</v>
      </c>
      <c r="E192" s="17">
        <v>1</v>
      </c>
      <c r="F192" s="18">
        <f>E192* 0.999622470552703</f>
        <v>0.99962247055270304</v>
      </c>
      <c r="G192" s="18">
        <f>E192* 0.0000755058894593778</f>
        <v>7.5505889459377804E-5</v>
      </c>
      <c r="H192" s="18">
        <f>E192* 0.000302023557837511</f>
        <v>3.02023557837511E-4</v>
      </c>
    </row>
    <row r="193" spans="1:8" ht="15.75" hidden="1" customHeight="1" x14ac:dyDescent="0.25">
      <c r="A193" s="8" t="s">
        <v>9</v>
      </c>
      <c r="B193" s="11" t="s">
        <v>48</v>
      </c>
      <c r="C193" s="15"/>
      <c r="D193" s="16" t="s">
        <v>36</v>
      </c>
      <c r="E193" s="17">
        <v>0</v>
      </c>
      <c r="F193" s="18">
        <f>E193*1</f>
        <v>0</v>
      </c>
      <c r="G193" s="20">
        <f>E193*0</f>
        <v>0</v>
      </c>
      <c r="H193" s="20">
        <f>E193*0</f>
        <v>0</v>
      </c>
    </row>
    <row r="194" spans="1:8" ht="15.75" hidden="1" customHeight="1" x14ac:dyDescent="0.25">
      <c r="A194" s="8" t="s">
        <v>9</v>
      </c>
      <c r="B194" s="11" t="s">
        <v>48</v>
      </c>
      <c r="C194" s="15"/>
      <c r="D194" s="16" t="s">
        <v>28</v>
      </c>
      <c r="E194" s="17">
        <v>0</v>
      </c>
      <c r="F194" s="20">
        <v>0</v>
      </c>
      <c r="G194" s="20">
        <f>E194</f>
        <v>0</v>
      </c>
      <c r="H194" s="20">
        <v>0</v>
      </c>
    </row>
    <row r="195" spans="1:8" ht="15.75" hidden="1" customHeight="1" x14ac:dyDescent="0.25">
      <c r="A195" s="8" t="s">
        <v>9</v>
      </c>
      <c r="B195" s="11" t="s">
        <v>48</v>
      </c>
      <c r="C195" s="15"/>
      <c r="D195" s="16" t="s">
        <v>12</v>
      </c>
      <c r="E195" s="17">
        <v>0</v>
      </c>
      <c r="F195" s="18">
        <f>E195* 0.889957698325317</f>
        <v>0</v>
      </c>
      <c r="G195" s="18">
        <f>E195* 0.0573100770701744</f>
        <v>0</v>
      </c>
      <c r="H195" s="18">
        <f>E195* 0.0526742771049429</f>
        <v>0</v>
      </c>
    </row>
    <row r="196" spans="1:8" ht="15.75" hidden="1" customHeight="1" x14ac:dyDescent="0.25">
      <c r="A196" s="8" t="s">
        <v>9</v>
      </c>
      <c r="B196" s="8"/>
      <c r="C196" s="8"/>
      <c r="D196" s="9"/>
      <c r="E196" s="19"/>
    </row>
    <row r="197" spans="1:8" ht="15.75" hidden="1" customHeight="1" x14ac:dyDescent="0.25">
      <c r="A197" s="8" t="s">
        <v>9</v>
      </c>
      <c r="B197" s="11" t="s">
        <v>49</v>
      </c>
      <c r="C197" s="12" t="str">
        <f>B197&amp;"_"&amp;A197</f>
        <v>Yamparáez_Chuquisaca</v>
      </c>
      <c r="E197" s="13">
        <v>45</v>
      </c>
      <c r="F197" s="14">
        <f t="shared" ref="F197:H197" si="26">SUM(F198:F208)</f>
        <v>25.837391917019122</v>
      </c>
      <c r="G197" s="14">
        <f t="shared" si="26"/>
        <v>18.074327737299789</v>
      </c>
      <c r="H197" s="14">
        <f t="shared" si="26"/>
        <v>1.0860367893555551</v>
      </c>
    </row>
    <row r="198" spans="1:8" ht="15.75" hidden="1" customHeight="1" x14ac:dyDescent="0.25">
      <c r="A198" s="8" t="s">
        <v>9</v>
      </c>
      <c r="B198" s="11" t="s">
        <v>49</v>
      </c>
      <c r="C198" s="15"/>
      <c r="D198" s="16" t="s">
        <v>14</v>
      </c>
      <c r="E198" s="17">
        <v>0</v>
      </c>
      <c r="F198" s="20">
        <v>0</v>
      </c>
      <c r="G198" s="20">
        <f>E198</f>
        <v>0</v>
      </c>
      <c r="H198" s="20">
        <v>0</v>
      </c>
    </row>
    <row r="199" spans="1:8" ht="15.75" hidden="1" customHeight="1" x14ac:dyDescent="0.25">
      <c r="A199" s="8" t="s">
        <v>9</v>
      </c>
      <c r="B199" s="11" t="s">
        <v>49</v>
      </c>
      <c r="C199" s="15"/>
      <c r="D199" s="16" t="s">
        <v>15</v>
      </c>
      <c r="E199" s="17">
        <v>1</v>
      </c>
      <c r="F199" s="18">
        <f>E199* 0.962408869987849</f>
        <v>0.96240886998784902</v>
      </c>
      <c r="G199" s="18">
        <f>E199*0.00425273390036452</f>
        <v>4.2527339003645198E-3</v>
      </c>
      <c r="H199" s="18">
        <f>E199*0.0333383961117862</f>
        <v>3.3338396111786198E-2</v>
      </c>
    </row>
    <row r="200" spans="1:8" ht="15.75" hidden="1" customHeight="1" x14ac:dyDescent="0.25">
      <c r="A200" s="8" t="s">
        <v>9</v>
      </c>
      <c r="B200" s="11" t="s">
        <v>49</v>
      </c>
      <c r="C200" s="15"/>
      <c r="D200" s="16" t="s">
        <v>16</v>
      </c>
      <c r="E200" s="17">
        <v>0</v>
      </c>
      <c r="F200" s="18">
        <f>E200* 0.03</f>
        <v>0</v>
      </c>
      <c r="G200" s="18">
        <f>E200* 0.97</f>
        <v>0</v>
      </c>
      <c r="H200" s="20">
        <v>0</v>
      </c>
    </row>
    <row r="201" spans="1:8" ht="15.75" hidden="1" customHeight="1" x14ac:dyDescent="0.25">
      <c r="A201" s="8" t="s">
        <v>9</v>
      </c>
      <c r="B201" s="11" t="s">
        <v>49</v>
      </c>
      <c r="C201" s="15"/>
      <c r="D201" s="16" t="s">
        <v>11</v>
      </c>
      <c r="E201" s="17">
        <v>11</v>
      </c>
      <c r="F201" s="18">
        <f>E201*0.0664298401420959</f>
        <v>0.73072824156305483</v>
      </c>
      <c r="G201" s="18">
        <f>E201*0.932326820603908</f>
        <v>10.255595026642988</v>
      </c>
      <c r="H201" s="18">
        <f>E201*0.00106571936056838</f>
        <v>1.1722912966252179E-2</v>
      </c>
    </row>
    <row r="202" spans="1:8" ht="15.75" hidden="1" customHeight="1" x14ac:dyDescent="0.25">
      <c r="A202" s="8" t="s">
        <v>9</v>
      </c>
      <c r="B202" s="11" t="s">
        <v>49</v>
      </c>
      <c r="C202" s="15"/>
      <c r="D202" s="16" t="s">
        <v>17</v>
      </c>
      <c r="E202" s="17">
        <v>6</v>
      </c>
      <c r="F202" s="18">
        <f>E202*0.860929374266063</f>
        <v>5.1655762455963776</v>
      </c>
      <c r="G202" s="18">
        <f>E202*0.0811944304646871</f>
        <v>0.48716658278812264</v>
      </c>
      <c r="H202" s="18">
        <f>E202*0.0578761952692501</f>
        <v>0.34725717161550063</v>
      </c>
    </row>
    <row r="203" spans="1:8" ht="15.75" hidden="1" customHeight="1" x14ac:dyDescent="0.25">
      <c r="A203" s="8" t="s">
        <v>9</v>
      </c>
      <c r="B203" s="11" t="s">
        <v>49</v>
      </c>
      <c r="C203" s="15"/>
      <c r="D203" s="16" t="s">
        <v>18</v>
      </c>
      <c r="E203" s="17">
        <v>0</v>
      </c>
      <c r="F203" s="18">
        <f>E203*0.949854952341484</f>
        <v>0</v>
      </c>
      <c r="G203" s="18">
        <f>E203*0.0439287194363862</f>
        <v>0</v>
      </c>
      <c r="H203" s="18">
        <f>E203*0.00621632822213013</f>
        <v>0</v>
      </c>
    </row>
    <row r="204" spans="1:8" ht="15.75" hidden="1" customHeight="1" x14ac:dyDescent="0.25">
      <c r="A204" s="8" t="s">
        <v>9</v>
      </c>
      <c r="B204" s="11" t="s">
        <v>49</v>
      </c>
      <c r="C204" s="15"/>
      <c r="D204" s="16" t="s">
        <v>35</v>
      </c>
      <c r="E204" s="17">
        <v>0</v>
      </c>
      <c r="F204" s="20">
        <v>0</v>
      </c>
      <c r="G204" s="20">
        <f>E204</f>
        <v>0</v>
      </c>
      <c r="H204" s="20">
        <v>0</v>
      </c>
    </row>
    <row r="205" spans="1:8" ht="15.75" hidden="1" customHeight="1" x14ac:dyDescent="0.25">
      <c r="A205" s="8" t="s">
        <v>9</v>
      </c>
      <c r="B205" s="11" t="s">
        <v>49</v>
      </c>
      <c r="C205" s="15"/>
      <c r="D205" s="16" t="s">
        <v>19</v>
      </c>
      <c r="E205" s="17">
        <v>4</v>
      </c>
      <c r="F205" s="18">
        <f>E205*0.0187085093542547</f>
        <v>7.4834037417018801E-2</v>
      </c>
      <c r="G205" s="18">
        <f>E205*0.978877489438745</f>
        <v>3.9155099577549799</v>
      </c>
      <c r="H205" s="18">
        <f>E205*0.0024140012070006</f>
        <v>9.6560048280024003E-3</v>
      </c>
    </row>
    <row r="206" spans="1:8" ht="15.75" hidden="1" customHeight="1" x14ac:dyDescent="0.25">
      <c r="A206" s="8" t="s">
        <v>9</v>
      </c>
      <c r="B206" s="11" t="s">
        <v>49</v>
      </c>
      <c r="C206" s="15"/>
      <c r="D206" s="16" t="s">
        <v>20</v>
      </c>
      <c r="E206" s="17">
        <v>8</v>
      </c>
      <c r="F206" s="18">
        <f>E206* 0.557228915662651</f>
        <v>4.4578313253012078</v>
      </c>
      <c r="G206" s="18">
        <f>E206*0.390562248995984</f>
        <v>3.1244979919678721</v>
      </c>
      <c r="H206" s="18">
        <f>E206*0.0522088353413655</f>
        <v>0.417670682730924</v>
      </c>
    </row>
    <row r="207" spans="1:8" ht="15.75" hidden="1" customHeight="1" x14ac:dyDescent="0.25">
      <c r="A207" s="8" t="s">
        <v>9</v>
      </c>
      <c r="B207" s="11" t="s">
        <v>49</v>
      </c>
      <c r="C207" s="15"/>
      <c r="D207" s="16" t="s">
        <v>21</v>
      </c>
      <c r="E207" s="17">
        <v>10</v>
      </c>
      <c r="F207" s="18">
        <f>E207* 0.999622470552703</f>
        <v>9.9962247055270304</v>
      </c>
      <c r="G207" s="18">
        <f>E207* 0.0000755058894593778</f>
        <v>7.5505889459377804E-4</v>
      </c>
      <c r="H207" s="18">
        <f>E207* 0.000302023557837511</f>
        <v>3.02023557837511E-3</v>
      </c>
    </row>
    <row r="208" spans="1:8" ht="15.75" hidden="1" customHeight="1" x14ac:dyDescent="0.25">
      <c r="A208" s="8" t="s">
        <v>9</v>
      </c>
      <c r="B208" s="11" t="s">
        <v>49</v>
      </c>
      <c r="C208" s="15"/>
      <c r="D208" s="16" t="s">
        <v>12</v>
      </c>
      <c r="E208" s="17">
        <v>5</v>
      </c>
      <c r="F208" s="18">
        <f>E208* 0.889957698325317</f>
        <v>4.4497884916265846</v>
      </c>
      <c r="G208" s="18">
        <f>E208* 0.0573100770701744</f>
        <v>0.28655038535087202</v>
      </c>
      <c r="H208" s="18">
        <f>E208* 0.0526742771049429</f>
        <v>0.26337138552471451</v>
      </c>
    </row>
    <row r="209" spans="1:8" ht="15.75" hidden="1" customHeight="1" x14ac:dyDescent="0.25">
      <c r="A209" s="8" t="s">
        <v>9</v>
      </c>
      <c r="B209" s="8"/>
      <c r="C209" s="8"/>
      <c r="D209" s="9"/>
      <c r="E209" s="19"/>
    </row>
    <row r="210" spans="1:8" ht="15.75" hidden="1" customHeight="1" x14ac:dyDescent="0.25">
      <c r="A210" s="8" t="s">
        <v>9</v>
      </c>
      <c r="B210" s="11" t="s">
        <v>50</v>
      </c>
      <c r="C210" s="12" t="str">
        <f>B210&amp;"_"&amp;A210</f>
        <v>Yotala_Chuquisaca</v>
      </c>
      <c r="E210" s="13">
        <v>14</v>
      </c>
      <c r="F210" s="14">
        <f t="shared" ref="F210:H210" si="27">SUM(F211:F218)</f>
        <v>8.3158991324796574</v>
      </c>
      <c r="G210" s="14">
        <f t="shared" si="27"/>
        <v>5.2331346869983326</v>
      </c>
      <c r="H210" s="14">
        <f t="shared" si="27"/>
        <v>0.45031742584259815</v>
      </c>
    </row>
    <row r="211" spans="1:8" ht="15.75" hidden="1" customHeight="1" x14ac:dyDescent="0.25">
      <c r="A211" s="8" t="s">
        <v>9</v>
      </c>
      <c r="B211" s="11" t="s">
        <v>50</v>
      </c>
      <c r="C211" s="15"/>
      <c r="D211" s="16" t="s">
        <v>15</v>
      </c>
      <c r="E211" s="17">
        <v>2</v>
      </c>
      <c r="F211" s="18">
        <f>E211* 0.962408869987849</f>
        <v>1.924817739975698</v>
      </c>
      <c r="G211" s="18">
        <f>E211*0.00425273390036452</f>
        <v>8.5054678007290396E-3</v>
      </c>
      <c r="H211" s="18">
        <f>E211*0.0333383961117862</f>
        <v>6.6676792223572395E-2</v>
      </c>
    </row>
    <row r="212" spans="1:8" ht="15.75" hidden="1" customHeight="1" x14ac:dyDescent="0.25">
      <c r="A212" s="8" t="s">
        <v>9</v>
      </c>
      <c r="B212" s="11" t="s">
        <v>50</v>
      </c>
      <c r="C212" s="15"/>
      <c r="D212" s="16" t="s">
        <v>11</v>
      </c>
      <c r="E212" s="17">
        <v>3</v>
      </c>
      <c r="F212" s="18">
        <f>E212*0.0664298401420959</f>
        <v>0.19928952042628767</v>
      </c>
      <c r="G212" s="18">
        <f>E212*0.932326820603908</f>
        <v>2.796980461811724</v>
      </c>
      <c r="H212" s="18">
        <f>E212*0.00106571936056838</f>
        <v>3.1971580817051399E-3</v>
      </c>
    </row>
    <row r="213" spans="1:8" ht="15.75" hidden="1" customHeight="1" x14ac:dyDescent="0.25">
      <c r="A213" s="8" t="s">
        <v>9</v>
      </c>
      <c r="B213" s="11" t="s">
        <v>50</v>
      </c>
      <c r="C213" s="15"/>
      <c r="D213" s="16" t="s">
        <v>17</v>
      </c>
      <c r="E213" s="17">
        <v>2</v>
      </c>
      <c r="F213" s="18">
        <f>E213*0.860929374266063</f>
        <v>1.7218587485321259</v>
      </c>
      <c r="G213" s="18">
        <f>E213*0.0811944304646871</f>
        <v>0.16238886092937421</v>
      </c>
      <c r="H213" s="18">
        <f>E213*0.0578761952692501</f>
        <v>0.1157523905385002</v>
      </c>
    </row>
    <row r="214" spans="1:8" ht="15.75" hidden="1" customHeight="1" x14ac:dyDescent="0.25">
      <c r="A214" s="8" t="s">
        <v>9</v>
      </c>
      <c r="B214" s="11" t="s">
        <v>50</v>
      </c>
      <c r="C214" s="15"/>
      <c r="D214" s="16" t="s">
        <v>18</v>
      </c>
      <c r="E214" s="17">
        <v>0</v>
      </c>
      <c r="F214" s="18">
        <f>E214*0.949854952341484</f>
        <v>0</v>
      </c>
      <c r="G214" s="18">
        <f>E214*0.0439287194363862</f>
        <v>0</v>
      </c>
      <c r="H214" s="18">
        <f>E214*0.00621632822213013</f>
        <v>0</v>
      </c>
    </row>
    <row r="215" spans="1:8" ht="15.75" hidden="1" customHeight="1" x14ac:dyDescent="0.25">
      <c r="A215" s="8" t="s">
        <v>9</v>
      </c>
      <c r="B215" s="11" t="s">
        <v>50</v>
      </c>
      <c r="C215" s="15"/>
      <c r="D215" s="16" t="s">
        <v>19</v>
      </c>
      <c r="E215" s="17">
        <v>1</v>
      </c>
      <c r="F215" s="18">
        <f>E215*0.0187085093542547</f>
        <v>1.87085093542547E-2</v>
      </c>
      <c r="G215" s="18">
        <f>E215*0.978877489438745</f>
        <v>0.97887748943874497</v>
      </c>
      <c r="H215" s="18">
        <f>E215*0.0024140012070006</f>
        <v>2.4140012070006001E-3</v>
      </c>
    </row>
    <row r="216" spans="1:8" ht="15.75" hidden="1" customHeight="1" x14ac:dyDescent="0.25">
      <c r="A216" s="8" t="s">
        <v>9</v>
      </c>
      <c r="B216" s="11" t="s">
        <v>50</v>
      </c>
      <c r="C216" s="15"/>
      <c r="D216" s="16" t="s">
        <v>20</v>
      </c>
      <c r="E216" s="17">
        <v>3</v>
      </c>
      <c r="F216" s="18">
        <f>E216* 0.557228915662651</f>
        <v>1.6716867469879531</v>
      </c>
      <c r="G216" s="18">
        <f>E216*0.390562248995984</f>
        <v>1.1716867469879522</v>
      </c>
      <c r="H216" s="18">
        <f>E216*0.0522088353413655</f>
        <v>0.1566265060240965</v>
      </c>
    </row>
    <row r="217" spans="1:8" ht="15.75" hidden="1" customHeight="1" x14ac:dyDescent="0.25">
      <c r="A217" s="8" t="s">
        <v>9</v>
      </c>
      <c r="B217" s="11" t="s">
        <v>50</v>
      </c>
      <c r="C217" s="15"/>
      <c r="D217" s="16" t="s">
        <v>21</v>
      </c>
      <c r="E217" s="17">
        <v>1</v>
      </c>
      <c r="F217" s="18">
        <f>E217* 0.999622470552703</f>
        <v>0.99962247055270304</v>
      </c>
      <c r="G217" s="18">
        <f>E217* 0.0000755058894593778</f>
        <v>7.5505889459377804E-5</v>
      </c>
      <c r="H217" s="18">
        <f>E217* 0.000302023557837511</f>
        <v>3.02023557837511E-4</v>
      </c>
    </row>
    <row r="218" spans="1:8" ht="15.75" hidden="1" customHeight="1" x14ac:dyDescent="0.25">
      <c r="A218" s="8" t="s">
        <v>9</v>
      </c>
      <c r="B218" s="11" t="s">
        <v>50</v>
      </c>
      <c r="C218" s="15"/>
      <c r="D218" s="25" t="s">
        <v>12</v>
      </c>
      <c r="E218" s="26">
        <v>2</v>
      </c>
      <c r="F218" s="18">
        <f>E218* 0.889957698325317</f>
        <v>1.779915396650634</v>
      </c>
      <c r="G218" s="18">
        <f>E218* 0.0573100770701744</f>
        <v>0.1146201541403488</v>
      </c>
      <c r="H218" s="18">
        <f>E218* 0.0526742771049429</f>
        <v>0.1053485542098858</v>
      </c>
    </row>
    <row r="219" spans="1:8" ht="15.75" hidden="1" customHeight="1" x14ac:dyDescent="0.25">
      <c r="A219" s="15" t="s">
        <v>51</v>
      </c>
      <c r="B219" s="11" t="s">
        <v>52</v>
      </c>
      <c r="C219" s="12" t="str">
        <f>B219&amp;"_"&amp;A219</f>
        <v>Achacachi_La Paz</v>
      </c>
      <c r="E219" s="13">
        <v>164</v>
      </c>
      <c r="F219" s="14">
        <f t="shared" ref="F219:H219" si="28">SUM(F220:F232)</f>
        <v>133.83898099281885</v>
      </c>
      <c r="G219" s="14">
        <f t="shared" si="28"/>
        <v>18.878712312948657</v>
      </c>
      <c r="H219" s="14">
        <f t="shared" si="28"/>
        <v>11.273466696021629</v>
      </c>
    </row>
    <row r="220" spans="1:8" ht="15.75" hidden="1" customHeight="1" x14ac:dyDescent="0.25">
      <c r="A220" s="15" t="s">
        <v>51</v>
      </c>
      <c r="B220" s="11" t="s">
        <v>52</v>
      </c>
      <c r="C220" s="15"/>
      <c r="D220" s="16" t="s">
        <v>53</v>
      </c>
      <c r="E220" s="17">
        <v>0</v>
      </c>
      <c r="F220" s="20">
        <v>0</v>
      </c>
      <c r="G220" s="20">
        <f>E220</f>
        <v>0</v>
      </c>
      <c r="H220" s="20">
        <v>0</v>
      </c>
    </row>
    <row r="221" spans="1:8" ht="15.75" hidden="1" customHeight="1" x14ac:dyDescent="0.25">
      <c r="A221" s="15" t="s">
        <v>51</v>
      </c>
      <c r="B221" s="11" t="s">
        <v>52</v>
      </c>
      <c r="C221" s="15"/>
      <c r="D221" s="16" t="s">
        <v>15</v>
      </c>
      <c r="E221" s="17">
        <v>2</v>
      </c>
      <c r="F221" s="18">
        <f>E221* 0.981163265034061</f>
        <v>1.9623265300681221</v>
      </c>
      <c r="G221" s="18">
        <f>E221* 0.0027595216829083</f>
        <v>5.5190433658165996E-3</v>
      </c>
      <c r="H221" s="18">
        <f>E221* 0.0160372202151627</f>
        <v>3.2074440430325403E-2</v>
      </c>
    </row>
    <row r="222" spans="1:8" ht="15.75" hidden="1" customHeight="1" x14ac:dyDescent="0.25">
      <c r="A222" s="15" t="s">
        <v>51</v>
      </c>
      <c r="B222" s="11" t="s">
        <v>52</v>
      </c>
      <c r="C222" s="15"/>
      <c r="D222" s="16" t="s">
        <v>16</v>
      </c>
      <c r="E222" s="17">
        <v>0</v>
      </c>
      <c r="F222" s="18">
        <f>E222* 0.142974979378609</f>
        <v>0</v>
      </c>
      <c r="G222" s="18">
        <f>E222* 0.852350838603245</f>
        <v>0</v>
      </c>
      <c r="H222" s="18">
        <f>E222* 0.00467418201814682</f>
        <v>0</v>
      </c>
    </row>
    <row r="223" spans="1:8" ht="15.75" hidden="1" customHeight="1" x14ac:dyDescent="0.25">
      <c r="A223" s="15" t="s">
        <v>51</v>
      </c>
      <c r="B223" s="11" t="s">
        <v>52</v>
      </c>
      <c r="C223" s="15"/>
      <c r="D223" s="16" t="s">
        <v>11</v>
      </c>
      <c r="E223" s="17">
        <v>7</v>
      </c>
      <c r="F223" s="18">
        <f>E223* 0.178797409805735</f>
        <v>1.251581868640145</v>
      </c>
      <c r="G223" s="18">
        <f>E223* 0.819278445883441</f>
        <v>5.7349491211840871</v>
      </c>
      <c r="H223" s="18">
        <f>E223* 0.00181313598519889</f>
        <v>1.2691951896392229E-2</v>
      </c>
    </row>
    <row r="224" spans="1:8" ht="15.75" hidden="1" customHeight="1" x14ac:dyDescent="0.25">
      <c r="A224" s="15" t="s">
        <v>51</v>
      </c>
      <c r="B224" s="11" t="s">
        <v>52</v>
      </c>
      <c r="C224" s="15"/>
      <c r="D224" s="16" t="s">
        <v>17</v>
      </c>
      <c r="E224" s="17">
        <v>15</v>
      </c>
      <c r="F224" s="18">
        <f>E224* 0.916446662218225</f>
        <v>13.746699933273375</v>
      </c>
      <c r="G224" s="18">
        <f>E224* 0.0292436682236212</f>
        <v>0.438655023354318</v>
      </c>
      <c r="H224" s="18">
        <f>E224* 0.0543096695581537</f>
        <v>0.81464504337230548</v>
      </c>
    </row>
    <row r="225" spans="1:8" ht="15.75" hidden="1" customHeight="1" x14ac:dyDescent="0.25">
      <c r="A225" s="15" t="s">
        <v>51</v>
      </c>
      <c r="B225" s="11" t="s">
        <v>52</v>
      </c>
      <c r="C225" s="15"/>
      <c r="D225" s="16" t="s">
        <v>31</v>
      </c>
      <c r="E225" s="17">
        <v>3</v>
      </c>
      <c r="F225" s="18">
        <f>E225* 0.957442434210526</f>
        <v>2.8723273026315779</v>
      </c>
      <c r="G225" s="18">
        <f>E225* 0.0158305921052632</f>
        <v>4.7491776315789595E-2</v>
      </c>
      <c r="H225" s="18">
        <f>E225* 0.0263157894736842</f>
        <v>7.8947368421052599E-2</v>
      </c>
    </row>
    <row r="226" spans="1:8" ht="15.75" hidden="1" customHeight="1" x14ac:dyDescent="0.25">
      <c r="A226" s="15" t="s">
        <v>51</v>
      </c>
      <c r="B226" s="11" t="s">
        <v>52</v>
      </c>
      <c r="C226" s="15"/>
      <c r="D226" s="16" t="s">
        <v>18</v>
      </c>
      <c r="E226" s="17">
        <v>22</v>
      </c>
      <c r="F226" s="18">
        <f>E226* 0.983388008654987</f>
        <v>21.634536190409715</v>
      </c>
      <c r="G226" s="18">
        <f>E226* 0.0133314720457877</f>
        <v>0.2932923850073294</v>
      </c>
      <c r="H226" s="18">
        <f>E226* 0.003210721016263</f>
        <v>7.0635862357786003E-2</v>
      </c>
    </row>
    <row r="227" spans="1:8" ht="15.75" hidden="1" customHeight="1" x14ac:dyDescent="0.25">
      <c r="A227" s="15" t="s">
        <v>51</v>
      </c>
      <c r="B227" s="11" t="s">
        <v>52</v>
      </c>
      <c r="C227" s="15"/>
      <c r="D227" s="16" t="s">
        <v>19</v>
      </c>
      <c r="E227" s="17">
        <v>0</v>
      </c>
      <c r="F227" s="18">
        <f>E227* 0.511826182618262</f>
        <v>0</v>
      </c>
      <c r="G227" s="18">
        <f>E227* 0.476622662266227</f>
        <v>0</v>
      </c>
      <c r="H227" s="18">
        <f>E227* 0.0115511551155116</f>
        <v>0</v>
      </c>
    </row>
    <row r="228" spans="1:8" ht="15.75" hidden="1" customHeight="1" x14ac:dyDescent="0.25">
      <c r="A228" s="15" t="s">
        <v>51</v>
      </c>
      <c r="B228" s="11" t="s">
        <v>52</v>
      </c>
      <c r="C228" s="15"/>
      <c r="D228" s="16" t="s">
        <v>20</v>
      </c>
      <c r="E228" s="17">
        <v>85</v>
      </c>
      <c r="F228" s="18">
        <f>E228* 0.814615536880747</f>
        <v>69.242320634863489</v>
      </c>
      <c r="G228" s="18">
        <f>E228* 0.0763167839340663</f>
        <v>6.4869266343956351</v>
      </c>
      <c r="H228" s="18">
        <f>E228* 0.109013694193014</f>
        <v>9.266164006406191</v>
      </c>
    </row>
    <row r="229" spans="1:8" ht="15.75" hidden="1" customHeight="1" x14ac:dyDescent="0.25">
      <c r="A229" s="15" t="s">
        <v>51</v>
      </c>
      <c r="B229" s="11" t="s">
        <v>52</v>
      </c>
      <c r="C229" s="15"/>
      <c r="D229" s="16" t="s">
        <v>21</v>
      </c>
      <c r="E229" s="17">
        <v>0</v>
      </c>
      <c r="F229" s="18">
        <f>E229* 0.999722052365334</f>
        <v>0</v>
      </c>
      <c r="G229" s="18">
        <v>0</v>
      </c>
      <c r="H229" s="18">
        <f>E229* 0.000277947634665629</f>
        <v>0</v>
      </c>
    </row>
    <row r="230" spans="1:8" ht="15.75" hidden="1" customHeight="1" x14ac:dyDescent="0.25">
      <c r="A230" s="15" t="s">
        <v>51</v>
      </c>
      <c r="B230" s="11" t="s">
        <v>52</v>
      </c>
      <c r="C230" s="15"/>
      <c r="D230" s="16" t="s">
        <v>37</v>
      </c>
      <c r="E230" s="17">
        <v>0</v>
      </c>
      <c r="F230" s="18">
        <f>E230* 0.0555555555555556</f>
        <v>0</v>
      </c>
      <c r="G230" s="18">
        <f>E230* 0.944444444444444</f>
        <v>0</v>
      </c>
      <c r="H230" s="20">
        <v>0</v>
      </c>
    </row>
    <row r="231" spans="1:8" ht="15.75" hidden="1" customHeight="1" x14ac:dyDescent="0.25">
      <c r="A231" s="15" t="s">
        <v>51</v>
      </c>
      <c r="B231" s="11" t="s">
        <v>52</v>
      </c>
      <c r="C231" s="15"/>
      <c r="D231" s="16" t="s">
        <v>28</v>
      </c>
      <c r="E231" s="17">
        <v>5</v>
      </c>
      <c r="F231" s="18">
        <f>E231* 0.00115651503469545</f>
        <v>5.7825751734772498E-3</v>
      </c>
      <c r="G231" s="18">
        <f>E231* 0.998843484965305</f>
        <v>4.994217424826525</v>
      </c>
      <c r="H231" s="20">
        <v>0</v>
      </c>
    </row>
    <row r="232" spans="1:8" ht="15.75" hidden="1" customHeight="1" x14ac:dyDescent="0.25">
      <c r="A232" s="15" t="s">
        <v>51</v>
      </c>
      <c r="B232" s="11" t="s">
        <v>52</v>
      </c>
      <c r="C232" s="15"/>
      <c r="D232" s="16" t="s">
        <v>12</v>
      </c>
      <c r="E232" s="17">
        <v>25</v>
      </c>
      <c r="F232" s="18">
        <f>E232* 0.924936238310357</f>
        <v>23.123405957758926</v>
      </c>
      <c r="G232" s="18">
        <f>E232* 0.0351064361799663</f>
        <v>0.87766090449915746</v>
      </c>
      <c r="H232" s="18">
        <f>E232* 0.039932320925503</f>
        <v>0.99830802313757505</v>
      </c>
    </row>
    <row r="233" spans="1:8" ht="15.75" hidden="1" customHeight="1" x14ac:dyDescent="0.25">
      <c r="A233" s="15" t="s">
        <v>51</v>
      </c>
      <c r="B233" s="8"/>
      <c r="C233" s="8"/>
      <c r="D233" s="9"/>
      <c r="E233" s="19"/>
    </row>
    <row r="234" spans="1:8" ht="15.75" hidden="1" customHeight="1" x14ac:dyDescent="0.25">
      <c r="A234" s="15" t="s">
        <v>51</v>
      </c>
      <c r="B234" s="11" t="s">
        <v>54</v>
      </c>
      <c r="C234" s="12" t="str">
        <f>B234&amp;"_"&amp;A234</f>
        <v>Achocalla_La Paz</v>
      </c>
      <c r="E234" s="22">
        <v>1965</v>
      </c>
      <c r="F234" s="14">
        <f t="shared" ref="F234:H234" si="29">SUM(F235:F249)</f>
        <v>1501.7873138510124</v>
      </c>
      <c r="G234" s="14">
        <f t="shared" si="29"/>
        <v>402.25938342033578</v>
      </c>
      <c r="H234" s="14">
        <f t="shared" si="29"/>
        <v>60.875551104746066</v>
      </c>
    </row>
    <row r="235" spans="1:8" ht="15.75" hidden="1" customHeight="1" x14ac:dyDescent="0.25">
      <c r="A235" s="15" t="s">
        <v>51</v>
      </c>
      <c r="B235" s="11" t="s">
        <v>54</v>
      </c>
      <c r="C235" s="15"/>
      <c r="D235" s="16" t="s">
        <v>53</v>
      </c>
      <c r="E235" s="17">
        <v>0</v>
      </c>
      <c r="F235" s="20">
        <v>0</v>
      </c>
      <c r="G235" s="20">
        <f>E235</f>
        <v>0</v>
      </c>
      <c r="H235" s="20">
        <v>0</v>
      </c>
    </row>
    <row r="236" spans="1:8" ht="15.75" hidden="1" customHeight="1" x14ac:dyDescent="0.25">
      <c r="A236" s="15" t="s">
        <v>51</v>
      </c>
      <c r="B236" s="11" t="s">
        <v>54</v>
      </c>
      <c r="C236" s="15"/>
      <c r="D236" s="16" t="s">
        <v>15</v>
      </c>
      <c r="E236" s="17">
        <v>248</v>
      </c>
      <c r="F236" s="18">
        <f>E236* 0.981163265034061</f>
        <v>243.32848972844712</v>
      </c>
      <c r="G236" s="18">
        <f>E236* 0.0027595216829083</f>
        <v>0.68436137736125835</v>
      </c>
      <c r="H236" s="18">
        <f>E236* 0.0160372202151627</f>
        <v>3.9772306133603501</v>
      </c>
    </row>
    <row r="237" spans="1:8" ht="15.75" hidden="1" customHeight="1" x14ac:dyDescent="0.25">
      <c r="A237" s="15" t="s">
        <v>51</v>
      </c>
      <c r="B237" s="11" t="s">
        <v>54</v>
      </c>
      <c r="C237" s="15"/>
      <c r="D237" s="16" t="s">
        <v>16</v>
      </c>
      <c r="E237" s="17">
        <v>30</v>
      </c>
      <c r="F237" s="18">
        <f>E237* 0.142974979378609</f>
        <v>4.2892493813582702</v>
      </c>
      <c r="G237" s="18">
        <f>E237* 0.852350838603245</f>
        <v>25.57052515809735</v>
      </c>
      <c r="H237" s="18">
        <f>E237* 0.00467418201814682</f>
        <v>0.1402254605444046</v>
      </c>
    </row>
    <row r="238" spans="1:8" ht="15.75" hidden="1" customHeight="1" x14ac:dyDescent="0.25">
      <c r="A238" s="15" t="s">
        <v>51</v>
      </c>
      <c r="B238" s="11" t="s">
        <v>54</v>
      </c>
      <c r="C238" s="15"/>
      <c r="D238" s="16" t="s">
        <v>11</v>
      </c>
      <c r="E238" s="17">
        <v>320</v>
      </c>
      <c r="F238" s="18">
        <f>E238* 0.178797409805735</f>
        <v>57.215171137835199</v>
      </c>
      <c r="G238" s="18">
        <f>E238* 0.819278445883441</f>
        <v>262.16910268270112</v>
      </c>
      <c r="H238" s="18">
        <f>E238* 0.00181313598519889</f>
        <v>0.58020351526364478</v>
      </c>
    </row>
    <row r="239" spans="1:8" ht="15.75" hidden="1" customHeight="1" x14ac:dyDescent="0.25">
      <c r="A239" s="15" t="s">
        <v>51</v>
      </c>
      <c r="B239" s="11" t="s">
        <v>54</v>
      </c>
      <c r="C239" s="15"/>
      <c r="D239" s="16" t="s">
        <v>17</v>
      </c>
      <c r="E239" s="17">
        <v>158</v>
      </c>
      <c r="F239" s="18">
        <f>E239* 0.916446662218225</f>
        <v>144.79857263047955</v>
      </c>
      <c r="G239" s="18">
        <f>E239* 0.0292436682236212</f>
        <v>4.6204995793321491</v>
      </c>
      <c r="H239" s="18">
        <f>E239* 0.0543096695581537</f>
        <v>8.5809277901882854</v>
      </c>
    </row>
    <row r="240" spans="1:8" ht="15.75" hidden="1" customHeight="1" x14ac:dyDescent="0.25">
      <c r="A240" s="15" t="s">
        <v>51</v>
      </c>
      <c r="B240" s="11" t="s">
        <v>54</v>
      </c>
      <c r="C240" s="15"/>
      <c r="D240" s="16" t="s">
        <v>31</v>
      </c>
      <c r="E240" s="17">
        <v>5</v>
      </c>
      <c r="F240" s="18">
        <f>E240* 0.957442434210526</f>
        <v>4.7872121710526301</v>
      </c>
      <c r="G240" s="18">
        <f>E240* 0.0158305921052632</f>
        <v>7.9152960526315985E-2</v>
      </c>
      <c r="H240" s="18">
        <f>E240* 0.0263157894736842</f>
        <v>0.13157894736842099</v>
      </c>
    </row>
    <row r="241" spans="1:8" ht="15.75" hidden="1" customHeight="1" x14ac:dyDescent="0.25">
      <c r="A241" s="15" t="s">
        <v>51</v>
      </c>
      <c r="B241" s="11" t="s">
        <v>54</v>
      </c>
      <c r="C241" s="15"/>
      <c r="D241" s="16" t="s">
        <v>18</v>
      </c>
      <c r="E241" s="17">
        <v>54</v>
      </c>
      <c r="F241" s="18">
        <f>E241* 0.983388008654987</f>
        <v>53.102952467369299</v>
      </c>
      <c r="G241" s="18">
        <f>E241* 0.0133314720457877</f>
        <v>0.71989949047253587</v>
      </c>
      <c r="H241" s="18">
        <f>E241* 0.003210721016263</f>
        <v>0.17337893487820202</v>
      </c>
    </row>
    <row r="242" spans="1:8" ht="15.75" hidden="1" customHeight="1" x14ac:dyDescent="0.25">
      <c r="A242" s="15" t="s">
        <v>51</v>
      </c>
      <c r="B242" s="11" t="s">
        <v>54</v>
      </c>
      <c r="C242" s="15"/>
      <c r="D242" s="16" t="s">
        <v>55</v>
      </c>
      <c r="E242" s="17">
        <v>0</v>
      </c>
      <c r="F242" s="20">
        <v>0</v>
      </c>
      <c r="G242" s="20">
        <f>E242</f>
        <v>0</v>
      </c>
      <c r="H242" s="20">
        <v>0</v>
      </c>
    </row>
    <row r="243" spans="1:8" ht="15.75" hidden="1" customHeight="1" x14ac:dyDescent="0.25">
      <c r="A243" s="15" t="s">
        <v>51</v>
      </c>
      <c r="B243" s="11" t="s">
        <v>54</v>
      </c>
      <c r="C243" s="15"/>
      <c r="D243" s="16" t="s">
        <v>19</v>
      </c>
      <c r="E243" s="17">
        <v>13</v>
      </c>
      <c r="F243" s="18">
        <f>E243* 0.511826182618262</f>
        <v>6.6537403740374055</v>
      </c>
      <c r="G243" s="18">
        <f>E243* 0.476622662266227</f>
        <v>6.1960946094609515</v>
      </c>
      <c r="H243" s="18">
        <f>E243* 0.0115511551155116</f>
        <v>0.15016501650165082</v>
      </c>
    </row>
    <row r="244" spans="1:8" ht="15.75" hidden="1" customHeight="1" x14ac:dyDescent="0.25">
      <c r="A244" s="15" t="s">
        <v>51</v>
      </c>
      <c r="B244" s="11" t="s">
        <v>54</v>
      </c>
      <c r="C244" s="15"/>
      <c r="D244" s="16" t="s">
        <v>20</v>
      </c>
      <c r="E244" s="17">
        <v>209</v>
      </c>
      <c r="F244" s="18">
        <f>E244* 0.814615536880747</f>
        <v>170.25464720807611</v>
      </c>
      <c r="G244" s="18">
        <f>E244* 0.0763167839340663</f>
        <v>15.950207842219855</v>
      </c>
      <c r="H244" s="18">
        <f>E244* 0.109013694193014</f>
        <v>22.783862086339926</v>
      </c>
    </row>
    <row r="245" spans="1:8" ht="15.75" hidden="1" customHeight="1" x14ac:dyDescent="0.25">
      <c r="A245" s="15" t="s">
        <v>51</v>
      </c>
      <c r="B245" s="11" t="s">
        <v>54</v>
      </c>
      <c r="C245" s="15"/>
      <c r="D245" s="16" t="s">
        <v>21</v>
      </c>
      <c r="E245" s="17">
        <v>241</v>
      </c>
      <c r="F245" s="18">
        <f>E245* 0.999722052365334</f>
        <v>240.9330146200455</v>
      </c>
      <c r="G245" s="18">
        <v>0</v>
      </c>
      <c r="H245" s="18">
        <f>E245* 0.000277947634665629</f>
        <v>6.6985379954416585E-2</v>
      </c>
    </row>
    <row r="246" spans="1:8" ht="15.75" hidden="1" customHeight="1" x14ac:dyDescent="0.25">
      <c r="A246" s="15" t="s">
        <v>51</v>
      </c>
      <c r="B246" s="11" t="s">
        <v>54</v>
      </c>
      <c r="C246" s="15"/>
      <c r="D246" s="16" t="s">
        <v>36</v>
      </c>
      <c r="E246" s="17">
        <v>14</v>
      </c>
      <c r="F246" s="18">
        <f>E246* 0.999132697311362</f>
        <v>13.987857762359068</v>
      </c>
      <c r="G246" s="20">
        <v>0</v>
      </c>
      <c r="H246" s="18">
        <f>E246* 0.000867302688638335</f>
        <v>1.2142237640936689E-2</v>
      </c>
    </row>
    <row r="247" spans="1:8" ht="15.75" hidden="1" customHeight="1" x14ac:dyDescent="0.25">
      <c r="A247" s="15" t="s">
        <v>51</v>
      </c>
      <c r="B247" s="11" t="s">
        <v>54</v>
      </c>
      <c r="C247" s="15"/>
      <c r="D247" s="16" t="s">
        <v>37</v>
      </c>
      <c r="E247" s="17">
        <v>0</v>
      </c>
      <c r="F247" s="18">
        <f>E247* 0.0555555555555556</f>
        <v>0</v>
      </c>
      <c r="G247" s="18">
        <f>E247* 0.944444444444444</f>
        <v>0</v>
      </c>
      <c r="H247" s="20">
        <v>0</v>
      </c>
    </row>
    <row r="248" spans="1:8" ht="15.75" hidden="1" customHeight="1" x14ac:dyDescent="0.25">
      <c r="A248" s="15" t="s">
        <v>51</v>
      </c>
      <c r="B248" s="11" t="s">
        <v>54</v>
      </c>
      <c r="C248" s="15"/>
      <c r="D248" s="16" t="s">
        <v>28</v>
      </c>
      <c r="E248" s="17">
        <v>65</v>
      </c>
      <c r="F248" s="18">
        <f>E248* 0.00115651503469545</f>
        <v>7.5173477255204249E-2</v>
      </c>
      <c r="G248" s="18">
        <f>E248* 0.998843484965305</f>
        <v>64.924826522744823</v>
      </c>
      <c r="H248" s="20">
        <v>0</v>
      </c>
    </row>
    <row r="249" spans="1:8" ht="15.75" hidden="1" customHeight="1" x14ac:dyDescent="0.25">
      <c r="A249" s="15" t="s">
        <v>51</v>
      </c>
      <c r="B249" s="11" t="s">
        <v>54</v>
      </c>
      <c r="C249" s="15"/>
      <c r="D249" s="16" t="s">
        <v>12</v>
      </c>
      <c r="E249" s="17">
        <v>608</v>
      </c>
      <c r="F249" s="18">
        <f>E249* 0.924936238310357</f>
        <v>562.36123289269699</v>
      </c>
      <c r="G249" s="18">
        <f>E249* 0.0351064361799663</f>
        <v>21.344713197419509</v>
      </c>
      <c r="H249" s="18">
        <f>E249* 0.039932320925503</f>
        <v>24.278851122705824</v>
      </c>
    </row>
    <row r="250" spans="1:8" ht="15.75" hidden="1" customHeight="1" x14ac:dyDescent="0.25">
      <c r="A250" s="15" t="s">
        <v>51</v>
      </c>
      <c r="B250" s="8"/>
      <c r="C250" s="8"/>
      <c r="D250" s="9"/>
      <c r="E250" s="19"/>
    </row>
    <row r="251" spans="1:8" ht="15.75" hidden="1" customHeight="1" x14ac:dyDescent="0.25">
      <c r="A251" s="15" t="s">
        <v>51</v>
      </c>
      <c r="B251" s="11" t="s">
        <v>56</v>
      </c>
      <c r="C251" s="12" t="str">
        <f>B251&amp;"_"&amp;A251</f>
        <v>Alto Beni_La Paz</v>
      </c>
      <c r="E251" s="13">
        <v>321</v>
      </c>
      <c r="F251" s="14">
        <f t="shared" ref="F251:H251" si="30">SUM(F252:F257)</f>
        <v>298.78536350634829</v>
      </c>
      <c r="G251" s="14">
        <f t="shared" si="30"/>
        <v>11.199222855102612</v>
      </c>
      <c r="H251" s="14">
        <f t="shared" si="30"/>
        <v>11.0082650951951</v>
      </c>
    </row>
    <row r="252" spans="1:8" ht="15.75" hidden="1" customHeight="1" x14ac:dyDescent="0.25">
      <c r="A252" s="15" t="s">
        <v>51</v>
      </c>
      <c r="B252" s="11" t="s">
        <v>56</v>
      </c>
      <c r="C252" s="15"/>
      <c r="D252" s="16" t="s">
        <v>11</v>
      </c>
      <c r="E252" s="17">
        <v>2</v>
      </c>
      <c r="F252" s="18">
        <f>E252* 0.178797409805735</f>
        <v>0.35759481961146999</v>
      </c>
      <c r="G252" s="18">
        <f>E252* 0.819278445883441</f>
        <v>1.638556891766882</v>
      </c>
      <c r="H252" s="18">
        <f>E252* 0.00181313598519889</f>
        <v>3.6262719703977798E-3</v>
      </c>
    </row>
    <row r="253" spans="1:8" ht="15.75" hidden="1" customHeight="1" x14ac:dyDescent="0.25">
      <c r="A253" s="15" t="s">
        <v>51</v>
      </c>
      <c r="B253" s="11" t="s">
        <v>56</v>
      </c>
      <c r="C253" s="15"/>
      <c r="D253" s="16" t="s">
        <v>17</v>
      </c>
      <c r="E253" s="17">
        <v>3</v>
      </c>
      <c r="F253" s="18">
        <f>E253* 0.916446662218225</f>
        <v>2.7493399866546753</v>
      </c>
      <c r="G253" s="18">
        <f>E253* 0.0292436682236212</f>
        <v>8.7731004670863588E-2</v>
      </c>
      <c r="H253" s="18">
        <f>E253* 0.0543096695581537</f>
        <v>0.16292900867446111</v>
      </c>
    </row>
    <row r="254" spans="1:8" ht="15.75" hidden="1" customHeight="1" x14ac:dyDescent="0.25">
      <c r="A254" s="15" t="s">
        <v>51</v>
      </c>
      <c r="B254" s="11" t="s">
        <v>56</v>
      </c>
      <c r="C254" s="15"/>
      <c r="D254" s="16" t="s">
        <v>18</v>
      </c>
      <c r="E254" s="17">
        <v>3</v>
      </c>
      <c r="F254" s="18">
        <f>E254* 0.983388008654987</f>
        <v>2.9501640259649609</v>
      </c>
      <c r="G254" s="18">
        <f>E254* 0.0133314720457877</f>
        <v>3.9994416137363098E-2</v>
      </c>
      <c r="H254" s="18">
        <f>E254* 0.003210721016263</f>
        <v>9.6321630487889998E-3</v>
      </c>
    </row>
    <row r="255" spans="1:8" ht="15.75" hidden="1" customHeight="1" x14ac:dyDescent="0.25">
      <c r="A255" s="15" t="s">
        <v>51</v>
      </c>
      <c r="B255" s="11" t="s">
        <v>56</v>
      </c>
      <c r="C255" s="15"/>
      <c r="D255" s="16" t="s">
        <v>20</v>
      </c>
      <c r="E255" s="17">
        <v>4</v>
      </c>
      <c r="F255" s="18">
        <f>E255* 0.814615536880747</f>
        <v>3.2584621475229878</v>
      </c>
      <c r="G255" s="18">
        <f>E255* 0.0763167839340663</f>
        <v>0.30526713573626518</v>
      </c>
      <c r="H255" s="18">
        <f>E255* 0.109013694193014</f>
        <v>0.43605477677205601</v>
      </c>
    </row>
    <row r="256" spans="1:8" ht="15.75" hidden="1" customHeight="1" x14ac:dyDescent="0.25">
      <c r="A256" s="15" t="s">
        <v>51</v>
      </c>
      <c r="B256" s="11" t="s">
        <v>56</v>
      </c>
      <c r="C256" s="15"/>
      <c r="D256" s="16" t="s">
        <v>21</v>
      </c>
      <c r="E256" s="17">
        <v>49</v>
      </c>
      <c r="F256" s="18">
        <f>E256* 0.999722052365334</f>
        <v>48.986380565901364</v>
      </c>
      <c r="G256" s="18">
        <v>0</v>
      </c>
      <c r="H256" s="18">
        <f>E256* 0.000277947634665629</f>
        <v>1.361943409861582E-2</v>
      </c>
    </row>
    <row r="257" spans="1:8" ht="15.75" hidden="1" customHeight="1" x14ac:dyDescent="0.25">
      <c r="A257" s="15" t="s">
        <v>51</v>
      </c>
      <c r="B257" s="11" t="s">
        <v>56</v>
      </c>
      <c r="C257" s="15"/>
      <c r="D257" s="16" t="s">
        <v>12</v>
      </c>
      <c r="E257" s="17">
        <v>260</v>
      </c>
      <c r="F257" s="18">
        <f>E257* 0.924936238310357</f>
        <v>240.48342196069282</v>
      </c>
      <c r="G257" s="18">
        <f>E257* 0.0351064361799663</f>
        <v>9.1276734067912368</v>
      </c>
      <c r="H257" s="18">
        <f>E257* 0.039932320925503</f>
        <v>10.38240344063078</v>
      </c>
    </row>
    <row r="258" spans="1:8" ht="15.75" hidden="1" customHeight="1" x14ac:dyDescent="0.25">
      <c r="A258" s="15" t="s">
        <v>51</v>
      </c>
      <c r="B258" s="8"/>
      <c r="C258" s="8"/>
      <c r="D258" s="9"/>
      <c r="E258" s="19"/>
    </row>
    <row r="259" spans="1:8" ht="15.75" hidden="1" customHeight="1" x14ac:dyDescent="0.25">
      <c r="A259" s="15" t="s">
        <v>51</v>
      </c>
      <c r="B259" s="11" t="s">
        <v>57</v>
      </c>
      <c r="C259" s="12" t="str">
        <f>B259&amp;"_"&amp;A259</f>
        <v>Ayata_La Paz</v>
      </c>
      <c r="E259" s="13">
        <v>0</v>
      </c>
      <c r="F259" s="14">
        <f t="shared" ref="F259:H259" si="31">SUM(F260)</f>
        <v>0</v>
      </c>
      <c r="G259" s="14">
        <f t="shared" si="31"/>
        <v>0</v>
      </c>
      <c r="H259" s="14">
        <f t="shared" si="31"/>
        <v>0</v>
      </c>
    </row>
    <row r="260" spans="1:8" ht="15.75" hidden="1" customHeight="1" x14ac:dyDescent="0.25">
      <c r="A260" s="15" t="s">
        <v>51</v>
      </c>
      <c r="B260" s="11" t="s">
        <v>57</v>
      </c>
      <c r="C260" s="15"/>
      <c r="D260" s="16" t="s">
        <v>12</v>
      </c>
      <c r="E260" s="17">
        <v>0</v>
      </c>
      <c r="F260" s="18">
        <f>E260* 0.924936238310357</f>
        <v>0</v>
      </c>
      <c r="G260" s="18">
        <f>E260* 0.0351064361799663</f>
        <v>0</v>
      </c>
      <c r="H260" s="18">
        <f>E260* 0.039932320925503</f>
        <v>0</v>
      </c>
    </row>
    <row r="261" spans="1:8" ht="15.75" hidden="1" customHeight="1" x14ac:dyDescent="0.25">
      <c r="A261" s="15" t="s">
        <v>51</v>
      </c>
      <c r="B261" s="8"/>
      <c r="C261" s="8"/>
      <c r="D261" s="9"/>
      <c r="E261" s="19"/>
    </row>
    <row r="262" spans="1:8" ht="15.75" hidden="1" customHeight="1" x14ac:dyDescent="0.25">
      <c r="A262" s="15" t="s">
        <v>51</v>
      </c>
      <c r="B262" s="11" t="s">
        <v>58</v>
      </c>
      <c r="C262" s="12" t="str">
        <f>B262&amp;"_"&amp;A262</f>
        <v>Ayo Ayo_La Paz</v>
      </c>
      <c r="E262" s="13">
        <v>1</v>
      </c>
      <c r="F262" s="14">
        <f t="shared" ref="F262:H262" si="32">SUM(F263:F268)</f>
        <v>0.178797409805735</v>
      </c>
      <c r="G262" s="14">
        <f t="shared" si="32"/>
        <v>0.81927844588344101</v>
      </c>
      <c r="H262" s="14">
        <f t="shared" si="32"/>
        <v>1.8131359851988899E-3</v>
      </c>
    </row>
    <row r="263" spans="1:8" ht="15.75" hidden="1" customHeight="1" x14ac:dyDescent="0.25">
      <c r="A263" s="15" t="s">
        <v>51</v>
      </c>
      <c r="B263" s="11" t="s">
        <v>58</v>
      </c>
      <c r="C263" s="15"/>
      <c r="D263" s="16" t="s">
        <v>53</v>
      </c>
      <c r="E263" s="17">
        <v>0</v>
      </c>
      <c r="F263" s="20">
        <v>0</v>
      </c>
      <c r="G263" s="20">
        <f>E263</f>
        <v>0</v>
      </c>
      <c r="H263" s="20">
        <v>0</v>
      </c>
    </row>
    <row r="264" spans="1:8" ht="15.75" hidden="1" customHeight="1" x14ac:dyDescent="0.25">
      <c r="A264" s="15" t="s">
        <v>51</v>
      </c>
      <c r="B264" s="11" t="s">
        <v>58</v>
      </c>
      <c r="C264" s="15"/>
      <c r="D264" s="16" t="s">
        <v>15</v>
      </c>
      <c r="E264" s="17">
        <v>0</v>
      </c>
      <c r="F264" s="18">
        <f>E264* 0.981163265034061</f>
        <v>0</v>
      </c>
      <c r="G264" s="18">
        <f>E264* 0.0027595216829083</f>
        <v>0</v>
      </c>
      <c r="H264" s="18">
        <f>E264* 0.0160372202151627</f>
        <v>0</v>
      </c>
    </row>
    <row r="265" spans="1:8" ht="15.75" hidden="1" customHeight="1" x14ac:dyDescent="0.25">
      <c r="A265" s="15" t="s">
        <v>51</v>
      </c>
      <c r="B265" s="11" t="s">
        <v>58</v>
      </c>
      <c r="C265" s="15"/>
      <c r="D265" s="16" t="s">
        <v>11</v>
      </c>
      <c r="E265" s="17">
        <v>1</v>
      </c>
      <c r="F265" s="18">
        <f>E265* 0.178797409805735</f>
        <v>0.178797409805735</v>
      </c>
      <c r="G265" s="18">
        <f>E265* 0.819278445883441</f>
        <v>0.81927844588344101</v>
      </c>
      <c r="H265" s="18">
        <f>E265* 0.00181313598519889</f>
        <v>1.8131359851988899E-3</v>
      </c>
    </row>
    <row r="266" spans="1:8" ht="15.75" hidden="1" customHeight="1" x14ac:dyDescent="0.25">
      <c r="A266" s="15" t="s">
        <v>51</v>
      </c>
      <c r="B266" s="11" t="s">
        <v>58</v>
      </c>
      <c r="C266" s="15"/>
      <c r="D266" s="16" t="s">
        <v>17</v>
      </c>
      <c r="E266" s="17">
        <v>0</v>
      </c>
      <c r="F266" s="18">
        <f>E266* 0.916446662218225</f>
        <v>0</v>
      </c>
      <c r="G266" s="18">
        <f>E266* 0.0292436682236212</f>
        <v>0</v>
      </c>
      <c r="H266" s="18">
        <f>E266* 0.0543096695581537</f>
        <v>0</v>
      </c>
    </row>
    <row r="267" spans="1:8" ht="15.75" hidden="1" customHeight="1" x14ac:dyDescent="0.25">
      <c r="A267" s="15" t="s">
        <v>51</v>
      </c>
      <c r="B267" s="11" t="s">
        <v>58</v>
      </c>
      <c r="C267" s="15"/>
      <c r="D267" s="16" t="s">
        <v>31</v>
      </c>
      <c r="E267" s="17">
        <v>0</v>
      </c>
      <c r="F267" s="18">
        <f>E267* 0.957442434210526</f>
        <v>0</v>
      </c>
      <c r="G267" s="18">
        <f>E267* 0.0158305921052632</f>
        <v>0</v>
      </c>
      <c r="H267" s="18">
        <f>E267* 0.0263157894736842</f>
        <v>0</v>
      </c>
    </row>
    <row r="268" spans="1:8" ht="15.75" hidden="1" customHeight="1" x14ac:dyDescent="0.25">
      <c r="A268" s="15" t="s">
        <v>51</v>
      </c>
      <c r="B268" s="11" t="s">
        <v>58</v>
      </c>
      <c r="C268" s="15"/>
      <c r="D268" s="16" t="s">
        <v>12</v>
      </c>
      <c r="E268" s="17">
        <v>0</v>
      </c>
      <c r="F268" s="18">
        <f>E268* 0.924936238310357</f>
        <v>0</v>
      </c>
      <c r="G268" s="18">
        <f>E268* 0.0351064361799663</f>
        <v>0</v>
      </c>
      <c r="H268" s="18">
        <f>E268* 0.039932320925503</f>
        <v>0</v>
      </c>
    </row>
    <row r="269" spans="1:8" ht="15.75" hidden="1" customHeight="1" x14ac:dyDescent="0.25">
      <c r="A269" s="15" t="s">
        <v>51</v>
      </c>
      <c r="B269" s="8"/>
      <c r="C269" s="8"/>
      <c r="D269" s="9"/>
      <c r="E269" s="19"/>
    </row>
    <row r="270" spans="1:8" ht="15.75" hidden="1" customHeight="1" x14ac:dyDescent="0.25">
      <c r="A270" s="15" t="s">
        <v>51</v>
      </c>
      <c r="B270" s="11" t="s">
        <v>59</v>
      </c>
      <c r="C270" s="12" t="str">
        <f>B270&amp;"_"&amp;A270</f>
        <v>Batallas_La Paz</v>
      </c>
      <c r="E270" s="13">
        <v>4</v>
      </c>
      <c r="F270" s="14">
        <f t="shared" ref="F270:H270" si="33">SUM(F271:F278)</f>
        <v>2.0613241643754479</v>
      </c>
      <c r="G270" s="14">
        <f t="shared" si="33"/>
        <v>1.7830525046007186</v>
      </c>
      <c r="H270" s="14">
        <f t="shared" si="33"/>
        <v>0.15543333312186269</v>
      </c>
    </row>
    <row r="271" spans="1:8" ht="15.75" hidden="1" customHeight="1" x14ac:dyDescent="0.25">
      <c r="A271" s="15" t="s">
        <v>51</v>
      </c>
      <c r="B271" s="11" t="s">
        <v>59</v>
      </c>
      <c r="C271" s="15"/>
      <c r="D271" s="16" t="s">
        <v>53</v>
      </c>
      <c r="E271" s="17">
        <v>0</v>
      </c>
      <c r="F271" s="20">
        <v>0</v>
      </c>
      <c r="G271" s="20">
        <f>E271</f>
        <v>0</v>
      </c>
      <c r="H271" s="20">
        <v>0</v>
      </c>
    </row>
    <row r="272" spans="1:8" ht="15.75" hidden="1" customHeight="1" x14ac:dyDescent="0.25">
      <c r="A272" s="15" t="s">
        <v>51</v>
      </c>
      <c r="B272" s="11" t="s">
        <v>59</v>
      </c>
      <c r="C272" s="15"/>
      <c r="D272" s="16" t="s">
        <v>16</v>
      </c>
      <c r="E272" s="17">
        <v>1</v>
      </c>
      <c r="F272" s="18">
        <f>E272* 0.142974979378609</f>
        <v>0.14297497937860901</v>
      </c>
      <c r="G272" s="18">
        <f>E272* 0.852350838603245</f>
        <v>0.85235083860324501</v>
      </c>
      <c r="H272" s="18">
        <f>E272* 0.00467418201814682</f>
        <v>4.6741820181468198E-3</v>
      </c>
    </row>
    <row r="273" spans="1:8" ht="15.75" hidden="1" customHeight="1" x14ac:dyDescent="0.25">
      <c r="A273" s="15" t="s">
        <v>51</v>
      </c>
      <c r="B273" s="11" t="s">
        <v>59</v>
      </c>
      <c r="C273" s="15"/>
      <c r="D273" s="16" t="s">
        <v>11</v>
      </c>
      <c r="E273" s="17">
        <v>1</v>
      </c>
      <c r="F273" s="18">
        <f>E273* 0.178797409805735</f>
        <v>0.178797409805735</v>
      </c>
      <c r="G273" s="18">
        <f>E273* 0.819278445883441</f>
        <v>0.81927844588344101</v>
      </c>
      <c r="H273" s="18">
        <f>E273* 0.00181313598519889</f>
        <v>1.8131359851988899E-3</v>
      </c>
    </row>
    <row r="274" spans="1:8" ht="15.75" hidden="1" customHeight="1" x14ac:dyDescent="0.25">
      <c r="A274" s="15" t="s">
        <v>51</v>
      </c>
      <c r="B274" s="11" t="s">
        <v>59</v>
      </c>
      <c r="C274" s="15"/>
      <c r="D274" s="16" t="s">
        <v>17</v>
      </c>
      <c r="E274" s="17">
        <v>0</v>
      </c>
      <c r="F274" s="18">
        <f>E274* 0.916446662218225</f>
        <v>0</v>
      </c>
      <c r="G274" s="18">
        <f>E274* 0.0292436682236212</f>
        <v>0</v>
      </c>
      <c r="H274" s="18">
        <f>E274* 0.0543096695581537</f>
        <v>0</v>
      </c>
    </row>
    <row r="275" spans="1:8" ht="15.75" hidden="1" customHeight="1" x14ac:dyDescent="0.25">
      <c r="A275" s="15" t="s">
        <v>51</v>
      </c>
      <c r="B275" s="11" t="s">
        <v>59</v>
      </c>
      <c r="C275" s="15"/>
      <c r="D275" s="16" t="s">
        <v>18</v>
      </c>
      <c r="E275" s="17">
        <v>0</v>
      </c>
      <c r="F275" s="18">
        <f>E275* 0.983388008654987</f>
        <v>0</v>
      </c>
      <c r="G275" s="18">
        <f>E275* 0.0133314720457877</f>
        <v>0</v>
      </c>
      <c r="H275" s="18">
        <f>E275* 0.003210721016263</f>
        <v>0</v>
      </c>
    </row>
    <row r="276" spans="1:8" ht="15.75" hidden="1" customHeight="1" x14ac:dyDescent="0.25">
      <c r="A276" s="15" t="s">
        <v>51</v>
      </c>
      <c r="B276" s="11" t="s">
        <v>59</v>
      </c>
      <c r="C276" s="15"/>
      <c r="D276" s="16" t="s">
        <v>20</v>
      </c>
      <c r="E276" s="17">
        <v>1</v>
      </c>
      <c r="F276" s="18">
        <f>E276* 0.814615536880747</f>
        <v>0.81461553688074695</v>
      </c>
      <c r="G276" s="18">
        <f>E276* 0.0763167839340663</f>
        <v>7.6316783934066296E-2</v>
      </c>
      <c r="H276" s="18">
        <f>E276* 0.109013694193014</f>
        <v>0.109013694193014</v>
      </c>
    </row>
    <row r="277" spans="1:8" ht="15.75" hidden="1" customHeight="1" x14ac:dyDescent="0.25">
      <c r="A277" s="15" t="s">
        <v>51</v>
      </c>
      <c r="B277" s="11" t="s">
        <v>59</v>
      </c>
      <c r="C277" s="15"/>
      <c r="D277" s="16" t="s">
        <v>21</v>
      </c>
      <c r="E277" s="17">
        <v>0</v>
      </c>
      <c r="F277" s="18">
        <f>E277* 0.999722052365334</f>
        <v>0</v>
      </c>
      <c r="G277" s="18">
        <v>0</v>
      </c>
      <c r="H277" s="18">
        <f>E277* 0.000277947634665629</f>
        <v>0</v>
      </c>
    </row>
    <row r="278" spans="1:8" ht="15.75" hidden="1" customHeight="1" x14ac:dyDescent="0.25">
      <c r="A278" s="15" t="s">
        <v>51</v>
      </c>
      <c r="B278" s="11" t="s">
        <v>59</v>
      </c>
      <c r="C278" s="15"/>
      <c r="D278" s="16" t="s">
        <v>12</v>
      </c>
      <c r="E278" s="17">
        <v>1</v>
      </c>
      <c r="F278" s="18">
        <f>E278* 0.924936238310357</f>
        <v>0.92493623831035698</v>
      </c>
      <c r="G278" s="18">
        <f>E278* 0.0351064361799663</f>
        <v>3.5106436179966297E-2</v>
      </c>
      <c r="H278" s="18">
        <f>E278* 0.039932320925503</f>
        <v>3.9932320925503001E-2</v>
      </c>
    </row>
    <row r="279" spans="1:8" ht="15.75" hidden="1" customHeight="1" x14ac:dyDescent="0.25">
      <c r="A279" s="15" t="s">
        <v>51</v>
      </c>
      <c r="B279" s="8"/>
      <c r="C279" s="8"/>
      <c r="D279" s="9"/>
      <c r="E279" s="19"/>
    </row>
    <row r="280" spans="1:8" ht="15.75" hidden="1" customHeight="1" x14ac:dyDescent="0.25">
      <c r="A280" s="15" t="s">
        <v>51</v>
      </c>
      <c r="B280" s="11" t="s">
        <v>60</v>
      </c>
      <c r="C280" s="12" t="str">
        <f>B280&amp;"_"&amp;A280</f>
        <v>Calacoto_La Paz</v>
      </c>
      <c r="E280" s="13">
        <v>4</v>
      </c>
      <c r="F280" s="14">
        <f t="shared" ref="F280:H280" si="34">SUM(F281:F284)</f>
        <v>1.5361142817825391</v>
      </c>
      <c r="G280" s="14">
        <f t="shared" si="34"/>
        <v>2.457835337650323</v>
      </c>
      <c r="H280" s="14">
        <f t="shared" si="34"/>
        <v>5.7173555902622986E-3</v>
      </c>
    </row>
    <row r="281" spans="1:8" ht="15.75" hidden="1" customHeight="1" x14ac:dyDescent="0.25">
      <c r="A281" s="15" t="s">
        <v>51</v>
      </c>
      <c r="B281" s="11" t="s">
        <v>60</v>
      </c>
      <c r="C281" s="15"/>
      <c r="D281" s="16" t="s">
        <v>16</v>
      </c>
      <c r="E281" s="17">
        <v>0</v>
      </c>
      <c r="F281" s="18">
        <f>E281* 0.142974979378609</f>
        <v>0</v>
      </c>
      <c r="G281" s="18">
        <f>E281* 0.852350838603245</f>
        <v>0</v>
      </c>
      <c r="H281" s="18">
        <f>E281* 0.00467418201814682</f>
        <v>0</v>
      </c>
    </row>
    <row r="282" spans="1:8" ht="15.75" hidden="1" customHeight="1" x14ac:dyDescent="0.25">
      <c r="A282" s="15" t="s">
        <v>51</v>
      </c>
      <c r="B282" s="11" t="s">
        <v>60</v>
      </c>
      <c r="C282" s="15"/>
      <c r="D282" s="16" t="s">
        <v>11</v>
      </c>
      <c r="E282" s="17">
        <v>3</v>
      </c>
      <c r="F282" s="18">
        <f>E282* 0.178797409805735</f>
        <v>0.53639222941720499</v>
      </c>
      <c r="G282" s="18">
        <f>E282* 0.819278445883441</f>
        <v>2.457835337650323</v>
      </c>
      <c r="H282" s="18">
        <f>E282* 0.00181313598519889</f>
        <v>5.4394079555966698E-3</v>
      </c>
    </row>
    <row r="283" spans="1:8" ht="15.75" hidden="1" customHeight="1" x14ac:dyDescent="0.25">
      <c r="A283" s="15" t="s">
        <v>51</v>
      </c>
      <c r="B283" s="11" t="s">
        <v>60</v>
      </c>
      <c r="C283" s="15"/>
      <c r="D283" s="16" t="s">
        <v>20</v>
      </c>
      <c r="E283" s="17">
        <v>0</v>
      </c>
      <c r="F283" s="18">
        <f>E283* 0.814615536880747</f>
        <v>0</v>
      </c>
      <c r="G283" s="18">
        <f>E283* 0.0763167839340663</f>
        <v>0</v>
      </c>
      <c r="H283" s="18">
        <f>E283* 0.109013694193014</f>
        <v>0</v>
      </c>
    </row>
    <row r="284" spans="1:8" ht="15.75" hidden="1" customHeight="1" x14ac:dyDescent="0.25">
      <c r="A284" s="15" t="s">
        <v>51</v>
      </c>
      <c r="B284" s="11" t="s">
        <v>60</v>
      </c>
      <c r="C284" s="15"/>
      <c r="D284" s="16" t="s">
        <v>21</v>
      </c>
      <c r="E284" s="17">
        <v>1</v>
      </c>
      <c r="F284" s="18">
        <f>E284* 0.999722052365334</f>
        <v>0.99972205236533396</v>
      </c>
      <c r="G284" s="18">
        <v>0</v>
      </c>
      <c r="H284" s="18">
        <f>E284* 0.000277947634665629</f>
        <v>2.7794763466562898E-4</v>
      </c>
    </row>
    <row r="285" spans="1:8" ht="15.75" hidden="1" customHeight="1" x14ac:dyDescent="0.25">
      <c r="A285" s="15" t="s">
        <v>51</v>
      </c>
      <c r="B285" s="8"/>
      <c r="C285" s="8"/>
      <c r="D285" s="9"/>
      <c r="E285" s="19"/>
    </row>
    <row r="286" spans="1:8" ht="15.75" hidden="1" customHeight="1" x14ac:dyDescent="0.25">
      <c r="A286" s="15" t="s">
        <v>51</v>
      </c>
      <c r="B286" s="11" t="s">
        <v>61</v>
      </c>
      <c r="C286" s="12" t="str">
        <f>B286&amp;"_"&amp;A286</f>
        <v>Calamarca_La Paz</v>
      </c>
      <c r="E286" s="22">
        <v>1486</v>
      </c>
      <c r="F286" s="14">
        <f t="shared" ref="F286:H286" si="35">SUM(F287:F299)</f>
        <v>1014.275556146447</v>
      </c>
      <c r="G286" s="14">
        <f t="shared" si="35"/>
        <v>442.46595363971625</v>
      </c>
      <c r="H286" s="14">
        <f t="shared" si="35"/>
        <v>29.204342767149619</v>
      </c>
    </row>
    <row r="287" spans="1:8" ht="15.75" hidden="1" customHeight="1" x14ac:dyDescent="0.25">
      <c r="A287" s="15" t="s">
        <v>51</v>
      </c>
      <c r="B287" s="11" t="s">
        <v>61</v>
      </c>
      <c r="C287" s="15"/>
      <c r="D287" s="16" t="s">
        <v>53</v>
      </c>
      <c r="E287" s="17">
        <v>0</v>
      </c>
      <c r="F287" s="20">
        <v>0</v>
      </c>
      <c r="G287" s="20">
        <f>E287</f>
        <v>0</v>
      </c>
      <c r="H287" s="20">
        <v>0</v>
      </c>
    </row>
    <row r="288" spans="1:8" ht="15.75" hidden="1" customHeight="1" x14ac:dyDescent="0.25">
      <c r="A288" s="15" t="s">
        <v>51</v>
      </c>
      <c r="B288" s="11" t="s">
        <v>61</v>
      </c>
      <c r="C288" s="15"/>
      <c r="D288" s="16" t="s">
        <v>15</v>
      </c>
      <c r="E288" s="17">
        <v>87</v>
      </c>
      <c r="F288" s="18">
        <f>E288* 0.981163265034061</f>
        <v>85.361204057963306</v>
      </c>
      <c r="G288" s="18">
        <f>E288* 0.0027595216829083</f>
        <v>0.24007838641302209</v>
      </c>
      <c r="H288" s="18">
        <f>E288* 0.0160372202151627</f>
        <v>1.3952381587191551</v>
      </c>
    </row>
    <row r="289" spans="1:8" ht="15.75" hidden="1" customHeight="1" x14ac:dyDescent="0.25">
      <c r="A289" s="15" t="s">
        <v>51</v>
      </c>
      <c r="B289" s="11" t="s">
        <v>61</v>
      </c>
      <c r="C289" s="15"/>
      <c r="D289" s="16" t="s">
        <v>16</v>
      </c>
      <c r="E289" s="17">
        <v>47</v>
      </c>
      <c r="F289" s="18">
        <f>E289* 0.142974979378609</f>
        <v>6.7198240307946238</v>
      </c>
      <c r="G289" s="18">
        <f>E289* 0.852350838603245</f>
        <v>40.060489414352517</v>
      </c>
      <c r="H289" s="18">
        <f>E289* 0.00467418201814682</f>
        <v>0.21968655485290053</v>
      </c>
    </row>
    <row r="290" spans="1:8" ht="15.75" hidden="1" customHeight="1" x14ac:dyDescent="0.25">
      <c r="A290" s="15" t="s">
        <v>51</v>
      </c>
      <c r="B290" s="11" t="s">
        <v>61</v>
      </c>
      <c r="C290" s="15"/>
      <c r="D290" s="16" t="s">
        <v>11</v>
      </c>
      <c r="E290" s="17">
        <v>324</v>
      </c>
      <c r="F290" s="18">
        <f>E290* 0.178797409805735</f>
        <v>57.930360777058141</v>
      </c>
      <c r="G290" s="18">
        <f>E290* 0.819278445883441</f>
        <v>265.44621646623489</v>
      </c>
      <c r="H290" s="18">
        <f>E290* 0.00181313598519889</f>
        <v>0.58745605920444033</v>
      </c>
    </row>
    <row r="291" spans="1:8" ht="15.75" hidden="1" customHeight="1" x14ac:dyDescent="0.25">
      <c r="A291" s="15" t="s">
        <v>51</v>
      </c>
      <c r="B291" s="11" t="s">
        <v>61</v>
      </c>
      <c r="C291" s="15"/>
      <c r="D291" s="16" t="s">
        <v>17</v>
      </c>
      <c r="E291" s="17">
        <v>68</v>
      </c>
      <c r="F291" s="18">
        <f>E291* 0.916446662218225</f>
        <v>62.318373030839304</v>
      </c>
      <c r="G291" s="18">
        <f>E291* 0.0292436682236212</f>
        <v>1.9885694392062414</v>
      </c>
      <c r="H291" s="18">
        <f>E291* 0.0543096695581537</f>
        <v>3.6930575299544519</v>
      </c>
    </row>
    <row r="292" spans="1:8" ht="15.75" hidden="1" customHeight="1" x14ac:dyDescent="0.25">
      <c r="A292" s="15" t="s">
        <v>51</v>
      </c>
      <c r="B292" s="11" t="s">
        <v>61</v>
      </c>
      <c r="C292" s="15"/>
      <c r="D292" s="16" t="s">
        <v>31</v>
      </c>
      <c r="E292" s="17">
        <v>2</v>
      </c>
      <c r="F292" s="18">
        <f>E292* 0.957442434210526</f>
        <v>1.914884868421052</v>
      </c>
      <c r="G292" s="18">
        <f>E292* 0.0158305921052632</f>
        <v>3.1661184210526397E-2</v>
      </c>
      <c r="H292" s="18">
        <f>E292* 0.0263157894736842</f>
        <v>5.2631578947368397E-2</v>
      </c>
    </row>
    <row r="293" spans="1:8" ht="15.75" hidden="1" customHeight="1" x14ac:dyDescent="0.25">
      <c r="A293" s="15" t="s">
        <v>51</v>
      </c>
      <c r="B293" s="11" t="s">
        <v>61</v>
      </c>
      <c r="C293" s="15"/>
      <c r="D293" s="16" t="s">
        <v>18</v>
      </c>
      <c r="E293" s="17">
        <v>17</v>
      </c>
      <c r="F293" s="18">
        <f>E293* 0.983388008654987</f>
        <v>16.717596147134778</v>
      </c>
      <c r="G293" s="18">
        <f>E293* 0.0133314720457877</f>
        <v>0.2266350247783909</v>
      </c>
      <c r="H293" s="18">
        <f>E293* 0.003210721016263</f>
        <v>5.4582257276471001E-2</v>
      </c>
    </row>
    <row r="294" spans="1:8" ht="15.75" hidden="1" customHeight="1" x14ac:dyDescent="0.25">
      <c r="A294" s="15" t="s">
        <v>51</v>
      </c>
      <c r="B294" s="11" t="s">
        <v>61</v>
      </c>
      <c r="C294" s="15"/>
      <c r="D294" s="16" t="s">
        <v>19</v>
      </c>
      <c r="E294" s="17">
        <v>12</v>
      </c>
      <c r="F294" s="18">
        <f>E294* 0.511826182618262</f>
        <v>6.1419141914191435</v>
      </c>
      <c r="G294" s="18">
        <f>E294* 0.476622662266227</f>
        <v>5.719471947194724</v>
      </c>
      <c r="H294" s="18">
        <f>E294* 0.0115511551155116</f>
        <v>0.13861386138613921</v>
      </c>
    </row>
    <row r="295" spans="1:8" ht="15.75" hidden="1" customHeight="1" x14ac:dyDescent="0.25">
      <c r="A295" s="15" t="s">
        <v>51</v>
      </c>
      <c r="B295" s="11" t="s">
        <v>61</v>
      </c>
      <c r="C295" s="15"/>
      <c r="D295" s="16" t="s">
        <v>20</v>
      </c>
      <c r="E295" s="17">
        <v>117</v>
      </c>
      <c r="F295" s="18">
        <f>E295* 0.814615536880747</f>
        <v>95.310017815047388</v>
      </c>
      <c r="G295" s="18">
        <f>E295* 0.0763167839340663</f>
        <v>8.9290637202857575</v>
      </c>
      <c r="H295" s="18">
        <f>E295* 0.109013694193014</f>
        <v>12.754602220582639</v>
      </c>
    </row>
    <row r="296" spans="1:8" ht="15.75" hidden="1" customHeight="1" x14ac:dyDescent="0.25">
      <c r="A296" s="15" t="s">
        <v>51</v>
      </c>
      <c r="B296" s="11" t="s">
        <v>61</v>
      </c>
      <c r="C296" s="15"/>
      <c r="D296" s="16" t="s">
        <v>21</v>
      </c>
      <c r="E296" s="17">
        <v>443</v>
      </c>
      <c r="F296" s="18">
        <f>E296* 0.999722052365334</f>
        <v>442.87686919784295</v>
      </c>
      <c r="G296" s="18">
        <v>0</v>
      </c>
      <c r="H296" s="18">
        <f>E296* 0.000277947634665629</f>
        <v>0.12313080215687364</v>
      </c>
    </row>
    <row r="297" spans="1:8" ht="15.75" hidden="1" customHeight="1" x14ac:dyDescent="0.25">
      <c r="A297" s="15" t="s">
        <v>51</v>
      </c>
      <c r="B297" s="11" t="s">
        <v>61</v>
      </c>
      <c r="C297" s="15"/>
      <c r="D297" s="16" t="s">
        <v>36</v>
      </c>
      <c r="E297" s="17">
        <v>3</v>
      </c>
      <c r="F297" s="18">
        <f>E297* 0.999132697311362</f>
        <v>2.9973980919340861</v>
      </c>
      <c r="G297" s="20">
        <v>0</v>
      </c>
      <c r="H297" s="18">
        <f>E297* 0.000867302688638335</f>
        <v>2.6019080659150048E-3</v>
      </c>
    </row>
    <row r="298" spans="1:8" ht="15.75" hidden="1" customHeight="1" x14ac:dyDescent="0.25">
      <c r="A298" s="15" t="s">
        <v>51</v>
      </c>
      <c r="B298" s="11" t="s">
        <v>61</v>
      </c>
      <c r="C298" s="15"/>
      <c r="D298" s="16" t="s">
        <v>28</v>
      </c>
      <c r="E298" s="17">
        <v>111</v>
      </c>
      <c r="F298" s="18">
        <f>E298* 0.00115651503469545</f>
        <v>0.12837316885119496</v>
      </c>
      <c r="G298" s="18">
        <f>E298* 0.998843484965305</f>
        <v>110.87162683114884</v>
      </c>
      <c r="H298" s="20">
        <v>0</v>
      </c>
    </row>
    <row r="299" spans="1:8" ht="15.75" hidden="1" customHeight="1" x14ac:dyDescent="0.25">
      <c r="A299" s="15" t="s">
        <v>51</v>
      </c>
      <c r="B299" s="11" t="s">
        <v>61</v>
      </c>
      <c r="C299" s="15"/>
      <c r="D299" s="16" t="s">
        <v>12</v>
      </c>
      <c r="E299" s="17">
        <v>255</v>
      </c>
      <c r="F299" s="18">
        <f>E299* 0.924936238310357</f>
        <v>235.85874076914104</v>
      </c>
      <c r="G299" s="18">
        <f>E299* 0.0351064361799663</f>
        <v>8.9521412258914062</v>
      </c>
      <c r="H299" s="18">
        <f>E299* 0.039932320925503</f>
        <v>10.182741836003265</v>
      </c>
    </row>
    <row r="300" spans="1:8" ht="15.75" hidden="1" customHeight="1" x14ac:dyDescent="0.25">
      <c r="A300" s="15" t="s">
        <v>51</v>
      </c>
      <c r="B300" s="8"/>
      <c r="C300" s="8"/>
      <c r="D300" s="9"/>
      <c r="E300" s="19"/>
    </row>
    <row r="301" spans="1:8" ht="15.75" hidden="1" customHeight="1" x14ac:dyDescent="0.25">
      <c r="A301" s="15" t="s">
        <v>51</v>
      </c>
      <c r="B301" s="11" t="s">
        <v>62</v>
      </c>
      <c r="C301" s="12" t="str">
        <f>B301&amp;"_"&amp;A301</f>
        <v>Caquiaviri_La Paz</v>
      </c>
      <c r="E301" s="13">
        <v>2</v>
      </c>
      <c r="F301" s="14">
        <f t="shared" ref="F301:H301" si="36">SUM(F302)</f>
        <v>0.35759481961146999</v>
      </c>
      <c r="G301" s="14">
        <f t="shared" si="36"/>
        <v>1.638556891766882</v>
      </c>
      <c r="H301" s="14">
        <f t="shared" si="36"/>
        <v>3.6262719703977798E-3</v>
      </c>
    </row>
    <row r="302" spans="1:8" ht="15.75" hidden="1" customHeight="1" x14ac:dyDescent="0.25">
      <c r="A302" s="15" t="s">
        <v>51</v>
      </c>
      <c r="B302" s="11" t="s">
        <v>62</v>
      </c>
      <c r="C302" s="15"/>
      <c r="D302" s="16" t="s">
        <v>11</v>
      </c>
      <c r="E302" s="17">
        <v>2</v>
      </c>
      <c r="F302" s="18">
        <f>E302* 0.178797409805735</f>
        <v>0.35759481961146999</v>
      </c>
      <c r="G302" s="18">
        <f>E302* 0.819278445883441</f>
        <v>1.638556891766882</v>
      </c>
      <c r="H302" s="18">
        <f>E302* 0.00181313598519889</f>
        <v>3.6262719703977798E-3</v>
      </c>
    </row>
    <row r="303" spans="1:8" ht="15.75" hidden="1" customHeight="1" x14ac:dyDescent="0.25">
      <c r="A303" s="15" t="s">
        <v>51</v>
      </c>
      <c r="B303" s="8"/>
      <c r="C303" s="8"/>
      <c r="D303" s="9"/>
      <c r="E303" s="19"/>
    </row>
    <row r="304" spans="1:8" ht="15.75" hidden="1" customHeight="1" x14ac:dyDescent="0.25">
      <c r="A304" s="15" t="s">
        <v>51</v>
      </c>
      <c r="B304" s="11" t="s">
        <v>63</v>
      </c>
      <c r="C304" s="12" t="str">
        <f>B304&amp;"_"&amp;A304</f>
        <v>Caranavi_La Paz</v>
      </c>
      <c r="E304" s="22">
        <v>2811</v>
      </c>
      <c r="F304" s="14">
        <f t="shared" ref="F304:H304" si="37">SUM(F305:F318)</f>
        <v>2583.0021361507715</v>
      </c>
      <c r="G304" s="14">
        <f t="shared" si="37"/>
        <v>130.74517239587536</v>
      </c>
      <c r="H304" s="14">
        <f t="shared" si="37"/>
        <v>97.18595960361597</v>
      </c>
    </row>
    <row r="305" spans="1:8" ht="15.75" hidden="1" customHeight="1" x14ac:dyDescent="0.25">
      <c r="A305" s="15" t="s">
        <v>51</v>
      </c>
      <c r="B305" s="11" t="s">
        <v>63</v>
      </c>
      <c r="C305" s="15"/>
      <c r="D305" s="16" t="s">
        <v>53</v>
      </c>
      <c r="E305" s="17">
        <v>0</v>
      </c>
      <c r="F305" s="20">
        <v>0</v>
      </c>
      <c r="G305" s="20">
        <f>E305</f>
        <v>0</v>
      </c>
      <c r="H305" s="20">
        <v>0</v>
      </c>
    </row>
    <row r="306" spans="1:8" ht="15.75" hidden="1" customHeight="1" x14ac:dyDescent="0.25">
      <c r="A306" s="15" t="s">
        <v>51</v>
      </c>
      <c r="B306" s="11" t="s">
        <v>63</v>
      </c>
      <c r="C306" s="15"/>
      <c r="D306" s="16" t="s">
        <v>15</v>
      </c>
      <c r="E306" s="17">
        <v>14</v>
      </c>
      <c r="F306" s="18">
        <f>E306* 0.981163265034061</f>
        <v>13.736285710476855</v>
      </c>
      <c r="G306" s="18">
        <f>E306* 0.0027595216829083</f>
        <v>3.8633303560716196E-2</v>
      </c>
      <c r="H306" s="18">
        <f>E306* 0.0160372202151627</f>
        <v>0.22452108301227783</v>
      </c>
    </row>
    <row r="307" spans="1:8" ht="15.75" hidden="1" customHeight="1" x14ac:dyDescent="0.25">
      <c r="A307" s="15" t="s">
        <v>51</v>
      </c>
      <c r="B307" s="11" t="s">
        <v>63</v>
      </c>
      <c r="C307" s="15"/>
      <c r="D307" s="16" t="s">
        <v>16</v>
      </c>
      <c r="E307" s="17">
        <v>0</v>
      </c>
      <c r="F307" s="18">
        <f>E307* 0.142974979378609</f>
        <v>0</v>
      </c>
      <c r="G307" s="18">
        <f>E307* 0.852350838603245</f>
        <v>0</v>
      </c>
      <c r="H307" s="18">
        <f>E307* 0.00467418201814682</f>
        <v>0</v>
      </c>
    </row>
    <row r="308" spans="1:8" ht="15.75" hidden="1" customHeight="1" x14ac:dyDescent="0.25">
      <c r="A308" s="15" t="s">
        <v>51</v>
      </c>
      <c r="B308" s="11" t="s">
        <v>63</v>
      </c>
      <c r="C308" s="15"/>
      <c r="D308" s="16" t="s">
        <v>11</v>
      </c>
      <c r="E308" s="17">
        <v>59</v>
      </c>
      <c r="F308" s="18">
        <f>E308* 0.178797409805735</f>
        <v>10.549047178538364</v>
      </c>
      <c r="G308" s="18">
        <f>E308* 0.819278445883441</f>
        <v>48.33742830712302</v>
      </c>
      <c r="H308" s="18">
        <f>E308* 0.00181313598519889</f>
        <v>0.1069750231267345</v>
      </c>
    </row>
    <row r="309" spans="1:8" ht="15.75" hidden="1" customHeight="1" x14ac:dyDescent="0.25">
      <c r="A309" s="15" t="s">
        <v>51</v>
      </c>
      <c r="B309" s="11" t="s">
        <v>63</v>
      </c>
      <c r="C309" s="15"/>
      <c r="D309" s="16" t="s">
        <v>17</v>
      </c>
      <c r="E309" s="17">
        <v>77</v>
      </c>
      <c r="F309" s="18">
        <f>E309* 0.916446662218225</f>
        <v>70.566392990803323</v>
      </c>
      <c r="G309" s="18">
        <f>E309* 0.0292436682236212</f>
        <v>2.2517624532188321</v>
      </c>
      <c r="H309" s="18">
        <f>E309* 0.0543096695581537</f>
        <v>4.1818445559778352</v>
      </c>
    </row>
    <row r="310" spans="1:8" ht="15.75" hidden="1" customHeight="1" x14ac:dyDescent="0.25">
      <c r="A310" s="15" t="s">
        <v>51</v>
      </c>
      <c r="B310" s="11" t="s">
        <v>63</v>
      </c>
      <c r="C310" s="15"/>
      <c r="D310" s="16" t="s">
        <v>31</v>
      </c>
      <c r="E310" s="17">
        <v>3</v>
      </c>
      <c r="F310" s="18">
        <f>E310* 0.957442434210526</f>
        <v>2.8723273026315779</v>
      </c>
      <c r="G310" s="18">
        <f>E310* 0.0158305921052632</f>
        <v>4.7491776315789595E-2</v>
      </c>
      <c r="H310" s="18">
        <f>E310* 0.0263157894736842</f>
        <v>7.8947368421052599E-2</v>
      </c>
    </row>
    <row r="311" spans="1:8" ht="15.75" hidden="1" customHeight="1" x14ac:dyDescent="0.25">
      <c r="A311" s="15" t="s">
        <v>51</v>
      </c>
      <c r="B311" s="11" t="s">
        <v>63</v>
      </c>
      <c r="C311" s="15"/>
      <c r="D311" s="16" t="s">
        <v>18</v>
      </c>
      <c r="E311" s="17">
        <v>23</v>
      </c>
      <c r="F311" s="18">
        <f>E311* 0.983388008654987</f>
        <v>22.617924199064699</v>
      </c>
      <c r="G311" s="18">
        <f>E311* 0.0133314720457877</f>
        <v>0.30662385705311712</v>
      </c>
      <c r="H311" s="18">
        <f>E311* 0.003210721016263</f>
        <v>7.3846583374049007E-2</v>
      </c>
    </row>
    <row r="312" spans="1:8" ht="15.75" hidden="1" customHeight="1" x14ac:dyDescent="0.25">
      <c r="A312" s="15" t="s">
        <v>51</v>
      </c>
      <c r="B312" s="11" t="s">
        <v>63</v>
      </c>
      <c r="C312" s="15"/>
      <c r="D312" s="16" t="s">
        <v>55</v>
      </c>
      <c r="E312" s="17">
        <v>0</v>
      </c>
      <c r="F312" s="20">
        <v>0</v>
      </c>
      <c r="G312" s="20">
        <f>E312</f>
        <v>0</v>
      </c>
      <c r="H312" s="20">
        <v>0</v>
      </c>
    </row>
    <row r="313" spans="1:8" ht="15.75" hidden="1" customHeight="1" x14ac:dyDescent="0.25">
      <c r="A313" s="15" t="s">
        <v>51</v>
      </c>
      <c r="B313" s="11" t="s">
        <v>63</v>
      </c>
      <c r="C313" s="15"/>
      <c r="D313" s="16" t="s">
        <v>20</v>
      </c>
      <c r="E313" s="17">
        <v>75</v>
      </c>
      <c r="F313" s="18">
        <f>E313* 0.814615536880747</f>
        <v>61.096165266056019</v>
      </c>
      <c r="G313" s="18">
        <f>E313* 0.0763167839340663</f>
        <v>5.7237587950549722</v>
      </c>
      <c r="H313" s="18">
        <f>E313* 0.109013694193014</f>
        <v>8.1760270644760507</v>
      </c>
    </row>
    <row r="314" spans="1:8" ht="15.75" hidden="1" customHeight="1" x14ac:dyDescent="0.25">
      <c r="A314" s="15" t="s">
        <v>51</v>
      </c>
      <c r="B314" s="11" t="s">
        <v>63</v>
      </c>
      <c r="C314" s="15"/>
      <c r="D314" s="16" t="s">
        <v>21</v>
      </c>
      <c r="E314" s="17">
        <v>449</v>
      </c>
      <c r="F314" s="18">
        <f>E314* 0.999722052365334</f>
        <v>448.87520151203495</v>
      </c>
      <c r="G314" s="18">
        <v>0</v>
      </c>
      <c r="H314" s="18">
        <f>E314* 0.000277947634665629</f>
        <v>0.12479848796486741</v>
      </c>
    </row>
    <row r="315" spans="1:8" ht="15.75" hidden="1" customHeight="1" x14ac:dyDescent="0.25">
      <c r="A315" s="15" t="s">
        <v>51</v>
      </c>
      <c r="B315" s="11" t="s">
        <v>63</v>
      </c>
      <c r="C315" s="15"/>
      <c r="D315" s="16" t="s">
        <v>36</v>
      </c>
      <c r="E315" s="17">
        <v>2</v>
      </c>
      <c r="F315" s="18">
        <f>E315* 0.999132697311362</f>
        <v>1.998265394622724</v>
      </c>
      <c r="G315" s="20">
        <v>0</v>
      </c>
      <c r="H315" s="18">
        <f>E315* 0.000867302688638335</f>
        <v>1.7346053772766699E-3</v>
      </c>
    </row>
    <row r="316" spans="1:8" ht="15.75" hidden="1" customHeight="1" x14ac:dyDescent="0.25">
      <c r="A316" s="15" t="s">
        <v>51</v>
      </c>
      <c r="B316" s="11" t="s">
        <v>63</v>
      </c>
      <c r="C316" s="15"/>
      <c r="D316" s="16" t="s">
        <v>37</v>
      </c>
      <c r="E316" s="17">
        <v>0</v>
      </c>
      <c r="F316" s="18">
        <f>E316* 0.0555555555555556</f>
        <v>0</v>
      </c>
      <c r="G316" s="18">
        <f>E316* 0.944444444444444</f>
        <v>0</v>
      </c>
      <c r="H316" s="20">
        <v>0</v>
      </c>
    </row>
    <row r="317" spans="1:8" ht="15.75" hidden="1" customHeight="1" x14ac:dyDescent="0.25">
      <c r="A317" s="15" t="s">
        <v>51</v>
      </c>
      <c r="B317" s="11" t="s">
        <v>63</v>
      </c>
      <c r="C317" s="15"/>
      <c r="D317" s="16" t="s">
        <v>28</v>
      </c>
      <c r="E317" s="17">
        <v>0</v>
      </c>
      <c r="F317" s="18">
        <f>E317* 0.00115651503469545</f>
        <v>0</v>
      </c>
      <c r="G317" s="18">
        <f>E317* 0.998843484965305</f>
        <v>0</v>
      </c>
      <c r="H317" s="20">
        <v>0</v>
      </c>
    </row>
    <row r="318" spans="1:8" ht="15.75" hidden="1" customHeight="1" x14ac:dyDescent="0.25">
      <c r="A318" s="15" t="s">
        <v>51</v>
      </c>
      <c r="B318" s="11" t="s">
        <v>63</v>
      </c>
      <c r="C318" s="15"/>
      <c r="D318" s="16" t="s">
        <v>12</v>
      </c>
      <c r="E318" s="23">
        <v>2109</v>
      </c>
      <c r="F318" s="18">
        <f>E318* 0.924936238310357</f>
        <v>1950.6905265965429</v>
      </c>
      <c r="G318" s="18">
        <f>E318* 0.0351064361799663</f>
        <v>74.039473903548924</v>
      </c>
      <c r="H318" s="18">
        <f>E318* 0.039932320925503</f>
        <v>84.217264831885828</v>
      </c>
    </row>
    <row r="319" spans="1:8" ht="15.75" hidden="1" customHeight="1" x14ac:dyDescent="0.25">
      <c r="A319" s="15" t="s">
        <v>51</v>
      </c>
      <c r="B319" s="21"/>
      <c r="C319" s="21"/>
      <c r="D319" s="16"/>
      <c r="E319" s="19"/>
    </row>
    <row r="320" spans="1:8" ht="15.75" hidden="1" customHeight="1" x14ac:dyDescent="0.25">
      <c r="A320" s="15" t="s">
        <v>51</v>
      </c>
      <c r="B320" s="11" t="s">
        <v>64</v>
      </c>
      <c r="C320" s="12" t="str">
        <f>B320&amp;"_"&amp;A320</f>
        <v>Charaña_La Paz</v>
      </c>
      <c r="E320" s="13">
        <v>1</v>
      </c>
      <c r="F320" s="14">
        <f t="shared" ref="F320:H320" si="38">SUM(F321:F322)</f>
        <v>0.14297497937860901</v>
      </c>
      <c r="G320" s="14">
        <f t="shared" si="38"/>
        <v>0.85235083860324501</v>
      </c>
      <c r="H320" s="14">
        <f t="shared" si="38"/>
        <v>4.6741820181468198E-3</v>
      </c>
    </row>
    <row r="321" spans="1:8" ht="15.75" hidden="1" customHeight="1" x14ac:dyDescent="0.25">
      <c r="A321" s="15" t="s">
        <v>51</v>
      </c>
      <c r="B321" s="11" t="s">
        <v>64</v>
      </c>
      <c r="C321" s="15"/>
      <c r="D321" s="16" t="s">
        <v>16</v>
      </c>
      <c r="E321" s="17">
        <v>1</v>
      </c>
      <c r="F321" s="18">
        <f>E321* 0.142974979378609</f>
        <v>0.14297497937860901</v>
      </c>
      <c r="G321" s="18">
        <f>E321* 0.852350838603245</f>
        <v>0.85235083860324501</v>
      </c>
      <c r="H321" s="18">
        <f>E321* 0.00467418201814682</f>
        <v>4.6741820181468198E-3</v>
      </c>
    </row>
    <row r="322" spans="1:8" ht="15.75" hidden="1" customHeight="1" x14ac:dyDescent="0.25">
      <c r="A322" s="15" t="s">
        <v>51</v>
      </c>
      <c r="B322" s="11" t="s">
        <v>64</v>
      </c>
      <c r="C322" s="15"/>
      <c r="D322" s="16" t="s">
        <v>11</v>
      </c>
      <c r="E322" s="17">
        <v>0</v>
      </c>
      <c r="F322" s="18">
        <f>E322* 0.178797409805735</f>
        <v>0</v>
      </c>
      <c r="G322" s="18">
        <f>E322* 0.819278445883441</f>
        <v>0</v>
      </c>
      <c r="H322" s="18">
        <f>E322* 0.00181313598519889</f>
        <v>0</v>
      </c>
    </row>
    <row r="323" spans="1:8" ht="15.75" hidden="1" customHeight="1" x14ac:dyDescent="0.25">
      <c r="A323" s="15" t="s">
        <v>51</v>
      </c>
      <c r="B323" s="8"/>
      <c r="C323" s="8"/>
      <c r="D323" s="9"/>
      <c r="E323" s="19"/>
    </row>
    <row r="324" spans="1:8" ht="15.75" hidden="1" customHeight="1" x14ac:dyDescent="0.25">
      <c r="A324" s="15" t="s">
        <v>51</v>
      </c>
      <c r="B324" s="11" t="s">
        <v>65</v>
      </c>
      <c r="C324" s="12" t="str">
        <f>B324&amp;"_"&amp;A324</f>
        <v>Chulumani_La Paz</v>
      </c>
      <c r="E324" s="13">
        <v>21</v>
      </c>
      <c r="F324" s="14">
        <f t="shared" ref="F324:H324" si="39">SUM(F325:F334)</f>
        <v>14.180654713618486</v>
      </c>
      <c r="G324" s="14">
        <f t="shared" si="39"/>
        <v>5.9891787030286885</v>
      </c>
      <c r="H324" s="14">
        <f t="shared" si="39"/>
        <v>0.8292330423878026</v>
      </c>
    </row>
    <row r="325" spans="1:8" ht="15.75" hidden="1" customHeight="1" x14ac:dyDescent="0.25">
      <c r="A325" s="15" t="s">
        <v>51</v>
      </c>
      <c r="B325" s="11" t="s">
        <v>65</v>
      </c>
      <c r="C325" s="15"/>
      <c r="D325" s="16" t="s">
        <v>53</v>
      </c>
      <c r="E325" s="17">
        <v>0</v>
      </c>
      <c r="F325" s="20">
        <v>0</v>
      </c>
      <c r="G325" s="20">
        <f>E325</f>
        <v>0</v>
      </c>
      <c r="H325" s="20">
        <v>0</v>
      </c>
    </row>
    <row r="326" spans="1:8" ht="15.75" hidden="1" customHeight="1" x14ac:dyDescent="0.25">
      <c r="A326" s="15" t="s">
        <v>51</v>
      </c>
      <c r="B326" s="11" t="s">
        <v>65</v>
      </c>
      <c r="C326" s="15"/>
      <c r="D326" s="16" t="s">
        <v>15</v>
      </c>
      <c r="E326" s="17">
        <v>2</v>
      </c>
      <c r="F326" s="18">
        <f>E326* 0.981163265034061</f>
        <v>1.9623265300681221</v>
      </c>
      <c r="G326" s="18">
        <f>E326* 0.0027595216829083</f>
        <v>5.5190433658165996E-3</v>
      </c>
      <c r="H326" s="18">
        <f>E326* 0.0160372202151627</f>
        <v>3.2074440430325403E-2</v>
      </c>
    </row>
    <row r="327" spans="1:8" ht="15.75" hidden="1" customHeight="1" x14ac:dyDescent="0.25">
      <c r="A327" s="15" t="s">
        <v>51</v>
      </c>
      <c r="B327" s="11" t="s">
        <v>65</v>
      </c>
      <c r="C327" s="15"/>
      <c r="D327" s="16" t="s">
        <v>16</v>
      </c>
      <c r="E327" s="17">
        <v>2</v>
      </c>
      <c r="F327" s="18">
        <f>E327* 0.142974979378609</f>
        <v>0.28594995875721801</v>
      </c>
      <c r="G327" s="18">
        <f>E327* 0.852350838603245</f>
        <v>1.70470167720649</v>
      </c>
      <c r="H327" s="18">
        <f>E327* 0.00467418201814682</f>
        <v>9.3483640362936396E-3</v>
      </c>
    </row>
    <row r="328" spans="1:8" ht="15.75" hidden="1" customHeight="1" x14ac:dyDescent="0.25">
      <c r="A328" s="15" t="s">
        <v>51</v>
      </c>
      <c r="B328" s="11" t="s">
        <v>65</v>
      </c>
      <c r="C328" s="15"/>
      <c r="D328" s="16" t="s">
        <v>11</v>
      </c>
      <c r="E328" s="17">
        <v>4</v>
      </c>
      <c r="F328" s="18">
        <f>E328* 0.178797409805735</f>
        <v>0.71518963922293999</v>
      </c>
      <c r="G328" s="18">
        <f>E328* 0.819278445883441</f>
        <v>3.277113783533764</v>
      </c>
      <c r="H328" s="18">
        <f>E328* 0.00181313598519889</f>
        <v>7.2525439407955597E-3</v>
      </c>
    </row>
    <row r="329" spans="1:8" ht="15.75" hidden="1" customHeight="1" x14ac:dyDescent="0.25">
      <c r="A329" s="15" t="s">
        <v>51</v>
      </c>
      <c r="B329" s="11" t="s">
        <v>65</v>
      </c>
      <c r="C329" s="15"/>
      <c r="D329" s="16" t="s">
        <v>17</v>
      </c>
      <c r="E329" s="17">
        <v>4</v>
      </c>
      <c r="F329" s="18">
        <f>E329* 0.916446662218225</f>
        <v>3.6657866488729001</v>
      </c>
      <c r="G329" s="18">
        <f>E329* 0.0292436682236212</f>
        <v>0.11697467289448479</v>
      </c>
      <c r="H329" s="18">
        <f>E329* 0.0543096695581537</f>
        <v>0.21723867823261481</v>
      </c>
    </row>
    <row r="330" spans="1:8" ht="15.75" hidden="1" customHeight="1" x14ac:dyDescent="0.25">
      <c r="A330" s="15" t="s">
        <v>51</v>
      </c>
      <c r="B330" s="11" t="s">
        <v>65</v>
      </c>
      <c r="C330" s="15"/>
      <c r="D330" s="16" t="s">
        <v>18</v>
      </c>
      <c r="E330" s="17">
        <v>2</v>
      </c>
      <c r="F330" s="18">
        <f>E330* 0.983388008654987</f>
        <v>1.966776017309974</v>
      </c>
      <c r="G330" s="18">
        <f>E330* 0.0133314720457877</f>
        <v>2.6662944091575401E-2</v>
      </c>
      <c r="H330" s="18">
        <f>E330* 0.003210721016263</f>
        <v>6.4214420325260004E-3</v>
      </c>
    </row>
    <row r="331" spans="1:8" ht="15.75" hidden="1" customHeight="1" x14ac:dyDescent="0.25">
      <c r="A331" s="15" t="s">
        <v>51</v>
      </c>
      <c r="B331" s="11" t="s">
        <v>65</v>
      </c>
      <c r="C331" s="15"/>
      <c r="D331" s="16" t="s">
        <v>19</v>
      </c>
      <c r="E331" s="17">
        <v>1</v>
      </c>
      <c r="F331" s="18">
        <f>E331* 0.511826182618262</f>
        <v>0.51182618261826196</v>
      </c>
      <c r="G331" s="18">
        <f>E331* 0.476622662266227</f>
        <v>0.47662266226622702</v>
      </c>
      <c r="H331" s="18">
        <f>E331* 0.0115511551155116</f>
        <v>1.1551155115511601E-2</v>
      </c>
    </row>
    <row r="332" spans="1:8" ht="15.75" hidden="1" customHeight="1" x14ac:dyDescent="0.25">
      <c r="A332" s="15" t="s">
        <v>51</v>
      </c>
      <c r="B332" s="11" t="s">
        <v>65</v>
      </c>
      <c r="C332" s="15"/>
      <c r="D332" s="16" t="s">
        <v>20</v>
      </c>
      <c r="E332" s="17">
        <v>5</v>
      </c>
      <c r="F332" s="18">
        <f>E332* 0.814615536880747</f>
        <v>4.0730776844037351</v>
      </c>
      <c r="G332" s="18">
        <f>E332* 0.0763167839340663</f>
        <v>0.38158391967033145</v>
      </c>
      <c r="H332" s="18">
        <f>E332* 0.109013694193014</f>
        <v>0.54506847096507005</v>
      </c>
    </row>
    <row r="333" spans="1:8" ht="15.75" hidden="1" customHeight="1" x14ac:dyDescent="0.25">
      <c r="A333" s="15" t="s">
        <v>51</v>
      </c>
      <c r="B333" s="11" t="s">
        <v>65</v>
      </c>
      <c r="C333" s="15"/>
      <c r="D333" s="16" t="s">
        <v>21</v>
      </c>
      <c r="E333" s="17">
        <v>1</v>
      </c>
      <c r="F333" s="18">
        <f>E333* 0.999722052365334</f>
        <v>0.99972205236533396</v>
      </c>
      <c r="G333" s="18">
        <v>0</v>
      </c>
      <c r="H333" s="18">
        <f>E333* 0.000277947634665629</f>
        <v>2.7794763466562898E-4</v>
      </c>
    </row>
    <row r="334" spans="1:8" ht="15.75" hidden="1" customHeight="1" x14ac:dyDescent="0.25">
      <c r="A334" s="15" t="s">
        <v>51</v>
      </c>
      <c r="B334" s="11" t="s">
        <v>65</v>
      </c>
      <c r="C334" s="15"/>
      <c r="D334" s="16" t="s">
        <v>12</v>
      </c>
      <c r="E334" s="17">
        <v>0</v>
      </c>
      <c r="F334" s="18">
        <f>E334* 0.924936238310357</f>
        <v>0</v>
      </c>
      <c r="G334" s="18">
        <f>E334* 0.0351064361799663</f>
        <v>0</v>
      </c>
      <c r="H334" s="18">
        <f>E334* 0.039932320925503</f>
        <v>0</v>
      </c>
    </row>
    <row r="335" spans="1:8" ht="15.75" hidden="1" customHeight="1" x14ac:dyDescent="0.25">
      <c r="A335" s="15" t="s">
        <v>51</v>
      </c>
      <c r="B335" s="8"/>
      <c r="C335" s="8"/>
      <c r="D335" s="9"/>
      <c r="E335" s="19"/>
    </row>
    <row r="336" spans="1:8" ht="15.75" hidden="1" customHeight="1" x14ac:dyDescent="0.25">
      <c r="A336" s="15" t="s">
        <v>51</v>
      </c>
      <c r="B336" s="11" t="s">
        <v>66</v>
      </c>
      <c r="C336" s="12" t="str">
        <f>B336&amp;"_"&amp;A336</f>
        <v>Chuma_La Paz</v>
      </c>
      <c r="E336" s="13">
        <v>2</v>
      </c>
      <c r="F336" s="14">
        <f t="shared" ref="F336:H336" si="40">SUM(F337:F338)</f>
        <v>1.849872476620714</v>
      </c>
      <c r="G336" s="14">
        <f t="shared" si="40"/>
        <v>7.0212872359932593E-2</v>
      </c>
      <c r="H336" s="14">
        <f t="shared" si="40"/>
        <v>7.9864641851006002E-2</v>
      </c>
    </row>
    <row r="337" spans="1:8" ht="15.75" hidden="1" customHeight="1" x14ac:dyDescent="0.25">
      <c r="A337" s="15" t="s">
        <v>51</v>
      </c>
      <c r="B337" s="11" t="s">
        <v>66</v>
      </c>
      <c r="C337" s="15"/>
      <c r="D337" s="16" t="s">
        <v>17</v>
      </c>
      <c r="E337" s="17">
        <v>0</v>
      </c>
      <c r="F337" s="18">
        <f>E337* 0.916446662218225</f>
        <v>0</v>
      </c>
      <c r="G337" s="18">
        <f>E337* 0.0292436682236212</f>
        <v>0</v>
      </c>
      <c r="H337" s="18">
        <f>E337* 0.0543096695581537</f>
        <v>0</v>
      </c>
    </row>
    <row r="338" spans="1:8" ht="15.75" hidden="1" customHeight="1" x14ac:dyDescent="0.25">
      <c r="A338" s="15" t="s">
        <v>51</v>
      </c>
      <c r="B338" s="11" t="s">
        <v>66</v>
      </c>
      <c r="C338" s="15"/>
      <c r="D338" s="16" t="s">
        <v>12</v>
      </c>
      <c r="E338" s="17">
        <v>2</v>
      </c>
      <c r="F338" s="18">
        <f>E338* 0.924936238310357</f>
        <v>1.849872476620714</v>
      </c>
      <c r="G338" s="18">
        <f>E338* 0.0351064361799663</f>
        <v>7.0212872359932593E-2</v>
      </c>
      <c r="H338" s="18">
        <f>E338* 0.039932320925503</f>
        <v>7.9864641851006002E-2</v>
      </c>
    </row>
    <row r="339" spans="1:8" ht="15.75" hidden="1" customHeight="1" x14ac:dyDescent="0.25">
      <c r="A339" s="15" t="s">
        <v>51</v>
      </c>
      <c r="B339" s="8"/>
      <c r="C339" s="8"/>
      <c r="D339" s="9"/>
      <c r="E339" s="19"/>
    </row>
    <row r="340" spans="1:8" ht="15.75" hidden="1" customHeight="1" x14ac:dyDescent="0.25">
      <c r="A340" s="15" t="s">
        <v>51</v>
      </c>
      <c r="B340" s="11" t="s">
        <v>67</v>
      </c>
      <c r="C340" s="12" t="str">
        <f>B340&amp;"_"&amp;A340</f>
        <v>Collana_La Paz</v>
      </c>
      <c r="E340" s="13">
        <v>127</v>
      </c>
      <c r="F340" s="14">
        <f t="shared" ref="F340:H340" si="41">SUM(F341:F352)</f>
        <v>64.829719053476111</v>
      </c>
      <c r="G340" s="14">
        <f t="shared" si="41"/>
        <v>59.455718061800731</v>
      </c>
      <c r="H340" s="14">
        <f t="shared" si="41"/>
        <v>2.7060856907854811</v>
      </c>
    </row>
    <row r="341" spans="1:8" ht="15.75" hidden="1" customHeight="1" x14ac:dyDescent="0.25">
      <c r="A341" s="15" t="s">
        <v>51</v>
      </c>
      <c r="B341" s="11" t="s">
        <v>67</v>
      </c>
      <c r="C341" s="15"/>
      <c r="D341" s="16" t="s">
        <v>53</v>
      </c>
      <c r="E341" s="17">
        <v>0</v>
      </c>
      <c r="F341" s="20">
        <v>0</v>
      </c>
      <c r="G341" s="20">
        <f>E341</f>
        <v>0</v>
      </c>
      <c r="H341" s="20">
        <v>0</v>
      </c>
    </row>
    <row r="342" spans="1:8" ht="15.75" hidden="1" customHeight="1" x14ac:dyDescent="0.25">
      <c r="A342" s="15" t="s">
        <v>51</v>
      </c>
      <c r="B342" s="11" t="s">
        <v>67</v>
      </c>
      <c r="C342" s="15"/>
      <c r="D342" s="16" t="s">
        <v>15</v>
      </c>
      <c r="E342" s="17">
        <v>8</v>
      </c>
      <c r="F342" s="18">
        <f>E342* 0.981163265034061</f>
        <v>7.8493061202724883</v>
      </c>
      <c r="G342" s="18">
        <f>E342* 0.0027595216829083</f>
        <v>2.2076173463266398E-2</v>
      </c>
      <c r="H342" s="18">
        <f>E342* 0.0160372202151627</f>
        <v>0.12829776172130161</v>
      </c>
    </row>
    <row r="343" spans="1:8" ht="15.75" hidden="1" customHeight="1" x14ac:dyDescent="0.25">
      <c r="A343" s="15" t="s">
        <v>51</v>
      </c>
      <c r="B343" s="11" t="s">
        <v>67</v>
      </c>
      <c r="C343" s="15"/>
      <c r="D343" s="16" t="s">
        <v>16</v>
      </c>
      <c r="E343" s="17">
        <v>3</v>
      </c>
      <c r="F343" s="18">
        <f>E343* 0.142974979378609</f>
        <v>0.42892493813582699</v>
      </c>
      <c r="G343" s="18">
        <f>E343* 0.852350838603245</f>
        <v>2.557052515809735</v>
      </c>
      <c r="H343" s="18">
        <f>E343* 0.00467418201814682</f>
        <v>1.4022546054440459E-2</v>
      </c>
    </row>
    <row r="344" spans="1:8" ht="15.75" hidden="1" customHeight="1" x14ac:dyDescent="0.25">
      <c r="A344" s="15" t="s">
        <v>51</v>
      </c>
      <c r="B344" s="11" t="s">
        <v>67</v>
      </c>
      <c r="C344" s="15"/>
      <c r="D344" s="16" t="s">
        <v>11</v>
      </c>
      <c r="E344" s="17">
        <v>63</v>
      </c>
      <c r="F344" s="18">
        <f>E344* 0.178797409805735</f>
        <v>11.264236817761304</v>
      </c>
      <c r="G344" s="18">
        <f>E344* 0.819278445883441</f>
        <v>51.614542090656784</v>
      </c>
      <c r="H344" s="18">
        <f>E344* 0.00181313598519889</f>
        <v>0.11422756706753007</v>
      </c>
    </row>
    <row r="345" spans="1:8" ht="15.75" hidden="1" customHeight="1" x14ac:dyDescent="0.25">
      <c r="A345" s="15" t="s">
        <v>51</v>
      </c>
      <c r="B345" s="11" t="s">
        <v>67</v>
      </c>
      <c r="C345" s="15"/>
      <c r="D345" s="16" t="s">
        <v>17</v>
      </c>
      <c r="E345" s="17">
        <v>8</v>
      </c>
      <c r="F345" s="18">
        <f>E345* 0.916446662218225</f>
        <v>7.3315732977458001</v>
      </c>
      <c r="G345" s="18">
        <f>E345* 0.0292436682236212</f>
        <v>0.23394934578896959</v>
      </c>
      <c r="H345" s="18">
        <f>E345* 0.0543096695581537</f>
        <v>0.43447735646522961</v>
      </c>
    </row>
    <row r="346" spans="1:8" ht="15.75" hidden="1" customHeight="1" x14ac:dyDescent="0.25">
      <c r="A346" s="15" t="s">
        <v>51</v>
      </c>
      <c r="B346" s="11" t="s">
        <v>67</v>
      </c>
      <c r="C346" s="15"/>
      <c r="D346" s="16" t="s">
        <v>31</v>
      </c>
      <c r="E346" s="17">
        <v>0</v>
      </c>
      <c r="F346" s="18">
        <f>E346* 0.957442434210526</f>
        <v>0</v>
      </c>
      <c r="G346" s="18">
        <f>E346* 0.0158305921052632</f>
        <v>0</v>
      </c>
      <c r="H346" s="18">
        <f>E346* 0.0263157894736842</f>
        <v>0</v>
      </c>
    </row>
    <row r="347" spans="1:8" ht="15.75" hidden="1" customHeight="1" x14ac:dyDescent="0.25">
      <c r="A347" s="15" t="s">
        <v>51</v>
      </c>
      <c r="B347" s="11" t="s">
        <v>67</v>
      </c>
      <c r="C347" s="15"/>
      <c r="D347" s="16" t="s">
        <v>18</v>
      </c>
      <c r="E347" s="17">
        <v>1</v>
      </c>
      <c r="F347" s="18">
        <f>E347* 0.983388008654987</f>
        <v>0.98338800865498699</v>
      </c>
      <c r="G347" s="18">
        <f>E347* 0.0133314720457877</f>
        <v>1.33314720457877E-2</v>
      </c>
      <c r="H347" s="18">
        <f>E347* 0.003210721016263</f>
        <v>3.2107210162630002E-3</v>
      </c>
    </row>
    <row r="348" spans="1:8" ht="15.75" hidden="1" customHeight="1" x14ac:dyDescent="0.25">
      <c r="A348" s="15" t="s">
        <v>51</v>
      </c>
      <c r="B348" s="11" t="s">
        <v>67</v>
      </c>
      <c r="C348" s="15"/>
      <c r="D348" s="16" t="s">
        <v>19</v>
      </c>
      <c r="E348" s="17">
        <v>1</v>
      </c>
      <c r="F348" s="18">
        <f>E348* 0.511826182618262</f>
        <v>0.51182618261826196</v>
      </c>
      <c r="G348" s="18">
        <f>E348* 0.476622662266227</f>
        <v>0.47662266226622702</v>
      </c>
      <c r="H348" s="18">
        <f>E348* 0.0115511551155116</f>
        <v>1.1551155115511601E-2</v>
      </c>
    </row>
    <row r="349" spans="1:8" ht="15.75" hidden="1" customHeight="1" x14ac:dyDescent="0.25">
      <c r="A349" s="15" t="s">
        <v>51</v>
      </c>
      <c r="B349" s="11" t="s">
        <v>67</v>
      </c>
      <c r="C349" s="15"/>
      <c r="D349" s="16" t="s">
        <v>20</v>
      </c>
      <c r="E349" s="17">
        <v>11</v>
      </c>
      <c r="F349" s="18">
        <f>E349* 0.814615536880747</f>
        <v>8.9607709056882161</v>
      </c>
      <c r="G349" s="18">
        <f>E349* 0.0763167839340663</f>
        <v>0.83948462327472928</v>
      </c>
      <c r="H349" s="18">
        <f>E349* 0.109013694193014</f>
        <v>1.1991506361231541</v>
      </c>
    </row>
    <row r="350" spans="1:8" ht="15.75" hidden="1" customHeight="1" x14ac:dyDescent="0.25">
      <c r="A350" s="15" t="s">
        <v>51</v>
      </c>
      <c r="B350" s="11" t="s">
        <v>67</v>
      </c>
      <c r="C350" s="15"/>
      <c r="D350" s="16" t="s">
        <v>21</v>
      </c>
      <c r="E350" s="17">
        <v>9</v>
      </c>
      <c r="F350" s="18">
        <f>E350* 0.999722052365334</f>
        <v>8.9974984712880062</v>
      </c>
      <c r="G350" s="18">
        <v>0</v>
      </c>
      <c r="H350" s="18">
        <f>E350* 0.000277947634665629</f>
        <v>2.5015287119906607E-3</v>
      </c>
    </row>
    <row r="351" spans="1:8" ht="15.75" hidden="1" customHeight="1" x14ac:dyDescent="0.25">
      <c r="A351" s="15" t="s">
        <v>51</v>
      </c>
      <c r="B351" s="11" t="s">
        <v>67</v>
      </c>
      <c r="C351" s="15"/>
      <c r="D351" s="16" t="s">
        <v>28</v>
      </c>
      <c r="E351" s="17">
        <v>3</v>
      </c>
      <c r="F351" s="18">
        <f>E351* 0.00115651503469545</f>
        <v>3.4695451040863499E-3</v>
      </c>
      <c r="G351" s="18">
        <f>E351* 0.998843484965305</f>
        <v>2.9965304548959146</v>
      </c>
      <c r="H351" s="20">
        <v>0</v>
      </c>
    </row>
    <row r="352" spans="1:8" ht="15.75" hidden="1" customHeight="1" x14ac:dyDescent="0.25">
      <c r="A352" s="15" t="s">
        <v>51</v>
      </c>
      <c r="B352" s="11" t="s">
        <v>67</v>
      </c>
      <c r="C352" s="15"/>
      <c r="D352" s="16" t="s">
        <v>12</v>
      </c>
      <c r="E352" s="17">
        <v>20</v>
      </c>
      <c r="F352" s="18">
        <f>E352* 0.924936238310357</f>
        <v>18.49872476620714</v>
      </c>
      <c r="G352" s="18">
        <f>E352* 0.0351064361799663</f>
        <v>0.70212872359932588</v>
      </c>
      <c r="H352" s="18">
        <f>E352* 0.039932320925503</f>
        <v>0.79864641851006002</v>
      </c>
    </row>
    <row r="353" spans="1:8" ht="15.75" hidden="1" customHeight="1" x14ac:dyDescent="0.25">
      <c r="A353" s="15" t="s">
        <v>51</v>
      </c>
      <c r="B353" s="8"/>
      <c r="C353" s="8"/>
      <c r="D353" s="9"/>
      <c r="E353" s="19"/>
    </row>
    <row r="354" spans="1:8" ht="15.75" hidden="1" customHeight="1" x14ac:dyDescent="0.25">
      <c r="A354" s="15" t="s">
        <v>51</v>
      </c>
      <c r="B354" s="11" t="s">
        <v>68</v>
      </c>
      <c r="C354" s="12" t="str">
        <f>B354&amp;"_"&amp;A354</f>
        <v>Colquencha_La Paz</v>
      </c>
      <c r="E354" s="13">
        <v>3</v>
      </c>
      <c r="F354" s="14">
        <f t="shared" ref="F354:H354" si="42">SUM(F355:F361)</f>
        <v>0.50056979899007903</v>
      </c>
      <c r="G354" s="14">
        <f t="shared" si="42"/>
        <v>2.490907730370127</v>
      </c>
      <c r="H354" s="14">
        <f t="shared" si="42"/>
        <v>8.3004539885445996E-3</v>
      </c>
    </row>
    <row r="355" spans="1:8" ht="15.75" hidden="1" customHeight="1" x14ac:dyDescent="0.25">
      <c r="A355" s="15" t="s">
        <v>51</v>
      </c>
      <c r="B355" s="11" t="s">
        <v>68</v>
      </c>
      <c r="C355" s="15"/>
      <c r="D355" s="16" t="s">
        <v>16</v>
      </c>
      <c r="E355" s="17">
        <v>1</v>
      </c>
      <c r="F355" s="18">
        <f>E355* 0.142974979378609</f>
        <v>0.14297497937860901</v>
      </c>
      <c r="G355" s="18">
        <f>E355* 0.852350838603245</f>
        <v>0.85235083860324501</v>
      </c>
      <c r="H355" s="18">
        <f>E355* 0.00467418201814682</f>
        <v>4.6741820181468198E-3</v>
      </c>
    </row>
    <row r="356" spans="1:8" ht="15.75" hidden="1" customHeight="1" x14ac:dyDescent="0.25">
      <c r="A356" s="15" t="s">
        <v>51</v>
      </c>
      <c r="B356" s="11" t="s">
        <v>68</v>
      </c>
      <c r="C356" s="15"/>
      <c r="D356" s="16" t="s">
        <v>11</v>
      </c>
      <c r="E356" s="17">
        <v>2</v>
      </c>
      <c r="F356" s="18">
        <f>E356* 0.178797409805735</f>
        <v>0.35759481961146999</v>
      </c>
      <c r="G356" s="18">
        <f>E356* 0.819278445883441</f>
        <v>1.638556891766882</v>
      </c>
      <c r="H356" s="18">
        <f>E356* 0.00181313598519889</f>
        <v>3.6262719703977798E-3</v>
      </c>
    </row>
    <row r="357" spans="1:8" ht="15.75" hidden="1" customHeight="1" x14ac:dyDescent="0.25">
      <c r="A357" s="15" t="s">
        <v>51</v>
      </c>
      <c r="B357" s="11" t="s">
        <v>68</v>
      </c>
      <c r="C357" s="15"/>
      <c r="D357" s="16" t="s">
        <v>17</v>
      </c>
      <c r="E357" s="17">
        <v>0</v>
      </c>
      <c r="F357" s="18">
        <f>E357* 0.916446662218225</f>
        <v>0</v>
      </c>
      <c r="G357" s="18">
        <f>E357* 0.0292436682236212</f>
        <v>0</v>
      </c>
      <c r="H357" s="18">
        <f>E357* 0.0543096695581537</f>
        <v>0</v>
      </c>
    </row>
    <row r="358" spans="1:8" ht="15.75" hidden="1" customHeight="1" x14ac:dyDescent="0.25">
      <c r="A358" s="15" t="s">
        <v>51</v>
      </c>
      <c r="B358" s="11" t="s">
        <v>68</v>
      </c>
      <c r="C358" s="15"/>
      <c r="D358" s="16" t="s">
        <v>20</v>
      </c>
      <c r="E358" s="17">
        <v>0</v>
      </c>
      <c r="F358" s="18">
        <f>E358* 0.814615536880747</f>
        <v>0</v>
      </c>
      <c r="G358" s="18">
        <f>E358* 0.0763167839340663</f>
        <v>0</v>
      </c>
      <c r="H358" s="18">
        <f>E358* 0.109013694193014</f>
        <v>0</v>
      </c>
    </row>
    <row r="359" spans="1:8" ht="15.75" hidden="1" customHeight="1" x14ac:dyDescent="0.25">
      <c r="A359" s="15" t="s">
        <v>51</v>
      </c>
      <c r="B359" s="11" t="s">
        <v>68</v>
      </c>
      <c r="C359" s="15"/>
      <c r="D359" s="16" t="s">
        <v>21</v>
      </c>
      <c r="E359" s="17">
        <v>0</v>
      </c>
      <c r="F359" s="18">
        <f>E359* 0.999722052365334</f>
        <v>0</v>
      </c>
      <c r="G359" s="18">
        <v>0</v>
      </c>
      <c r="H359" s="18">
        <f>E359* 0.000277947634665629</f>
        <v>0</v>
      </c>
    </row>
    <row r="360" spans="1:8" ht="15.75" hidden="1" customHeight="1" x14ac:dyDescent="0.25">
      <c r="A360" s="15" t="s">
        <v>51</v>
      </c>
      <c r="B360" s="11" t="s">
        <v>68</v>
      </c>
      <c r="C360" s="15"/>
      <c r="D360" s="16" t="s">
        <v>28</v>
      </c>
      <c r="E360" s="17">
        <v>0</v>
      </c>
      <c r="F360" s="18">
        <f>E360* 0.00115651503469545</f>
        <v>0</v>
      </c>
      <c r="G360" s="18">
        <f>E360* 0.998843484965305</f>
        <v>0</v>
      </c>
      <c r="H360" s="20">
        <v>0</v>
      </c>
    </row>
    <row r="361" spans="1:8" ht="15.75" hidden="1" customHeight="1" x14ac:dyDescent="0.25">
      <c r="A361" s="15" t="s">
        <v>51</v>
      </c>
      <c r="B361" s="11" t="s">
        <v>68</v>
      </c>
      <c r="C361" s="15"/>
      <c r="D361" s="16" t="s">
        <v>12</v>
      </c>
      <c r="E361" s="17">
        <v>0</v>
      </c>
      <c r="F361" s="18">
        <f>E361* 0.924936238310357</f>
        <v>0</v>
      </c>
      <c r="G361" s="18">
        <f>E361* 0.0351064361799663</f>
        <v>0</v>
      </c>
      <c r="H361" s="18">
        <f>E361* 0.039932320925503</f>
        <v>0</v>
      </c>
    </row>
    <row r="362" spans="1:8" ht="15.75" hidden="1" customHeight="1" x14ac:dyDescent="0.25">
      <c r="A362" s="15" t="s">
        <v>51</v>
      </c>
      <c r="B362" s="8"/>
      <c r="C362" s="8"/>
      <c r="D362" s="9"/>
      <c r="E362" s="19"/>
    </row>
    <row r="363" spans="1:8" ht="15.75" hidden="1" customHeight="1" x14ac:dyDescent="0.25">
      <c r="A363" s="15" t="s">
        <v>51</v>
      </c>
      <c r="B363" s="11" t="s">
        <v>69</v>
      </c>
      <c r="C363" s="12" t="str">
        <f>B363&amp;"_"&amp;A363</f>
        <v>Colquiri_La Paz</v>
      </c>
      <c r="E363" s="13">
        <v>6</v>
      </c>
      <c r="F363" s="14">
        <f t="shared" ref="F363:H363" si="43">SUM(F364:F371)</f>
        <v>4.7695202969889916</v>
      </c>
      <c r="G363" s="14">
        <f t="shared" si="43"/>
        <v>0.97135955495789217</v>
      </c>
      <c r="H363" s="14">
        <f t="shared" si="43"/>
        <v>0.2589841351433167</v>
      </c>
    </row>
    <row r="364" spans="1:8" ht="15.75" hidden="1" customHeight="1" x14ac:dyDescent="0.25">
      <c r="A364" s="15" t="s">
        <v>51</v>
      </c>
      <c r="B364" s="11" t="s">
        <v>69</v>
      </c>
      <c r="C364" s="15"/>
      <c r="D364" s="16" t="s">
        <v>53</v>
      </c>
      <c r="E364" s="17">
        <v>0</v>
      </c>
      <c r="F364" s="20">
        <v>0</v>
      </c>
      <c r="G364" s="20">
        <f>E364</f>
        <v>0</v>
      </c>
      <c r="H364" s="20">
        <v>0</v>
      </c>
    </row>
    <row r="365" spans="1:8" ht="15.75" hidden="1" customHeight="1" x14ac:dyDescent="0.25">
      <c r="A365" s="15" t="s">
        <v>51</v>
      </c>
      <c r="B365" s="11" t="s">
        <v>69</v>
      </c>
      <c r="C365" s="15"/>
      <c r="D365" s="16" t="s">
        <v>15</v>
      </c>
      <c r="E365" s="17">
        <v>0</v>
      </c>
      <c r="F365" s="18">
        <f>E365* 0.981163265034061</f>
        <v>0</v>
      </c>
      <c r="G365" s="18">
        <f>E365* 0.0027595216829083</f>
        <v>0</v>
      </c>
      <c r="H365" s="18">
        <f>E365* 0.0160372202151627</f>
        <v>0</v>
      </c>
    </row>
    <row r="366" spans="1:8" ht="15.75" hidden="1" customHeight="1" x14ac:dyDescent="0.25">
      <c r="A366" s="15" t="s">
        <v>51</v>
      </c>
      <c r="B366" s="11" t="s">
        <v>69</v>
      </c>
      <c r="C366" s="15"/>
      <c r="D366" s="16" t="s">
        <v>11</v>
      </c>
      <c r="E366" s="17">
        <v>1</v>
      </c>
      <c r="F366" s="18">
        <f>E366* 0.178797409805735</f>
        <v>0.178797409805735</v>
      </c>
      <c r="G366" s="18">
        <f>E366* 0.819278445883441</f>
        <v>0.81927844588344101</v>
      </c>
      <c r="H366" s="18">
        <f>E366* 0.00181313598519889</f>
        <v>1.8131359851988899E-3</v>
      </c>
    </row>
    <row r="367" spans="1:8" ht="15.75" hidden="1" customHeight="1" x14ac:dyDescent="0.25">
      <c r="A367" s="15" t="s">
        <v>51</v>
      </c>
      <c r="B367" s="11" t="s">
        <v>69</v>
      </c>
      <c r="C367" s="15"/>
      <c r="D367" s="16" t="s">
        <v>17</v>
      </c>
      <c r="E367" s="17">
        <v>4</v>
      </c>
      <c r="F367" s="18">
        <f>E367* 0.916446662218225</f>
        <v>3.6657866488729001</v>
      </c>
      <c r="G367" s="18">
        <f>E367* 0.0292436682236212</f>
        <v>0.11697467289448479</v>
      </c>
      <c r="H367" s="18">
        <f>E367* 0.0543096695581537</f>
        <v>0.21723867823261481</v>
      </c>
    </row>
    <row r="368" spans="1:8" ht="15.75" hidden="1" customHeight="1" x14ac:dyDescent="0.25">
      <c r="A368" s="15" t="s">
        <v>51</v>
      </c>
      <c r="B368" s="11" t="s">
        <v>69</v>
      </c>
      <c r="C368" s="15"/>
      <c r="D368" s="16" t="s">
        <v>18</v>
      </c>
      <c r="E368" s="17">
        <v>0</v>
      </c>
      <c r="F368" s="18">
        <f>E368* 0.983388008654987</f>
        <v>0</v>
      </c>
      <c r="G368" s="18">
        <f>E368* 0.0133314720457877</f>
        <v>0</v>
      </c>
      <c r="H368" s="18">
        <f>E368* 0.003210721016263</f>
        <v>0</v>
      </c>
    </row>
    <row r="369" spans="1:8" ht="15.75" hidden="1" customHeight="1" x14ac:dyDescent="0.25">
      <c r="A369" s="15" t="s">
        <v>51</v>
      </c>
      <c r="B369" s="11" t="s">
        <v>69</v>
      </c>
      <c r="C369" s="15"/>
      <c r="D369" s="16" t="s">
        <v>20</v>
      </c>
      <c r="E369" s="17">
        <v>0</v>
      </c>
      <c r="F369" s="18">
        <f>E369* 0.814615536880747</f>
        <v>0</v>
      </c>
      <c r="G369" s="18">
        <f>E369* 0.0763167839340663</f>
        <v>0</v>
      </c>
      <c r="H369" s="18">
        <f>E369* 0.109013694193014</f>
        <v>0</v>
      </c>
    </row>
    <row r="370" spans="1:8" ht="15.75" hidden="1" customHeight="1" x14ac:dyDescent="0.25">
      <c r="A370" s="15" t="s">
        <v>51</v>
      </c>
      <c r="B370" s="11" t="s">
        <v>69</v>
      </c>
      <c r="C370" s="15"/>
      <c r="D370" s="16" t="s">
        <v>21</v>
      </c>
      <c r="E370" s="17">
        <v>0</v>
      </c>
      <c r="F370" s="18">
        <f>E370* 0.999722052365334</f>
        <v>0</v>
      </c>
      <c r="G370" s="18">
        <v>0</v>
      </c>
      <c r="H370" s="18">
        <f>E370* 0.000277947634665629</f>
        <v>0</v>
      </c>
    </row>
    <row r="371" spans="1:8" ht="15.75" hidden="1" customHeight="1" x14ac:dyDescent="0.25">
      <c r="A371" s="15" t="s">
        <v>51</v>
      </c>
      <c r="B371" s="11" t="s">
        <v>69</v>
      </c>
      <c r="C371" s="15"/>
      <c r="D371" s="16" t="s">
        <v>12</v>
      </c>
      <c r="E371" s="17">
        <v>1</v>
      </c>
      <c r="F371" s="18">
        <f>E371* 0.924936238310357</f>
        <v>0.92493623831035698</v>
      </c>
      <c r="G371" s="18">
        <f>E371* 0.0351064361799663</f>
        <v>3.5106436179966297E-2</v>
      </c>
      <c r="H371" s="18">
        <f>E371* 0.039932320925503</f>
        <v>3.9932320925503001E-2</v>
      </c>
    </row>
    <row r="372" spans="1:8" ht="15.75" hidden="1" customHeight="1" x14ac:dyDescent="0.25">
      <c r="A372" s="15" t="s">
        <v>51</v>
      </c>
      <c r="B372" s="8"/>
      <c r="C372" s="8"/>
      <c r="D372" s="9"/>
      <c r="E372" s="19"/>
    </row>
    <row r="373" spans="1:8" ht="15.75" hidden="1" customHeight="1" x14ac:dyDescent="0.25">
      <c r="A373" s="15" t="s">
        <v>51</v>
      </c>
      <c r="B373" s="11" t="s">
        <v>70</v>
      </c>
      <c r="C373" s="12" t="str">
        <f>B373&amp;"_"&amp;A373</f>
        <v>Copacabana_La Paz</v>
      </c>
      <c r="E373" s="13">
        <v>2</v>
      </c>
      <c r="F373" s="14">
        <f t="shared" ref="F373:H373" si="44">SUM(F374:F376)</f>
        <v>1.849872476620714</v>
      </c>
      <c r="G373" s="14">
        <f t="shared" si="44"/>
        <v>7.0212872359932593E-2</v>
      </c>
      <c r="H373" s="14">
        <f t="shared" si="44"/>
        <v>7.9864641851006002E-2</v>
      </c>
    </row>
    <row r="374" spans="1:8" ht="15.75" hidden="1" customHeight="1" x14ac:dyDescent="0.25">
      <c r="A374" s="15" t="s">
        <v>51</v>
      </c>
      <c r="B374" s="11" t="s">
        <v>70</v>
      </c>
      <c r="C374" s="15"/>
      <c r="D374" s="16" t="s">
        <v>16</v>
      </c>
      <c r="E374" s="17">
        <v>0</v>
      </c>
      <c r="F374" s="18">
        <f>E374* 0.142974979378609</f>
        <v>0</v>
      </c>
      <c r="G374" s="18">
        <f>E374* 0.852350838603245</f>
        <v>0</v>
      </c>
      <c r="H374" s="18">
        <f>E374* 0.00467418201814682</f>
        <v>0</v>
      </c>
    </row>
    <row r="375" spans="1:8" ht="15.75" hidden="1" customHeight="1" x14ac:dyDescent="0.25">
      <c r="A375" s="15" t="s">
        <v>51</v>
      </c>
      <c r="B375" s="11" t="s">
        <v>70</v>
      </c>
      <c r="C375" s="15"/>
      <c r="D375" s="16" t="s">
        <v>18</v>
      </c>
      <c r="E375" s="17">
        <v>0</v>
      </c>
      <c r="F375" s="18">
        <f>E375* 0.983388008654987</f>
        <v>0</v>
      </c>
      <c r="G375" s="18">
        <f>E375* 0.0133314720457877</f>
        <v>0</v>
      </c>
      <c r="H375" s="18">
        <f>E375* 0.003210721016263</f>
        <v>0</v>
      </c>
    </row>
    <row r="376" spans="1:8" ht="15.75" hidden="1" customHeight="1" x14ac:dyDescent="0.25">
      <c r="A376" s="15" t="s">
        <v>51</v>
      </c>
      <c r="B376" s="11" t="s">
        <v>70</v>
      </c>
      <c r="C376" s="15"/>
      <c r="D376" s="16" t="s">
        <v>12</v>
      </c>
      <c r="E376" s="17">
        <v>2</v>
      </c>
      <c r="F376" s="18">
        <f>E376* 0.924936238310357</f>
        <v>1.849872476620714</v>
      </c>
      <c r="G376" s="18">
        <f>E376* 0.0351064361799663</f>
        <v>7.0212872359932593E-2</v>
      </c>
      <c r="H376" s="18">
        <f>E376* 0.039932320925503</f>
        <v>7.9864641851006002E-2</v>
      </c>
    </row>
    <row r="377" spans="1:8" ht="15.75" hidden="1" customHeight="1" x14ac:dyDescent="0.25">
      <c r="A377" s="15" t="s">
        <v>51</v>
      </c>
      <c r="B377" s="8"/>
      <c r="C377" s="8"/>
      <c r="D377" s="9"/>
      <c r="E377" s="19"/>
    </row>
    <row r="378" spans="1:8" ht="15.75" hidden="1" customHeight="1" x14ac:dyDescent="0.25">
      <c r="A378" s="15" t="s">
        <v>51</v>
      </c>
      <c r="B378" s="11" t="s">
        <v>71</v>
      </c>
      <c r="C378" s="12" t="str">
        <f>B378&amp;"_"&amp;A378</f>
        <v>Coro Coro_La Paz</v>
      </c>
      <c r="E378" s="13">
        <v>1</v>
      </c>
      <c r="F378" s="14">
        <f t="shared" ref="F378:H378" si="45">SUM(F379)</f>
        <v>0.178797409805735</v>
      </c>
      <c r="G378" s="14">
        <f t="shared" si="45"/>
        <v>0.81927844588344101</v>
      </c>
      <c r="H378" s="14">
        <f t="shared" si="45"/>
        <v>1.8131359851988899E-3</v>
      </c>
    </row>
    <row r="379" spans="1:8" ht="15.75" hidden="1" customHeight="1" x14ac:dyDescent="0.25">
      <c r="A379" s="15" t="s">
        <v>51</v>
      </c>
      <c r="B379" s="11" t="s">
        <v>71</v>
      </c>
      <c r="C379" s="15"/>
      <c r="D379" s="16" t="s">
        <v>11</v>
      </c>
      <c r="E379" s="17">
        <v>1</v>
      </c>
      <c r="F379" s="18">
        <f>E379* 0.178797409805735</f>
        <v>0.178797409805735</v>
      </c>
      <c r="G379" s="18">
        <f>E379* 0.819278445883441</f>
        <v>0.81927844588344101</v>
      </c>
      <c r="H379" s="18">
        <f>E379* 0.00181313598519889</f>
        <v>1.8131359851988899E-3</v>
      </c>
    </row>
    <row r="380" spans="1:8" ht="15.75" hidden="1" customHeight="1" x14ac:dyDescent="0.25">
      <c r="A380" s="15" t="s">
        <v>51</v>
      </c>
      <c r="B380" s="8"/>
      <c r="C380" s="8"/>
      <c r="D380" s="9"/>
      <c r="E380" s="19"/>
    </row>
    <row r="381" spans="1:8" ht="15.75" hidden="1" customHeight="1" x14ac:dyDescent="0.25">
      <c r="A381" s="15" t="s">
        <v>51</v>
      </c>
      <c r="B381" s="11" t="s">
        <v>72</v>
      </c>
      <c r="C381" s="12" t="str">
        <f>B381&amp;"_"&amp;A381</f>
        <v>Coroico_La Paz</v>
      </c>
      <c r="E381" s="13">
        <v>29</v>
      </c>
      <c r="F381" s="14">
        <f t="shared" ref="F381:H381" si="46">SUM(F382:F389)</f>
        <v>15.988238912425151</v>
      </c>
      <c r="G381" s="14">
        <f t="shared" si="46"/>
        <v>12.531583396640171</v>
      </c>
      <c r="H381" s="14">
        <f t="shared" si="46"/>
        <v>0.47821299721290172</v>
      </c>
    </row>
    <row r="382" spans="1:8" ht="15.75" hidden="1" customHeight="1" x14ac:dyDescent="0.25">
      <c r="A382" s="15" t="s">
        <v>51</v>
      </c>
      <c r="B382" s="11" t="s">
        <v>72</v>
      </c>
      <c r="C382" s="15"/>
      <c r="D382" s="16" t="s">
        <v>15</v>
      </c>
      <c r="E382" s="17">
        <v>4</v>
      </c>
      <c r="F382" s="18">
        <f>E382* 0.981163265034061</f>
        <v>3.9246530601362442</v>
      </c>
      <c r="G382" s="18">
        <f>E382* 0.0027595216829083</f>
        <v>1.1038086731633199E-2</v>
      </c>
      <c r="H382" s="18">
        <f>E382* 0.0160372202151627</f>
        <v>6.4148880860650806E-2</v>
      </c>
    </row>
    <row r="383" spans="1:8" ht="15.75" hidden="1" customHeight="1" x14ac:dyDescent="0.25">
      <c r="A383" s="15" t="s">
        <v>51</v>
      </c>
      <c r="B383" s="11" t="s">
        <v>72</v>
      </c>
      <c r="C383" s="15"/>
      <c r="D383" s="16" t="s">
        <v>11</v>
      </c>
      <c r="E383" s="17">
        <v>15</v>
      </c>
      <c r="F383" s="18">
        <f>E383* 0.178797409805735</f>
        <v>2.681961147086025</v>
      </c>
      <c r="G383" s="18">
        <f>E383* 0.819278445883441</f>
        <v>12.289176688251615</v>
      </c>
      <c r="H383" s="18">
        <f>E383* 0.00181313598519889</f>
        <v>2.7197039777983351E-2</v>
      </c>
    </row>
    <row r="384" spans="1:8" ht="15.75" hidden="1" customHeight="1" x14ac:dyDescent="0.25">
      <c r="A384" s="15" t="s">
        <v>51</v>
      </c>
      <c r="B384" s="11" t="s">
        <v>72</v>
      </c>
      <c r="C384" s="15"/>
      <c r="D384" s="16" t="s">
        <v>17</v>
      </c>
      <c r="E384" s="17">
        <v>7</v>
      </c>
      <c r="F384" s="18">
        <f>E384* 0.916446662218225</f>
        <v>6.4151266355275753</v>
      </c>
      <c r="G384" s="18">
        <f>E384* 0.0292436682236212</f>
        <v>0.20470567756534838</v>
      </c>
      <c r="H384" s="18">
        <f>E384* 0.0543096695581537</f>
        <v>0.38016768690707592</v>
      </c>
    </row>
    <row r="385" spans="1:8" ht="15.75" hidden="1" customHeight="1" x14ac:dyDescent="0.25">
      <c r="A385" s="15" t="s">
        <v>51</v>
      </c>
      <c r="B385" s="11" t="s">
        <v>72</v>
      </c>
      <c r="C385" s="15"/>
      <c r="D385" s="16" t="s">
        <v>31</v>
      </c>
      <c r="E385" s="17">
        <v>0</v>
      </c>
      <c r="F385" s="18">
        <f>E385* 0.957442434210526</f>
        <v>0</v>
      </c>
      <c r="G385" s="18">
        <f>E385* 0.0158305921052632</f>
        <v>0</v>
      </c>
      <c r="H385" s="18">
        <f>E385* 0.0263157894736842</f>
        <v>0</v>
      </c>
    </row>
    <row r="386" spans="1:8" ht="15.75" hidden="1" customHeight="1" x14ac:dyDescent="0.25">
      <c r="A386" s="15" t="s">
        <v>51</v>
      </c>
      <c r="B386" s="11" t="s">
        <v>72</v>
      </c>
      <c r="C386" s="15"/>
      <c r="D386" s="16" t="s">
        <v>18</v>
      </c>
      <c r="E386" s="17">
        <v>2</v>
      </c>
      <c r="F386" s="18">
        <f>E386* 0.983388008654987</f>
        <v>1.966776017309974</v>
      </c>
      <c r="G386" s="18">
        <f>E386* 0.0133314720457877</f>
        <v>2.6662944091575401E-2</v>
      </c>
      <c r="H386" s="18">
        <f>E386* 0.003210721016263</f>
        <v>6.4214420325260004E-3</v>
      </c>
    </row>
    <row r="387" spans="1:8" ht="15.75" hidden="1" customHeight="1" x14ac:dyDescent="0.25">
      <c r="A387" s="15" t="s">
        <v>51</v>
      </c>
      <c r="B387" s="11" t="s">
        <v>72</v>
      </c>
      <c r="C387" s="15"/>
      <c r="D387" s="16" t="s">
        <v>20</v>
      </c>
      <c r="E387" s="17">
        <v>0</v>
      </c>
      <c r="F387" s="18">
        <f>E387* 0.814615536880747</f>
        <v>0</v>
      </c>
      <c r="G387" s="18">
        <f>E387* 0.0763167839340663</f>
        <v>0</v>
      </c>
      <c r="H387" s="18">
        <f>E387* 0.109013694193014</f>
        <v>0</v>
      </c>
    </row>
    <row r="388" spans="1:8" ht="15.75" hidden="1" customHeight="1" x14ac:dyDescent="0.25">
      <c r="A388" s="15" t="s">
        <v>51</v>
      </c>
      <c r="B388" s="11" t="s">
        <v>72</v>
      </c>
      <c r="C388" s="15"/>
      <c r="D388" s="16" t="s">
        <v>21</v>
      </c>
      <c r="E388" s="17">
        <v>1</v>
      </c>
      <c r="F388" s="18">
        <f>E388* 0.999722052365334</f>
        <v>0.99972205236533396</v>
      </c>
      <c r="G388" s="18">
        <v>0</v>
      </c>
      <c r="H388" s="18">
        <f>E388* 0.000277947634665629</f>
        <v>2.7794763466562898E-4</v>
      </c>
    </row>
    <row r="389" spans="1:8" ht="15.75" hidden="1" customHeight="1" x14ac:dyDescent="0.25">
      <c r="A389" s="15" t="s">
        <v>51</v>
      </c>
      <c r="B389" s="11" t="s">
        <v>72</v>
      </c>
      <c r="C389" s="15"/>
      <c r="D389" s="16" t="s">
        <v>12</v>
      </c>
      <c r="E389" s="17">
        <v>0</v>
      </c>
      <c r="F389" s="18">
        <f>E389* 0.924936238310357</f>
        <v>0</v>
      </c>
      <c r="G389" s="18">
        <f>E389* 0.0351064361799663</f>
        <v>0</v>
      </c>
      <c r="H389" s="18">
        <f>E389* 0.039932320925503</f>
        <v>0</v>
      </c>
    </row>
    <row r="390" spans="1:8" ht="15.75" hidden="1" customHeight="1" x14ac:dyDescent="0.25">
      <c r="A390" s="15" t="s">
        <v>51</v>
      </c>
      <c r="B390" s="8"/>
      <c r="C390" s="8"/>
      <c r="D390" s="9"/>
      <c r="E390" s="19"/>
    </row>
    <row r="391" spans="1:8" ht="15.75" hidden="1" customHeight="1" x14ac:dyDescent="0.25">
      <c r="A391" s="15" t="s">
        <v>51</v>
      </c>
      <c r="B391" s="11" t="s">
        <v>73</v>
      </c>
      <c r="C391" s="12" t="str">
        <f>B391&amp;"_"&amp;A391</f>
        <v>Desaguadero_La Paz</v>
      </c>
      <c r="E391" s="13">
        <v>3</v>
      </c>
      <c r="F391" s="14">
        <f t="shared" ref="F391:H391" si="47">SUM(F392:F404)</f>
        <v>0.86942100222973195</v>
      </c>
      <c r="G391" s="14">
        <f t="shared" si="47"/>
        <v>2.1151795540331091</v>
      </c>
      <c r="H391" s="14">
        <f t="shared" si="47"/>
        <v>1.5177427085909381E-2</v>
      </c>
    </row>
    <row r="392" spans="1:8" ht="15.75" hidden="1" customHeight="1" x14ac:dyDescent="0.25">
      <c r="A392" s="15" t="s">
        <v>51</v>
      </c>
      <c r="B392" s="11" t="s">
        <v>73</v>
      </c>
      <c r="C392" s="15"/>
      <c r="D392" s="16" t="s">
        <v>53</v>
      </c>
      <c r="E392" s="17">
        <v>0</v>
      </c>
      <c r="F392" s="20">
        <v>0</v>
      </c>
      <c r="G392" s="20">
        <f>E392</f>
        <v>0</v>
      </c>
      <c r="H392" s="20">
        <v>0</v>
      </c>
    </row>
    <row r="393" spans="1:8" ht="15.75" hidden="1" customHeight="1" x14ac:dyDescent="0.25">
      <c r="A393" s="15" t="s">
        <v>51</v>
      </c>
      <c r="B393" s="11" t="s">
        <v>73</v>
      </c>
      <c r="C393" s="15"/>
      <c r="D393" s="16" t="s">
        <v>15</v>
      </c>
      <c r="E393" s="17">
        <v>0</v>
      </c>
      <c r="F393" s="18">
        <f>E393* 0.981163265034061</f>
        <v>0</v>
      </c>
      <c r="G393" s="18">
        <f>E393* 0.0027595216829083</f>
        <v>0</v>
      </c>
      <c r="H393" s="18">
        <f>E393* 0.0160372202151627</f>
        <v>0</v>
      </c>
    </row>
    <row r="394" spans="1:8" ht="15.75" hidden="1" customHeight="1" x14ac:dyDescent="0.25">
      <c r="A394" s="15" t="s">
        <v>51</v>
      </c>
      <c r="B394" s="11" t="s">
        <v>73</v>
      </c>
      <c r="C394" s="15"/>
      <c r="D394" s="16" t="s">
        <v>16</v>
      </c>
      <c r="E394" s="17">
        <v>0</v>
      </c>
      <c r="F394" s="18">
        <f>E394* 0.142974979378609</f>
        <v>0</v>
      </c>
      <c r="G394" s="18">
        <f>E394* 0.852350838603245</f>
        <v>0</v>
      </c>
      <c r="H394" s="18">
        <f>E394* 0.00467418201814682</f>
        <v>0</v>
      </c>
    </row>
    <row r="395" spans="1:8" ht="15.75" hidden="1" customHeight="1" x14ac:dyDescent="0.25">
      <c r="A395" s="15" t="s">
        <v>51</v>
      </c>
      <c r="B395" s="11" t="s">
        <v>73</v>
      </c>
      <c r="C395" s="15"/>
      <c r="D395" s="16" t="s">
        <v>11</v>
      </c>
      <c r="E395" s="17">
        <v>2</v>
      </c>
      <c r="F395" s="18">
        <f>E395* 0.178797409805735</f>
        <v>0.35759481961146999</v>
      </c>
      <c r="G395" s="18">
        <f>E395* 0.819278445883441</f>
        <v>1.638556891766882</v>
      </c>
      <c r="H395" s="18">
        <f>E395* 0.00181313598519889</f>
        <v>3.6262719703977798E-3</v>
      </c>
    </row>
    <row r="396" spans="1:8" ht="15.75" hidden="1" customHeight="1" x14ac:dyDescent="0.25">
      <c r="A396" s="15" t="s">
        <v>51</v>
      </c>
      <c r="B396" s="11" t="s">
        <v>73</v>
      </c>
      <c r="C396" s="15"/>
      <c r="D396" s="16" t="s">
        <v>17</v>
      </c>
      <c r="E396" s="17">
        <v>0</v>
      </c>
      <c r="F396" s="18">
        <f>E396* 0.916446662218225</f>
        <v>0</v>
      </c>
      <c r="G396" s="18">
        <f>E396* 0.0292436682236212</f>
        <v>0</v>
      </c>
      <c r="H396" s="18">
        <f>E396* 0.0543096695581537</f>
        <v>0</v>
      </c>
    </row>
    <row r="397" spans="1:8" ht="15.75" hidden="1" customHeight="1" x14ac:dyDescent="0.25">
      <c r="A397" s="15" t="s">
        <v>51</v>
      </c>
      <c r="B397" s="11" t="s">
        <v>73</v>
      </c>
      <c r="C397" s="15"/>
      <c r="D397" s="16" t="s">
        <v>31</v>
      </c>
      <c r="E397" s="17">
        <v>0</v>
      </c>
      <c r="F397" s="18">
        <f>E397* 0.957442434210526</f>
        <v>0</v>
      </c>
      <c r="G397" s="18">
        <f>E397* 0.0158305921052632</f>
        <v>0</v>
      </c>
      <c r="H397" s="18">
        <f>E397* 0.0263157894736842</f>
        <v>0</v>
      </c>
    </row>
    <row r="398" spans="1:8" ht="15.75" hidden="1" customHeight="1" x14ac:dyDescent="0.25">
      <c r="A398" s="15" t="s">
        <v>51</v>
      </c>
      <c r="B398" s="11" t="s">
        <v>73</v>
      </c>
      <c r="C398" s="15"/>
      <c r="D398" s="16" t="s">
        <v>18</v>
      </c>
      <c r="E398" s="17">
        <v>0</v>
      </c>
      <c r="F398" s="18">
        <f>E398* 0.983388008654987</f>
        <v>0</v>
      </c>
      <c r="G398" s="18">
        <f>E398* 0.0133314720457877</f>
        <v>0</v>
      </c>
      <c r="H398" s="18">
        <f>E398* 0.003210721016263</f>
        <v>0</v>
      </c>
    </row>
    <row r="399" spans="1:8" ht="15.75" hidden="1" customHeight="1" x14ac:dyDescent="0.25">
      <c r="A399" s="15" t="s">
        <v>51</v>
      </c>
      <c r="B399" s="11" t="s">
        <v>73</v>
      </c>
      <c r="C399" s="15"/>
      <c r="D399" s="16" t="s">
        <v>19</v>
      </c>
      <c r="E399" s="17">
        <v>1</v>
      </c>
      <c r="F399" s="18">
        <f>E399* 0.511826182618262</f>
        <v>0.51182618261826196</v>
      </c>
      <c r="G399" s="18">
        <f>E399* 0.476622662266227</f>
        <v>0.47662266226622702</v>
      </c>
      <c r="H399" s="18">
        <f>E399* 0.0115511551155116</f>
        <v>1.1551155115511601E-2</v>
      </c>
    </row>
    <row r="400" spans="1:8" ht="15.75" hidden="1" customHeight="1" x14ac:dyDescent="0.25">
      <c r="A400" s="15" t="s">
        <v>51</v>
      </c>
      <c r="B400" s="11" t="s">
        <v>73</v>
      </c>
      <c r="C400" s="15"/>
      <c r="D400" s="16" t="s">
        <v>20</v>
      </c>
      <c r="E400" s="17">
        <v>0</v>
      </c>
      <c r="F400" s="18">
        <f>E400* 0.814615536880747</f>
        <v>0</v>
      </c>
      <c r="G400" s="18">
        <f>E400* 0.0763167839340663</f>
        <v>0</v>
      </c>
      <c r="H400" s="18">
        <f>E400* 0.109013694193014</f>
        <v>0</v>
      </c>
    </row>
    <row r="401" spans="1:8" ht="15.75" hidden="1" customHeight="1" x14ac:dyDescent="0.25">
      <c r="A401" s="15" t="s">
        <v>51</v>
      </c>
      <c r="B401" s="11" t="s">
        <v>73</v>
      </c>
      <c r="C401" s="15"/>
      <c r="D401" s="16" t="s">
        <v>21</v>
      </c>
      <c r="E401" s="17">
        <v>0</v>
      </c>
      <c r="F401" s="18">
        <f>E401* 0.999722052365334</f>
        <v>0</v>
      </c>
      <c r="G401" s="18">
        <v>0</v>
      </c>
      <c r="H401" s="18">
        <f>E401* 0.000277947634665629</f>
        <v>0</v>
      </c>
    </row>
    <row r="402" spans="1:8" ht="15.75" hidden="1" customHeight="1" x14ac:dyDescent="0.25">
      <c r="A402" s="15" t="s">
        <v>51</v>
      </c>
      <c r="B402" s="11" t="s">
        <v>73</v>
      </c>
      <c r="C402" s="15"/>
      <c r="D402" s="16" t="s">
        <v>36</v>
      </c>
      <c r="E402" s="17">
        <v>0</v>
      </c>
      <c r="F402" s="18">
        <f>E402* 0.999132697311362</f>
        <v>0</v>
      </c>
      <c r="G402" s="20">
        <v>0</v>
      </c>
      <c r="H402" s="18">
        <f>E402* 0.000867302688638335</f>
        <v>0</v>
      </c>
    </row>
    <row r="403" spans="1:8" ht="15.75" hidden="1" customHeight="1" x14ac:dyDescent="0.25">
      <c r="A403" s="15" t="s">
        <v>51</v>
      </c>
      <c r="B403" s="11" t="s">
        <v>73</v>
      </c>
      <c r="C403" s="15"/>
      <c r="D403" s="16" t="s">
        <v>28</v>
      </c>
      <c r="E403" s="17">
        <v>0</v>
      </c>
      <c r="F403" s="18">
        <f>E403* 0.00115651503469545</f>
        <v>0</v>
      </c>
      <c r="G403" s="18">
        <f>E403* 0.998843484965305</f>
        <v>0</v>
      </c>
      <c r="H403" s="20">
        <v>0</v>
      </c>
    </row>
    <row r="404" spans="1:8" ht="15.75" hidden="1" customHeight="1" x14ac:dyDescent="0.25">
      <c r="A404" s="15" t="s">
        <v>51</v>
      </c>
      <c r="B404" s="11" t="s">
        <v>73</v>
      </c>
      <c r="C404" s="15"/>
      <c r="D404" s="16" t="s">
        <v>12</v>
      </c>
      <c r="E404" s="17">
        <v>0</v>
      </c>
      <c r="F404" s="18">
        <f>E404* 0.924936238310357</f>
        <v>0</v>
      </c>
      <c r="G404" s="18">
        <f>E404* 0.0351064361799663</f>
        <v>0</v>
      </c>
      <c r="H404" s="18">
        <f>E404* 0.039932320925503</f>
        <v>0</v>
      </c>
    </row>
    <row r="405" spans="1:8" ht="15.75" hidden="1" customHeight="1" x14ac:dyDescent="0.25">
      <c r="A405" s="15" t="s">
        <v>51</v>
      </c>
      <c r="B405" s="8"/>
      <c r="C405" s="8"/>
      <c r="D405" s="9"/>
      <c r="E405" s="19"/>
    </row>
    <row r="406" spans="1:8" ht="15.75" hidden="1" customHeight="1" x14ac:dyDescent="0.25">
      <c r="A406" s="15" t="s">
        <v>51</v>
      </c>
      <c r="B406" s="11" t="s">
        <v>74</v>
      </c>
      <c r="C406" s="12" t="str">
        <f>B406&amp;"_"&amp;A406</f>
        <v>El Alto_La Paz</v>
      </c>
      <c r="E406" s="22">
        <v>102242</v>
      </c>
      <c r="F406" s="14">
        <f t="shared" ref="F406:H406" si="48">SUM(F407:F421)</f>
        <v>79476.858631512165</v>
      </c>
      <c r="G406" s="14">
        <f t="shared" si="48"/>
        <v>18063.962773462248</v>
      </c>
      <c r="H406" s="14">
        <f t="shared" si="48"/>
        <v>4696.6931843712564</v>
      </c>
    </row>
    <row r="407" spans="1:8" ht="15.75" hidden="1" customHeight="1" x14ac:dyDescent="0.25">
      <c r="A407" s="15" t="s">
        <v>51</v>
      </c>
      <c r="B407" s="11" t="s">
        <v>74</v>
      </c>
      <c r="C407" s="15"/>
      <c r="D407" s="16" t="s">
        <v>53</v>
      </c>
      <c r="E407" s="17">
        <v>0</v>
      </c>
      <c r="F407" s="20">
        <v>0</v>
      </c>
      <c r="G407" s="20">
        <f>E407</f>
        <v>0</v>
      </c>
      <c r="H407" s="20">
        <v>0</v>
      </c>
    </row>
    <row r="408" spans="1:8" ht="15.75" hidden="1" customHeight="1" x14ac:dyDescent="0.25">
      <c r="A408" s="15" t="s">
        <v>51</v>
      </c>
      <c r="B408" s="11" t="s">
        <v>74</v>
      </c>
      <c r="C408" s="15"/>
      <c r="D408" s="16" t="s">
        <v>15</v>
      </c>
      <c r="E408" s="23">
        <v>11343</v>
      </c>
      <c r="F408" s="18">
        <f>E408* 0.981163265034061</f>
        <v>11129.334915281353</v>
      </c>
      <c r="G408" s="18">
        <f>E408* 0.0027595216829083</f>
        <v>31.301254449228846</v>
      </c>
      <c r="H408" s="18">
        <f>E408* 0.0160372202151627</f>
        <v>181.91018890059053</v>
      </c>
    </row>
    <row r="409" spans="1:8" ht="15.75" hidden="1" customHeight="1" x14ac:dyDescent="0.25">
      <c r="A409" s="15" t="s">
        <v>51</v>
      </c>
      <c r="B409" s="11" t="s">
        <v>74</v>
      </c>
      <c r="C409" s="15"/>
      <c r="D409" s="16" t="s">
        <v>16</v>
      </c>
      <c r="E409" s="23">
        <v>1636</v>
      </c>
      <c r="F409" s="18">
        <f>E409* 0.142974979378609</f>
        <v>233.90706626340435</v>
      </c>
      <c r="G409" s="18">
        <f>E409* 0.852350838603245</f>
        <v>1394.4459719549088</v>
      </c>
      <c r="H409" s="18">
        <f>E409* 0.00467418201814682</f>
        <v>7.646961781688197</v>
      </c>
    </row>
    <row r="410" spans="1:8" ht="15.75" hidden="1" customHeight="1" x14ac:dyDescent="0.25">
      <c r="A410" s="15" t="s">
        <v>51</v>
      </c>
      <c r="B410" s="11" t="s">
        <v>74</v>
      </c>
      <c r="C410" s="15"/>
      <c r="D410" s="16" t="s">
        <v>11</v>
      </c>
      <c r="E410" s="23">
        <v>11454</v>
      </c>
      <c r="F410" s="18">
        <f>E410* 0.178797409805735</f>
        <v>2047.9455319148888</v>
      </c>
      <c r="G410" s="18">
        <f>E410* 0.819278445883441</f>
        <v>9384.0153191489335</v>
      </c>
      <c r="H410" s="18">
        <f>E410* 0.00181313598519889</f>
        <v>20.767659574468084</v>
      </c>
    </row>
    <row r="411" spans="1:8" ht="15.75" hidden="1" customHeight="1" x14ac:dyDescent="0.25">
      <c r="A411" s="15" t="s">
        <v>51</v>
      </c>
      <c r="B411" s="11" t="s">
        <v>74</v>
      </c>
      <c r="C411" s="15"/>
      <c r="D411" s="16" t="s">
        <v>17</v>
      </c>
      <c r="E411" s="23">
        <v>7779</v>
      </c>
      <c r="F411" s="18">
        <f>E411* 0.916446662218225</f>
        <v>7129.0385853955722</v>
      </c>
      <c r="G411" s="18">
        <f>E411* 0.0292436682236212</f>
        <v>227.48649511154929</v>
      </c>
      <c r="H411" s="18">
        <f>E411* 0.0543096695581537</f>
        <v>422.47491949287763</v>
      </c>
    </row>
    <row r="412" spans="1:8" ht="15.75" hidden="1" customHeight="1" x14ac:dyDescent="0.25">
      <c r="A412" s="15" t="s">
        <v>51</v>
      </c>
      <c r="B412" s="11" t="s">
        <v>74</v>
      </c>
      <c r="C412" s="15"/>
      <c r="D412" s="16" t="s">
        <v>31</v>
      </c>
      <c r="E412" s="23">
        <v>1192</v>
      </c>
      <c r="F412" s="18">
        <f>E412* 0.957442434210526</f>
        <v>1141.2713815789471</v>
      </c>
      <c r="G412" s="18">
        <f>E412* 0.0158305921052632</f>
        <v>18.870065789473731</v>
      </c>
      <c r="H412" s="18">
        <f>E412* 0.0263157894736842</f>
        <v>31.368421052631565</v>
      </c>
    </row>
    <row r="413" spans="1:8" ht="15.75" hidden="1" customHeight="1" x14ac:dyDescent="0.25">
      <c r="A413" s="15" t="s">
        <v>51</v>
      </c>
      <c r="B413" s="11" t="s">
        <v>74</v>
      </c>
      <c r="C413" s="15"/>
      <c r="D413" s="16" t="s">
        <v>18</v>
      </c>
      <c r="E413" s="23">
        <v>1850</v>
      </c>
      <c r="F413" s="18">
        <f>E413* 0.983388008654987</f>
        <v>1819.2678160117259</v>
      </c>
      <c r="G413" s="18">
        <f>E413* 0.0133314720457877</f>
        <v>24.663223284707247</v>
      </c>
      <c r="H413" s="18">
        <f>E413* 0.003210721016263</f>
        <v>5.9398338800865504</v>
      </c>
    </row>
    <row r="414" spans="1:8" ht="15.75" hidden="1" customHeight="1" x14ac:dyDescent="0.25">
      <c r="A414" s="15" t="s">
        <v>51</v>
      </c>
      <c r="B414" s="11" t="s">
        <v>74</v>
      </c>
      <c r="C414" s="15"/>
      <c r="D414" s="16" t="s">
        <v>19</v>
      </c>
      <c r="E414" s="23">
        <v>1462</v>
      </c>
      <c r="F414" s="18">
        <f>E414* 0.511826182618262</f>
        <v>748.28987898789899</v>
      </c>
      <c r="G414" s="18">
        <f>E414* 0.476622662266227</f>
        <v>696.82233223322385</v>
      </c>
      <c r="H414" s="18">
        <f>E414* 0.0115511551155116</f>
        <v>16.887788778877962</v>
      </c>
    </row>
    <row r="415" spans="1:8" ht="15.75" hidden="1" customHeight="1" x14ac:dyDescent="0.25">
      <c r="A415" s="15" t="s">
        <v>51</v>
      </c>
      <c r="B415" s="11" t="s">
        <v>74</v>
      </c>
      <c r="C415" s="15"/>
      <c r="D415" s="16" t="s">
        <v>20</v>
      </c>
      <c r="E415" s="23">
        <v>25818</v>
      </c>
      <c r="F415" s="18">
        <f>E415* 0.814615536880747</f>
        <v>21031.743931187124</v>
      </c>
      <c r="G415" s="18">
        <f>E415* 0.0763167839340663</f>
        <v>1970.3467276097235</v>
      </c>
      <c r="H415" s="18">
        <f>E415* 0.109013694193014</f>
        <v>2814.5155566752355</v>
      </c>
    </row>
    <row r="416" spans="1:8" ht="15.75" hidden="1" customHeight="1" x14ac:dyDescent="0.25">
      <c r="A416" s="15" t="s">
        <v>51</v>
      </c>
      <c r="B416" s="11" t="s">
        <v>74</v>
      </c>
      <c r="C416" s="15"/>
      <c r="D416" s="16" t="s">
        <v>21</v>
      </c>
      <c r="E416" s="23">
        <v>6514</v>
      </c>
      <c r="F416" s="18">
        <f>E416* 0.999722052365334</f>
        <v>6512.1894491077855</v>
      </c>
      <c r="G416" s="18">
        <v>0</v>
      </c>
      <c r="H416" s="18">
        <f>E416* 0.000277947634665629</f>
        <v>1.8105508922119071</v>
      </c>
    </row>
    <row r="417" spans="1:8" ht="15.75" hidden="1" customHeight="1" x14ac:dyDescent="0.25">
      <c r="A417" s="15" t="s">
        <v>51</v>
      </c>
      <c r="B417" s="11" t="s">
        <v>74</v>
      </c>
      <c r="C417" s="15"/>
      <c r="D417" s="16" t="s">
        <v>36</v>
      </c>
      <c r="E417" s="17">
        <v>39</v>
      </c>
      <c r="F417" s="18">
        <f>E417* 0.999132697311362</f>
        <v>38.966175195143116</v>
      </c>
      <c r="G417" s="20">
        <v>0</v>
      </c>
      <c r="H417" s="18">
        <f>E417* 0.000867302688638335</f>
        <v>3.3824804856895062E-2</v>
      </c>
    </row>
    <row r="418" spans="1:8" ht="15.75" hidden="1" customHeight="1" x14ac:dyDescent="0.25">
      <c r="A418" s="15" t="s">
        <v>51</v>
      </c>
      <c r="B418" s="11" t="s">
        <v>74</v>
      </c>
      <c r="C418" s="15"/>
      <c r="D418" s="16" t="s">
        <v>37</v>
      </c>
      <c r="E418" s="17">
        <v>6</v>
      </c>
      <c r="F418" s="18">
        <f>E418* 0.0555555555555556</f>
        <v>0.33333333333333359</v>
      </c>
      <c r="G418" s="18">
        <f>E418* 0.944444444444444</f>
        <v>5.6666666666666643</v>
      </c>
      <c r="H418" s="20">
        <v>0</v>
      </c>
    </row>
    <row r="419" spans="1:8" ht="15.75" hidden="1" customHeight="1" x14ac:dyDescent="0.25">
      <c r="A419" s="15" t="s">
        <v>51</v>
      </c>
      <c r="B419" s="11" t="s">
        <v>74</v>
      </c>
      <c r="C419" s="15"/>
      <c r="D419" s="16" t="s">
        <v>28</v>
      </c>
      <c r="E419" s="23">
        <v>3265</v>
      </c>
      <c r="F419" s="18">
        <f>E419* 0.00115651503469545</f>
        <v>3.7760215882806443</v>
      </c>
      <c r="G419" s="18">
        <f>E419* 0.998843484965305</f>
        <v>3261.2239784117205</v>
      </c>
      <c r="H419" s="20">
        <v>0</v>
      </c>
    </row>
    <row r="420" spans="1:8" ht="15.75" hidden="1" customHeight="1" x14ac:dyDescent="0.25">
      <c r="A420" s="15" t="s">
        <v>51</v>
      </c>
      <c r="B420" s="11" t="s">
        <v>74</v>
      </c>
      <c r="C420" s="15"/>
      <c r="D420" s="16" t="s">
        <v>75</v>
      </c>
      <c r="E420" s="17">
        <v>0</v>
      </c>
      <c r="F420" s="20">
        <v>0</v>
      </c>
      <c r="G420" s="20">
        <v>0</v>
      </c>
      <c r="H420" s="20">
        <v>0</v>
      </c>
    </row>
    <row r="421" spans="1:8" ht="15.75" hidden="1" customHeight="1" x14ac:dyDescent="0.25">
      <c r="A421" s="15" t="s">
        <v>51</v>
      </c>
      <c r="B421" s="11" t="s">
        <v>74</v>
      </c>
      <c r="C421" s="15"/>
      <c r="D421" s="16" t="s">
        <v>12</v>
      </c>
      <c r="E421" s="23">
        <v>29884</v>
      </c>
      <c r="F421" s="18">
        <f>E421* 0.924936238310357</f>
        <v>27640.794545666708</v>
      </c>
      <c r="G421" s="18">
        <f>E421* 0.0351064361799663</f>
        <v>1049.1207388021128</v>
      </c>
      <c r="H421" s="18">
        <f>E421* 0.039932320925503</f>
        <v>1193.3374785377316</v>
      </c>
    </row>
    <row r="422" spans="1:8" ht="15.75" hidden="1" customHeight="1" x14ac:dyDescent="0.25">
      <c r="A422" s="15" t="s">
        <v>51</v>
      </c>
      <c r="B422" s="8"/>
      <c r="C422" s="8"/>
      <c r="D422" s="9"/>
      <c r="E422" s="19"/>
    </row>
    <row r="423" spans="1:8" ht="15.75" hidden="1" customHeight="1" x14ac:dyDescent="0.25">
      <c r="A423" s="15" t="s">
        <v>51</v>
      </c>
      <c r="B423" s="11" t="s">
        <v>76</v>
      </c>
      <c r="C423" s="12" t="str">
        <f>B423&amp;"_"&amp;A423</f>
        <v>Gral. Pérez (Charazani)_La Paz</v>
      </c>
      <c r="E423" s="13">
        <v>0</v>
      </c>
      <c r="F423" s="14">
        <f t="shared" ref="F423:H423" si="49">SUM(F424:F430)</f>
        <v>0</v>
      </c>
      <c r="G423" s="14">
        <f t="shared" si="49"/>
        <v>0</v>
      </c>
      <c r="H423" s="14">
        <f t="shared" si="49"/>
        <v>0</v>
      </c>
    </row>
    <row r="424" spans="1:8" ht="15.75" hidden="1" customHeight="1" x14ac:dyDescent="0.25">
      <c r="A424" s="15" t="s">
        <v>51</v>
      </c>
      <c r="B424" s="11" t="s">
        <v>76</v>
      </c>
      <c r="C424" s="15"/>
      <c r="D424" s="16" t="s">
        <v>53</v>
      </c>
      <c r="E424" s="17">
        <v>0</v>
      </c>
      <c r="F424" s="20">
        <v>0</v>
      </c>
      <c r="G424" s="20">
        <f>E424</f>
        <v>0</v>
      </c>
      <c r="H424" s="20">
        <v>0</v>
      </c>
    </row>
    <row r="425" spans="1:8" ht="15.75" hidden="1" customHeight="1" x14ac:dyDescent="0.25">
      <c r="A425" s="15" t="s">
        <v>51</v>
      </c>
      <c r="B425" s="11" t="s">
        <v>76</v>
      </c>
      <c r="C425" s="15"/>
      <c r="D425" s="16" t="s">
        <v>15</v>
      </c>
      <c r="E425" s="17">
        <v>0</v>
      </c>
      <c r="F425" s="18">
        <f>E425* 0.981163265034061</f>
        <v>0</v>
      </c>
      <c r="G425" s="18">
        <f>E425* 0.0027595216829083</f>
        <v>0</v>
      </c>
      <c r="H425" s="18">
        <f>E425* 0.0160372202151627</f>
        <v>0</v>
      </c>
    </row>
    <row r="426" spans="1:8" ht="15.75" hidden="1" customHeight="1" x14ac:dyDescent="0.25">
      <c r="A426" s="15" t="s">
        <v>51</v>
      </c>
      <c r="B426" s="11" t="s">
        <v>76</v>
      </c>
      <c r="C426" s="15"/>
      <c r="D426" s="16" t="s">
        <v>11</v>
      </c>
      <c r="E426" s="17">
        <v>0</v>
      </c>
      <c r="F426" s="18">
        <f>E426* 0.178797409805735</f>
        <v>0</v>
      </c>
      <c r="G426" s="18">
        <f>E426* 0.819278445883441</f>
        <v>0</v>
      </c>
      <c r="H426" s="18">
        <f>E426* 0.00181313598519889</f>
        <v>0</v>
      </c>
    </row>
    <row r="427" spans="1:8" ht="15.75" hidden="1" customHeight="1" x14ac:dyDescent="0.25">
      <c r="A427" s="15" t="s">
        <v>51</v>
      </c>
      <c r="B427" s="11" t="s">
        <v>76</v>
      </c>
      <c r="C427" s="15"/>
      <c r="D427" s="16" t="s">
        <v>17</v>
      </c>
      <c r="E427" s="17">
        <v>0</v>
      </c>
      <c r="F427" s="18">
        <f>E427* 0.916446662218225</f>
        <v>0</v>
      </c>
      <c r="G427" s="18">
        <f>E427* 0.0292436682236212</f>
        <v>0</v>
      </c>
      <c r="H427" s="18">
        <f>E427* 0.0543096695581537</f>
        <v>0</v>
      </c>
    </row>
    <row r="428" spans="1:8" ht="15.75" hidden="1" customHeight="1" x14ac:dyDescent="0.25">
      <c r="A428" s="15" t="s">
        <v>51</v>
      </c>
      <c r="B428" s="11" t="s">
        <v>76</v>
      </c>
      <c r="C428" s="15"/>
      <c r="D428" s="16" t="s">
        <v>18</v>
      </c>
      <c r="E428" s="17">
        <v>0</v>
      </c>
      <c r="F428" s="18">
        <f>E428* 0.983388008654987</f>
        <v>0</v>
      </c>
      <c r="G428" s="18">
        <f>E428* 0.0133314720457877</f>
        <v>0</v>
      </c>
      <c r="H428" s="18">
        <f>E428* 0.003210721016263</f>
        <v>0</v>
      </c>
    </row>
    <row r="429" spans="1:8" ht="15.75" hidden="1" customHeight="1" x14ac:dyDescent="0.25">
      <c r="A429" s="15" t="s">
        <v>51</v>
      </c>
      <c r="B429" s="11" t="s">
        <v>76</v>
      </c>
      <c r="C429" s="15"/>
      <c r="D429" s="16" t="s">
        <v>20</v>
      </c>
      <c r="E429" s="17">
        <v>0</v>
      </c>
      <c r="F429" s="18">
        <f>E429* 0.814615536880747</f>
        <v>0</v>
      </c>
      <c r="G429" s="18">
        <f>E429* 0.0763167839340663</f>
        <v>0</v>
      </c>
      <c r="H429" s="18">
        <f>E429* 0.109013694193014</f>
        <v>0</v>
      </c>
    </row>
    <row r="430" spans="1:8" ht="15.75" hidden="1" customHeight="1" x14ac:dyDescent="0.25">
      <c r="A430" s="15" t="s">
        <v>51</v>
      </c>
      <c r="B430" s="11" t="s">
        <v>76</v>
      </c>
      <c r="C430" s="15"/>
      <c r="D430" s="16" t="s">
        <v>12</v>
      </c>
      <c r="E430" s="17">
        <v>0</v>
      </c>
      <c r="F430" s="18">
        <f>E430* 0.924936238310357</f>
        <v>0</v>
      </c>
      <c r="G430" s="18">
        <f>E430* 0.0351064361799663</f>
        <v>0</v>
      </c>
      <c r="H430" s="18">
        <f>E430* 0.039932320925503</f>
        <v>0</v>
      </c>
    </row>
    <row r="431" spans="1:8" ht="15.75" hidden="1" customHeight="1" x14ac:dyDescent="0.25">
      <c r="A431" s="15" t="s">
        <v>51</v>
      </c>
      <c r="B431" s="8"/>
      <c r="C431" s="8"/>
      <c r="D431" s="9"/>
      <c r="E431" s="19"/>
    </row>
    <row r="432" spans="1:8" ht="15.75" hidden="1" customHeight="1" x14ac:dyDescent="0.25">
      <c r="A432" s="15" t="s">
        <v>51</v>
      </c>
      <c r="B432" s="11" t="s">
        <v>77</v>
      </c>
      <c r="C432" s="12" t="str">
        <f>B432&amp;"_"&amp;A432</f>
        <v>Guanay_La Paz</v>
      </c>
      <c r="E432" s="13">
        <v>17</v>
      </c>
      <c r="F432" s="14">
        <f t="shared" ref="F432:H432" si="50">SUM(F433:F436)</f>
        <v>15.804636543975874</v>
      </c>
      <c r="G432" s="14">
        <f t="shared" si="50"/>
        <v>0.51923646460281003</v>
      </c>
      <c r="H432" s="14">
        <f t="shared" si="50"/>
        <v>0.67574214964457346</v>
      </c>
    </row>
    <row r="433" spans="1:8" ht="15.75" hidden="1" customHeight="1" x14ac:dyDescent="0.25">
      <c r="A433" s="15" t="s">
        <v>51</v>
      </c>
      <c r="B433" s="11" t="s">
        <v>77</v>
      </c>
      <c r="C433" s="15"/>
      <c r="D433" s="16" t="s">
        <v>15</v>
      </c>
      <c r="E433" s="17">
        <v>1</v>
      </c>
      <c r="F433" s="18">
        <f>E433* 0.981163265034061</f>
        <v>0.98116326503406104</v>
      </c>
      <c r="G433" s="18">
        <f>E433* 0.0027595216829083</f>
        <v>2.7595216829082998E-3</v>
      </c>
      <c r="H433" s="18">
        <f>E433* 0.0160372202151627</f>
        <v>1.6037220215162701E-2</v>
      </c>
    </row>
    <row r="434" spans="1:8" ht="15.75" hidden="1" customHeight="1" x14ac:dyDescent="0.25">
      <c r="A434" s="15" t="s">
        <v>51</v>
      </c>
      <c r="B434" s="11" t="s">
        <v>77</v>
      </c>
      <c r="C434" s="15"/>
      <c r="D434" s="16" t="s">
        <v>17</v>
      </c>
      <c r="E434" s="17">
        <v>4</v>
      </c>
      <c r="F434" s="18">
        <f>E434* 0.916446662218225</f>
        <v>3.6657866488729001</v>
      </c>
      <c r="G434" s="18">
        <f>E434* 0.0292436682236212</f>
        <v>0.11697467289448479</v>
      </c>
      <c r="H434" s="18">
        <f>E434* 0.0543096695581537</f>
        <v>0.21723867823261481</v>
      </c>
    </row>
    <row r="435" spans="1:8" ht="15.75" hidden="1" customHeight="1" x14ac:dyDescent="0.25">
      <c r="A435" s="15" t="s">
        <v>51</v>
      </c>
      <c r="B435" s="11" t="s">
        <v>77</v>
      </c>
      <c r="C435" s="15"/>
      <c r="D435" s="16" t="s">
        <v>18</v>
      </c>
      <c r="E435" s="17">
        <v>1</v>
      </c>
      <c r="F435" s="18">
        <f>E435* 0.983388008654987</f>
        <v>0.98338800865498699</v>
      </c>
      <c r="G435" s="18">
        <f>E435* 0.0133314720457877</f>
        <v>1.33314720457877E-2</v>
      </c>
      <c r="H435" s="18">
        <f>E435* 0.003210721016263</f>
        <v>3.2107210162630002E-3</v>
      </c>
    </row>
    <row r="436" spans="1:8" ht="15.75" hidden="1" customHeight="1" x14ac:dyDescent="0.25">
      <c r="A436" s="15" t="s">
        <v>51</v>
      </c>
      <c r="B436" s="11" t="s">
        <v>77</v>
      </c>
      <c r="C436" s="15"/>
      <c r="D436" s="16" t="s">
        <v>12</v>
      </c>
      <c r="E436" s="17">
        <v>11</v>
      </c>
      <c r="F436" s="18">
        <f>E436* 0.924936238310357</f>
        <v>10.174298621413927</v>
      </c>
      <c r="G436" s="18">
        <f>E436* 0.0351064361799663</f>
        <v>0.38617079797962928</v>
      </c>
      <c r="H436" s="18">
        <f>E436* 0.039932320925503</f>
        <v>0.43925553018053298</v>
      </c>
    </row>
    <row r="437" spans="1:8" ht="15.75" hidden="1" customHeight="1" x14ac:dyDescent="0.25">
      <c r="A437" s="15" t="s">
        <v>51</v>
      </c>
      <c r="B437" s="8"/>
      <c r="C437" s="8"/>
      <c r="D437" s="9"/>
      <c r="E437" s="19"/>
    </row>
    <row r="438" spans="1:8" ht="15.75" hidden="1" customHeight="1" x14ac:dyDescent="0.25">
      <c r="A438" s="15" t="s">
        <v>51</v>
      </c>
      <c r="B438" s="11" t="s">
        <v>78</v>
      </c>
      <c r="C438" s="12" t="str">
        <f>B438&amp;"_"&amp;A438</f>
        <v>Guaqui_La Paz</v>
      </c>
      <c r="E438" s="13">
        <v>3</v>
      </c>
      <c r="F438" s="14">
        <f t="shared" ref="F438:H438" si="51">SUM(F439)</f>
        <v>0.53639222941720499</v>
      </c>
      <c r="G438" s="14">
        <f t="shared" si="51"/>
        <v>2.457835337650323</v>
      </c>
      <c r="H438" s="14">
        <f t="shared" si="51"/>
        <v>5.4394079555966698E-3</v>
      </c>
    </row>
    <row r="439" spans="1:8" ht="15.75" hidden="1" customHeight="1" x14ac:dyDescent="0.25">
      <c r="A439" s="15" t="s">
        <v>51</v>
      </c>
      <c r="B439" s="11" t="s">
        <v>78</v>
      </c>
      <c r="C439" s="15"/>
      <c r="D439" s="16" t="s">
        <v>11</v>
      </c>
      <c r="E439" s="17">
        <v>3</v>
      </c>
      <c r="F439" s="18">
        <f>E439* 0.178797409805735</f>
        <v>0.53639222941720499</v>
      </c>
      <c r="G439" s="18">
        <f>E439* 0.819278445883441</f>
        <v>2.457835337650323</v>
      </c>
      <c r="H439" s="18">
        <f>E439* 0.00181313598519889</f>
        <v>5.4394079555966698E-3</v>
      </c>
    </row>
    <row r="440" spans="1:8" ht="15.75" hidden="1" customHeight="1" x14ac:dyDescent="0.25">
      <c r="A440" s="15" t="s">
        <v>51</v>
      </c>
      <c r="B440" s="8"/>
      <c r="C440" s="8"/>
      <c r="D440" s="9"/>
      <c r="E440" s="19"/>
    </row>
    <row r="441" spans="1:8" ht="15.75" hidden="1" customHeight="1" x14ac:dyDescent="0.25">
      <c r="A441" s="15" t="s">
        <v>51</v>
      </c>
      <c r="B441" s="11" t="s">
        <v>79</v>
      </c>
      <c r="C441" s="12" t="str">
        <f>B441&amp;"_"&amp;A441</f>
        <v>Huarina_La Paz</v>
      </c>
      <c r="E441" s="13">
        <v>0</v>
      </c>
      <c r="F441" s="14">
        <f t="shared" ref="F441:H441" si="52">SUM(F442:F446)</f>
        <v>0</v>
      </c>
      <c r="G441" s="14">
        <f t="shared" si="52"/>
        <v>0</v>
      </c>
      <c r="H441" s="14">
        <f t="shared" si="52"/>
        <v>0</v>
      </c>
    </row>
    <row r="442" spans="1:8" ht="15.75" hidden="1" customHeight="1" x14ac:dyDescent="0.25">
      <c r="A442" s="15" t="s">
        <v>51</v>
      </c>
      <c r="B442" s="11" t="s">
        <v>79</v>
      </c>
      <c r="C442" s="15"/>
      <c r="D442" s="16" t="s">
        <v>17</v>
      </c>
      <c r="E442" s="17">
        <v>0</v>
      </c>
      <c r="F442" s="18">
        <f>E442* 0.916446662218225</f>
        <v>0</v>
      </c>
      <c r="G442" s="18">
        <f>E442* 0.0292436682236212</f>
        <v>0</v>
      </c>
      <c r="H442" s="18">
        <f>E442* 0.0543096695581537</f>
        <v>0</v>
      </c>
    </row>
    <row r="443" spans="1:8" ht="15.75" hidden="1" customHeight="1" x14ac:dyDescent="0.25">
      <c r="A443" s="15" t="s">
        <v>51</v>
      </c>
      <c r="B443" s="11" t="s">
        <v>79</v>
      </c>
      <c r="C443" s="15"/>
      <c r="D443" s="16" t="s">
        <v>18</v>
      </c>
      <c r="E443" s="17">
        <v>0</v>
      </c>
      <c r="F443" s="18">
        <f>E443* 0.983388008654987</f>
        <v>0</v>
      </c>
      <c r="G443" s="18">
        <f>E443* 0.0133314720457877</f>
        <v>0</v>
      </c>
      <c r="H443" s="18">
        <f>E443* 0.003210721016263</f>
        <v>0</v>
      </c>
    </row>
    <row r="444" spans="1:8" ht="15.75" hidden="1" customHeight="1" x14ac:dyDescent="0.25">
      <c r="A444" s="15" t="s">
        <v>51</v>
      </c>
      <c r="B444" s="11" t="s">
        <v>79</v>
      </c>
      <c r="C444" s="15"/>
      <c r="D444" s="16" t="s">
        <v>20</v>
      </c>
      <c r="E444" s="17">
        <v>0</v>
      </c>
      <c r="F444" s="18">
        <f>E444* 0.814615536880747</f>
        <v>0</v>
      </c>
      <c r="G444" s="18">
        <f>E444* 0.0763167839340663</f>
        <v>0</v>
      </c>
      <c r="H444" s="18">
        <f>E444* 0.109013694193014</f>
        <v>0</v>
      </c>
    </row>
    <row r="445" spans="1:8" ht="15.75" hidden="1" customHeight="1" x14ac:dyDescent="0.25">
      <c r="A445" s="15" t="s">
        <v>51</v>
      </c>
      <c r="B445" s="11" t="s">
        <v>79</v>
      </c>
      <c r="C445" s="15"/>
      <c r="D445" s="16" t="s">
        <v>21</v>
      </c>
      <c r="E445" s="17">
        <v>0</v>
      </c>
      <c r="F445" s="18">
        <f>E445* 0.999722052365334</f>
        <v>0</v>
      </c>
      <c r="G445" s="18">
        <v>0</v>
      </c>
      <c r="H445" s="18">
        <f>E445* 0.000277947634665629</f>
        <v>0</v>
      </c>
    </row>
    <row r="446" spans="1:8" ht="15.75" hidden="1" customHeight="1" x14ac:dyDescent="0.25">
      <c r="A446" s="15" t="s">
        <v>51</v>
      </c>
      <c r="B446" s="11" t="s">
        <v>79</v>
      </c>
      <c r="C446" s="15"/>
      <c r="D446" s="16" t="s">
        <v>12</v>
      </c>
      <c r="E446" s="17">
        <v>0</v>
      </c>
      <c r="F446" s="18">
        <f>E446* 0.924936238310357</f>
        <v>0</v>
      </c>
      <c r="G446" s="18">
        <f>E446* 0.0351064361799663</f>
        <v>0</v>
      </c>
      <c r="H446" s="18">
        <f>E446* 0.039932320925503</f>
        <v>0</v>
      </c>
    </row>
    <row r="447" spans="1:8" ht="15.75" hidden="1" customHeight="1" x14ac:dyDescent="0.25">
      <c r="A447" s="15" t="s">
        <v>51</v>
      </c>
      <c r="B447" s="8"/>
      <c r="C447" s="8"/>
      <c r="D447" s="9"/>
      <c r="E447" s="19"/>
    </row>
    <row r="448" spans="1:8" ht="15.75" hidden="1" customHeight="1" x14ac:dyDescent="0.25">
      <c r="A448" s="15" t="s">
        <v>51</v>
      </c>
      <c r="B448" s="11" t="s">
        <v>80</v>
      </c>
      <c r="C448" s="12" t="str">
        <f>B448&amp;"_"&amp;A448</f>
        <v>Huatajata_La Paz</v>
      </c>
      <c r="E448" s="13">
        <v>0</v>
      </c>
      <c r="F448" s="14">
        <f t="shared" ref="F448:H448" si="53">SUM(F449:F455)</f>
        <v>0</v>
      </c>
      <c r="G448" s="14">
        <f t="shared" si="53"/>
        <v>0</v>
      </c>
      <c r="H448" s="14">
        <f t="shared" si="53"/>
        <v>0</v>
      </c>
    </row>
    <row r="449" spans="1:8" ht="15.75" hidden="1" customHeight="1" x14ac:dyDescent="0.25">
      <c r="A449" s="15" t="s">
        <v>51</v>
      </c>
      <c r="B449" s="11" t="s">
        <v>80</v>
      </c>
      <c r="C449" s="15"/>
      <c r="D449" s="16" t="s">
        <v>15</v>
      </c>
      <c r="E449" s="17">
        <v>0</v>
      </c>
      <c r="F449" s="18">
        <f>E449* 0.981163265034061</f>
        <v>0</v>
      </c>
      <c r="G449" s="18">
        <f>E449* 0.0027595216829083</f>
        <v>0</v>
      </c>
      <c r="H449" s="18">
        <f>E449* 0.0160372202151627</f>
        <v>0</v>
      </c>
    </row>
    <row r="450" spans="1:8" ht="15.75" hidden="1" customHeight="1" x14ac:dyDescent="0.25">
      <c r="A450" s="15" t="s">
        <v>51</v>
      </c>
      <c r="B450" s="11" t="s">
        <v>80</v>
      </c>
      <c r="C450" s="15"/>
      <c r="D450" s="16" t="s">
        <v>11</v>
      </c>
      <c r="E450" s="17">
        <v>0</v>
      </c>
      <c r="F450" s="18">
        <f>E450* 0.178797409805735</f>
        <v>0</v>
      </c>
      <c r="G450" s="18">
        <f>E450* 0.819278445883441</f>
        <v>0</v>
      </c>
      <c r="H450" s="18">
        <f>E450* 0.00181313598519889</f>
        <v>0</v>
      </c>
    </row>
    <row r="451" spans="1:8" ht="15.75" hidden="1" customHeight="1" x14ac:dyDescent="0.25">
      <c r="A451" s="15" t="s">
        <v>51</v>
      </c>
      <c r="B451" s="11" t="s">
        <v>80</v>
      </c>
      <c r="C451" s="15"/>
      <c r="D451" s="16" t="s">
        <v>17</v>
      </c>
      <c r="E451" s="17">
        <v>0</v>
      </c>
      <c r="F451" s="18">
        <f>E451* 0.916446662218225</f>
        <v>0</v>
      </c>
      <c r="G451" s="18">
        <f>E451* 0.0292436682236212</f>
        <v>0</v>
      </c>
      <c r="H451" s="18">
        <f>E451* 0.0543096695581537</f>
        <v>0</v>
      </c>
    </row>
    <row r="452" spans="1:8" ht="15.75" hidden="1" customHeight="1" x14ac:dyDescent="0.25">
      <c r="A452" s="15" t="s">
        <v>51</v>
      </c>
      <c r="B452" s="11" t="s">
        <v>80</v>
      </c>
      <c r="C452" s="15"/>
      <c r="D452" s="16" t="s">
        <v>20</v>
      </c>
      <c r="E452" s="17">
        <v>0</v>
      </c>
      <c r="F452" s="18">
        <f>E452* 0.814615536880747</f>
        <v>0</v>
      </c>
      <c r="G452" s="18">
        <f>E452* 0.0763167839340663</f>
        <v>0</v>
      </c>
      <c r="H452" s="18">
        <f>E452* 0.109013694193014</f>
        <v>0</v>
      </c>
    </row>
    <row r="453" spans="1:8" ht="15.75" hidden="1" customHeight="1" x14ac:dyDescent="0.25">
      <c r="A453" s="15" t="s">
        <v>51</v>
      </c>
      <c r="B453" s="11" t="s">
        <v>80</v>
      </c>
      <c r="C453" s="15"/>
      <c r="D453" s="16" t="s">
        <v>21</v>
      </c>
      <c r="E453" s="17">
        <v>0</v>
      </c>
      <c r="F453" s="18">
        <f>E453* 0.999722052365334</f>
        <v>0</v>
      </c>
      <c r="G453" s="18">
        <v>0</v>
      </c>
      <c r="H453" s="18">
        <f>E453* 0.000277947634665629</f>
        <v>0</v>
      </c>
    </row>
    <row r="454" spans="1:8" ht="15.75" hidden="1" customHeight="1" x14ac:dyDescent="0.25">
      <c r="A454" s="15" t="s">
        <v>51</v>
      </c>
      <c r="B454" s="11" t="s">
        <v>80</v>
      </c>
      <c r="C454" s="15"/>
      <c r="D454" s="16" t="s">
        <v>28</v>
      </c>
      <c r="E454" s="17">
        <v>0</v>
      </c>
      <c r="F454" s="18">
        <f>E454* 0.00115651503469545</f>
        <v>0</v>
      </c>
      <c r="G454" s="18">
        <f>E454* 0.998843484965305</f>
        <v>0</v>
      </c>
      <c r="H454" s="20">
        <v>0</v>
      </c>
    </row>
    <row r="455" spans="1:8" ht="15.75" hidden="1" customHeight="1" x14ac:dyDescent="0.25">
      <c r="A455" s="15" t="s">
        <v>51</v>
      </c>
      <c r="B455" s="11" t="s">
        <v>80</v>
      </c>
      <c r="C455" s="15"/>
      <c r="D455" s="16" t="s">
        <v>12</v>
      </c>
      <c r="E455" s="17">
        <v>0</v>
      </c>
      <c r="F455" s="18">
        <f>E455* 0.924936238310357</f>
        <v>0</v>
      </c>
      <c r="G455" s="18">
        <f>E455* 0.0351064361799663</f>
        <v>0</v>
      </c>
      <c r="H455" s="18">
        <f>E455* 0.039932320925503</f>
        <v>0</v>
      </c>
    </row>
    <row r="456" spans="1:8" ht="15.75" hidden="1" customHeight="1" x14ac:dyDescent="0.25">
      <c r="A456" s="15" t="s">
        <v>51</v>
      </c>
      <c r="B456" s="8"/>
      <c r="C456" s="8"/>
      <c r="D456" s="9"/>
      <c r="E456" s="19"/>
    </row>
    <row r="457" spans="1:8" ht="15.75" hidden="1" customHeight="1" x14ac:dyDescent="0.25">
      <c r="A457" s="15" t="s">
        <v>51</v>
      </c>
      <c r="B457" s="11" t="s">
        <v>81</v>
      </c>
      <c r="C457" s="12" t="str">
        <f>B457&amp;"_"&amp;A457</f>
        <v>Inquisivi_La Paz</v>
      </c>
      <c r="E457" s="13">
        <v>0</v>
      </c>
      <c r="F457" s="14">
        <f t="shared" ref="F457:H457" si="54">SUM(F458:F467)</f>
        <v>0</v>
      </c>
      <c r="G457" s="14">
        <f t="shared" si="54"/>
        <v>0</v>
      </c>
      <c r="H457" s="14">
        <f t="shared" si="54"/>
        <v>0</v>
      </c>
    </row>
    <row r="458" spans="1:8" ht="15.75" hidden="1" customHeight="1" x14ac:dyDescent="0.25">
      <c r="A458" s="15" t="s">
        <v>51</v>
      </c>
      <c r="B458" s="11" t="s">
        <v>81</v>
      </c>
      <c r="C458" s="15"/>
      <c r="D458" s="16" t="s">
        <v>53</v>
      </c>
      <c r="E458" s="17">
        <v>0</v>
      </c>
      <c r="F458" s="20">
        <v>0</v>
      </c>
      <c r="G458" s="20">
        <f>E458</f>
        <v>0</v>
      </c>
      <c r="H458" s="20">
        <v>0</v>
      </c>
    </row>
    <row r="459" spans="1:8" ht="15.75" hidden="1" customHeight="1" x14ac:dyDescent="0.25">
      <c r="A459" s="15" t="s">
        <v>51</v>
      </c>
      <c r="B459" s="11" t="s">
        <v>81</v>
      </c>
      <c r="C459" s="15"/>
      <c r="D459" s="16" t="s">
        <v>15</v>
      </c>
      <c r="E459" s="17">
        <v>0</v>
      </c>
      <c r="F459" s="18">
        <f>E459* 0.981163265034061</f>
        <v>0</v>
      </c>
      <c r="G459" s="18">
        <f>E459* 0.0027595216829083</f>
        <v>0</v>
      </c>
      <c r="H459" s="18">
        <f>E459* 0.0160372202151627</f>
        <v>0</v>
      </c>
    </row>
    <row r="460" spans="1:8" ht="15.75" hidden="1" customHeight="1" x14ac:dyDescent="0.25">
      <c r="A460" s="15" t="s">
        <v>51</v>
      </c>
      <c r="B460" s="11" t="s">
        <v>81</v>
      </c>
      <c r="C460" s="15"/>
      <c r="D460" s="16" t="s">
        <v>16</v>
      </c>
      <c r="E460" s="17">
        <v>0</v>
      </c>
      <c r="F460" s="18">
        <f>E460* 0.142974979378609</f>
        <v>0</v>
      </c>
      <c r="G460" s="18">
        <f>E460* 0.852350838603245</f>
        <v>0</v>
      </c>
      <c r="H460" s="18">
        <f>E460* 0.00467418201814682</f>
        <v>0</v>
      </c>
    </row>
    <row r="461" spans="1:8" ht="15.75" hidden="1" customHeight="1" x14ac:dyDescent="0.25">
      <c r="A461" s="15" t="s">
        <v>51</v>
      </c>
      <c r="B461" s="11" t="s">
        <v>81</v>
      </c>
      <c r="C461" s="15"/>
      <c r="D461" s="16" t="s">
        <v>11</v>
      </c>
      <c r="E461" s="17">
        <v>0</v>
      </c>
      <c r="F461" s="18">
        <f>E461* 0.178797409805735</f>
        <v>0</v>
      </c>
      <c r="G461" s="18">
        <f>E461* 0.819278445883441</f>
        <v>0</v>
      </c>
      <c r="H461" s="18">
        <f>E461* 0.00181313598519889</f>
        <v>0</v>
      </c>
    </row>
    <row r="462" spans="1:8" ht="15.75" hidden="1" customHeight="1" x14ac:dyDescent="0.25">
      <c r="A462" s="15" t="s">
        <v>51</v>
      </c>
      <c r="B462" s="11" t="s">
        <v>81</v>
      </c>
      <c r="C462" s="15"/>
      <c r="D462" s="16" t="s">
        <v>17</v>
      </c>
      <c r="E462" s="17">
        <v>0</v>
      </c>
      <c r="F462" s="18">
        <f>E462* 0.916446662218225</f>
        <v>0</v>
      </c>
      <c r="G462" s="18">
        <f>E462* 0.0292436682236212</f>
        <v>0</v>
      </c>
      <c r="H462" s="18">
        <f>E462* 0.0543096695581537</f>
        <v>0</v>
      </c>
    </row>
    <row r="463" spans="1:8" ht="15.75" hidden="1" customHeight="1" x14ac:dyDescent="0.25">
      <c r="A463" s="15" t="s">
        <v>51</v>
      </c>
      <c r="B463" s="11" t="s">
        <v>81</v>
      </c>
      <c r="C463" s="15"/>
      <c r="D463" s="16" t="s">
        <v>31</v>
      </c>
      <c r="E463" s="17">
        <v>0</v>
      </c>
      <c r="F463" s="18">
        <f>E463* 0.957442434210526</f>
        <v>0</v>
      </c>
      <c r="G463" s="18">
        <f>E463* 0.0158305921052632</f>
        <v>0</v>
      </c>
      <c r="H463" s="18">
        <f>E463* 0.0263157894736842</f>
        <v>0</v>
      </c>
    </row>
    <row r="464" spans="1:8" ht="15.75" hidden="1" customHeight="1" x14ac:dyDescent="0.25">
      <c r="A464" s="15" t="s">
        <v>51</v>
      </c>
      <c r="B464" s="11" t="s">
        <v>81</v>
      </c>
      <c r="C464" s="15"/>
      <c r="D464" s="16" t="s">
        <v>18</v>
      </c>
      <c r="E464" s="17">
        <v>0</v>
      </c>
      <c r="F464" s="18">
        <f>E464* 0.983388008654987</f>
        <v>0</v>
      </c>
      <c r="G464" s="18">
        <f>E464* 0.0133314720457877</f>
        <v>0</v>
      </c>
      <c r="H464" s="18">
        <f>E464* 0.003210721016263</f>
        <v>0</v>
      </c>
    </row>
    <row r="465" spans="1:8" ht="15.75" hidden="1" customHeight="1" x14ac:dyDescent="0.25">
      <c r="A465" s="15" t="s">
        <v>51</v>
      </c>
      <c r="B465" s="11" t="s">
        <v>81</v>
      </c>
      <c r="C465" s="15"/>
      <c r="D465" s="16" t="s">
        <v>19</v>
      </c>
      <c r="E465" s="17">
        <v>0</v>
      </c>
      <c r="F465" s="18">
        <f>E465* 0.511826182618262</f>
        <v>0</v>
      </c>
      <c r="G465" s="18">
        <f>E465* 0.476622662266227</f>
        <v>0</v>
      </c>
      <c r="H465" s="18">
        <f>E465* 0.0115511551155116</f>
        <v>0</v>
      </c>
    </row>
    <row r="466" spans="1:8" ht="15.75" hidden="1" customHeight="1" x14ac:dyDescent="0.25">
      <c r="A466" s="15" t="s">
        <v>51</v>
      </c>
      <c r="B466" s="11" t="s">
        <v>81</v>
      </c>
      <c r="C466" s="15"/>
      <c r="D466" s="16" t="s">
        <v>20</v>
      </c>
      <c r="E466" s="17">
        <v>0</v>
      </c>
      <c r="F466" s="18">
        <f>E466* 0.814615536880747</f>
        <v>0</v>
      </c>
      <c r="G466" s="18">
        <f>E466* 0.0763167839340663</f>
        <v>0</v>
      </c>
      <c r="H466" s="18">
        <f>E466* 0.109013694193014</f>
        <v>0</v>
      </c>
    </row>
    <row r="467" spans="1:8" ht="15.75" hidden="1" customHeight="1" x14ac:dyDescent="0.25">
      <c r="A467" s="15" t="s">
        <v>51</v>
      </c>
      <c r="B467" s="11" t="s">
        <v>81</v>
      </c>
      <c r="C467" s="15"/>
      <c r="D467" s="16" t="s">
        <v>12</v>
      </c>
      <c r="E467" s="17">
        <v>0</v>
      </c>
      <c r="F467" s="18">
        <f>E467* 0.924936238310357</f>
        <v>0</v>
      </c>
      <c r="G467" s="18">
        <f>E467* 0.0351064361799663</f>
        <v>0</v>
      </c>
      <c r="H467" s="18">
        <f>E467* 0.039932320925503</f>
        <v>0</v>
      </c>
    </row>
    <row r="468" spans="1:8" ht="15.75" hidden="1" customHeight="1" x14ac:dyDescent="0.25">
      <c r="A468" s="15" t="s">
        <v>51</v>
      </c>
      <c r="B468" s="8"/>
      <c r="C468" s="8"/>
      <c r="D468" s="9"/>
      <c r="E468" s="19"/>
    </row>
    <row r="469" spans="1:8" ht="15.75" hidden="1" customHeight="1" x14ac:dyDescent="0.25">
      <c r="A469" s="15" t="s">
        <v>51</v>
      </c>
      <c r="B469" s="11" t="s">
        <v>82</v>
      </c>
      <c r="C469" s="12" t="str">
        <f>B469&amp;"_"&amp;A469</f>
        <v>Irupana_La Paz</v>
      </c>
      <c r="E469" s="13">
        <v>421</v>
      </c>
      <c r="F469" s="14">
        <f t="shared" ref="F469:H469" si="55">SUM(F470:F482)</f>
        <v>375.58986631593552</v>
      </c>
      <c r="G469" s="14">
        <f t="shared" si="55"/>
        <v>30.06190156280876</v>
      </c>
      <c r="H469" s="14">
        <f t="shared" si="55"/>
        <v>15.334363056066524</v>
      </c>
    </row>
    <row r="470" spans="1:8" ht="15.75" hidden="1" customHeight="1" x14ac:dyDescent="0.25">
      <c r="A470" s="15" t="s">
        <v>51</v>
      </c>
      <c r="B470" s="11" t="s">
        <v>82</v>
      </c>
      <c r="C470" s="15"/>
      <c r="D470" s="16" t="s">
        <v>53</v>
      </c>
      <c r="E470" s="17">
        <v>0</v>
      </c>
      <c r="F470" s="20">
        <v>0</v>
      </c>
      <c r="G470" s="20">
        <f>E470</f>
        <v>0</v>
      </c>
      <c r="H470" s="20">
        <v>0</v>
      </c>
    </row>
    <row r="471" spans="1:8" ht="15.75" hidden="1" customHeight="1" x14ac:dyDescent="0.25">
      <c r="A471" s="15" t="s">
        <v>51</v>
      </c>
      <c r="B471" s="11" t="s">
        <v>82</v>
      </c>
      <c r="C471" s="15"/>
      <c r="D471" s="16" t="s">
        <v>15</v>
      </c>
      <c r="E471" s="17">
        <v>10</v>
      </c>
      <c r="F471" s="18">
        <f>E471* 0.981163265034061</f>
        <v>9.8116326503406111</v>
      </c>
      <c r="G471" s="18">
        <f>E471* 0.0027595216829083</f>
        <v>2.7595216829082999E-2</v>
      </c>
      <c r="H471" s="18">
        <f>E471* 0.0160372202151627</f>
        <v>0.16037220215162701</v>
      </c>
    </row>
    <row r="472" spans="1:8" ht="15.75" hidden="1" customHeight="1" x14ac:dyDescent="0.25">
      <c r="A472" s="15" t="s">
        <v>51</v>
      </c>
      <c r="B472" s="11" t="s">
        <v>82</v>
      </c>
      <c r="C472" s="15"/>
      <c r="D472" s="16" t="s">
        <v>16</v>
      </c>
      <c r="E472" s="17">
        <v>1</v>
      </c>
      <c r="F472" s="18">
        <f>E472* 0.142974979378609</f>
        <v>0.14297497937860901</v>
      </c>
      <c r="G472" s="18">
        <f>E472* 0.852350838603245</f>
        <v>0.85235083860324501</v>
      </c>
      <c r="H472" s="18">
        <f>E472* 0.00467418201814682</f>
        <v>4.6741820181468198E-3</v>
      </c>
    </row>
    <row r="473" spans="1:8" ht="15.75" hidden="1" customHeight="1" x14ac:dyDescent="0.25">
      <c r="A473" s="15" t="s">
        <v>51</v>
      </c>
      <c r="B473" s="11" t="s">
        <v>82</v>
      </c>
      <c r="C473" s="15"/>
      <c r="D473" s="16" t="s">
        <v>11</v>
      </c>
      <c r="E473" s="17">
        <v>20</v>
      </c>
      <c r="F473" s="18">
        <f>E473* 0.178797409805735</f>
        <v>3.5759481961146999</v>
      </c>
      <c r="G473" s="18">
        <f>E473* 0.819278445883441</f>
        <v>16.38556891766882</v>
      </c>
      <c r="H473" s="18">
        <f>E473* 0.00181313598519889</f>
        <v>3.6262719703977798E-2</v>
      </c>
    </row>
    <row r="474" spans="1:8" ht="15.75" hidden="1" customHeight="1" x14ac:dyDescent="0.25">
      <c r="A474" s="15" t="s">
        <v>51</v>
      </c>
      <c r="B474" s="11" t="s">
        <v>82</v>
      </c>
      <c r="C474" s="15"/>
      <c r="D474" s="16" t="s">
        <v>17</v>
      </c>
      <c r="E474" s="17">
        <v>14</v>
      </c>
      <c r="F474" s="18">
        <f>E474* 0.916446662218225</f>
        <v>12.830253271055151</v>
      </c>
      <c r="G474" s="18">
        <f>E474* 0.0292436682236212</f>
        <v>0.40941135513069676</v>
      </c>
      <c r="H474" s="18">
        <f>E474* 0.0543096695581537</f>
        <v>0.76033537381415184</v>
      </c>
    </row>
    <row r="475" spans="1:8" ht="15.75" hidden="1" customHeight="1" x14ac:dyDescent="0.25">
      <c r="A475" s="15" t="s">
        <v>51</v>
      </c>
      <c r="B475" s="11" t="s">
        <v>82</v>
      </c>
      <c r="C475" s="15"/>
      <c r="D475" s="16" t="s">
        <v>31</v>
      </c>
      <c r="E475" s="17">
        <v>7</v>
      </c>
      <c r="F475" s="18">
        <f>E475* 0.957442434210526</f>
        <v>6.7020970394736823</v>
      </c>
      <c r="G475" s="18">
        <f>E475* 0.0158305921052632</f>
        <v>0.1108141447368424</v>
      </c>
      <c r="H475" s="18">
        <f>E475* 0.0263157894736842</f>
        <v>0.18421052631578938</v>
      </c>
    </row>
    <row r="476" spans="1:8" ht="15.75" hidden="1" customHeight="1" x14ac:dyDescent="0.25">
      <c r="A476" s="15" t="s">
        <v>51</v>
      </c>
      <c r="B476" s="11" t="s">
        <v>82</v>
      </c>
      <c r="C476" s="15"/>
      <c r="D476" s="16" t="s">
        <v>18</v>
      </c>
      <c r="E476" s="17">
        <v>6</v>
      </c>
      <c r="F476" s="18">
        <f>E476* 0.983388008654987</f>
        <v>5.9003280519299217</v>
      </c>
      <c r="G476" s="18">
        <f>E476* 0.0133314720457877</f>
        <v>7.9988832274726196E-2</v>
      </c>
      <c r="H476" s="18">
        <f>E476* 0.003210721016263</f>
        <v>1.9264326097578E-2</v>
      </c>
    </row>
    <row r="477" spans="1:8" ht="15.75" hidden="1" customHeight="1" x14ac:dyDescent="0.25">
      <c r="A477" s="15" t="s">
        <v>51</v>
      </c>
      <c r="B477" s="11" t="s">
        <v>82</v>
      </c>
      <c r="C477" s="15"/>
      <c r="D477" s="16" t="s">
        <v>19</v>
      </c>
      <c r="E477" s="17">
        <v>0</v>
      </c>
      <c r="F477" s="18">
        <f>E477* 0.511826182618262</f>
        <v>0</v>
      </c>
      <c r="G477" s="18">
        <f>E477* 0.476622662266227</f>
        <v>0</v>
      </c>
      <c r="H477" s="18">
        <f>E477* 0.0115511551155116</f>
        <v>0</v>
      </c>
    </row>
    <row r="478" spans="1:8" ht="15.75" hidden="1" customHeight="1" x14ac:dyDescent="0.25">
      <c r="A478" s="15" t="s">
        <v>51</v>
      </c>
      <c r="B478" s="11" t="s">
        <v>82</v>
      </c>
      <c r="C478" s="15"/>
      <c r="D478" s="16" t="s">
        <v>20</v>
      </c>
      <c r="E478" s="17">
        <v>63</v>
      </c>
      <c r="F478" s="18">
        <f>E478* 0.814615536880747</f>
        <v>51.320778823487061</v>
      </c>
      <c r="G478" s="18">
        <f>E478* 0.0763167839340663</f>
        <v>4.8079573878461765</v>
      </c>
      <c r="H478" s="18">
        <f>E478* 0.109013694193014</f>
        <v>6.8678627341598819</v>
      </c>
    </row>
    <row r="479" spans="1:8" ht="15.75" hidden="1" customHeight="1" x14ac:dyDescent="0.25">
      <c r="A479" s="15" t="s">
        <v>51</v>
      </c>
      <c r="B479" s="11" t="s">
        <v>82</v>
      </c>
      <c r="C479" s="15"/>
      <c r="D479" s="16" t="s">
        <v>21</v>
      </c>
      <c r="E479" s="17">
        <v>115</v>
      </c>
      <c r="F479" s="18">
        <f>E479* 0.999722052365334</f>
        <v>114.96803602201341</v>
      </c>
      <c r="G479" s="18">
        <v>0</v>
      </c>
      <c r="H479" s="18">
        <f>E479* 0.000277947634665629</f>
        <v>3.1963977986547334E-2</v>
      </c>
    </row>
    <row r="480" spans="1:8" ht="15.75" hidden="1" customHeight="1" x14ac:dyDescent="0.25">
      <c r="A480" s="15" t="s">
        <v>51</v>
      </c>
      <c r="B480" s="11" t="s">
        <v>82</v>
      </c>
      <c r="C480" s="15"/>
      <c r="D480" s="16" t="s">
        <v>36</v>
      </c>
      <c r="E480" s="17">
        <v>2</v>
      </c>
      <c r="F480" s="18">
        <f>E480* 0.999132697311362</f>
        <v>1.998265394622724</v>
      </c>
      <c r="G480" s="20">
        <v>0</v>
      </c>
      <c r="H480" s="18">
        <f>E480* 0.000867302688638335</f>
        <v>1.7346053772766699E-3</v>
      </c>
    </row>
    <row r="481" spans="1:8" ht="15.75" hidden="1" customHeight="1" x14ac:dyDescent="0.25">
      <c r="A481" s="15" t="s">
        <v>51</v>
      </c>
      <c r="B481" s="11" t="s">
        <v>82</v>
      </c>
      <c r="C481" s="15"/>
      <c r="D481" s="16" t="s">
        <v>28</v>
      </c>
      <c r="E481" s="17">
        <v>1</v>
      </c>
      <c r="F481" s="18">
        <f>E481* 0.00115651503469545</f>
        <v>1.15651503469545E-3</v>
      </c>
      <c r="G481" s="18">
        <f>E481* 0.998843484965305</f>
        <v>0.99884348496530495</v>
      </c>
      <c r="H481" s="20">
        <v>0</v>
      </c>
    </row>
    <row r="482" spans="1:8" ht="15.75" hidden="1" customHeight="1" x14ac:dyDescent="0.25">
      <c r="A482" s="15" t="s">
        <v>51</v>
      </c>
      <c r="B482" s="11" t="s">
        <v>82</v>
      </c>
      <c r="C482" s="15"/>
      <c r="D482" s="16" t="s">
        <v>12</v>
      </c>
      <c r="E482" s="17">
        <v>182</v>
      </c>
      <c r="F482" s="18">
        <f>E482* 0.924936238310357</f>
        <v>168.33839537248497</v>
      </c>
      <c r="G482" s="18">
        <f>E482* 0.0351064361799663</f>
        <v>6.3893713847538658</v>
      </c>
      <c r="H482" s="18">
        <f>E482* 0.039932320925503</f>
        <v>7.2676824084415461</v>
      </c>
    </row>
    <row r="483" spans="1:8" ht="15.75" hidden="1" customHeight="1" x14ac:dyDescent="0.25">
      <c r="A483" s="15" t="s">
        <v>51</v>
      </c>
      <c r="B483" s="8"/>
      <c r="C483" s="8"/>
      <c r="D483" s="9"/>
      <c r="E483" s="19"/>
    </row>
    <row r="484" spans="1:8" ht="15.75" hidden="1" customHeight="1" x14ac:dyDescent="0.25">
      <c r="A484" s="15" t="s">
        <v>51</v>
      </c>
      <c r="B484" s="11" t="s">
        <v>83</v>
      </c>
      <c r="C484" s="12" t="str">
        <f>B484&amp;"_"&amp;A484</f>
        <v>Jesús de Machaca_La Paz</v>
      </c>
      <c r="E484" s="13">
        <v>27</v>
      </c>
      <c r="F484" s="14">
        <f t="shared" ref="F484:H484" si="56">SUM(F485:F492)</f>
        <v>16.124696084463963</v>
      </c>
      <c r="G484" s="14">
        <f t="shared" si="56"/>
        <v>10.000127891944771</v>
      </c>
      <c r="H484" s="14">
        <f t="shared" si="56"/>
        <v>0.87371220249594239</v>
      </c>
    </row>
    <row r="485" spans="1:8" ht="15.75" hidden="1" customHeight="1" x14ac:dyDescent="0.25">
      <c r="A485" s="15" t="s">
        <v>51</v>
      </c>
      <c r="B485" s="11" t="s">
        <v>83</v>
      </c>
      <c r="C485" s="15"/>
      <c r="D485" s="16" t="s">
        <v>11</v>
      </c>
      <c r="E485" s="17">
        <v>9</v>
      </c>
      <c r="F485" s="18">
        <f>E485* 0.178797409805735</f>
        <v>1.609176688251615</v>
      </c>
      <c r="G485" s="18">
        <f>E485* 0.819278445883441</f>
        <v>7.3735060129509691</v>
      </c>
      <c r="H485" s="18">
        <f>E485* 0.00181313598519889</f>
        <v>1.6318223866790008E-2</v>
      </c>
    </row>
    <row r="486" spans="1:8" ht="15.75" hidden="1" customHeight="1" x14ac:dyDescent="0.25">
      <c r="A486" s="15" t="s">
        <v>51</v>
      </c>
      <c r="B486" s="11" t="s">
        <v>83</v>
      </c>
      <c r="C486" s="15"/>
      <c r="D486" s="16" t="s">
        <v>17</v>
      </c>
      <c r="E486" s="17">
        <v>2</v>
      </c>
      <c r="F486" s="18">
        <f>E486* 0.916446662218225</f>
        <v>1.83289332443645</v>
      </c>
      <c r="G486" s="18">
        <f>E486* 0.0292436682236212</f>
        <v>5.8487336447242397E-2</v>
      </c>
      <c r="H486" s="18">
        <f>E486* 0.0543096695581537</f>
        <v>0.1086193391163074</v>
      </c>
    </row>
    <row r="487" spans="1:8" ht="15.75" hidden="1" customHeight="1" x14ac:dyDescent="0.25">
      <c r="A487" s="15" t="s">
        <v>51</v>
      </c>
      <c r="B487" s="11" t="s">
        <v>83</v>
      </c>
      <c r="C487" s="15"/>
      <c r="D487" s="16" t="s">
        <v>18</v>
      </c>
      <c r="E487" s="17">
        <v>1</v>
      </c>
      <c r="F487" s="18">
        <f>E487* 0.983388008654987</f>
        <v>0.98338800865498699</v>
      </c>
      <c r="G487" s="18">
        <f>E487* 0.0133314720457877</f>
        <v>1.33314720457877E-2</v>
      </c>
      <c r="H487" s="18">
        <f>E487* 0.003210721016263</f>
        <v>3.2107210162630002E-3</v>
      </c>
    </row>
    <row r="488" spans="1:8" ht="15.75" hidden="1" customHeight="1" x14ac:dyDescent="0.25">
      <c r="A488" s="15" t="s">
        <v>51</v>
      </c>
      <c r="B488" s="11" t="s">
        <v>83</v>
      </c>
      <c r="C488" s="15"/>
      <c r="D488" s="16" t="s">
        <v>20</v>
      </c>
      <c r="E488" s="17">
        <v>5</v>
      </c>
      <c r="F488" s="18">
        <f>E488* 0.814615536880747</f>
        <v>4.0730776844037351</v>
      </c>
      <c r="G488" s="18">
        <f>E488* 0.0763167839340663</f>
        <v>0.38158391967033145</v>
      </c>
      <c r="H488" s="18">
        <f>E488* 0.109013694193014</f>
        <v>0.54506847096507005</v>
      </c>
    </row>
    <row r="489" spans="1:8" ht="15.75" hidden="1" customHeight="1" x14ac:dyDescent="0.25">
      <c r="A489" s="15" t="s">
        <v>51</v>
      </c>
      <c r="B489" s="11" t="s">
        <v>83</v>
      </c>
      <c r="C489" s="15"/>
      <c r="D489" s="16" t="s">
        <v>21</v>
      </c>
      <c r="E489" s="17">
        <v>3</v>
      </c>
      <c r="F489" s="18">
        <f>E489* 0.999722052365334</f>
        <v>2.9991661570960018</v>
      </c>
      <c r="G489" s="18">
        <v>0</v>
      </c>
      <c r="H489" s="18">
        <f>E489* 0.000277947634665629</f>
        <v>8.338429039968869E-4</v>
      </c>
    </row>
    <row r="490" spans="1:8" ht="15.75" hidden="1" customHeight="1" x14ac:dyDescent="0.25">
      <c r="A490" s="15" t="s">
        <v>51</v>
      </c>
      <c r="B490" s="11" t="s">
        <v>83</v>
      </c>
      <c r="C490" s="15"/>
      <c r="D490" s="16" t="s">
        <v>36</v>
      </c>
      <c r="E490" s="17">
        <v>0</v>
      </c>
      <c r="F490" s="18">
        <f>E490* 0.999132697311362</f>
        <v>0</v>
      </c>
      <c r="G490" s="20">
        <v>0</v>
      </c>
      <c r="H490" s="18">
        <f>E490* 0.000867302688638335</f>
        <v>0</v>
      </c>
    </row>
    <row r="491" spans="1:8" ht="15.75" hidden="1" customHeight="1" x14ac:dyDescent="0.25">
      <c r="A491" s="15" t="s">
        <v>51</v>
      </c>
      <c r="B491" s="11" t="s">
        <v>83</v>
      </c>
      <c r="C491" s="15"/>
      <c r="D491" s="16" t="s">
        <v>28</v>
      </c>
      <c r="E491" s="17">
        <v>2</v>
      </c>
      <c r="F491" s="18">
        <f>E491* 0.00115651503469545</f>
        <v>2.3130300693908999E-3</v>
      </c>
      <c r="G491" s="18">
        <f>E491* 0.998843484965305</f>
        <v>1.9976869699306099</v>
      </c>
      <c r="H491" s="20">
        <v>0</v>
      </c>
    </row>
    <row r="492" spans="1:8" ht="15.75" hidden="1" customHeight="1" x14ac:dyDescent="0.25">
      <c r="A492" s="15" t="s">
        <v>51</v>
      </c>
      <c r="B492" s="11" t="s">
        <v>83</v>
      </c>
      <c r="C492" s="15"/>
      <c r="D492" s="16" t="s">
        <v>12</v>
      </c>
      <c r="E492" s="17">
        <v>5</v>
      </c>
      <c r="F492" s="18">
        <f>E492* 0.924936238310357</f>
        <v>4.6246811915517849</v>
      </c>
      <c r="G492" s="18">
        <f>E492* 0.0351064361799663</f>
        <v>0.17553218089983147</v>
      </c>
      <c r="H492" s="18">
        <f>E492* 0.039932320925503</f>
        <v>0.199661604627515</v>
      </c>
    </row>
    <row r="493" spans="1:8" ht="15.75" hidden="1" customHeight="1" x14ac:dyDescent="0.25">
      <c r="A493" s="15" t="s">
        <v>51</v>
      </c>
      <c r="B493" s="8"/>
      <c r="C493" s="8"/>
      <c r="D493" s="9"/>
      <c r="E493" s="19"/>
    </row>
    <row r="494" spans="1:8" ht="15.75" hidden="1" customHeight="1" x14ac:dyDescent="0.25">
      <c r="A494" s="15" t="s">
        <v>51</v>
      </c>
      <c r="B494" s="11" t="s">
        <v>51</v>
      </c>
      <c r="C494" s="12" t="str">
        <f>B494&amp;"_"&amp;A494</f>
        <v>La Paz_La Paz</v>
      </c>
      <c r="E494" s="22">
        <v>261003</v>
      </c>
      <c r="F494" s="14">
        <f t="shared" ref="F494:H494" si="57">SUM(F495:F509)</f>
        <v>230376.19023656019</v>
      </c>
      <c r="G494" s="14">
        <f t="shared" si="57"/>
        <v>21699.411591943699</v>
      </c>
      <c r="H494" s="14">
        <f t="shared" si="57"/>
        <v>8913.4879494812612</v>
      </c>
    </row>
    <row r="495" spans="1:8" ht="15.75" hidden="1" customHeight="1" x14ac:dyDescent="0.25">
      <c r="A495" s="15" t="s">
        <v>51</v>
      </c>
      <c r="B495" s="11" t="s">
        <v>51</v>
      </c>
      <c r="C495" s="15"/>
      <c r="D495" s="16" t="s">
        <v>15</v>
      </c>
      <c r="E495" s="23">
        <v>62156</v>
      </c>
      <c r="F495" s="18">
        <f>E495* 0.981163265034061</f>
        <v>60985.183901457101</v>
      </c>
      <c r="G495" s="18">
        <f>E495* 0.0027595216829083</f>
        <v>171.52082972284828</v>
      </c>
      <c r="H495" s="18">
        <f>E495* 0.0160372202151627</f>
        <v>996.80945969365291</v>
      </c>
    </row>
    <row r="496" spans="1:8" ht="15.75" hidden="1" customHeight="1" x14ac:dyDescent="0.25">
      <c r="A496" s="15" t="s">
        <v>51</v>
      </c>
      <c r="B496" s="11" t="s">
        <v>51</v>
      </c>
      <c r="C496" s="15"/>
      <c r="D496" s="16" t="s">
        <v>16</v>
      </c>
      <c r="E496" s="23">
        <v>1830</v>
      </c>
      <c r="F496" s="18">
        <f>E496* 0.142974979378609</f>
        <v>261.64421226285447</v>
      </c>
      <c r="G496" s="18">
        <f>E496* 0.852350838603245</f>
        <v>1559.8020346439384</v>
      </c>
      <c r="H496" s="18">
        <f>E496* 0.00467418201814682</f>
        <v>8.5537530932086803</v>
      </c>
    </row>
    <row r="497" spans="1:8" ht="15.75" hidden="1" customHeight="1" x14ac:dyDescent="0.25">
      <c r="A497" s="15" t="s">
        <v>51</v>
      </c>
      <c r="B497" s="11" t="s">
        <v>51</v>
      </c>
      <c r="C497" s="15"/>
      <c r="D497" s="16" t="s">
        <v>11</v>
      </c>
      <c r="E497" s="23">
        <v>13886</v>
      </c>
      <c r="F497" s="18">
        <f>E497* 0.178797409805735</f>
        <v>2482.780832562436</v>
      </c>
      <c r="G497" s="18">
        <f>E497* 0.819278445883441</f>
        <v>11376.500499537462</v>
      </c>
      <c r="H497" s="18">
        <f>E497* 0.00181313598519889</f>
        <v>25.177206290471787</v>
      </c>
    </row>
    <row r="498" spans="1:8" ht="15.75" hidden="1" customHeight="1" x14ac:dyDescent="0.25">
      <c r="A498" s="15" t="s">
        <v>51</v>
      </c>
      <c r="B498" s="11" t="s">
        <v>51</v>
      </c>
      <c r="C498" s="15"/>
      <c r="D498" s="16" t="s">
        <v>17</v>
      </c>
      <c r="E498" s="23">
        <v>25632</v>
      </c>
      <c r="F498" s="18">
        <f>E498* 0.916446662218225</f>
        <v>23490.360845977542</v>
      </c>
      <c r="G498" s="18">
        <f>E498* 0.0292436682236212</f>
        <v>749.57370390785854</v>
      </c>
      <c r="H498" s="18">
        <f>E498* 0.0543096695581537</f>
        <v>1392.0654501145957</v>
      </c>
    </row>
    <row r="499" spans="1:8" ht="15.75" hidden="1" customHeight="1" x14ac:dyDescent="0.25">
      <c r="A499" s="15" t="s">
        <v>51</v>
      </c>
      <c r="B499" s="11" t="s">
        <v>51</v>
      </c>
      <c r="C499" s="15"/>
      <c r="D499" s="16" t="s">
        <v>31</v>
      </c>
      <c r="E499" s="23">
        <v>3582</v>
      </c>
      <c r="F499" s="18">
        <f>E499* 0.957442434210526</f>
        <v>3429.5587993421041</v>
      </c>
      <c r="G499" s="18">
        <f>E499* 0.0158305921052632</f>
        <v>56.705180921052779</v>
      </c>
      <c r="H499" s="18">
        <f>E499* 0.0263157894736842</f>
        <v>94.263157894736793</v>
      </c>
    </row>
    <row r="500" spans="1:8" ht="15.75" hidden="1" customHeight="1" x14ac:dyDescent="0.25">
      <c r="A500" s="15" t="s">
        <v>51</v>
      </c>
      <c r="B500" s="11" t="s">
        <v>51</v>
      </c>
      <c r="C500" s="15"/>
      <c r="D500" s="16" t="s">
        <v>18</v>
      </c>
      <c r="E500" s="23">
        <v>12162</v>
      </c>
      <c r="F500" s="18">
        <f>E500* 0.983388008654987</f>
        <v>11959.964961261952</v>
      </c>
      <c r="G500" s="18">
        <f>E500* 0.0133314720457877</f>
        <v>162.13736302087003</v>
      </c>
      <c r="H500" s="18">
        <f>E500* 0.003210721016263</f>
        <v>39.048788999790609</v>
      </c>
    </row>
    <row r="501" spans="1:8" ht="15.75" hidden="1" customHeight="1" x14ac:dyDescent="0.25">
      <c r="A501" s="15" t="s">
        <v>51</v>
      </c>
      <c r="B501" s="11" t="s">
        <v>51</v>
      </c>
      <c r="C501" s="15"/>
      <c r="D501" s="16" t="s">
        <v>55</v>
      </c>
      <c r="E501" s="17">
        <v>0</v>
      </c>
      <c r="F501" s="20">
        <v>0</v>
      </c>
      <c r="G501" s="20">
        <f>E501</f>
        <v>0</v>
      </c>
      <c r="H501" s="20">
        <v>0</v>
      </c>
    </row>
    <row r="502" spans="1:8" ht="15.75" hidden="1" customHeight="1" x14ac:dyDescent="0.25">
      <c r="A502" s="15" t="s">
        <v>51</v>
      </c>
      <c r="B502" s="11" t="s">
        <v>51</v>
      </c>
      <c r="C502" s="15"/>
      <c r="D502" s="16" t="s">
        <v>19</v>
      </c>
      <c r="E502" s="23">
        <v>2048</v>
      </c>
      <c r="F502" s="18">
        <f>E502* 0.511826182618262</f>
        <v>1048.2200220022005</v>
      </c>
      <c r="G502" s="18">
        <f>E502* 0.476622662266227</f>
        <v>976.12321232123293</v>
      </c>
      <c r="H502" s="18">
        <f>E502* 0.0115511551155116</f>
        <v>23.656765676567758</v>
      </c>
    </row>
    <row r="503" spans="1:8" ht="15.75" hidden="1" customHeight="1" x14ac:dyDescent="0.25">
      <c r="A503" s="15" t="s">
        <v>51</v>
      </c>
      <c r="B503" s="11" t="s">
        <v>51</v>
      </c>
      <c r="C503" s="15"/>
      <c r="D503" s="16" t="s">
        <v>20</v>
      </c>
      <c r="E503" s="23">
        <v>27993</v>
      </c>
      <c r="F503" s="18">
        <f>E503* 0.814615536880747</f>
        <v>22803.53272390275</v>
      </c>
      <c r="G503" s="18">
        <f>E503* 0.0763167839340663</f>
        <v>2136.3357326663177</v>
      </c>
      <c r="H503" s="18">
        <f>E503* 0.109013694193014</f>
        <v>3051.6203415450409</v>
      </c>
    </row>
    <row r="504" spans="1:8" ht="15.75" hidden="1" customHeight="1" x14ac:dyDescent="0.25">
      <c r="A504" s="15" t="s">
        <v>51</v>
      </c>
      <c r="B504" s="11" t="s">
        <v>51</v>
      </c>
      <c r="C504" s="15"/>
      <c r="D504" s="16" t="s">
        <v>21</v>
      </c>
      <c r="E504" s="23">
        <v>27014</v>
      </c>
      <c r="F504" s="18">
        <f>E504* 0.999722052365334</f>
        <v>27006.491522597131</v>
      </c>
      <c r="G504" s="18">
        <v>0</v>
      </c>
      <c r="H504" s="18">
        <f>E504* 0.000277947634665629</f>
        <v>7.5084774028573014</v>
      </c>
    </row>
    <row r="505" spans="1:8" ht="15.75" hidden="1" customHeight="1" x14ac:dyDescent="0.25">
      <c r="A505" s="15" t="s">
        <v>51</v>
      </c>
      <c r="B505" s="11" t="s">
        <v>51</v>
      </c>
      <c r="C505" s="15"/>
      <c r="D505" s="16" t="s">
        <v>36</v>
      </c>
      <c r="E505" s="23">
        <v>1076</v>
      </c>
      <c r="F505" s="18">
        <f>E505* 0.999132697311362</f>
        <v>1075.0667823070255</v>
      </c>
      <c r="G505" s="20">
        <v>0</v>
      </c>
      <c r="H505" s="18">
        <f>E505* 0.000867302688638335</f>
        <v>0.93321769297484847</v>
      </c>
    </row>
    <row r="506" spans="1:8" ht="15.75" hidden="1" customHeight="1" x14ac:dyDescent="0.25">
      <c r="A506" s="15" t="s">
        <v>51</v>
      </c>
      <c r="B506" s="11" t="s">
        <v>51</v>
      </c>
      <c r="C506" s="15"/>
      <c r="D506" s="16" t="s">
        <v>37</v>
      </c>
      <c r="E506" s="17">
        <v>11</v>
      </c>
      <c r="F506" s="18">
        <f>E506* 0.0555555555555556</f>
        <v>0.6111111111111116</v>
      </c>
      <c r="G506" s="18">
        <f>E506* 0.944444444444444</f>
        <v>10.388888888888884</v>
      </c>
      <c r="H506" s="20">
        <v>0</v>
      </c>
    </row>
    <row r="507" spans="1:8" ht="15.75" hidden="1" customHeight="1" x14ac:dyDescent="0.25">
      <c r="A507" s="15" t="s">
        <v>51</v>
      </c>
      <c r="B507" s="11" t="s">
        <v>51</v>
      </c>
      <c r="C507" s="15"/>
      <c r="D507" s="16" t="s">
        <v>28</v>
      </c>
      <c r="E507" s="23">
        <v>1623</v>
      </c>
      <c r="F507" s="18">
        <f>E507* 0.00115651503469545</f>
        <v>1.8770239013107153</v>
      </c>
      <c r="G507" s="18">
        <f>E507* 0.998843484965305</f>
        <v>1621.1229760986898</v>
      </c>
      <c r="H507" s="20">
        <v>0</v>
      </c>
    </row>
    <row r="508" spans="1:8" ht="15.75" hidden="1" customHeight="1" x14ac:dyDescent="0.25">
      <c r="A508" s="15" t="s">
        <v>51</v>
      </c>
      <c r="B508" s="11" t="s">
        <v>51</v>
      </c>
      <c r="C508" s="15"/>
      <c r="D508" s="16" t="s">
        <v>84</v>
      </c>
      <c r="E508" s="17">
        <v>5</v>
      </c>
      <c r="F508" s="20">
        <v>0</v>
      </c>
      <c r="G508" s="20">
        <v>1</v>
      </c>
      <c r="H508" s="20">
        <v>0</v>
      </c>
    </row>
    <row r="509" spans="1:8" ht="15.75" hidden="1" customHeight="1" x14ac:dyDescent="0.25">
      <c r="A509" s="15" t="s">
        <v>51</v>
      </c>
      <c r="B509" s="11" t="s">
        <v>51</v>
      </c>
      <c r="C509" s="15"/>
      <c r="D509" s="16" t="s">
        <v>12</v>
      </c>
      <c r="E509" s="23">
        <v>81985</v>
      </c>
      <c r="F509" s="18">
        <f>E509* 0.924936238310357</f>
        <v>75830.897497874612</v>
      </c>
      <c r="G509" s="18">
        <f>E509* 0.0351064361799663</f>
        <v>2878.2011702145369</v>
      </c>
      <c r="H509" s="18">
        <f>E509* 0.039932320925503</f>
        <v>3273.8513310773637</v>
      </c>
    </row>
    <row r="510" spans="1:8" ht="15.75" hidden="1" customHeight="1" x14ac:dyDescent="0.25">
      <c r="A510" s="15" t="s">
        <v>51</v>
      </c>
      <c r="B510" s="8"/>
      <c r="C510" s="8"/>
      <c r="D510" s="9"/>
      <c r="E510" s="19"/>
    </row>
    <row r="511" spans="1:8" ht="15.75" hidden="1" customHeight="1" x14ac:dyDescent="0.25">
      <c r="A511" s="15" t="s">
        <v>51</v>
      </c>
      <c r="B511" s="11" t="s">
        <v>85</v>
      </c>
      <c r="C511" s="12" t="str">
        <f>B511&amp;"_"&amp;A511</f>
        <v>Laja_La Paz</v>
      </c>
      <c r="E511" s="13">
        <v>19</v>
      </c>
      <c r="F511" s="14">
        <f t="shared" ref="F511:H511" si="58">SUM(F512:F522)</f>
        <v>15.471532691459963</v>
      </c>
      <c r="G511" s="14">
        <f t="shared" si="58"/>
        <v>3.3892624818705426</v>
      </c>
      <c r="H511" s="14">
        <f t="shared" si="58"/>
        <v>0.13877782363257335</v>
      </c>
    </row>
    <row r="512" spans="1:8" ht="15.75" hidden="1" customHeight="1" x14ac:dyDescent="0.25">
      <c r="A512" s="15" t="s">
        <v>51</v>
      </c>
      <c r="B512" s="11" t="s">
        <v>85</v>
      </c>
      <c r="C512" s="15"/>
      <c r="D512" s="16" t="s">
        <v>53</v>
      </c>
      <c r="E512" s="17">
        <v>0</v>
      </c>
      <c r="F512" s="20">
        <v>0</v>
      </c>
      <c r="G512" s="20">
        <f>E512</f>
        <v>0</v>
      </c>
      <c r="H512" s="20">
        <v>0</v>
      </c>
    </row>
    <row r="513" spans="1:8" ht="15.75" hidden="1" customHeight="1" x14ac:dyDescent="0.25">
      <c r="A513" s="15" t="s">
        <v>51</v>
      </c>
      <c r="B513" s="11" t="s">
        <v>85</v>
      </c>
      <c r="C513" s="15"/>
      <c r="D513" s="16" t="s">
        <v>15</v>
      </c>
      <c r="E513" s="17">
        <v>1</v>
      </c>
      <c r="F513" s="18">
        <f>E513* 0.981163265034061</f>
        <v>0.98116326503406104</v>
      </c>
      <c r="G513" s="18">
        <f>E513* 0.0027595216829083</f>
        <v>2.7595216829082998E-3</v>
      </c>
      <c r="H513" s="18">
        <f>E513* 0.0160372202151627</f>
        <v>1.6037220215162701E-2</v>
      </c>
    </row>
    <row r="514" spans="1:8" ht="15.75" hidden="1" customHeight="1" x14ac:dyDescent="0.25">
      <c r="A514" s="15" t="s">
        <v>51</v>
      </c>
      <c r="B514" s="11" t="s">
        <v>85</v>
      </c>
      <c r="C514" s="15"/>
      <c r="D514" s="16" t="s">
        <v>16</v>
      </c>
      <c r="E514" s="17">
        <v>1</v>
      </c>
      <c r="F514" s="18">
        <f>E514* 0.142974979378609</f>
        <v>0.14297497937860901</v>
      </c>
      <c r="G514" s="18">
        <f>E514* 0.852350838603245</f>
        <v>0.85235083860324501</v>
      </c>
      <c r="H514" s="18">
        <f>E514* 0.00467418201814682</f>
        <v>4.6741820181468198E-3</v>
      </c>
    </row>
    <row r="515" spans="1:8" ht="15.75" hidden="1" customHeight="1" x14ac:dyDescent="0.25">
      <c r="A515" s="15" t="s">
        <v>51</v>
      </c>
      <c r="B515" s="11" t="s">
        <v>85</v>
      </c>
      <c r="C515" s="15"/>
      <c r="D515" s="16" t="s">
        <v>11</v>
      </c>
      <c r="E515" s="17">
        <v>3</v>
      </c>
      <c r="F515" s="18">
        <f>E515* 0.178797409805735</f>
        <v>0.53639222941720499</v>
      </c>
      <c r="G515" s="18">
        <f>E515* 0.819278445883441</f>
        <v>2.457835337650323</v>
      </c>
      <c r="H515" s="18">
        <f>E515* 0.00181313598519889</f>
        <v>5.4394079555966698E-3</v>
      </c>
    </row>
    <row r="516" spans="1:8" ht="15.75" hidden="1" customHeight="1" x14ac:dyDescent="0.25">
      <c r="A516" s="15" t="s">
        <v>51</v>
      </c>
      <c r="B516" s="11" t="s">
        <v>85</v>
      </c>
      <c r="C516" s="15"/>
      <c r="D516" s="16" t="s">
        <v>17</v>
      </c>
      <c r="E516" s="17">
        <v>0</v>
      </c>
      <c r="F516" s="18">
        <f>E516* 0.916446662218225</f>
        <v>0</v>
      </c>
      <c r="G516" s="18">
        <f>E516* 0.0292436682236212</f>
        <v>0</v>
      </c>
      <c r="H516" s="18">
        <f>E516* 0.0543096695581537</f>
        <v>0</v>
      </c>
    </row>
    <row r="517" spans="1:8" ht="15.75" hidden="1" customHeight="1" x14ac:dyDescent="0.25">
      <c r="A517" s="15" t="s">
        <v>51</v>
      </c>
      <c r="B517" s="11" t="s">
        <v>85</v>
      </c>
      <c r="C517" s="15"/>
      <c r="D517" s="16" t="s">
        <v>31</v>
      </c>
      <c r="E517" s="17">
        <v>0</v>
      </c>
      <c r="F517" s="18">
        <f>E517* 0.957442434210526</f>
        <v>0</v>
      </c>
      <c r="G517" s="18">
        <f>E517* 0.0158305921052632</f>
        <v>0</v>
      </c>
      <c r="H517" s="18">
        <f>E517* 0.0263157894736842</f>
        <v>0</v>
      </c>
    </row>
    <row r="518" spans="1:8" ht="15.75" hidden="1" customHeight="1" x14ac:dyDescent="0.25">
      <c r="A518" s="15" t="s">
        <v>51</v>
      </c>
      <c r="B518" s="11" t="s">
        <v>85</v>
      </c>
      <c r="C518" s="15"/>
      <c r="D518" s="16" t="s">
        <v>18</v>
      </c>
      <c r="E518" s="17">
        <v>0</v>
      </c>
      <c r="F518" s="18">
        <f>E518* 0.983388008654987</f>
        <v>0</v>
      </c>
      <c r="G518" s="18">
        <f>E518* 0.0133314720457877</f>
        <v>0</v>
      </c>
      <c r="H518" s="18">
        <f>E518* 0.003210721016263</f>
        <v>0</v>
      </c>
    </row>
    <row r="519" spans="1:8" ht="15.75" hidden="1" customHeight="1" x14ac:dyDescent="0.25">
      <c r="A519" s="15" t="s">
        <v>51</v>
      </c>
      <c r="B519" s="11" t="s">
        <v>85</v>
      </c>
      <c r="C519" s="15"/>
      <c r="D519" s="16" t="s">
        <v>19</v>
      </c>
      <c r="E519" s="17">
        <v>0</v>
      </c>
      <c r="F519" s="18">
        <f>E519* 0.511826182618262</f>
        <v>0</v>
      </c>
      <c r="G519" s="18">
        <f>E519* 0.476622662266227</f>
        <v>0</v>
      </c>
      <c r="H519" s="18">
        <f>E519* 0.0115511551155116</f>
        <v>0</v>
      </c>
    </row>
    <row r="520" spans="1:8" ht="15.75" hidden="1" customHeight="1" x14ac:dyDescent="0.25">
      <c r="A520" s="15" t="s">
        <v>51</v>
      </c>
      <c r="B520" s="11" t="s">
        <v>85</v>
      </c>
      <c r="C520" s="15"/>
      <c r="D520" s="16" t="s">
        <v>20</v>
      </c>
      <c r="E520" s="17">
        <v>1</v>
      </c>
      <c r="F520" s="18">
        <f>E520* 0.814615536880747</f>
        <v>0.81461553688074695</v>
      </c>
      <c r="G520" s="18">
        <f>E520* 0.0763167839340663</f>
        <v>7.6316783934066296E-2</v>
      </c>
      <c r="H520" s="18">
        <f>E520* 0.109013694193014</f>
        <v>0.109013694193014</v>
      </c>
    </row>
    <row r="521" spans="1:8" ht="15.75" hidden="1" customHeight="1" x14ac:dyDescent="0.25">
      <c r="A521" s="15" t="s">
        <v>51</v>
      </c>
      <c r="B521" s="11" t="s">
        <v>85</v>
      </c>
      <c r="C521" s="15"/>
      <c r="D521" s="16" t="s">
        <v>21</v>
      </c>
      <c r="E521" s="17">
        <v>13</v>
      </c>
      <c r="F521" s="18">
        <f>E521* 0.999722052365334</f>
        <v>12.996386680749341</v>
      </c>
      <c r="G521" s="18">
        <v>0</v>
      </c>
      <c r="H521" s="18">
        <f>E521* 0.000277947634665629</f>
        <v>3.6133192506531769E-3</v>
      </c>
    </row>
    <row r="522" spans="1:8" ht="15.75" hidden="1" customHeight="1" x14ac:dyDescent="0.25">
      <c r="A522" s="15" t="s">
        <v>51</v>
      </c>
      <c r="B522" s="11" t="s">
        <v>85</v>
      </c>
      <c r="C522" s="15"/>
      <c r="D522" s="16" t="s">
        <v>12</v>
      </c>
      <c r="E522" s="17">
        <v>0</v>
      </c>
      <c r="F522" s="18">
        <f>E522* 0.924936238310357</f>
        <v>0</v>
      </c>
      <c r="G522" s="18">
        <f>E522* 0.0351064361799663</f>
        <v>0</v>
      </c>
      <c r="H522" s="18">
        <f>E522* 0.039932320925503</f>
        <v>0</v>
      </c>
    </row>
    <row r="523" spans="1:8" ht="15.75" hidden="1" customHeight="1" x14ac:dyDescent="0.25">
      <c r="A523" s="15" t="s">
        <v>51</v>
      </c>
      <c r="B523" s="8"/>
      <c r="C523" s="8"/>
      <c r="D523" s="9"/>
      <c r="E523" s="19"/>
    </row>
    <row r="524" spans="1:8" ht="15.75" hidden="1" customHeight="1" x14ac:dyDescent="0.25">
      <c r="A524" s="15" t="s">
        <v>51</v>
      </c>
      <c r="B524" s="11" t="s">
        <v>86</v>
      </c>
      <c r="C524" s="12" t="str">
        <f>B524&amp;"_"&amp;A524</f>
        <v>Luribay_La Paz</v>
      </c>
      <c r="E524" s="13">
        <v>37</v>
      </c>
      <c r="F524" s="14">
        <f t="shared" ref="F524:H524" si="59">SUM(F525:F534)</f>
        <v>23.168238033004684</v>
      </c>
      <c r="G524" s="14">
        <f t="shared" si="59"/>
        <v>13.28042282872209</v>
      </c>
      <c r="H524" s="14">
        <f t="shared" si="59"/>
        <v>0.54968965086155352</v>
      </c>
    </row>
    <row r="525" spans="1:8" ht="15.75" hidden="1" customHeight="1" x14ac:dyDescent="0.25">
      <c r="A525" s="15" t="s">
        <v>51</v>
      </c>
      <c r="B525" s="11" t="s">
        <v>86</v>
      </c>
      <c r="C525" s="15"/>
      <c r="D525" s="16" t="s">
        <v>53</v>
      </c>
      <c r="E525" s="17">
        <v>0</v>
      </c>
      <c r="F525" s="20">
        <v>0</v>
      </c>
      <c r="G525" s="20">
        <f>E525</f>
        <v>0</v>
      </c>
      <c r="H525" s="20">
        <v>0</v>
      </c>
    </row>
    <row r="526" spans="1:8" ht="15.75" hidden="1" customHeight="1" x14ac:dyDescent="0.25">
      <c r="A526" s="15" t="s">
        <v>51</v>
      </c>
      <c r="B526" s="11" t="s">
        <v>86</v>
      </c>
      <c r="C526" s="15"/>
      <c r="D526" s="16" t="s">
        <v>15</v>
      </c>
      <c r="E526" s="17">
        <v>1</v>
      </c>
      <c r="F526" s="18">
        <f>E526* 0.981163265034061</f>
        <v>0.98116326503406104</v>
      </c>
      <c r="G526" s="18">
        <f>E526* 0.0027595216829083</f>
        <v>2.7595216829082998E-3</v>
      </c>
      <c r="H526" s="18">
        <f>E526* 0.0160372202151627</f>
        <v>1.6037220215162701E-2</v>
      </c>
    </row>
    <row r="527" spans="1:8" ht="15.75" hidden="1" customHeight="1" x14ac:dyDescent="0.25">
      <c r="A527" s="15" t="s">
        <v>51</v>
      </c>
      <c r="B527" s="11" t="s">
        <v>86</v>
      </c>
      <c r="C527" s="15"/>
      <c r="D527" s="16" t="s">
        <v>16</v>
      </c>
      <c r="E527" s="17">
        <v>4</v>
      </c>
      <c r="F527" s="18">
        <f>E527* 0.142974979378609</f>
        <v>0.57189991751443603</v>
      </c>
      <c r="G527" s="18">
        <f>E527* 0.852350838603245</f>
        <v>3.40940335441298</v>
      </c>
      <c r="H527" s="18">
        <f>E527* 0.00467418201814682</f>
        <v>1.8696728072587279E-2</v>
      </c>
    </row>
    <row r="528" spans="1:8" ht="15.75" hidden="1" customHeight="1" x14ac:dyDescent="0.25">
      <c r="A528" s="15" t="s">
        <v>51</v>
      </c>
      <c r="B528" s="11" t="s">
        <v>86</v>
      </c>
      <c r="C528" s="15"/>
      <c r="D528" s="16" t="s">
        <v>11</v>
      </c>
      <c r="E528" s="17">
        <v>11</v>
      </c>
      <c r="F528" s="18">
        <f>E528* 0.178797409805735</f>
        <v>1.966771507863085</v>
      </c>
      <c r="G528" s="18">
        <f>E528* 0.819278445883441</f>
        <v>9.0120629047178511</v>
      </c>
      <c r="H528" s="18">
        <f>E528* 0.00181313598519889</f>
        <v>1.9944495837187791E-2</v>
      </c>
    </row>
    <row r="529" spans="1:8" ht="15.75" hidden="1" customHeight="1" x14ac:dyDescent="0.25">
      <c r="A529" s="15" t="s">
        <v>51</v>
      </c>
      <c r="B529" s="11" t="s">
        <v>86</v>
      </c>
      <c r="C529" s="15"/>
      <c r="D529" s="16" t="s">
        <v>17</v>
      </c>
      <c r="E529" s="17">
        <v>3</v>
      </c>
      <c r="F529" s="18">
        <f>E529* 0.916446662218225</f>
        <v>2.7493399866546753</v>
      </c>
      <c r="G529" s="18">
        <f>E529* 0.0292436682236212</f>
        <v>8.7731004670863588E-2</v>
      </c>
      <c r="H529" s="18">
        <f>E529* 0.0543096695581537</f>
        <v>0.16292900867446111</v>
      </c>
    </row>
    <row r="530" spans="1:8" ht="15.75" hidden="1" customHeight="1" x14ac:dyDescent="0.25">
      <c r="A530" s="15" t="s">
        <v>51</v>
      </c>
      <c r="B530" s="11" t="s">
        <v>86</v>
      </c>
      <c r="C530" s="15"/>
      <c r="D530" s="16" t="s">
        <v>18</v>
      </c>
      <c r="E530" s="17">
        <v>3</v>
      </c>
      <c r="F530" s="18">
        <f>E530* 0.983388008654987</f>
        <v>2.9501640259649609</v>
      </c>
      <c r="G530" s="18">
        <f>E530* 0.0133314720457877</f>
        <v>3.9994416137363098E-2</v>
      </c>
      <c r="H530" s="18">
        <f>E530* 0.003210721016263</f>
        <v>9.6321630487889998E-3</v>
      </c>
    </row>
    <row r="531" spans="1:8" ht="15.75" hidden="1" customHeight="1" x14ac:dyDescent="0.25">
      <c r="A531" s="15" t="s">
        <v>51</v>
      </c>
      <c r="B531" s="11" t="s">
        <v>86</v>
      </c>
      <c r="C531" s="15"/>
      <c r="D531" s="16" t="s">
        <v>19</v>
      </c>
      <c r="E531" s="17">
        <v>1</v>
      </c>
      <c r="F531" s="18">
        <f>E531* 0.511826182618262</f>
        <v>0.51182618261826196</v>
      </c>
      <c r="G531" s="18">
        <f>E531* 0.476622662266227</f>
        <v>0.47662266226622702</v>
      </c>
      <c r="H531" s="18">
        <f>E531* 0.0115511551155116</f>
        <v>1.1551155115511601E-2</v>
      </c>
    </row>
    <row r="532" spans="1:8" ht="15.75" hidden="1" customHeight="1" x14ac:dyDescent="0.25">
      <c r="A532" s="15" t="s">
        <v>51</v>
      </c>
      <c r="B532" s="11" t="s">
        <v>86</v>
      </c>
      <c r="C532" s="15"/>
      <c r="D532" s="16" t="s">
        <v>20</v>
      </c>
      <c r="E532" s="17">
        <v>1</v>
      </c>
      <c r="F532" s="18">
        <f>E532* 0.814615536880747</f>
        <v>0.81461553688074695</v>
      </c>
      <c r="G532" s="18">
        <f>E532* 0.0763167839340663</f>
        <v>7.6316783934066296E-2</v>
      </c>
      <c r="H532" s="18">
        <f>E532* 0.109013694193014</f>
        <v>0.109013694193014</v>
      </c>
    </row>
    <row r="533" spans="1:8" ht="15.75" hidden="1" customHeight="1" x14ac:dyDescent="0.25">
      <c r="A533" s="15" t="s">
        <v>51</v>
      </c>
      <c r="B533" s="11" t="s">
        <v>86</v>
      </c>
      <c r="C533" s="15"/>
      <c r="D533" s="16" t="s">
        <v>21</v>
      </c>
      <c r="E533" s="17">
        <v>8</v>
      </c>
      <c r="F533" s="18">
        <f>E533* 0.999722052365334</f>
        <v>7.9977764189226717</v>
      </c>
      <c r="G533" s="18">
        <v>0</v>
      </c>
      <c r="H533" s="18">
        <f>E533* 0.000277947634665629</f>
        <v>2.2235810773250319E-3</v>
      </c>
    </row>
    <row r="534" spans="1:8" ht="15.75" hidden="1" customHeight="1" x14ac:dyDescent="0.25">
      <c r="A534" s="15" t="s">
        <v>51</v>
      </c>
      <c r="B534" s="11" t="s">
        <v>86</v>
      </c>
      <c r="C534" s="15"/>
      <c r="D534" s="16" t="s">
        <v>12</v>
      </c>
      <c r="E534" s="17">
        <v>5</v>
      </c>
      <c r="F534" s="18">
        <f>E534* 0.924936238310357</f>
        <v>4.6246811915517849</v>
      </c>
      <c r="G534" s="18">
        <f>E534* 0.0351064361799663</f>
        <v>0.17553218089983147</v>
      </c>
      <c r="H534" s="18">
        <f>E534* 0.039932320925503</f>
        <v>0.199661604627515</v>
      </c>
    </row>
    <row r="535" spans="1:8" ht="15.75" hidden="1" customHeight="1" x14ac:dyDescent="0.25">
      <c r="A535" s="15" t="s">
        <v>51</v>
      </c>
      <c r="B535" s="8"/>
      <c r="C535" s="8"/>
      <c r="D535" s="9"/>
      <c r="E535" s="19"/>
    </row>
    <row r="536" spans="1:8" ht="15.75" hidden="1" customHeight="1" x14ac:dyDescent="0.25">
      <c r="A536" s="15" t="s">
        <v>51</v>
      </c>
      <c r="B536" s="11" t="s">
        <v>87</v>
      </c>
      <c r="C536" s="12" t="str">
        <f>B536&amp;"_"&amp;A536</f>
        <v>Mecapaca_La Paz</v>
      </c>
      <c r="E536" s="13">
        <v>110</v>
      </c>
      <c r="F536" s="14">
        <f t="shared" ref="F536:H536" si="60">SUM(F537:F548)</f>
        <v>94.518736369886014</v>
      </c>
      <c r="G536" s="14">
        <f t="shared" si="60"/>
        <v>11.676843049926273</v>
      </c>
      <c r="H536" s="14">
        <f t="shared" si="60"/>
        <v>3.8008466034650645</v>
      </c>
    </row>
    <row r="537" spans="1:8" ht="15.75" hidden="1" customHeight="1" x14ac:dyDescent="0.25">
      <c r="A537" s="15" t="s">
        <v>51</v>
      </c>
      <c r="B537" s="11" t="s">
        <v>87</v>
      </c>
      <c r="C537" s="15"/>
      <c r="D537" s="16" t="s">
        <v>53</v>
      </c>
      <c r="E537" s="17">
        <v>0</v>
      </c>
      <c r="F537" s="20">
        <v>0</v>
      </c>
      <c r="G537" s="20">
        <f>E537</f>
        <v>0</v>
      </c>
      <c r="H537" s="20">
        <v>0</v>
      </c>
    </row>
    <row r="538" spans="1:8" ht="15.75" hidden="1" customHeight="1" x14ac:dyDescent="0.25">
      <c r="A538" s="15" t="s">
        <v>51</v>
      </c>
      <c r="B538" s="11" t="s">
        <v>87</v>
      </c>
      <c r="C538" s="15"/>
      <c r="D538" s="16" t="s">
        <v>15</v>
      </c>
      <c r="E538" s="17">
        <v>14</v>
      </c>
      <c r="F538" s="18">
        <f>E538* 0.981163265034061</f>
        <v>13.736285710476855</v>
      </c>
      <c r="G538" s="18">
        <f>E538* 0.0027595216829083</f>
        <v>3.8633303560716196E-2</v>
      </c>
      <c r="H538" s="18">
        <f>E538* 0.0160372202151627</f>
        <v>0.22452108301227783</v>
      </c>
    </row>
    <row r="539" spans="1:8" ht="15.75" hidden="1" customHeight="1" x14ac:dyDescent="0.25">
      <c r="A539" s="15" t="s">
        <v>51</v>
      </c>
      <c r="B539" s="11" t="s">
        <v>87</v>
      </c>
      <c r="C539" s="15"/>
      <c r="D539" s="16" t="s">
        <v>11</v>
      </c>
      <c r="E539" s="17">
        <v>11</v>
      </c>
      <c r="F539" s="18">
        <f>E539* 0.178797409805735</f>
        <v>1.966771507863085</v>
      </c>
      <c r="G539" s="18">
        <f>E539* 0.819278445883441</f>
        <v>9.0120629047178511</v>
      </c>
      <c r="H539" s="18">
        <f>E539* 0.00181313598519889</f>
        <v>1.9944495837187791E-2</v>
      </c>
    </row>
    <row r="540" spans="1:8" ht="15.75" hidden="1" customHeight="1" x14ac:dyDescent="0.25">
      <c r="A540" s="15" t="s">
        <v>51</v>
      </c>
      <c r="B540" s="11" t="s">
        <v>87</v>
      </c>
      <c r="C540" s="15"/>
      <c r="D540" s="16" t="s">
        <v>17</v>
      </c>
      <c r="E540" s="17">
        <v>18</v>
      </c>
      <c r="F540" s="18">
        <f>E540* 0.916446662218225</f>
        <v>16.496039919928052</v>
      </c>
      <c r="G540" s="18">
        <f>E540* 0.0292436682236212</f>
        <v>0.52638602802518153</v>
      </c>
      <c r="H540" s="18">
        <f>E540* 0.0543096695581537</f>
        <v>0.97757405204676662</v>
      </c>
    </row>
    <row r="541" spans="1:8" ht="15.75" hidden="1" customHeight="1" x14ac:dyDescent="0.25">
      <c r="A541" s="15" t="s">
        <v>51</v>
      </c>
      <c r="B541" s="11" t="s">
        <v>87</v>
      </c>
      <c r="C541" s="15"/>
      <c r="D541" s="16" t="s">
        <v>31</v>
      </c>
      <c r="E541" s="17">
        <v>0</v>
      </c>
      <c r="F541" s="18">
        <f>E541* 0.957442434210526</f>
        <v>0</v>
      </c>
      <c r="G541" s="18">
        <f>E541* 0.0158305921052632</f>
        <v>0</v>
      </c>
      <c r="H541" s="18">
        <f>E541* 0.0263157894736842</f>
        <v>0</v>
      </c>
    </row>
    <row r="542" spans="1:8" ht="15.75" hidden="1" customHeight="1" x14ac:dyDescent="0.25">
      <c r="A542" s="15" t="s">
        <v>51</v>
      </c>
      <c r="B542" s="11" t="s">
        <v>87</v>
      </c>
      <c r="C542" s="15"/>
      <c r="D542" s="16" t="s">
        <v>18</v>
      </c>
      <c r="E542" s="17">
        <v>5</v>
      </c>
      <c r="F542" s="18">
        <f>E542* 0.983388008654987</f>
        <v>4.9169400432749351</v>
      </c>
      <c r="G542" s="18">
        <f>E542* 0.0133314720457877</f>
        <v>6.6657360228938506E-2</v>
      </c>
      <c r="H542" s="18">
        <f>E542* 0.003210721016263</f>
        <v>1.6053605081315002E-2</v>
      </c>
    </row>
    <row r="543" spans="1:8" ht="15.75" hidden="1" customHeight="1" x14ac:dyDescent="0.25">
      <c r="A543" s="15" t="s">
        <v>51</v>
      </c>
      <c r="B543" s="11" t="s">
        <v>87</v>
      </c>
      <c r="C543" s="15"/>
      <c r="D543" s="16" t="s">
        <v>19</v>
      </c>
      <c r="E543" s="17">
        <v>0</v>
      </c>
      <c r="F543" s="18">
        <f>E543* 0.511826182618262</f>
        <v>0</v>
      </c>
      <c r="G543" s="18">
        <f>E543* 0.476622662266227</f>
        <v>0</v>
      </c>
      <c r="H543" s="18">
        <f>E543* 0.0115511551155116</f>
        <v>0</v>
      </c>
    </row>
    <row r="544" spans="1:8" ht="15.75" hidden="1" customHeight="1" x14ac:dyDescent="0.25">
      <c r="A544" s="15" t="s">
        <v>51</v>
      </c>
      <c r="B544" s="11" t="s">
        <v>87</v>
      </c>
      <c r="C544" s="15"/>
      <c r="D544" s="16" t="s">
        <v>20</v>
      </c>
      <c r="E544" s="17">
        <v>11</v>
      </c>
      <c r="F544" s="18">
        <f>E544* 0.814615536880747</f>
        <v>8.9607709056882161</v>
      </c>
      <c r="G544" s="18">
        <f>E544* 0.0763167839340663</f>
        <v>0.83948462327472928</v>
      </c>
      <c r="H544" s="18">
        <f>E544* 0.109013694193014</f>
        <v>1.1991506361231541</v>
      </c>
    </row>
    <row r="545" spans="1:8" ht="15.75" hidden="1" customHeight="1" x14ac:dyDescent="0.25">
      <c r="A545" s="15" t="s">
        <v>51</v>
      </c>
      <c r="B545" s="11" t="s">
        <v>87</v>
      </c>
      <c r="C545" s="15"/>
      <c r="D545" s="16" t="s">
        <v>21</v>
      </c>
      <c r="E545" s="17">
        <v>15</v>
      </c>
      <c r="F545" s="18">
        <f>E545* 0.999722052365334</f>
        <v>14.99583078548001</v>
      </c>
      <c r="G545" s="18">
        <v>0</v>
      </c>
      <c r="H545" s="18">
        <f>E545* 0.000277947634665629</f>
        <v>4.1692145199844349E-3</v>
      </c>
    </row>
    <row r="546" spans="1:8" ht="15.75" hidden="1" customHeight="1" x14ac:dyDescent="0.25">
      <c r="A546" s="15" t="s">
        <v>51</v>
      </c>
      <c r="B546" s="11" t="s">
        <v>87</v>
      </c>
      <c r="C546" s="15"/>
      <c r="D546" s="16" t="s">
        <v>36</v>
      </c>
      <c r="E546" s="17">
        <v>2</v>
      </c>
      <c r="F546" s="18">
        <f>E546* 0.999132697311362</f>
        <v>1.998265394622724</v>
      </c>
      <c r="G546" s="20">
        <v>0</v>
      </c>
      <c r="H546" s="18">
        <f>E546* 0.000867302688638335</f>
        <v>1.7346053772766699E-3</v>
      </c>
    </row>
    <row r="547" spans="1:8" ht="15.75" hidden="1" customHeight="1" x14ac:dyDescent="0.25">
      <c r="A547" s="15" t="s">
        <v>51</v>
      </c>
      <c r="B547" s="11" t="s">
        <v>87</v>
      </c>
      <c r="C547" s="15"/>
      <c r="D547" s="16" t="s">
        <v>28</v>
      </c>
      <c r="E547" s="17">
        <v>0</v>
      </c>
      <c r="F547" s="18">
        <f>E547* 0.00115651503469545</f>
        <v>0</v>
      </c>
      <c r="G547" s="18">
        <f>E547* 0.998843484965305</f>
        <v>0</v>
      </c>
      <c r="H547" s="20">
        <v>0</v>
      </c>
    </row>
    <row r="548" spans="1:8" ht="15.75" hidden="1" customHeight="1" x14ac:dyDescent="0.25">
      <c r="A548" s="15" t="s">
        <v>51</v>
      </c>
      <c r="B548" s="11" t="s">
        <v>87</v>
      </c>
      <c r="C548" s="15"/>
      <c r="D548" s="16" t="s">
        <v>12</v>
      </c>
      <c r="E548" s="17">
        <v>34</v>
      </c>
      <c r="F548" s="18">
        <f>E548* 0.924936238310357</f>
        <v>31.447832102552137</v>
      </c>
      <c r="G548" s="18">
        <f>E548* 0.0351064361799663</f>
        <v>1.1936188301188542</v>
      </c>
      <c r="H548" s="18">
        <f>E548* 0.039932320925503</f>
        <v>1.3576989114671021</v>
      </c>
    </row>
    <row r="549" spans="1:8" ht="15.75" hidden="1" customHeight="1" x14ac:dyDescent="0.25">
      <c r="A549" s="15" t="s">
        <v>51</v>
      </c>
      <c r="B549" s="8"/>
      <c r="C549" s="8"/>
      <c r="D549" s="9"/>
      <c r="E549" s="19"/>
    </row>
    <row r="550" spans="1:8" ht="15.75" hidden="1" customHeight="1" x14ac:dyDescent="0.25">
      <c r="A550" s="15" t="s">
        <v>51</v>
      </c>
      <c r="B550" s="11" t="s">
        <v>88</v>
      </c>
      <c r="C550" s="12" t="str">
        <f>B550&amp;"_"&amp;A550</f>
        <v>Moco Moco_La Paz</v>
      </c>
      <c r="E550" s="13">
        <v>2</v>
      </c>
      <c r="F550" s="14">
        <f t="shared" ref="F550:H550" si="61">SUM(F551:F552)</f>
        <v>1.09524407202396</v>
      </c>
      <c r="G550" s="14">
        <f t="shared" si="61"/>
        <v>0.84852211410706224</v>
      </c>
      <c r="H550" s="14">
        <f t="shared" si="61"/>
        <v>5.612280554335259E-2</v>
      </c>
    </row>
    <row r="551" spans="1:8" ht="15.75" hidden="1" customHeight="1" x14ac:dyDescent="0.25">
      <c r="A551" s="15" t="s">
        <v>51</v>
      </c>
      <c r="B551" s="11" t="s">
        <v>88</v>
      </c>
      <c r="C551" s="15"/>
      <c r="D551" s="16" t="s">
        <v>11</v>
      </c>
      <c r="E551" s="17">
        <v>1</v>
      </c>
      <c r="F551" s="18">
        <f>E551* 0.178797409805735</f>
        <v>0.178797409805735</v>
      </c>
      <c r="G551" s="18">
        <f>E551* 0.819278445883441</f>
        <v>0.81927844588344101</v>
      </c>
      <c r="H551" s="18">
        <f>E551* 0.00181313598519889</f>
        <v>1.8131359851988899E-3</v>
      </c>
    </row>
    <row r="552" spans="1:8" ht="15.75" hidden="1" customHeight="1" x14ac:dyDescent="0.25">
      <c r="A552" s="15" t="s">
        <v>51</v>
      </c>
      <c r="B552" s="11" t="s">
        <v>88</v>
      </c>
      <c r="C552" s="15"/>
      <c r="D552" s="16" t="s">
        <v>17</v>
      </c>
      <c r="E552" s="17">
        <v>1</v>
      </c>
      <c r="F552" s="18">
        <f>E552* 0.916446662218225</f>
        <v>0.91644666221822502</v>
      </c>
      <c r="G552" s="18">
        <f>E552* 0.0292436682236212</f>
        <v>2.9243668223621198E-2</v>
      </c>
      <c r="H552" s="18">
        <f>E552* 0.0543096695581537</f>
        <v>5.4309669558153702E-2</v>
      </c>
    </row>
    <row r="553" spans="1:8" ht="15.75" hidden="1" customHeight="1" x14ac:dyDescent="0.25">
      <c r="A553" s="15" t="s">
        <v>51</v>
      </c>
      <c r="B553" s="8"/>
      <c r="C553" s="8"/>
      <c r="D553" s="9"/>
      <c r="E553" s="19"/>
    </row>
    <row r="554" spans="1:8" ht="15.75" hidden="1" customHeight="1" x14ac:dyDescent="0.25">
      <c r="A554" s="15" t="s">
        <v>51</v>
      </c>
      <c r="B554" s="11" t="s">
        <v>89</v>
      </c>
      <c r="C554" s="12" t="str">
        <f>B554&amp;"_"&amp;A554</f>
        <v>Palca_La Paz</v>
      </c>
      <c r="E554" s="13">
        <v>34</v>
      </c>
      <c r="F554" s="14">
        <f t="shared" ref="F554:H554" si="62">SUM(F555:F567)</f>
        <v>25.491169913746113</v>
      </c>
      <c r="G554" s="14">
        <f t="shared" si="62"/>
        <v>6.4218335952284731</v>
      </c>
      <c r="H554" s="14">
        <f t="shared" si="62"/>
        <v>2.0855776668515884</v>
      </c>
    </row>
    <row r="555" spans="1:8" ht="15.75" hidden="1" customHeight="1" x14ac:dyDescent="0.25">
      <c r="A555" s="15" t="s">
        <v>51</v>
      </c>
      <c r="B555" s="11" t="s">
        <v>89</v>
      </c>
      <c r="C555" s="15"/>
      <c r="D555" s="16" t="s">
        <v>53</v>
      </c>
      <c r="E555" s="17">
        <v>0</v>
      </c>
      <c r="F555" s="20">
        <v>0</v>
      </c>
      <c r="G555" s="20">
        <f>E555</f>
        <v>0</v>
      </c>
      <c r="H555" s="20">
        <v>0</v>
      </c>
    </row>
    <row r="556" spans="1:8" ht="15.75" hidden="1" customHeight="1" x14ac:dyDescent="0.25">
      <c r="A556" s="15" t="s">
        <v>51</v>
      </c>
      <c r="B556" s="11" t="s">
        <v>89</v>
      </c>
      <c r="C556" s="15"/>
      <c r="D556" s="16" t="s">
        <v>15</v>
      </c>
      <c r="E556" s="17">
        <v>1</v>
      </c>
      <c r="F556" s="18">
        <f>E556* 0.981163265034061</f>
        <v>0.98116326503406104</v>
      </c>
      <c r="G556" s="18">
        <f>E556* 0.0027595216829083</f>
        <v>2.7595216829082998E-3</v>
      </c>
      <c r="H556" s="18">
        <f>E556* 0.0160372202151627</f>
        <v>1.6037220215162701E-2</v>
      </c>
    </row>
    <row r="557" spans="1:8" ht="15.75" hidden="1" customHeight="1" x14ac:dyDescent="0.25">
      <c r="A557" s="15" t="s">
        <v>51</v>
      </c>
      <c r="B557" s="11" t="s">
        <v>89</v>
      </c>
      <c r="C557" s="15"/>
      <c r="D557" s="16" t="s">
        <v>16</v>
      </c>
      <c r="E557" s="17">
        <v>2</v>
      </c>
      <c r="F557" s="18">
        <f>E557* 0.142974979378609</f>
        <v>0.28594995875721801</v>
      </c>
      <c r="G557" s="18">
        <f>E557* 0.852350838603245</f>
        <v>1.70470167720649</v>
      </c>
      <c r="H557" s="18">
        <f>E557* 0.00467418201814682</f>
        <v>9.3483640362936396E-3</v>
      </c>
    </row>
    <row r="558" spans="1:8" ht="15.75" hidden="1" customHeight="1" x14ac:dyDescent="0.25">
      <c r="A558" s="15" t="s">
        <v>51</v>
      </c>
      <c r="B558" s="11" t="s">
        <v>89</v>
      </c>
      <c r="C558" s="15"/>
      <c r="D558" s="16" t="s">
        <v>11</v>
      </c>
      <c r="E558" s="17">
        <v>4</v>
      </c>
      <c r="F558" s="18">
        <f>E558* 0.178797409805735</f>
        <v>0.71518963922293999</v>
      </c>
      <c r="G558" s="18">
        <f>E558* 0.819278445883441</f>
        <v>3.277113783533764</v>
      </c>
      <c r="H558" s="18">
        <f>E558* 0.00181313598519889</f>
        <v>7.2525439407955597E-3</v>
      </c>
    </row>
    <row r="559" spans="1:8" ht="15.75" hidden="1" customHeight="1" x14ac:dyDescent="0.25">
      <c r="A559" s="15" t="s">
        <v>51</v>
      </c>
      <c r="B559" s="11" t="s">
        <v>89</v>
      </c>
      <c r="C559" s="15"/>
      <c r="D559" s="16" t="s">
        <v>17</v>
      </c>
      <c r="E559" s="17">
        <v>4</v>
      </c>
      <c r="F559" s="18">
        <f>E559* 0.916446662218225</f>
        <v>3.6657866488729001</v>
      </c>
      <c r="G559" s="18">
        <f>E559* 0.0292436682236212</f>
        <v>0.11697467289448479</v>
      </c>
      <c r="H559" s="18">
        <f>E559* 0.0543096695581537</f>
        <v>0.21723867823261481</v>
      </c>
    </row>
    <row r="560" spans="1:8" ht="15.75" hidden="1" customHeight="1" x14ac:dyDescent="0.25">
      <c r="A560" s="15" t="s">
        <v>51</v>
      </c>
      <c r="B560" s="11" t="s">
        <v>89</v>
      </c>
      <c r="C560" s="15"/>
      <c r="D560" s="16" t="s">
        <v>31</v>
      </c>
      <c r="E560" s="17">
        <v>0</v>
      </c>
      <c r="F560" s="18">
        <f>E560* 0.957442434210526</f>
        <v>0</v>
      </c>
      <c r="G560" s="18">
        <f>E560* 0.0158305921052632</f>
        <v>0</v>
      </c>
      <c r="H560" s="18">
        <f>E560* 0.0263157894736842</f>
        <v>0</v>
      </c>
    </row>
    <row r="561" spans="1:8" ht="15.75" hidden="1" customHeight="1" x14ac:dyDescent="0.25">
      <c r="A561" s="15" t="s">
        <v>51</v>
      </c>
      <c r="B561" s="11" t="s">
        <v>89</v>
      </c>
      <c r="C561" s="15"/>
      <c r="D561" s="16" t="s">
        <v>18</v>
      </c>
      <c r="E561" s="17">
        <v>0</v>
      </c>
      <c r="F561" s="18">
        <f>E561* 0.983388008654987</f>
        <v>0</v>
      </c>
      <c r="G561" s="18">
        <f>E561* 0.0133314720457877</f>
        <v>0</v>
      </c>
      <c r="H561" s="18">
        <f>E561* 0.003210721016263</f>
        <v>0</v>
      </c>
    </row>
    <row r="562" spans="1:8" ht="15.75" hidden="1" customHeight="1" x14ac:dyDescent="0.25">
      <c r="A562" s="15" t="s">
        <v>51</v>
      </c>
      <c r="B562" s="11" t="s">
        <v>89</v>
      </c>
      <c r="C562" s="15"/>
      <c r="D562" s="16" t="s">
        <v>19</v>
      </c>
      <c r="E562" s="17">
        <v>0</v>
      </c>
      <c r="F562" s="18">
        <f>E562* 0.511826182618262</f>
        <v>0</v>
      </c>
      <c r="G562" s="18">
        <f>E562* 0.476622662266227</f>
        <v>0</v>
      </c>
      <c r="H562" s="18">
        <f>E562* 0.0115511551155116</f>
        <v>0</v>
      </c>
    </row>
    <row r="563" spans="1:8" ht="15.75" hidden="1" customHeight="1" x14ac:dyDescent="0.25">
      <c r="A563" s="15" t="s">
        <v>51</v>
      </c>
      <c r="B563" s="11" t="s">
        <v>89</v>
      </c>
      <c r="C563" s="15"/>
      <c r="D563" s="16" t="s">
        <v>20</v>
      </c>
      <c r="E563" s="17">
        <v>15</v>
      </c>
      <c r="F563" s="18">
        <f>E563* 0.814615536880747</f>
        <v>12.219233053211203</v>
      </c>
      <c r="G563" s="18">
        <f>E563* 0.0763167839340663</f>
        <v>1.1447517590109944</v>
      </c>
      <c r="H563" s="18">
        <f>E563* 0.109013694193014</f>
        <v>1.63520541289521</v>
      </c>
    </row>
    <row r="564" spans="1:8" ht="15.75" hidden="1" customHeight="1" x14ac:dyDescent="0.25">
      <c r="A564" s="15" t="s">
        <v>51</v>
      </c>
      <c r="B564" s="11" t="s">
        <v>89</v>
      </c>
      <c r="C564" s="15"/>
      <c r="D564" s="16" t="s">
        <v>21</v>
      </c>
      <c r="E564" s="17">
        <v>3</v>
      </c>
      <c r="F564" s="18">
        <f>E564* 0.999722052365334</f>
        <v>2.9991661570960018</v>
      </c>
      <c r="G564" s="18">
        <v>0</v>
      </c>
      <c r="H564" s="18">
        <f>E564* 0.000277947634665629</f>
        <v>8.338429039968869E-4</v>
      </c>
    </row>
    <row r="565" spans="1:8" ht="15.75" hidden="1" customHeight="1" x14ac:dyDescent="0.25">
      <c r="A565" s="15" t="s">
        <v>51</v>
      </c>
      <c r="B565" s="11" t="s">
        <v>89</v>
      </c>
      <c r="C565" s="15"/>
      <c r="D565" s="16" t="s">
        <v>36</v>
      </c>
      <c r="E565" s="17">
        <v>0</v>
      </c>
      <c r="F565" s="18">
        <f>E565* 0.999132697311362</f>
        <v>0</v>
      </c>
      <c r="G565" s="20">
        <v>0</v>
      </c>
      <c r="H565" s="18">
        <f>E565* 0.000867302688638335</f>
        <v>0</v>
      </c>
    </row>
    <row r="566" spans="1:8" ht="15.75" hidden="1" customHeight="1" x14ac:dyDescent="0.25">
      <c r="A566" s="15" t="s">
        <v>51</v>
      </c>
      <c r="B566" s="11" t="s">
        <v>89</v>
      </c>
      <c r="C566" s="15"/>
      <c r="D566" s="16" t="s">
        <v>28</v>
      </c>
      <c r="E566" s="17">
        <v>0</v>
      </c>
      <c r="F566" s="18">
        <f>E566* 0.00115651503469545</f>
        <v>0</v>
      </c>
      <c r="G566" s="18">
        <f>E566* 0.998843484965305</f>
        <v>0</v>
      </c>
      <c r="H566" s="20">
        <v>0</v>
      </c>
    </row>
    <row r="567" spans="1:8" ht="15.75" hidden="1" customHeight="1" x14ac:dyDescent="0.25">
      <c r="A567" s="15" t="s">
        <v>51</v>
      </c>
      <c r="B567" s="11" t="s">
        <v>89</v>
      </c>
      <c r="C567" s="15"/>
      <c r="D567" s="16" t="s">
        <v>12</v>
      </c>
      <c r="E567" s="17">
        <v>5</v>
      </c>
      <c r="F567" s="18">
        <f>E567* 0.924936238310357</f>
        <v>4.6246811915517849</v>
      </c>
      <c r="G567" s="18">
        <f>E567* 0.0351064361799663</f>
        <v>0.17553218089983147</v>
      </c>
      <c r="H567" s="18">
        <f>E567* 0.039932320925503</f>
        <v>0.199661604627515</v>
      </c>
    </row>
    <row r="568" spans="1:8" ht="15.75" hidden="1" customHeight="1" x14ac:dyDescent="0.25">
      <c r="A568" s="15" t="s">
        <v>51</v>
      </c>
      <c r="B568" s="8"/>
      <c r="C568" s="8"/>
      <c r="D568" s="9"/>
      <c r="E568" s="19"/>
    </row>
    <row r="569" spans="1:8" ht="15.75" hidden="1" customHeight="1" x14ac:dyDescent="0.25">
      <c r="A569" s="15" t="s">
        <v>51</v>
      </c>
      <c r="B569" s="11" t="s">
        <v>90</v>
      </c>
      <c r="C569" s="12" t="str">
        <f>B569&amp;"_"&amp;A569</f>
        <v>Palos Blancos_La Paz</v>
      </c>
      <c r="E569" s="13">
        <v>360</v>
      </c>
      <c r="F569" s="14">
        <f t="shared" ref="F569:H569" si="63">SUM(F570:F578)</f>
        <v>342.35554847612758</v>
      </c>
      <c r="G569" s="14">
        <f t="shared" si="63"/>
        <v>10.359752755488699</v>
      </c>
      <c r="H569" s="14">
        <f t="shared" si="63"/>
        <v>7.2797279314572547</v>
      </c>
    </row>
    <row r="570" spans="1:8" ht="15.75" hidden="1" customHeight="1" x14ac:dyDescent="0.25">
      <c r="A570" s="15" t="s">
        <v>51</v>
      </c>
      <c r="B570" s="11" t="s">
        <v>90</v>
      </c>
      <c r="C570" s="15"/>
      <c r="D570" s="16" t="s">
        <v>53</v>
      </c>
      <c r="E570" s="17">
        <v>0</v>
      </c>
      <c r="F570" s="20">
        <v>0</v>
      </c>
      <c r="G570" s="20">
        <f>E570</f>
        <v>0</v>
      </c>
      <c r="H570" s="20">
        <v>0</v>
      </c>
    </row>
    <row r="571" spans="1:8" ht="15.75" hidden="1" customHeight="1" x14ac:dyDescent="0.25">
      <c r="A571" s="15" t="s">
        <v>51</v>
      </c>
      <c r="B571" s="11" t="s">
        <v>90</v>
      </c>
      <c r="C571" s="15"/>
      <c r="D571" s="16" t="s">
        <v>15</v>
      </c>
      <c r="E571" s="17">
        <v>1</v>
      </c>
      <c r="F571" s="18">
        <f>E571* 0.981163265034061</f>
        <v>0.98116326503406104</v>
      </c>
      <c r="G571" s="18">
        <f>E571* 0.0027595216829083</f>
        <v>2.7595216829082998E-3</v>
      </c>
      <c r="H571" s="18">
        <f>E571* 0.0160372202151627</f>
        <v>1.6037220215162701E-2</v>
      </c>
    </row>
    <row r="572" spans="1:8" ht="15.75" hidden="1" customHeight="1" x14ac:dyDescent="0.25">
      <c r="A572" s="15" t="s">
        <v>51</v>
      </c>
      <c r="B572" s="11" t="s">
        <v>90</v>
      </c>
      <c r="C572" s="15"/>
      <c r="D572" s="16" t="s">
        <v>11</v>
      </c>
      <c r="E572" s="17">
        <v>5</v>
      </c>
      <c r="F572" s="18">
        <f>E572* 0.178797409805735</f>
        <v>0.89398704902867498</v>
      </c>
      <c r="G572" s="18">
        <f>E572* 0.819278445883441</f>
        <v>4.096392229417205</v>
      </c>
      <c r="H572" s="18">
        <f>E572* 0.00181313598519889</f>
        <v>9.0656799259944496E-3</v>
      </c>
    </row>
    <row r="573" spans="1:8" ht="15.75" hidden="1" customHeight="1" x14ac:dyDescent="0.25">
      <c r="A573" s="15" t="s">
        <v>51</v>
      </c>
      <c r="B573" s="11" t="s">
        <v>90</v>
      </c>
      <c r="C573" s="15"/>
      <c r="D573" s="16" t="s">
        <v>17</v>
      </c>
      <c r="E573" s="17">
        <v>4</v>
      </c>
      <c r="F573" s="18">
        <f>E573* 0.916446662218225</f>
        <v>3.6657866488729001</v>
      </c>
      <c r="G573" s="18">
        <f>E573* 0.0292436682236212</f>
        <v>0.11697467289448479</v>
      </c>
      <c r="H573" s="18">
        <f>E573* 0.0543096695581537</f>
        <v>0.21723867823261481</v>
      </c>
    </row>
    <row r="574" spans="1:8" ht="15.75" hidden="1" customHeight="1" x14ac:dyDescent="0.25">
      <c r="A574" s="15" t="s">
        <v>51</v>
      </c>
      <c r="B574" s="11" t="s">
        <v>90</v>
      </c>
      <c r="C574" s="15"/>
      <c r="D574" s="16" t="s">
        <v>19</v>
      </c>
      <c r="E574" s="17">
        <v>0</v>
      </c>
      <c r="F574" s="18">
        <f>E574* 0.511826182618262</f>
        <v>0</v>
      </c>
      <c r="G574" s="18">
        <f>E574* 0.476622662266227</f>
        <v>0</v>
      </c>
      <c r="H574" s="18">
        <f>E574* 0.0115511551155116</f>
        <v>0</v>
      </c>
    </row>
    <row r="575" spans="1:8" ht="15.75" hidden="1" customHeight="1" x14ac:dyDescent="0.25">
      <c r="A575" s="15" t="s">
        <v>51</v>
      </c>
      <c r="B575" s="11" t="s">
        <v>90</v>
      </c>
      <c r="C575" s="15"/>
      <c r="D575" s="16" t="s">
        <v>20</v>
      </c>
      <c r="E575" s="17">
        <v>0</v>
      </c>
      <c r="F575" s="18">
        <f>E575* 0.814615536880747</f>
        <v>0</v>
      </c>
      <c r="G575" s="18">
        <f>E575* 0.0763167839340663</f>
        <v>0</v>
      </c>
      <c r="H575" s="18">
        <f>E575* 0.109013694193014</f>
        <v>0</v>
      </c>
    </row>
    <row r="576" spans="1:8" ht="15.75" hidden="1" customHeight="1" x14ac:dyDescent="0.25">
      <c r="A576" s="15" t="s">
        <v>51</v>
      </c>
      <c r="B576" s="11" t="s">
        <v>90</v>
      </c>
      <c r="C576" s="15"/>
      <c r="D576" s="16" t="s">
        <v>21</v>
      </c>
      <c r="E576" s="17">
        <v>174</v>
      </c>
      <c r="F576" s="18">
        <f>E576* 0.999722052365334</f>
        <v>173.95163711156812</v>
      </c>
      <c r="G576" s="18">
        <v>0</v>
      </c>
      <c r="H576" s="18">
        <f>E576* 0.000277947634665629</f>
        <v>4.8362888431819441E-2</v>
      </c>
    </row>
    <row r="577" spans="1:8" ht="15.75" hidden="1" customHeight="1" x14ac:dyDescent="0.25">
      <c r="A577" s="15" t="s">
        <v>51</v>
      </c>
      <c r="B577" s="11" t="s">
        <v>90</v>
      </c>
      <c r="C577" s="15"/>
      <c r="D577" s="16" t="s">
        <v>36</v>
      </c>
      <c r="E577" s="17">
        <v>1</v>
      </c>
      <c r="F577" s="18">
        <f>E577* 0.999132697311362</f>
        <v>0.99913269731136201</v>
      </c>
      <c r="G577" s="20">
        <v>0</v>
      </c>
      <c r="H577" s="18">
        <f>E577* 0.000867302688638335</f>
        <v>8.6730268863833497E-4</v>
      </c>
    </row>
    <row r="578" spans="1:8" ht="15.75" hidden="1" customHeight="1" x14ac:dyDescent="0.25">
      <c r="A578" s="15" t="s">
        <v>51</v>
      </c>
      <c r="B578" s="11" t="s">
        <v>90</v>
      </c>
      <c r="C578" s="15"/>
      <c r="D578" s="16" t="s">
        <v>12</v>
      </c>
      <c r="E578" s="17">
        <v>175</v>
      </c>
      <c r="F578" s="18">
        <f>E578* 0.924936238310357</f>
        <v>161.86384170431248</v>
      </c>
      <c r="G578" s="18">
        <f>E578* 0.0351064361799663</f>
        <v>6.1436263314941018</v>
      </c>
      <c r="H578" s="18">
        <f>E578* 0.039932320925503</f>
        <v>6.9881561619630252</v>
      </c>
    </row>
    <row r="579" spans="1:8" ht="15.75" hidden="1" customHeight="1" x14ac:dyDescent="0.25">
      <c r="A579" s="15" t="s">
        <v>51</v>
      </c>
      <c r="B579" s="21"/>
      <c r="C579" s="21"/>
      <c r="D579" s="16"/>
      <c r="E579" s="19"/>
    </row>
    <row r="580" spans="1:8" ht="15.75" hidden="1" customHeight="1" x14ac:dyDescent="0.25">
      <c r="A580" s="15" t="s">
        <v>51</v>
      </c>
      <c r="B580" s="11" t="s">
        <v>91</v>
      </c>
      <c r="C580" s="12" t="str">
        <f>B580&amp;"_"&amp;A580</f>
        <v>Patacamaya_La Paz</v>
      </c>
      <c r="E580" s="13">
        <v>462</v>
      </c>
      <c r="F580" s="14">
        <f t="shared" ref="F580:H580" si="64">SUM(F581:F593)</f>
        <v>366.04643821288539</v>
      </c>
      <c r="G580" s="14">
        <f t="shared" si="64"/>
        <v>81.549582769398739</v>
      </c>
      <c r="H580" s="14">
        <f t="shared" si="64"/>
        <v>14.388221351338858</v>
      </c>
    </row>
    <row r="581" spans="1:8" ht="15.75" hidden="1" customHeight="1" x14ac:dyDescent="0.25">
      <c r="A581" s="15" t="s">
        <v>51</v>
      </c>
      <c r="B581" s="11" t="s">
        <v>91</v>
      </c>
      <c r="C581" s="15"/>
      <c r="D581" s="16" t="s">
        <v>53</v>
      </c>
      <c r="E581" s="17">
        <v>0</v>
      </c>
      <c r="F581" s="20">
        <v>0</v>
      </c>
      <c r="G581" s="20">
        <f>E581</f>
        <v>0</v>
      </c>
      <c r="H581" s="20">
        <v>0</v>
      </c>
    </row>
    <row r="582" spans="1:8" ht="15.75" hidden="1" customHeight="1" x14ac:dyDescent="0.25">
      <c r="A582" s="15" t="s">
        <v>51</v>
      </c>
      <c r="B582" s="11" t="s">
        <v>91</v>
      </c>
      <c r="C582" s="15"/>
      <c r="D582" s="16" t="s">
        <v>15</v>
      </c>
      <c r="E582" s="17">
        <v>32</v>
      </c>
      <c r="F582" s="18">
        <f>E582* 0.981163265034061</f>
        <v>31.397224481089953</v>
      </c>
      <c r="G582" s="18">
        <f>E582* 0.0027595216829083</f>
        <v>8.8304693853065594E-2</v>
      </c>
      <c r="H582" s="18">
        <f>E582* 0.0160372202151627</f>
        <v>0.51319104688520645</v>
      </c>
    </row>
    <row r="583" spans="1:8" ht="15.75" hidden="1" customHeight="1" x14ac:dyDescent="0.25">
      <c r="A583" s="15" t="s">
        <v>51</v>
      </c>
      <c r="B583" s="11" t="s">
        <v>91</v>
      </c>
      <c r="C583" s="15"/>
      <c r="D583" s="16" t="s">
        <v>16</v>
      </c>
      <c r="E583" s="17">
        <v>9</v>
      </c>
      <c r="F583" s="18">
        <f>E583* 0.142974979378609</f>
        <v>1.2867748144074811</v>
      </c>
      <c r="G583" s="18">
        <f>E583* 0.852350838603245</f>
        <v>7.6711575474292051</v>
      </c>
      <c r="H583" s="18">
        <f>E583* 0.00467418201814682</f>
        <v>4.2067638163321375E-2</v>
      </c>
    </row>
    <row r="584" spans="1:8" ht="15.75" hidden="1" customHeight="1" x14ac:dyDescent="0.25">
      <c r="A584" s="15" t="s">
        <v>51</v>
      </c>
      <c r="B584" s="11" t="s">
        <v>91</v>
      </c>
      <c r="C584" s="15"/>
      <c r="D584" s="16" t="s">
        <v>11</v>
      </c>
      <c r="E584" s="17">
        <v>62</v>
      </c>
      <c r="F584" s="18">
        <f>E584* 0.178797409805735</f>
        <v>11.085439407955569</v>
      </c>
      <c r="G584" s="18">
        <f>E584* 0.819278445883441</f>
        <v>50.795263644773343</v>
      </c>
      <c r="H584" s="18">
        <f>E584* 0.00181313598519889</f>
        <v>0.11241443108233118</v>
      </c>
    </row>
    <row r="585" spans="1:8" ht="15.75" hidden="1" customHeight="1" x14ac:dyDescent="0.25">
      <c r="A585" s="15" t="s">
        <v>51</v>
      </c>
      <c r="B585" s="11" t="s">
        <v>91</v>
      </c>
      <c r="C585" s="15"/>
      <c r="D585" s="16" t="s">
        <v>17</v>
      </c>
      <c r="E585" s="17">
        <v>68</v>
      </c>
      <c r="F585" s="18">
        <f>E585* 0.916446662218225</f>
        <v>62.318373030839304</v>
      </c>
      <c r="G585" s="18">
        <f>E585* 0.0292436682236212</f>
        <v>1.9885694392062414</v>
      </c>
      <c r="H585" s="18">
        <f>E585* 0.0543096695581537</f>
        <v>3.6930575299544519</v>
      </c>
    </row>
    <row r="586" spans="1:8" ht="15.75" hidden="1" customHeight="1" x14ac:dyDescent="0.25">
      <c r="A586" s="15" t="s">
        <v>51</v>
      </c>
      <c r="B586" s="11" t="s">
        <v>91</v>
      </c>
      <c r="C586" s="15"/>
      <c r="D586" s="16" t="s">
        <v>31</v>
      </c>
      <c r="E586" s="17">
        <v>4</v>
      </c>
      <c r="F586" s="18">
        <f>E586* 0.957442434210526</f>
        <v>3.829769736842104</v>
      </c>
      <c r="G586" s="18">
        <f>E586* 0.0158305921052632</f>
        <v>6.3322368421052794E-2</v>
      </c>
      <c r="H586" s="18">
        <f>E586* 0.0263157894736842</f>
        <v>0.10526315789473679</v>
      </c>
    </row>
    <row r="587" spans="1:8" ht="15.75" hidden="1" customHeight="1" x14ac:dyDescent="0.25">
      <c r="A587" s="15" t="s">
        <v>51</v>
      </c>
      <c r="B587" s="11" t="s">
        <v>91</v>
      </c>
      <c r="C587" s="15"/>
      <c r="D587" s="16" t="s">
        <v>18</v>
      </c>
      <c r="E587" s="17">
        <v>4</v>
      </c>
      <c r="F587" s="18">
        <f>E587* 0.983388008654987</f>
        <v>3.933552034619948</v>
      </c>
      <c r="G587" s="18">
        <f>E587* 0.0133314720457877</f>
        <v>5.3325888183150802E-2</v>
      </c>
      <c r="H587" s="18">
        <f>E587* 0.003210721016263</f>
        <v>1.2842884065052001E-2</v>
      </c>
    </row>
    <row r="588" spans="1:8" ht="15.75" hidden="1" customHeight="1" x14ac:dyDescent="0.25">
      <c r="A588" s="15" t="s">
        <v>51</v>
      </c>
      <c r="B588" s="11" t="s">
        <v>91</v>
      </c>
      <c r="C588" s="15"/>
      <c r="D588" s="16" t="s">
        <v>19</v>
      </c>
      <c r="E588" s="17">
        <v>25</v>
      </c>
      <c r="F588" s="18">
        <f>E588* 0.511826182618262</f>
        <v>12.795654565456548</v>
      </c>
      <c r="G588" s="18">
        <f>E588* 0.476622662266227</f>
        <v>11.915566556655675</v>
      </c>
      <c r="H588" s="18">
        <f>E588* 0.0115511551155116</f>
        <v>0.28877887788779</v>
      </c>
    </row>
    <row r="589" spans="1:8" ht="15.75" hidden="1" customHeight="1" x14ac:dyDescent="0.25">
      <c r="A589" s="15" t="s">
        <v>51</v>
      </c>
      <c r="B589" s="11" t="s">
        <v>91</v>
      </c>
      <c r="C589" s="15"/>
      <c r="D589" s="16" t="s">
        <v>20</v>
      </c>
      <c r="E589" s="17">
        <v>24</v>
      </c>
      <c r="F589" s="18">
        <f>E589* 0.814615536880747</f>
        <v>19.550772885137928</v>
      </c>
      <c r="G589" s="18">
        <f>E589* 0.0763167839340663</f>
        <v>1.8316028144175911</v>
      </c>
      <c r="H589" s="18">
        <f>E589* 0.109013694193014</f>
        <v>2.6163286606323362</v>
      </c>
    </row>
    <row r="590" spans="1:8" ht="15.75" hidden="1" customHeight="1" x14ac:dyDescent="0.25">
      <c r="A590" s="15" t="s">
        <v>51</v>
      </c>
      <c r="B590" s="11" t="s">
        <v>91</v>
      </c>
      <c r="C590" s="15"/>
      <c r="D590" s="16" t="s">
        <v>21</v>
      </c>
      <c r="E590" s="17">
        <v>58</v>
      </c>
      <c r="F590" s="18">
        <f>E590* 0.999722052365334</f>
        <v>57.983879037189368</v>
      </c>
      <c r="G590" s="18">
        <v>0</v>
      </c>
      <c r="H590" s="18">
        <f>E590* 0.000277947634665629</f>
        <v>1.612096281060648E-2</v>
      </c>
    </row>
    <row r="591" spans="1:8" ht="15.75" hidden="1" customHeight="1" x14ac:dyDescent="0.25">
      <c r="A591" s="15" t="s">
        <v>51</v>
      </c>
      <c r="B591" s="11" t="s">
        <v>91</v>
      </c>
      <c r="C591" s="15"/>
      <c r="D591" s="16" t="s">
        <v>36</v>
      </c>
      <c r="E591" s="17">
        <v>0</v>
      </c>
      <c r="F591" s="18">
        <f>E591* 0.999132697311362</f>
        <v>0</v>
      </c>
      <c r="G591" s="20">
        <v>0</v>
      </c>
      <c r="H591" s="18">
        <f>E591* 0.000867302688638335</f>
        <v>0</v>
      </c>
    </row>
    <row r="592" spans="1:8" ht="15.75" hidden="1" customHeight="1" x14ac:dyDescent="0.25">
      <c r="A592" s="15" t="s">
        <v>51</v>
      </c>
      <c r="B592" s="11" t="s">
        <v>91</v>
      </c>
      <c r="C592" s="15"/>
      <c r="D592" s="16" t="s">
        <v>28</v>
      </c>
      <c r="E592" s="17">
        <v>1</v>
      </c>
      <c r="F592" s="18">
        <f>E592* 0.00115651503469545</f>
        <v>1.15651503469545E-3</v>
      </c>
      <c r="G592" s="18">
        <f>E592* 0.998843484965305</f>
        <v>0.99884348496530495</v>
      </c>
      <c r="H592" s="20">
        <v>0</v>
      </c>
    </row>
    <row r="593" spans="1:8" ht="15.75" hidden="1" customHeight="1" x14ac:dyDescent="0.25">
      <c r="A593" s="15" t="s">
        <v>51</v>
      </c>
      <c r="B593" s="11" t="s">
        <v>91</v>
      </c>
      <c r="C593" s="15"/>
      <c r="D593" s="16" t="s">
        <v>12</v>
      </c>
      <c r="E593" s="17">
        <v>175</v>
      </c>
      <c r="F593" s="18">
        <f>E593* 0.924936238310357</f>
        <v>161.86384170431248</v>
      </c>
      <c r="G593" s="18">
        <f>E593* 0.0351064361799663</f>
        <v>6.1436263314941018</v>
      </c>
      <c r="H593" s="18">
        <f>E593* 0.039932320925503</f>
        <v>6.9881561619630252</v>
      </c>
    </row>
    <row r="594" spans="1:8" ht="15.75" hidden="1" customHeight="1" x14ac:dyDescent="0.25">
      <c r="A594" s="15" t="s">
        <v>51</v>
      </c>
      <c r="B594" s="8"/>
      <c r="C594" s="8"/>
      <c r="D594" s="9"/>
      <c r="E594" s="19"/>
    </row>
    <row r="595" spans="1:8" ht="15.75" hidden="1" customHeight="1" x14ac:dyDescent="0.25">
      <c r="A595" s="15" t="s">
        <v>51</v>
      </c>
      <c r="B595" s="11" t="s">
        <v>92</v>
      </c>
      <c r="C595" s="12" t="str">
        <f>B595&amp;"_"&amp;A595</f>
        <v>Pucarani_La Paz</v>
      </c>
      <c r="E595" s="13">
        <v>105</v>
      </c>
      <c r="F595" s="14">
        <f t="shared" ref="F595:H595" si="65">SUM(F596:F607)</f>
        <v>98.839218807532575</v>
      </c>
      <c r="G595" s="14">
        <f t="shared" si="65"/>
        <v>4.3545196748258483</v>
      </c>
      <c r="H595" s="14">
        <f t="shared" si="65"/>
        <v>1.8042696298709924</v>
      </c>
    </row>
    <row r="596" spans="1:8" ht="15.75" hidden="1" customHeight="1" x14ac:dyDescent="0.25">
      <c r="A596" s="15" t="s">
        <v>51</v>
      </c>
      <c r="B596" s="11" t="s">
        <v>92</v>
      </c>
      <c r="C596" s="15"/>
      <c r="D596" s="16" t="s">
        <v>53</v>
      </c>
      <c r="E596" s="17">
        <v>0</v>
      </c>
      <c r="F596" s="20">
        <v>0</v>
      </c>
      <c r="G596" s="20">
        <f>E596</f>
        <v>0</v>
      </c>
      <c r="H596" s="20">
        <v>0</v>
      </c>
    </row>
    <row r="597" spans="1:8" ht="15.75" hidden="1" customHeight="1" x14ac:dyDescent="0.25">
      <c r="A597" s="15" t="s">
        <v>51</v>
      </c>
      <c r="B597" s="11" t="s">
        <v>92</v>
      </c>
      <c r="C597" s="15"/>
      <c r="D597" s="16" t="s">
        <v>15</v>
      </c>
      <c r="E597" s="17">
        <v>5</v>
      </c>
      <c r="F597" s="18">
        <f>E597* 0.981163265034061</f>
        <v>4.9058163251703055</v>
      </c>
      <c r="G597" s="18">
        <f>E597* 0.0027595216829083</f>
        <v>1.3797608414541499E-2</v>
      </c>
      <c r="H597" s="18">
        <f>E597* 0.0160372202151627</f>
        <v>8.0186101075813504E-2</v>
      </c>
    </row>
    <row r="598" spans="1:8" ht="15.75" hidden="1" customHeight="1" x14ac:dyDescent="0.25">
      <c r="A598" s="15" t="s">
        <v>51</v>
      </c>
      <c r="B598" s="11" t="s">
        <v>92</v>
      </c>
      <c r="C598" s="15"/>
      <c r="D598" s="16" t="s">
        <v>16</v>
      </c>
      <c r="E598" s="17">
        <v>0</v>
      </c>
      <c r="F598" s="18">
        <f>E598* 0.142974979378609</f>
        <v>0</v>
      </c>
      <c r="G598" s="18">
        <f>E598* 0.852350838603245</f>
        <v>0</v>
      </c>
      <c r="H598" s="18">
        <f>E598* 0.00467418201814682</f>
        <v>0</v>
      </c>
    </row>
    <row r="599" spans="1:8" ht="15.75" hidden="1" customHeight="1" x14ac:dyDescent="0.25">
      <c r="A599" s="15" t="s">
        <v>51</v>
      </c>
      <c r="B599" s="11" t="s">
        <v>92</v>
      </c>
      <c r="C599" s="15"/>
      <c r="D599" s="16" t="s">
        <v>11</v>
      </c>
      <c r="E599" s="17">
        <v>3</v>
      </c>
      <c r="F599" s="18">
        <f>E599* 0.178797409805735</f>
        <v>0.53639222941720499</v>
      </c>
      <c r="G599" s="18">
        <f>E599* 0.819278445883441</f>
        <v>2.457835337650323</v>
      </c>
      <c r="H599" s="18">
        <f>E599* 0.00181313598519889</f>
        <v>5.4394079555966698E-3</v>
      </c>
    </row>
    <row r="600" spans="1:8" ht="15.75" hidden="1" customHeight="1" x14ac:dyDescent="0.25">
      <c r="A600" s="15" t="s">
        <v>51</v>
      </c>
      <c r="B600" s="11" t="s">
        <v>92</v>
      </c>
      <c r="C600" s="15"/>
      <c r="D600" s="16" t="s">
        <v>17</v>
      </c>
      <c r="E600" s="17">
        <v>3</v>
      </c>
      <c r="F600" s="18">
        <f>E600* 0.916446662218225</f>
        <v>2.7493399866546753</v>
      </c>
      <c r="G600" s="18">
        <f>E600* 0.0292436682236212</f>
        <v>8.7731004670863588E-2</v>
      </c>
      <c r="H600" s="18">
        <f>E600* 0.0543096695581537</f>
        <v>0.16292900867446111</v>
      </c>
    </row>
    <row r="601" spans="1:8" ht="15.75" hidden="1" customHeight="1" x14ac:dyDescent="0.25">
      <c r="A601" s="15" t="s">
        <v>51</v>
      </c>
      <c r="B601" s="11" t="s">
        <v>92</v>
      </c>
      <c r="C601" s="15"/>
      <c r="D601" s="16" t="s">
        <v>31</v>
      </c>
      <c r="E601" s="17">
        <v>1</v>
      </c>
      <c r="F601" s="18">
        <f>E601* 0.957442434210526</f>
        <v>0.95744243421052599</v>
      </c>
      <c r="G601" s="18">
        <f>E601* 0.0158305921052632</f>
        <v>1.5830592105263198E-2</v>
      </c>
      <c r="H601" s="18">
        <f>E601* 0.0263157894736842</f>
        <v>2.6315789473684199E-2</v>
      </c>
    </row>
    <row r="602" spans="1:8" ht="15.75" hidden="1" customHeight="1" x14ac:dyDescent="0.25">
      <c r="A602" s="15" t="s">
        <v>51</v>
      </c>
      <c r="B602" s="11" t="s">
        <v>92</v>
      </c>
      <c r="C602" s="15"/>
      <c r="D602" s="16" t="s">
        <v>18</v>
      </c>
      <c r="E602" s="17">
        <v>2</v>
      </c>
      <c r="F602" s="18">
        <f>E602* 0.983388008654987</f>
        <v>1.966776017309974</v>
      </c>
      <c r="G602" s="18">
        <f>E602* 0.0133314720457877</f>
        <v>2.6662944091575401E-2</v>
      </c>
      <c r="H602" s="18">
        <f>E602* 0.003210721016263</f>
        <v>6.4214420325260004E-3</v>
      </c>
    </row>
    <row r="603" spans="1:8" ht="15.75" hidden="1" customHeight="1" x14ac:dyDescent="0.25">
      <c r="A603" s="15" t="s">
        <v>51</v>
      </c>
      <c r="B603" s="11" t="s">
        <v>92</v>
      </c>
      <c r="C603" s="15"/>
      <c r="D603" s="16" t="s">
        <v>19</v>
      </c>
      <c r="E603" s="17">
        <v>1</v>
      </c>
      <c r="F603" s="18">
        <f>E603* 0.511826182618262</f>
        <v>0.51182618261826196</v>
      </c>
      <c r="G603" s="18">
        <f>E603* 0.476622662266227</f>
        <v>0.47662266226622702</v>
      </c>
      <c r="H603" s="18">
        <f>E603* 0.0115511551155116</f>
        <v>1.1551155115511601E-2</v>
      </c>
    </row>
    <row r="604" spans="1:8" ht="15.75" hidden="1" customHeight="1" x14ac:dyDescent="0.25">
      <c r="A604" s="15" t="s">
        <v>51</v>
      </c>
      <c r="B604" s="11" t="s">
        <v>92</v>
      </c>
      <c r="C604" s="15"/>
      <c r="D604" s="16" t="s">
        <v>20</v>
      </c>
      <c r="E604" s="17">
        <v>2</v>
      </c>
      <c r="F604" s="18">
        <f>E604* 0.814615536880747</f>
        <v>1.6292310737614939</v>
      </c>
      <c r="G604" s="18">
        <f>E604* 0.0763167839340663</f>
        <v>0.15263356786813259</v>
      </c>
      <c r="H604" s="18">
        <f>E604* 0.109013694193014</f>
        <v>0.218027388386028</v>
      </c>
    </row>
    <row r="605" spans="1:8" ht="15.75" hidden="1" customHeight="1" x14ac:dyDescent="0.25">
      <c r="A605" s="15" t="s">
        <v>51</v>
      </c>
      <c r="B605" s="11" t="s">
        <v>92</v>
      </c>
      <c r="C605" s="15"/>
      <c r="D605" s="16" t="s">
        <v>21</v>
      </c>
      <c r="E605" s="17">
        <v>56</v>
      </c>
      <c r="F605" s="18">
        <f>E605* 0.999722052365334</f>
        <v>55.984434932458704</v>
      </c>
      <c r="G605" s="18">
        <v>0</v>
      </c>
      <c r="H605" s="18">
        <f>E605* 0.000277947634665629</f>
        <v>1.5565067541275223E-2</v>
      </c>
    </row>
    <row r="606" spans="1:8" ht="15.75" hidden="1" customHeight="1" x14ac:dyDescent="0.25">
      <c r="A606" s="15" t="s">
        <v>51</v>
      </c>
      <c r="B606" s="11" t="s">
        <v>92</v>
      </c>
      <c r="C606" s="15"/>
      <c r="D606" s="16" t="s">
        <v>36</v>
      </c>
      <c r="E606" s="17">
        <v>0</v>
      </c>
      <c r="F606" s="18">
        <f>E606* 0.999132697311362</f>
        <v>0</v>
      </c>
      <c r="G606" s="20">
        <v>0</v>
      </c>
      <c r="H606" s="18">
        <f>E606* 0.000867302688638335</f>
        <v>0</v>
      </c>
    </row>
    <row r="607" spans="1:8" ht="15.75" hidden="1" customHeight="1" x14ac:dyDescent="0.25">
      <c r="A607" s="15" t="s">
        <v>51</v>
      </c>
      <c r="B607" s="11" t="s">
        <v>92</v>
      </c>
      <c r="C607" s="15"/>
      <c r="D607" s="16" t="s">
        <v>12</v>
      </c>
      <c r="E607" s="17">
        <v>32</v>
      </c>
      <c r="F607" s="18">
        <f>E607* 0.924936238310357</f>
        <v>29.597959625931423</v>
      </c>
      <c r="G607" s="18">
        <f>E607* 0.0351064361799663</f>
        <v>1.1234059577589215</v>
      </c>
      <c r="H607" s="18">
        <f>E607* 0.039932320925503</f>
        <v>1.277834269616096</v>
      </c>
    </row>
    <row r="608" spans="1:8" ht="15.75" hidden="1" customHeight="1" x14ac:dyDescent="0.25">
      <c r="A608" s="15" t="s">
        <v>51</v>
      </c>
      <c r="B608" s="8"/>
      <c r="C608" s="8"/>
      <c r="D608" s="9"/>
      <c r="E608" s="19"/>
    </row>
    <row r="609" spans="1:8" ht="15.75" hidden="1" customHeight="1" x14ac:dyDescent="0.25">
      <c r="A609" s="15" t="s">
        <v>51</v>
      </c>
      <c r="B609" s="11" t="s">
        <v>93</v>
      </c>
      <c r="C609" s="12" t="str">
        <f>B609&amp;"_"&amp;A609</f>
        <v>Puerto Acosta_La Paz</v>
      </c>
      <c r="E609" s="13">
        <v>8</v>
      </c>
      <c r="F609" s="14">
        <f t="shared" ref="F609:H609" si="66">SUM(F610:F622)</f>
        <v>4.7782423855951794</v>
      </c>
      <c r="G609" s="14">
        <f t="shared" si="66"/>
        <v>2.7764339454323759</v>
      </c>
      <c r="H609" s="14">
        <f t="shared" si="66"/>
        <v>0.44470490574391569</v>
      </c>
    </row>
    <row r="610" spans="1:8" ht="15.75" hidden="1" customHeight="1" x14ac:dyDescent="0.25">
      <c r="A610" s="15" t="s">
        <v>51</v>
      </c>
      <c r="B610" s="11" t="s">
        <v>93</v>
      </c>
      <c r="C610" s="15"/>
      <c r="D610" s="16" t="s">
        <v>53</v>
      </c>
      <c r="E610" s="17">
        <v>0</v>
      </c>
      <c r="F610" s="20">
        <v>0</v>
      </c>
      <c r="G610" s="20">
        <f>E610</f>
        <v>0</v>
      </c>
      <c r="H610" s="20">
        <v>0</v>
      </c>
    </row>
    <row r="611" spans="1:8" ht="15.75" hidden="1" customHeight="1" x14ac:dyDescent="0.25">
      <c r="A611" s="15" t="s">
        <v>51</v>
      </c>
      <c r="B611" s="11" t="s">
        <v>93</v>
      </c>
      <c r="C611" s="15"/>
      <c r="D611" s="16" t="s">
        <v>15</v>
      </c>
      <c r="E611" s="17">
        <v>0</v>
      </c>
      <c r="F611" s="18">
        <f>E611* 0.981163265034061</f>
        <v>0</v>
      </c>
      <c r="G611" s="18">
        <f>E611* 0.0027595216829083</f>
        <v>0</v>
      </c>
      <c r="H611" s="18">
        <f>E611* 0.0160372202151627</f>
        <v>0</v>
      </c>
    </row>
    <row r="612" spans="1:8" ht="15.75" hidden="1" customHeight="1" x14ac:dyDescent="0.25">
      <c r="A612" s="15" t="s">
        <v>51</v>
      </c>
      <c r="B612" s="11" t="s">
        <v>93</v>
      </c>
      <c r="C612" s="15"/>
      <c r="D612" s="16" t="s">
        <v>16</v>
      </c>
      <c r="E612" s="17">
        <v>0</v>
      </c>
      <c r="F612" s="18">
        <f>E612* 0.142974979378609</f>
        <v>0</v>
      </c>
      <c r="G612" s="18">
        <f>E612* 0.852350838603245</f>
        <v>0</v>
      </c>
      <c r="H612" s="18">
        <f>E612* 0.00467418201814682</f>
        <v>0</v>
      </c>
    </row>
    <row r="613" spans="1:8" ht="15.75" hidden="1" customHeight="1" x14ac:dyDescent="0.25">
      <c r="A613" s="15" t="s">
        <v>51</v>
      </c>
      <c r="B613" s="11" t="s">
        <v>93</v>
      </c>
      <c r="C613" s="15"/>
      <c r="D613" s="16" t="s">
        <v>11</v>
      </c>
      <c r="E613" s="17">
        <v>3</v>
      </c>
      <c r="F613" s="18">
        <f>E613* 0.178797409805735</f>
        <v>0.53639222941720499</v>
      </c>
      <c r="G613" s="18">
        <f>E613* 0.819278445883441</f>
        <v>2.457835337650323</v>
      </c>
      <c r="H613" s="18">
        <f>E613* 0.00181313598519889</f>
        <v>5.4394079555966698E-3</v>
      </c>
    </row>
    <row r="614" spans="1:8" ht="15.75" hidden="1" customHeight="1" x14ac:dyDescent="0.25">
      <c r="A614" s="15" t="s">
        <v>51</v>
      </c>
      <c r="B614" s="11" t="s">
        <v>93</v>
      </c>
      <c r="C614" s="15"/>
      <c r="D614" s="16" t="s">
        <v>17</v>
      </c>
      <c r="E614" s="17">
        <v>0</v>
      </c>
      <c r="F614" s="18">
        <f>E614* 0.916446662218225</f>
        <v>0</v>
      </c>
      <c r="G614" s="18">
        <f>E614* 0.0292436682236212</f>
        <v>0</v>
      </c>
      <c r="H614" s="18">
        <f>E614* 0.0543096695581537</f>
        <v>0</v>
      </c>
    </row>
    <row r="615" spans="1:8" ht="15.75" hidden="1" customHeight="1" x14ac:dyDescent="0.25">
      <c r="A615" s="15" t="s">
        <v>51</v>
      </c>
      <c r="B615" s="11" t="s">
        <v>93</v>
      </c>
      <c r="C615" s="15"/>
      <c r="D615" s="16" t="s">
        <v>31</v>
      </c>
      <c r="E615" s="17">
        <v>0</v>
      </c>
      <c r="F615" s="18">
        <f>E615* 0.957442434210526</f>
        <v>0</v>
      </c>
      <c r="G615" s="18">
        <f>E615* 0.0158305921052632</f>
        <v>0</v>
      </c>
      <c r="H615" s="18">
        <f>E615* 0.0263157894736842</f>
        <v>0</v>
      </c>
    </row>
    <row r="616" spans="1:8" ht="15.75" hidden="1" customHeight="1" x14ac:dyDescent="0.25">
      <c r="A616" s="15" t="s">
        <v>51</v>
      </c>
      <c r="B616" s="11" t="s">
        <v>93</v>
      </c>
      <c r="C616" s="15"/>
      <c r="D616" s="16" t="s">
        <v>18</v>
      </c>
      <c r="E616" s="17">
        <v>1</v>
      </c>
      <c r="F616" s="18">
        <f>E616* 0.983388008654987</f>
        <v>0.98338800865498699</v>
      </c>
      <c r="G616" s="18">
        <f>E616* 0.0133314720457877</f>
        <v>1.33314720457877E-2</v>
      </c>
      <c r="H616" s="18">
        <f>E616* 0.003210721016263</f>
        <v>3.2107210162630002E-3</v>
      </c>
    </row>
    <row r="617" spans="1:8" ht="15.75" hidden="1" customHeight="1" x14ac:dyDescent="0.25">
      <c r="A617" s="15" t="s">
        <v>51</v>
      </c>
      <c r="B617" s="11" t="s">
        <v>93</v>
      </c>
      <c r="C617" s="15"/>
      <c r="D617" s="16" t="s">
        <v>19</v>
      </c>
      <c r="E617" s="17">
        <v>0</v>
      </c>
      <c r="F617" s="18">
        <f>E617* 0.511826182618262</f>
        <v>0</v>
      </c>
      <c r="G617" s="18">
        <f>E617* 0.476622662266227</f>
        <v>0</v>
      </c>
      <c r="H617" s="18">
        <f>E617* 0.0115511551155116</f>
        <v>0</v>
      </c>
    </row>
    <row r="618" spans="1:8" ht="15.75" hidden="1" customHeight="1" x14ac:dyDescent="0.25">
      <c r="A618" s="15" t="s">
        <v>51</v>
      </c>
      <c r="B618" s="11" t="s">
        <v>93</v>
      </c>
      <c r="C618" s="15"/>
      <c r="D618" s="16" t="s">
        <v>20</v>
      </c>
      <c r="E618" s="17">
        <v>4</v>
      </c>
      <c r="F618" s="18">
        <f>E618* 0.814615536880747</f>
        <v>3.2584621475229878</v>
      </c>
      <c r="G618" s="18">
        <f>E618* 0.0763167839340663</f>
        <v>0.30526713573626518</v>
      </c>
      <c r="H618" s="18">
        <f>E618* 0.109013694193014</f>
        <v>0.43605477677205601</v>
      </c>
    </row>
    <row r="619" spans="1:8" ht="15.75" hidden="1" customHeight="1" x14ac:dyDescent="0.25">
      <c r="A619" s="15" t="s">
        <v>51</v>
      </c>
      <c r="B619" s="11" t="s">
        <v>93</v>
      </c>
      <c r="C619" s="15"/>
      <c r="D619" s="16" t="s">
        <v>21</v>
      </c>
      <c r="E619" s="17">
        <v>0</v>
      </c>
      <c r="F619" s="18">
        <f>E619* 0.999722052365334</f>
        <v>0</v>
      </c>
      <c r="G619" s="18">
        <v>0</v>
      </c>
      <c r="H619" s="18">
        <f>E619* 0.000277947634665629</f>
        <v>0</v>
      </c>
    </row>
    <row r="620" spans="1:8" ht="15.75" hidden="1" customHeight="1" x14ac:dyDescent="0.25">
      <c r="A620" s="15" t="s">
        <v>51</v>
      </c>
      <c r="B620" s="11" t="s">
        <v>93</v>
      </c>
      <c r="C620" s="15"/>
      <c r="D620" s="16" t="s">
        <v>36</v>
      </c>
      <c r="E620" s="17">
        <v>0</v>
      </c>
      <c r="F620" s="18">
        <f>E620* 0.999132697311362</f>
        <v>0</v>
      </c>
      <c r="G620" s="20">
        <v>0</v>
      </c>
      <c r="H620" s="18">
        <f>E620* 0.000867302688638335</f>
        <v>0</v>
      </c>
    </row>
    <row r="621" spans="1:8" ht="15.75" hidden="1" customHeight="1" x14ac:dyDescent="0.25">
      <c r="A621" s="15" t="s">
        <v>51</v>
      </c>
      <c r="B621" s="11" t="s">
        <v>93</v>
      </c>
      <c r="C621" s="15"/>
      <c r="D621" s="16" t="s">
        <v>28</v>
      </c>
      <c r="E621" s="17">
        <v>0</v>
      </c>
      <c r="F621" s="18">
        <f>E621* 0.00115651503469545</f>
        <v>0</v>
      </c>
      <c r="G621" s="18">
        <f>E621* 0.998843484965305</f>
        <v>0</v>
      </c>
      <c r="H621" s="20">
        <v>0</v>
      </c>
    </row>
    <row r="622" spans="1:8" ht="15.75" hidden="1" customHeight="1" x14ac:dyDescent="0.25">
      <c r="A622" s="15" t="s">
        <v>51</v>
      </c>
      <c r="B622" s="11" t="s">
        <v>93</v>
      </c>
      <c r="C622" s="15"/>
      <c r="D622" s="16" t="s">
        <v>12</v>
      </c>
      <c r="E622" s="17">
        <v>0</v>
      </c>
      <c r="F622" s="18">
        <f>E622* 0.924936238310357</f>
        <v>0</v>
      </c>
      <c r="G622" s="18">
        <f>E622* 0.0351064361799663</f>
        <v>0</v>
      </c>
      <c r="H622" s="18">
        <f>E622* 0.039932320925503</f>
        <v>0</v>
      </c>
    </row>
    <row r="623" spans="1:8" ht="15.75" hidden="1" customHeight="1" x14ac:dyDescent="0.25">
      <c r="A623" s="15" t="s">
        <v>51</v>
      </c>
      <c r="B623" s="8"/>
      <c r="C623" s="8"/>
      <c r="D623" s="9"/>
      <c r="E623" s="19"/>
    </row>
    <row r="624" spans="1:8" ht="15.75" hidden="1" customHeight="1" x14ac:dyDescent="0.25">
      <c r="A624" s="15" t="s">
        <v>51</v>
      </c>
      <c r="B624" s="11" t="s">
        <v>94</v>
      </c>
      <c r="C624" s="12" t="str">
        <f>B624&amp;"_"&amp;A624</f>
        <v>Puerto Mayor Carabuco Ch._La Paz</v>
      </c>
      <c r="E624" s="13">
        <v>0</v>
      </c>
      <c r="F624" s="14">
        <f t="shared" ref="F624:H624" si="67">SUM(F625)</f>
        <v>0</v>
      </c>
      <c r="G624" s="14">
        <f t="shared" si="67"/>
        <v>0</v>
      </c>
      <c r="H624" s="14">
        <f t="shared" si="67"/>
        <v>0</v>
      </c>
    </row>
    <row r="625" spans="1:8" ht="15.75" hidden="1" customHeight="1" x14ac:dyDescent="0.25">
      <c r="A625" s="15" t="s">
        <v>51</v>
      </c>
      <c r="B625" s="11" t="s">
        <v>94</v>
      </c>
      <c r="C625" s="15"/>
      <c r="D625" s="16" t="s">
        <v>12</v>
      </c>
      <c r="E625" s="17">
        <v>0</v>
      </c>
      <c r="F625" s="18">
        <f>E625* 0.924936238310357</f>
        <v>0</v>
      </c>
      <c r="G625" s="18">
        <f>E625* 0.0351064361799663</f>
        <v>0</v>
      </c>
      <c r="H625" s="18">
        <f>E625* 0.039932320925503</f>
        <v>0</v>
      </c>
    </row>
    <row r="626" spans="1:8" ht="15.75" hidden="1" customHeight="1" x14ac:dyDescent="0.25">
      <c r="A626" s="15" t="s">
        <v>51</v>
      </c>
      <c r="B626" s="8"/>
      <c r="C626" s="8"/>
      <c r="D626" s="9"/>
      <c r="E626" s="19"/>
    </row>
    <row r="627" spans="1:8" ht="15.75" hidden="1" customHeight="1" x14ac:dyDescent="0.25">
      <c r="A627" s="15" t="s">
        <v>51</v>
      </c>
      <c r="B627" s="11" t="s">
        <v>95</v>
      </c>
      <c r="C627" s="12" t="str">
        <f>B627&amp;"_"&amp;A627</f>
        <v>Quime_La Paz</v>
      </c>
      <c r="E627" s="13">
        <v>3</v>
      </c>
      <c r="F627" s="14">
        <f t="shared" ref="F627:H627" si="68">SUM(F628:F632)</f>
        <v>2.0512992263439527</v>
      </c>
      <c r="G627" s="14">
        <f t="shared" si="68"/>
        <v>0.90078874682899901</v>
      </c>
      <c r="H627" s="14">
        <f t="shared" si="68"/>
        <v>4.7817223959912822E-2</v>
      </c>
    </row>
    <row r="628" spans="1:8" ht="15.75" hidden="1" customHeight="1" x14ac:dyDescent="0.25">
      <c r="A628" s="15" t="s">
        <v>51</v>
      </c>
      <c r="B628" s="11" t="s">
        <v>95</v>
      </c>
      <c r="C628" s="15"/>
      <c r="D628" s="16" t="s">
        <v>16</v>
      </c>
      <c r="E628" s="17">
        <v>1</v>
      </c>
      <c r="F628" s="18">
        <f>E628* 0.142974979378609</f>
        <v>0.14297497937860901</v>
      </c>
      <c r="G628" s="18">
        <f>E628* 0.852350838603245</f>
        <v>0.85235083860324501</v>
      </c>
      <c r="H628" s="18">
        <f>E628* 0.00467418201814682</f>
        <v>4.6741820181468198E-3</v>
      </c>
    </row>
    <row r="629" spans="1:8" ht="15.75" hidden="1" customHeight="1" x14ac:dyDescent="0.25">
      <c r="A629" s="15" t="s">
        <v>51</v>
      </c>
      <c r="B629" s="11" t="s">
        <v>95</v>
      </c>
      <c r="C629" s="15"/>
      <c r="D629" s="16" t="s">
        <v>11</v>
      </c>
      <c r="E629" s="17">
        <v>0</v>
      </c>
      <c r="F629" s="18">
        <f>E629* 0.178797409805735</f>
        <v>0</v>
      </c>
      <c r="G629" s="18">
        <f>E629* 0.819278445883441</f>
        <v>0</v>
      </c>
      <c r="H629" s="18">
        <f>E629* 0.00181313598519889</f>
        <v>0</v>
      </c>
    </row>
    <row r="630" spans="1:8" ht="15.75" hidden="1" customHeight="1" x14ac:dyDescent="0.25">
      <c r="A630" s="15" t="s">
        <v>51</v>
      </c>
      <c r="B630" s="11" t="s">
        <v>95</v>
      </c>
      <c r="C630" s="15"/>
      <c r="D630" s="16" t="s">
        <v>18</v>
      </c>
      <c r="E630" s="17">
        <v>1</v>
      </c>
      <c r="F630" s="18">
        <f>E630* 0.983388008654987</f>
        <v>0.98338800865498699</v>
      </c>
      <c r="G630" s="18">
        <f>E630* 0.0133314720457877</f>
        <v>1.33314720457877E-2</v>
      </c>
      <c r="H630" s="18">
        <f>E630* 0.003210721016263</f>
        <v>3.2107210162630002E-3</v>
      </c>
    </row>
    <row r="631" spans="1:8" ht="15.75" hidden="1" customHeight="1" x14ac:dyDescent="0.25">
      <c r="A631" s="15" t="s">
        <v>51</v>
      </c>
      <c r="B631" s="11" t="s">
        <v>95</v>
      </c>
      <c r="C631" s="15"/>
      <c r="D631" s="16" t="s">
        <v>19</v>
      </c>
      <c r="E631" s="17">
        <v>0</v>
      </c>
      <c r="F631" s="18">
        <f>E631* 0.511826182618262</f>
        <v>0</v>
      </c>
      <c r="G631" s="18">
        <f>E631* 0.476622662266227</f>
        <v>0</v>
      </c>
      <c r="H631" s="18">
        <f>E631* 0.0115511551155116</f>
        <v>0</v>
      </c>
    </row>
    <row r="632" spans="1:8" ht="15.75" hidden="1" customHeight="1" x14ac:dyDescent="0.25">
      <c r="A632" s="15" t="s">
        <v>51</v>
      </c>
      <c r="B632" s="11" t="s">
        <v>95</v>
      </c>
      <c r="C632" s="15"/>
      <c r="D632" s="16" t="s">
        <v>12</v>
      </c>
      <c r="E632" s="17">
        <v>1</v>
      </c>
      <c r="F632" s="18">
        <f>E632* 0.924936238310357</f>
        <v>0.92493623831035698</v>
      </c>
      <c r="G632" s="18">
        <f>E632* 0.0351064361799663</f>
        <v>3.5106436179966297E-2</v>
      </c>
      <c r="H632" s="18">
        <f>E632* 0.039932320925503</f>
        <v>3.9932320925503001E-2</v>
      </c>
    </row>
    <row r="633" spans="1:8" ht="15.75" hidden="1" customHeight="1" x14ac:dyDescent="0.25">
      <c r="A633" s="15" t="s">
        <v>51</v>
      </c>
      <c r="B633" s="8"/>
      <c r="C633" s="8"/>
      <c r="D633" s="9"/>
      <c r="E633" s="19"/>
    </row>
    <row r="634" spans="1:8" ht="15.75" hidden="1" customHeight="1" x14ac:dyDescent="0.25">
      <c r="A634" s="15" t="s">
        <v>51</v>
      </c>
      <c r="B634" s="11" t="s">
        <v>96</v>
      </c>
      <c r="C634" s="12" t="str">
        <f>B634&amp;"_"&amp;A634</f>
        <v>Santiago de Huata_La Paz</v>
      </c>
      <c r="E634" s="13">
        <v>0</v>
      </c>
      <c r="F634" s="14">
        <f t="shared" ref="F634:H634" si="69">SUM(F635:F645)</f>
        <v>0</v>
      </c>
      <c r="G634" s="14">
        <f t="shared" si="69"/>
        <v>0</v>
      </c>
      <c r="H634" s="14">
        <f t="shared" si="69"/>
        <v>0</v>
      </c>
    </row>
    <row r="635" spans="1:8" ht="15.75" hidden="1" customHeight="1" x14ac:dyDescent="0.25">
      <c r="A635" s="15" t="s">
        <v>51</v>
      </c>
      <c r="B635" s="11" t="s">
        <v>96</v>
      </c>
      <c r="C635" s="15"/>
      <c r="D635" s="16" t="s">
        <v>15</v>
      </c>
      <c r="E635" s="17">
        <v>0</v>
      </c>
      <c r="F635" s="18">
        <f>E635* 0.981163265034061</f>
        <v>0</v>
      </c>
      <c r="G635" s="18">
        <f>E635* 0.0027595216829083</f>
        <v>0</v>
      </c>
      <c r="H635" s="18">
        <f>E635* 0.0160372202151627</f>
        <v>0</v>
      </c>
    </row>
    <row r="636" spans="1:8" ht="15.75" hidden="1" customHeight="1" x14ac:dyDescent="0.25">
      <c r="A636" s="15" t="s">
        <v>51</v>
      </c>
      <c r="B636" s="11" t="s">
        <v>96</v>
      </c>
      <c r="C636" s="15"/>
      <c r="D636" s="16" t="s">
        <v>16</v>
      </c>
      <c r="E636" s="17">
        <v>0</v>
      </c>
      <c r="F636" s="18">
        <f>E636* 0.142974979378609</f>
        <v>0</v>
      </c>
      <c r="G636" s="18">
        <f>E636* 0.852350838603245</f>
        <v>0</v>
      </c>
      <c r="H636" s="18">
        <f>E636* 0.00467418201814682</f>
        <v>0</v>
      </c>
    </row>
    <row r="637" spans="1:8" ht="15.75" hidden="1" customHeight="1" x14ac:dyDescent="0.25">
      <c r="A637" s="15" t="s">
        <v>51</v>
      </c>
      <c r="B637" s="11" t="s">
        <v>96</v>
      </c>
      <c r="C637" s="15"/>
      <c r="D637" s="16" t="s">
        <v>11</v>
      </c>
      <c r="E637" s="17">
        <v>0</v>
      </c>
      <c r="F637" s="18">
        <f>E637* 0.178797409805735</f>
        <v>0</v>
      </c>
      <c r="G637" s="18">
        <f>E637* 0.819278445883441</f>
        <v>0</v>
      </c>
      <c r="H637" s="18">
        <f>E637* 0.00181313598519889</f>
        <v>0</v>
      </c>
    </row>
    <row r="638" spans="1:8" ht="15.75" hidden="1" customHeight="1" x14ac:dyDescent="0.25">
      <c r="A638" s="15" t="s">
        <v>51</v>
      </c>
      <c r="B638" s="11" t="s">
        <v>96</v>
      </c>
      <c r="C638" s="15"/>
      <c r="D638" s="16" t="s">
        <v>17</v>
      </c>
      <c r="E638" s="17">
        <v>0</v>
      </c>
      <c r="F638" s="18">
        <f>E638* 0.916446662218225</f>
        <v>0</v>
      </c>
      <c r="G638" s="18">
        <f>E638* 0.0292436682236212</f>
        <v>0</v>
      </c>
      <c r="H638" s="18">
        <f>E638* 0.0543096695581537</f>
        <v>0</v>
      </c>
    </row>
    <row r="639" spans="1:8" ht="15.75" hidden="1" customHeight="1" x14ac:dyDescent="0.25">
      <c r="A639" s="15" t="s">
        <v>51</v>
      </c>
      <c r="B639" s="11" t="s">
        <v>96</v>
      </c>
      <c r="C639" s="15"/>
      <c r="D639" s="16" t="s">
        <v>31</v>
      </c>
      <c r="E639" s="17">
        <v>0</v>
      </c>
      <c r="F639" s="18">
        <f>E639* 0.957442434210526</f>
        <v>0</v>
      </c>
      <c r="G639" s="18">
        <f>E639* 0.0158305921052632</f>
        <v>0</v>
      </c>
      <c r="H639" s="18">
        <f>E639* 0.0263157894736842</f>
        <v>0</v>
      </c>
    </row>
    <row r="640" spans="1:8" ht="15.75" hidden="1" customHeight="1" x14ac:dyDescent="0.25">
      <c r="A640" s="15" t="s">
        <v>51</v>
      </c>
      <c r="B640" s="11" t="s">
        <v>96</v>
      </c>
      <c r="C640" s="15"/>
      <c r="D640" s="16" t="s">
        <v>18</v>
      </c>
      <c r="E640" s="17">
        <v>0</v>
      </c>
      <c r="F640" s="18">
        <f>E640* 0.983388008654987</f>
        <v>0</v>
      </c>
      <c r="G640" s="18">
        <f>E640* 0.0133314720457877</f>
        <v>0</v>
      </c>
      <c r="H640" s="18">
        <f>E640* 0.003210721016263</f>
        <v>0</v>
      </c>
    </row>
    <row r="641" spans="1:8" ht="15.75" hidden="1" customHeight="1" x14ac:dyDescent="0.25">
      <c r="A641" s="15" t="s">
        <v>51</v>
      </c>
      <c r="B641" s="11" t="s">
        <v>96</v>
      </c>
      <c r="C641" s="15"/>
      <c r="D641" s="16" t="s">
        <v>19</v>
      </c>
      <c r="E641" s="17">
        <v>0</v>
      </c>
      <c r="F641" s="18">
        <f>E641* 0.511826182618262</f>
        <v>0</v>
      </c>
      <c r="G641" s="18">
        <f>E641* 0.476622662266227</f>
        <v>0</v>
      </c>
      <c r="H641" s="18">
        <f>E641* 0.0115511551155116</f>
        <v>0</v>
      </c>
    </row>
    <row r="642" spans="1:8" ht="15.75" hidden="1" customHeight="1" x14ac:dyDescent="0.25">
      <c r="A642" s="15" t="s">
        <v>51</v>
      </c>
      <c r="B642" s="11" t="s">
        <v>96</v>
      </c>
      <c r="C642" s="15"/>
      <c r="D642" s="16" t="s">
        <v>20</v>
      </c>
      <c r="E642" s="17">
        <v>0</v>
      </c>
      <c r="F642" s="18">
        <f>E642* 0.814615536880747</f>
        <v>0</v>
      </c>
      <c r="G642" s="18">
        <f>E642* 0.0763167839340663</f>
        <v>0</v>
      </c>
      <c r="H642" s="18">
        <f>E642* 0.109013694193014</f>
        <v>0</v>
      </c>
    </row>
    <row r="643" spans="1:8" ht="15.75" hidden="1" customHeight="1" x14ac:dyDescent="0.25">
      <c r="A643" s="15" t="s">
        <v>51</v>
      </c>
      <c r="B643" s="11" t="s">
        <v>96</v>
      </c>
      <c r="C643" s="15"/>
      <c r="D643" s="16" t="s">
        <v>21</v>
      </c>
      <c r="E643" s="17">
        <v>0</v>
      </c>
      <c r="F643" s="18">
        <f>E643* 0.999722052365334</f>
        <v>0</v>
      </c>
      <c r="G643" s="18">
        <v>0</v>
      </c>
      <c r="H643" s="18">
        <f>E643* 0.000277947634665629</f>
        <v>0</v>
      </c>
    </row>
    <row r="644" spans="1:8" ht="15.75" hidden="1" customHeight="1" x14ac:dyDescent="0.25">
      <c r="A644" s="15" t="s">
        <v>51</v>
      </c>
      <c r="B644" s="11" t="s">
        <v>96</v>
      </c>
      <c r="C644" s="15"/>
      <c r="D644" s="16" t="s">
        <v>28</v>
      </c>
      <c r="E644" s="17">
        <v>0</v>
      </c>
      <c r="F644" s="18">
        <f>E644* 0.00115651503469545</f>
        <v>0</v>
      </c>
      <c r="G644" s="18">
        <f>E644* 0.998843484965305</f>
        <v>0</v>
      </c>
      <c r="H644" s="20">
        <v>0</v>
      </c>
    </row>
    <row r="645" spans="1:8" ht="15.75" hidden="1" customHeight="1" x14ac:dyDescent="0.25">
      <c r="A645" s="15" t="s">
        <v>51</v>
      </c>
      <c r="B645" s="11" t="s">
        <v>96</v>
      </c>
      <c r="C645" s="15"/>
      <c r="D645" s="16" t="s">
        <v>12</v>
      </c>
      <c r="E645" s="17">
        <v>0</v>
      </c>
      <c r="F645" s="18">
        <f>E645* 0.924936238310357</f>
        <v>0</v>
      </c>
      <c r="G645" s="18">
        <f>E645* 0.0351064361799663</f>
        <v>0</v>
      </c>
      <c r="H645" s="18">
        <f>E645* 0.039932320925503</f>
        <v>0</v>
      </c>
    </row>
    <row r="646" spans="1:8" ht="15.75" hidden="1" customHeight="1" x14ac:dyDescent="0.25">
      <c r="A646" s="15" t="s">
        <v>51</v>
      </c>
      <c r="B646" s="8"/>
      <c r="C646" s="8"/>
      <c r="D646" s="9"/>
      <c r="E646" s="19"/>
    </row>
    <row r="647" spans="1:8" ht="15.75" hidden="1" customHeight="1" x14ac:dyDescent="0.25">
      <c r="A647" s="15" t="s">
        <v>51</v>
      </c>
      <c r="B647" s="11" t="s">
        <v>97</v>
      </c>
      <c r="C647" s="12" t="str">
        <f>B647&amp;"_"&amp;A647</f>
        <v>Sapahaqui_La Paz</v>
      </c>
      <c r="E647" s="13">
        <v>2</v>
      </c>
      <c r="F647" s="14">
        <f t="shared" ref="F647:H647" si="70">SUM(F648:F660)</f>
        <v>1.12413824441267</v>
      </c>
      <c r="G647" s="14">
        <f t="shared" si="70"/>
        <v>0.85511036028615328</v>
      </c>
      <c r="H647" s="14">
        <f t="shared" si="70"/>
        <v>2.0711402233309521E-2</v>
      </c>
    </row>
    <row r="648" spans="1:8" ht="15.75" hidden="1" customHeight="1" x14ac:dyDescent="0.25">
      <c r="A648" s="15" t="s">
        <v>51</v>
      </c>
      <c r="B648" s="11" t="s">
        <v>97</v>
      </c>
      <c r="C648" s="15"/>
      <c r="D648" s="16" t="s">
        <v>53</v>
      </c>
      <c r="E648" s="17">
        <v>0</v>
      </c>
      <c r="F648" s="20">
        <v>0</v>
      </c>
      <c r="G648" s="20">
        <f>E648</f>
        <v>0</v>
      </c>
      <c r="H648" s="20">
        <v>0</v>
      </c>
    </row>
    <row r="649" spans="1:8" ht="15.75" hidden="1" customHeight="1" x14ac:dyDescent="0.25">
      <c r="A649" s="15" t="s">
        <v>51</v>
      </c>
      <c r="B649" s="11" t="s">
        <v>97</v>
      </c>
      <c r="C649" s="15"/>
      <c r="D649" s="16" t="s">
        <v>15</v>
      </c>
      <c r="E649" s="17">
        <v>1</v>
      </c>
      <c r="F649" s="18">
        <f>E649* 0.981163265034061</f>
        <v>0.98116326503406104</v>
      </c>
      <c r="G649" s="18">
        <f>E649* 0.0027595216829083</f>
        <v>2.7595216829082998E-3</v>
      </c>
      <c r="H649" s="18">
        <f>E649* 0.0160372202151627</f>
        <v>1.6037220215162701E-2</v>
      </c>
    </row>
    <row r="650" spans="1:8" ht="15.75" hidden="1" customHeight="1" x14ac:dyDescent="0.25">
      <c r="A650" s="15" t="s">
        <v>51</v>
      </c>
      <c r="B650" s="11" t="s">
        <v>97</v>
      </c>
      <c r="C650" s="15"/>
      <c r="D650" s="16" t="s">
        <v>16</v>
      </c>
      <c r="E650" s="17">
        <v>1</v>
      </c>
      <c r="F650" s="18">
        <f>E650* 0.142974979378609</f>
        <v>0.14297497937860901</v>
      </c>
      <c r="G650" s="18">
        <f>E650* 0.852350838603245</f>
        <v>0.85235083860324501</v>
      </c>
      <c r="H650" s="18">
        <f>E650* 0.00467418201814682</f>
        <v>4.6741820181468198E-3</v>
      </c>
    </row>
    <row r="651" spans="1:8" ht="15.75" hidden="1" customHeight="1" x14ac:dyDescent="0.25">
      <c r="A651" s="15" t="s">
        <v>51</v>
      </c>
      <c r="B651" s="11" t="s">
        <v>97</v>
      </c>
      <c r="C651" s="15"/>
      <c r="D651" s="16" t="s">
        <v>11</v>
      </c>
      <c r="E651" s="17">
        <v>0</v>
      </c>
      <c r="F651" s="18">
        <f>E651* 0.178797409805735</f>
        <v>0</v>
      </c>
      <c r="G651" s="18">
        <f>E651* 0.819278445883441</f>
        <v>0</v>
      </c>
      <c r="H651" s="18">
        <f>E651* 0.00181313598519889</f>
        <v>0</v>
      </c>
    </row>
    <row r="652" spans="1:8" ht="15.75" hidden="1" customHeight="1" x14ac:dyDescent="0.25">
      <c r="A652" s="15" t="s">
        <v>51</v>
      </c>
      <c r="B652" s="11" t="s">
        <v>97</v>
      </c>
      <c r="C652" s="15"/>
      <c r="D652" s="16" t="s">
        <v>17</v>
      </c>
      <c r="E652" s="17">
        <v>0</v>
      </c>
      <c r="F652" s="18">
        <f>E652* 0.916446662218225</f>
        <v>0</v>
      </c>
      <c r="G652" s="18">
        <f>E652* 0.0292436682236212</f>
        <v>0</v>
      </c>
      <c r="H652" s="18">
        <f>E652* 0.0543096695581537</f>
        <v>0</v>
      </c>
    </row>
    <row r="653" spans="1:8" ht="15.75" hidden="1" customHeight="1" x14ac:dyDescent="0.25">
      <c r="A653" s="15" t="s">
        <v>51</v>
      </c>
      <c r="B653" s="11" t="s">
        <v>97</v>
      </c>
      <c r="C653" s="15"/>
      <c r="D653" s="16" t="s">
        <v>31</v>
      </c>
      <c r="E653" s="17">
        <v>0</v>
      </c>
      <c r="F653" s="18">
        <f>E653* 0.957442434210526</f>
        <v>0</v>
      </c>
      <c r="G653" s="18">
        <f>E653* 0.0158305921052632</f>
        <v>0</v>
      </c>
      <c r="H653" s="18">
        <f>E653* 0.0263157894736842</f>
        <v>0</v>
      </c>
    </row>
    <row r="654" spans="1:8" ht="15.75" hidden="1" customHeight="1" x14ac:dyDescent="0.25">
      <c r="A654" s="15" t="s">
        <v>51</v>
      </c>
      <c r="B654" s="11" t="s">
        <v>97</v>
      </c>
      <c r="C654" s="15"/>
      <c r="D654" s="16" t="s">
        <v>18</v>
      </c>
      <c r="E654" s="17">
        <v>0</v>
      </c>
      <c r="F654" s="18">
        <f>E654* 0.983388008654987</f>
        <v>0</v>
      </c>
      <c r="G654" s="18">
        <f>E654* 0.0133314720457877</f>
        <v>0</v>
      </c>
      <c r="H654" s="18">
        <f>E654* 0.003210721016263</f>
        <v>0</v>
      </c>
    </row>
    <row r="655" spans="1:8" ht="15.75" hidden="1" customHeight="1" x14ac:dyDescent="0.25">
      <c r="A655" s="15" t="s">
        <v>51</v>
      </c>
      <c r="B655" s="11" t="s">
        <v>97</v>
      </c>
      <c r="C655" s="15"/>
      <c r="D655" s="16" t="s">
        <v>55</v>
      </c>
      <c r="E655" s="17">
        <v>0</v>
      </c>
      <c r="F655" s="20">
        <v>0</v>
      </c>
      <c r="G655" s="20">
        <f>E655</f>
        <v>0</v>
      </c>
      <c r="H655" s="20">
        <v>0</v>
      </c>
    </row>
    <row r="656" spans="1:8" ht="15.75" hidden="1" customHeight="1" x14ac:dyDescent="0.25">
      <c r="A656" s="15" t="s">
        <v>51</v>
      </c>
      <c r="B656" s="11" t="s">
        <v>97</v>
      </c>
      <c r="C656" s="15"/>
      <c r="D656" s="16" t="s">
        <v>19</v>
      </c>
      <c r="E656" s="17">
        <v>0</v>
      </c>
      <c r="F656" s="18">
        <f>E656* 0.511826182618262</f>
        <v>0</v>
      </c>
      <c r="G656" s="18">
        <f>E656* 0.476622662266227</f>
        <v>0</v>
      </c>
      <c r="H656" s="18">
        <f>E656* 0.0115511551155116</f>
        <v>0</v>
      </c>
    </row>
    <row r="657" spans="1:8" ht="15.75" hidden="1" customHeight="1" x14ac:dyDescent="0.25">
      <c r="A657" s="15" t="s">
        <v>51</v>
      </c>
      <c r="B657" s="11" t="s">
        <v>97</v>
      </c>
      <c r="C657" s="15"/>
      <c r="D657" s="16" t="s">
        <v>20</v>
      </c>
      <c r="E657" s="17">
        <v>0</v>
      </c>
      <c r="F657" s="18">
        <f>E657* 0.814615536880747</f>
        <v>0</v>
      </c>
      <c r="G657" s="18">
        <f>E657* 0.0763167839340663</f>
        <v>0</v>
      </c>
      <c r="H657" s="18">
        <f>E657* 0.109013694193014</f>
        <v>0</v>
      </c>
    </row>
    <row r="658" spans="1:8" ht="15.75" hidden="1" customHeight="1" x14ac:dyDescent="0.25">
      <c r="A658" s="15" t="s">
        <v>51</v>
      </c>
      <c r="B658" s="11" t="s">
        <v>97</v>
      </c>
      <c r="C658" s="15"/>
      <c r="D658" s="16" t="s">
        <v>21</v>
      </c>
      <c r="E658" s="17">
        <v>0</v>
      </c>
      <c r="F658" s="18">
        <f>E658* 0.999722052365334</f>
        <v>0</v>
      </c>
      <c r="G658" s="18">
        <v>0</v>
      </c>
      <c r="H658" s="18">
        <f>E658* 0.000277947634665629</f>
        <v>0</v>
      </c>
    </row>
    <row r="659" spans="1:8" ht="15.75" hidden="1" customHeight="1" x14ac:dyDescent="0.25">
      <c r="A659" s="15" t="s">
        <v>51</v>
      </c>
      <c r="B659" s="11" t="s">
        <v>97</v>
      </c>
      <c r="C659" s="15"/>
      <c r="D659" s="16" t="s">
        <v>28</v>
      </c>
      <c r="E659" s="17">
        <v>0</v>
      </c>
      <c r="F659" s="18">
        <f>E659* 0.00115651503469545</f>
        <v>0</v>
      </c>
      <c r="G659" s="18">
        <f>E659* 0.998843484965305</f>
        <v>0</v>
      </c>
      <c r="H659" s="20">
        <v>0</v>
      </c>
    </row>
    <row r="660" spans="1:8" ht="15.75" hidden="1" customHeight="1" x14ac:dyDescent="0.25">
      <c r="A660" s="15" t="s">
        <v>51</v>
      </c>
      <c r="B660" s="11" t="s">
        <v>97</v>
      </c>
      <c r="C660" s="15"/>
      <c r="D660" s="16" t="s">
        <v>12</v>
      </c>
      <c r="E660" s="17">
        <v>0</v>
      </c>
      <c r="F660" s="18">
        <f>E660* 0.924936238310357</f>
        <v>0</v>
      </c>
      <c r="G660" s="18">
        <f>E660* 0.0351064361799663</f>
        <v>0</v>
      </c>
      <c r="H660" s="18">
        <f>E660* 0.039932320925503</f>
        <v>0</v>
      </c>
    </row>
    <row r="661" spans="1:8" ht="15.75" hidden="1" customHeight="1" x14ac:dyDescent="0.25">
      <c r="A661" s="15" t="s">
        <v>51</v>
      </c>
      <c r="B661" s="8"/>
      <c r="C661" s="8"/>
      <c r="D661" s="9"/>
      <c r="E661" s="19"/>
    </row>
    <row r="662" spans="1:8" ht="15.75" hidden="1" customHeight="1" x14ac:dyDescent="0.25">
      <c r="A662" s="15" t="s">
        <v>51</v>
      </c>
      <c r="B662" s="11" t="s">
        <v>98</v>
      </c>
      <c r="C662" s="12" t="str">
        <f>B662&amp;"_"&amp;A662</f>
        <v>Sica Sica_La Paz</v>
      </c>
      <c r="E662" s="13">
        <v>22</v>
      </c>
      <c r="F662" s="14">
        <f t="shared" ref="F662:H662" si="71">SUM(F663:F670)</f>
        <v>13.207591965939594</v>
      </c>
      <c r="G662" s="14">
        <f t="shared" si="71"/>
        <v>8.4082546700989678</v>
      </c>
      <c r="H662" s="14">
        <f t="shared" si="71"/>
        <v>0.38270330396128449</v>
      </c>
    </row>
    <row r="663" spans="1:8" ht="15.75" hidden="1" customHeight="1" x14ac:dyDescent="0.25">
      <c r="A663" s="15" t="s">
        <v>51</v>
      </c>
      <c r="B663" s="11" t="s">
        <v>98</v>
      </c>
      <c r="C663" s="15"/>
      <c r="D663" s="16" t="s">
        <v>15</v>
      </c>
      <c r="E663" s="17">
        <v>6</v>
      </c>
      <c r="F663" s="18">
        <f>E663* 0.981163265034061</f>
        <v>5.8869795902043665</v>
      </c>
      <c r="G663" s="18">
        <f>E663* 0.0027595216829083</f>
        <v>1.6557130097449798E-2</v>
      </c>
      <c r="H663" s="18">
        <f>E663* 0.0160372202151627</f>
        <v>9.6223321290976216E-2</v>
      </c>
    </row>
    <row r="664" spans="1:8" ht="15.75" hidden="1" customHeight="1" x14ac:dyDescent="0.25">
      <c r="A664" s="15" t="s">
        <v>51</v>
      </c>
      <c r="B664" s="11" t="s">
        <v>98</v>
      </c>
      <c r="C664" s="15"/>
      <c r="D664" s="16" t="s">
        <v>11</v>
      </c>
      <c r="E664" s="17">
        <v>10</v>
      </c>
      <c r="F664" s="18">
        <f>E664* 0.178797409805735</f>
        <v>1.78797409805735</v>
      </c>
      <c r="G664" s="18">
        <f>E664* 0.819278445883441</f>
        <v>8.1927844588344101</v>
      </c>
      <c r="H664" s="18">
        <f>E664* 0.00181313598519889</f>
        <v>1.8131359851988899E-2</v>
      </c>
    </row>
    <row r="665" spans="1:8" ht="15.75" hidden="1" customHeight="1" x14ac:dyDescent="0.25">
      <c r="A665" s="15" t="s">
        <v>51</v>
      </c>
      <c r="B665" s="11" t="s">
        <v>98</v>
      </c>
      <c r="C665" s="15"/>
      <c r="D665" s="16" t="s">
        <v>17</v>
      </c>
      <c r="E665" s="17">
        <v>2</v>
      </c>
      <c r="F665" s="18">
        <f>E665* 0.916446662218225</f>
        <v>1.83289332443645</v>
      </c>
      <c r="G665" s="18">
        <f>E665* 0.0292436682236212</f>
        <v>5.8487336447242397E-2</v>
      </c>
      <c r="H665" s="18">
        <f>E665* 0.0543096695581537</f>
        <v>0.1086193391163074</v>
      </c>
    </row>
    <row r="666" spans="1:8" ht="15.75" hidden="1" customHeight="1" x14ac:dyDescent="0.25">
      <c r="A666" s="15" t="s">
        <v>51</v>
      </c>
      <c r="B666" s="11" t="s">
        <v>98</v>
      </c>
      <c r="C666" s="15"/>
      <c r="D666" s="16" t="s">
        <v>18</v>
      </c>
      <c r="E666" s="17">
        <v>0</v>
      </c>
      <c r="F666" s="18">
        <f>E666* 0.983388008654987</f>
        <v>0</v>
      </c>
      <c r="G666" s="18">
        <f>E666* 0.0133314720457877</f>
        <v>0</v>
      </c>
      <c r="H666" s="18">
        <f>E666* 0.003210721016263</f>
        <v>0</v>
      </c>
    </row>
    <row r="667" spans="1:8" ht="15.75" hidden="1" customHeight="1" x14ac:dyDescent="0.25">
      <c r="A667" s="15" t="s">
        <v>51</v>
      </c>
      <c r="B667" s="11" t="s">
        <v>98</v>
      </c>
      <c r="C667" s="15"/>
      <c r="D667" s="16" t="s">
        <v>20</v>
      </c>
      <c r="E667" s="17">
        <v>0</v>
      </c>
      <c r="F667" s="18">
        <f>E667* 0.814615536880747</f>
        <v>0</v>
      </c>
      <c r="G667" s="18">
        <f>E667* 0.0763167839340663</f>
        <v>0</v>
      </c>
      <c r="H667" s="18">
        <f>E667* 0.109013694193014</f>
        <v>0</v>
      </c>
    </row>
    <row r="668" spans="1:8" ht="15.75" hidden="1" customHeight="1" x14ac:dyDescent="0.25">
      <c r="A668" s="15" t="s">
        <v>51</v>
      </c>
      <c r="B668" s="11" t="s">
        <v>98</v>
      </c>
      <c r="C668" s="15"/>
      <c r="D668" s="16" t="s">
        <v>21</v>
      </c>
      <c r="E668" s="17">
        <v>0</v>
      </c>
      <c r="F668" s="18">
        <f>E668* 0.999722052365334</f>
        <v>0</v>
      </c>
      <c r="G668" s="18">
        <v>0</v>
      </c>
      <c r="H668" s="18">
        <f>E668* 0.000277947634665629</f>
        <v>0</v>
      </c>
    </row>
    <row r="669" spans="1:8" ht="15.75" hidden="1" customHeight="1" x14ac:dyDescent="0.25">
      <c r="A669" s="15" t="s">
        <v>51</v>
      </c>
      <c r="B669" s="11" t="s">
        <v>98</v>
      </c>
      <c r="C669" s="15"/>
      <c r="D669" s="16" t="s">
        <v>28</v>
      </c>
      <c r="E669" s="17">
        <v>0</v>
      </c>
      <c r="F669" s="18">
        <f>E669* 0.00115651503469545</f>
        <v>0</v>
      </c>
      <c r="G669" s="18">
        <f>E669* 0.998843484965305</f>
        <v>0</v>
      </c>
      <c r="H669" s="20">
        <v>0</v>
      </c>
    </row>
    <row r="670" spans="1:8" ht="15.75" hidden="1" customHeight="1" x14ac:dyDescent="0.25">
      <c r="A670" s="15" t="s">
        <v>51</v>
      </c>
      <c r="B670" s="11" t="s">
        <v>98</v>
      </c>
      <c r="C670" s="15"/>
      <c r="D670" s="16" t="s">
        <v>12</v>
      </c>
      <c r="E670" s="17">
        <v>4</v>
      </c>
      <c r="F670" s="18">
        <f>E670* 0.924936238310357</f>
        <v>3.6997449532414279</v>
      </c>
      <c r="G670" s="18">
        <f>E670* 0.0351064361799663</f>
        <v>0.14042574471986519</v>
      </c>
      <c r="H670" s="18">
        <f>E670* 0.039932320925503</f>
        <v>0.159729283702012</v>
      </c>
    </row>
    <row r="671" spans="1:8" ht="15.75" hidden="1" customHeight="1" x14ac:dyDescent="0.25">
      <c r="A671" s="15" t="s">
        <v>51</v>
      </c>
      <c r="B671" s="8"/>
      <c r="C671" s="8"/>
      <c r="D671" s="9"/>
      <c r="E671" s="19"/>
    </row>
    <row r="672" spans="1:8" ht="15.75" hidden="1" customHeight="1" x14ac:dyDescent="0.25">
      <c r="A672" s="15" t="s">
        <v>51</v>
      </c>
      <c r="B672" s="11" t="s">
        <v>99</v>
      </c>
      <c r="C672" s="12" t="str">
        <f>B672&amp;"_"&amp;A672</f>
        <v>Sorata_La Paz</v>
      </c>
      <c r="E672" s="13">
        <v>9</v>
      </c>
      <c r="F672" s="14">
        <f t="shared" ref="F672:H672" si="72">SUM(F673:F682)</f>
        <v>5.2927725899633913</v>
      </c>
      <c r="G672" s="14">
        <f t="shared" si="72"/>
        <v>3.5121431388994284</v>
      </c>
      <c r="H672" s="14">
        <f t="shared" si="72"/>
        <v>0.19468144787734398</v>
      </c>
    </row>
    <row r="673" spans="1:8" ht="15.75" hidden="1" customHeight="1" x14ac:dyDescent="0.25">
      <c r="A673" s="15" t="s">
        <v>51</v>
      </c>
      <c r="B673" s="11" t="s">
        <v>99</v>
      </c>
      <c r="C673" s="15"/>
      <c r="D673" s="16" t="s">
        <v>53</v>
      </c>
      <c r="E673" s="17">
        <v>0</v>
      </c>
      <c r="F673" s="20">
        <v>0</v>
      </c>
      <c r="G673" s="20">
        <f>E673</f>
        <v>0</v>
      </c>
      <c r="H673" s="20">
        <v>0</v>
      </c>
    </row>
    <row r="674" spans="1:8" ht="15.75" hidden="1" customHeight="1" x14ac:dyDescent="0.25">
      <c r="A674" s="15" t="s">
        <v>51</v>
      </c>
      <c r="B674" s="11" t="s">
        <v>99</v>
      </c>
      <c r="C674" s="15"/>
      <c r="D674" s="16" t="s">
        <v>15</v>
      </c>
      <c r="E674" s="17">
        <v>0</v>
      </c>
      <c r="F674" s="18">
        <f>E674* 0.981163265034061</f>
        <v>0</v>
      </c>
      <c r="G674" s="18">
        <f>E674* 0.0027595216829083</f>
        <v>0</v>
      </c>
      <c r="H674" s="18">
        <f>E674* 0.0160372202151627</f>
        <v>0</v>
      </c>
    </row>
    <row r="675" spans="1:8" ht="15.75" hidden="1" customHeight="1" x14ac:dyDescent="0.25">
      <c r="A675" s="15" t="s">
        <v>51</v>
      </c>
      <c r="B675" s="11" t="s">
        <v>99</v>
      </c>
      <c r="C675" s="15"/>
      <c r="D675" s="16" t="s">
        <v>16</v>
      </c>
      <c r="E675" s="17">
        <v>0</v>
      </c>
      <c r="F675" s="18">
        <f>E675* 0.142974979378609</f>
        <v>0</v>
      </c>
      <c r="G675" s="18">
        <f>E675* 0.852350838603245</f>
        <v>0</v>
      </c>
      <c r="H675" s="18">
        <f>E675* 0.00467418201814682</f>
        <v>0</v>
      </c>
    </row>
    <row r="676" spans="1:8" ht="15.75" hidden="1" customHeight="1" x14ac:dyDescent="0.25">
      <c r="A676" s="15" t="s">
        <v>51</v>
      </c>
      <c r="B676" s="11" t="s">
        <v>99</v>
      </c>
      <c r="C676" s="15"/>
      <c r="D676" s="16" t="s">
        <v>11</v>
      </c>
      <c r="E676" s="17">
        <v>3</v>
      </c>
      <c r="F676" s="18">
        <f>E676* 0.178797409805735</f>
        <v>0.53639222941720499</v>
      </c>
      <c r="G676" s="18">
        <f>E676* 0.819278445883441</f>
        <v>2.457835337650323</v>
      </c>
      <c r="H676" s="18">
        <f>E676* 0.00181313598519889</f>
        <v>5.4394079555966698E-3</v>
      </c>
    </row>
    <row r="677" spans="1:8" ht="15.75" hidden="1" customHeight="1" x14ac:dyDescent="0.25">
      <c r="A677" s="15" t="s">
        <v>51</v>
      </c>
      <c r="B677" s="11" t="s">
        <v>99</v>
      </c>
      <c r="C677" s="15"/>
      <c r="D677" s="16" t="s">
        <v>17</v>
      </c>
      <c r="E677" s="17">
        <v>3</v>
      </c>
      <c r="F677" s="18">
        <f>E677* 0.916446662218225</f>
        <v>2.7493399866546753</v>
      </c>
      <c r="G677" s="18">
        <f>E677* 0.0292436682236212</f>
        <v>8.7731004670863588E-2</v>
      </c>
      <c r="H677" s="18">
        <f>E677* 0.0543096695581537</f>
        <v>0.16292900867446111</v>
      </c>
    </row>
    <row r="678" spans="1:8" ht="15.75" hidden="1" customHeight="1" x14ac:dyDescent="0.25">
      <c r="A678" s="15" t="s">
        <v>51</v>
      </c>
      <c r="B678" s="11" t="s">
        <v>99</v>
      </c>
      <c r="C678" s="15"/>
      <c r="D678" s="16" t="s">
        <v>18</v>
      </c>
      <c r="E678" s="17">
        <v>1</v>
      </c>
      <c r="F678" s="18">
        <f>E678* 0.983388008654987</f>
        <v>0.98338800865498699</v>
      </c>
      <c r="G678" s="18">
        <f>E678* 0.0133314720457877</f>
        <v>1.33314720457877E-2</v>
      </c>
      <c r="H678" s="18">
        <f>E678* 0.003210721016263</f>
        <v>3.2107210162630002E-3</v>
      </c>
    </row>
    <row r="679" spans="1:8" ht="15.75" hidden="1" customHeight="1" x14ac:dyDescent="0.25">
      <c r="A679" s="15" t="s">
        <v>51</v>
      </c>
      <c r="B679" s="11" t="s">
        <v>99</v>
      </c>
      <c r="C679" s="15"/>
      <c r="D679" s="16" t="s">
        <v>19</v>
      </c>
      <c r="E679" s="17">
        <v>2</v>
      </c>
      <c r="F679" s="18">
        <f>E679* 0.511826182618262</f>
        <v>1.0236523652365239</v>
      </c>
      <c r="G679" s="18">
        <f>E679* 0.476622662266227</f>
        <v>0.95324532453245403</v>
      </c>
      <c r="H679" s="18">
        <f>E679* 0.0115511551155116</f>
        <v>2.3102310231023201E-2</v>
      </c>
    </row>
    <row r="680" spans="1:8" ht="15.75" hidden="1" customHeight="1" x14ac:dyDescent="0.25">
      <c r="A680" s="15" t="s">
        <v>51</v>
      </c>
      <c r="B680" s="11" t="s">
        <v>99</v>
      </c>
      <c r="C680" s="15"/>
      <c r="D680" s="16" t="s">
        <v>20</v>
      </c>
      <c r="E680" s="17">
        <v>0</v>
      </c>
      <c r="F680" s="18">
        <f>E680* 0.814615536880747</f>
        <v>0</v>
      </c>
      <c r="G680" s="18">
        <f>E680* 0.0763167839340663</f>
        <v>0</v>
      </c>
      <c r="H680" s="18">
        <f>E680* 0.109013694193014</f>
        <v>0</v>
      </c>
    </row>
    <row r="681" spans="1:8" ht="15.75" hidden="1" customHeight="1" x14ac:dyDescent="0.25">
      <c r="A681" s="15" t="s">
        <v>51</v>
      </c>
      <c r="B681" s="11" t="s">
        <v>99</v>
      </c>
      <c r="C681" s="15"/>
      <c r="D681" s="16" t="s">
        <v>21</v>
      </c>
      <c r="E681" s="17">
        <v>0</v>
      </c>
      <c r="F681" s="18">
        <f>E681* 0.999722052365334</f>
        <v>0</v>
      </c>
      <c r="G681" s="18">
        <v>0</v>
      </c>
      <c r="H681" s="18">
        <f>E681* 0.000277947634665629</f>
        <v>0</v>
      </c>
    </row>
    <row r="682" spans="1:8" ht="15.75" hidden="1" customHeight="1" x14ac:dyDescent="0.25">
      <c r="A682" s="15" t="s">
        <v>51</v>
      </c>
      <c r="B682" s="11" t="s">
        <v>99</v>
      </c>
      <c r="C682" s="15"/>
      <c r="D682" s="16" t="s">
        <v>12</v>
      </c>
      <c r="E682" s="17">
        <v>0</v>
      </c>
      <c r="F682" s="18">
        <f>E682* 0.924936238310357</f>
        <v>0</v>
      </c>
      <c r="G682" s="18">
        <f>E682* 0.0351064361799663</f>
        <v>0</v>
      </c>
      <c r="H682" s="18">
        <f>E682* 0.039932320925503</f>
        <v>0</v>
      </c>
    </row>
    <row r="683" spans="1:8" ht="15.75" hidden="1" customHeight="1" x14ac:dyDescent="0.25">
      <c r="A683" s="15" t="s">
        <v>51</v>
      </c>
      <c r="B683" s="8"/>
      <c r="C683" s="8"/>
      <c r="D683" s="9"/>
      <c r="E683" s="19"/>
    </row>
    <row r="684" spans="1:8" ht="15.75" hidden="1" customHeight="1" x14ac:dyDescent="0.25">
      <c r="A684" s="15" t="s">
        <v>51</v>
      </c>
      <c r="B684" s="11" t="s">
        <v>100</v>
      </c>
      <c r="C684" s="12" t="str">
        <f>B684&amp;"_"&amp;A684</f>
        <v>Tacacoma_La Paz</v>
      </c>
      <c r="E684" s="13">
        <v>0</v>
      </c>
      <c r="F684" s="14">
        <f t="shared" ref="F684:H684" si="73">SUM(F685:F686)</f>
        <v>0</v>
      </c>
      <c r="G684" s="14">
        <f t="shared" si="73"/>
        <v>0</v>
      </c>
      <c r="H684" s="14">
        <f t="shared" si="73"/>
        <v>0</v>
      </c>
    </row>
    <row r="685" spans="1:8" ht="15.75" hidden="1" customHeight="1" x14ac:dyDescent="0.25">
      <c r="A685" s="15" t="s">
        <v>51</v>
      </c>
      <c r="B685" s="11" t="s">
        <v>100</v>
      </c>
      <c r="C685" s="15"/>
      <c r="D685" s="16" t="s">
        <v>17</v>
      </c>
      <c r="E685" s="17">
        <v>0</v>
      </c>
      <c r="F685" s="18">
        <f>E685* 0.916446662218225</f>
        <v>0</v>
      </c>
      <c r="G685" s="18">
        <f>E685* 0.0292436682236212</f>
        <v>0</v>
      </c>
      <c r="H685" s="18">
        <f>E685* 0.0543096695581537</f>
        <v>0</v>
      </c>
    </row>
    <row r="686" spans="1:8" ht="15.75" hidden="1" customHeight="1" x14ac:dyDescent="0.25">
      <c r="A686" s="15" t="s">
        <v>51</v>
      </c>
      <c r="B686" s="11" t="s">
        <v>100</v>
      </c>
      <c r="C686" s="15"/>
      <c r="D686" s="16" t="s">
        <v>21</v>
      </c>
      <c r="E686" s="17">
        <v>0</v>
      </c>
      <c r="F686" s="18">
        <f>E686* 0.999722052365334</f>
        <v>0</v>
      </c>
      <c r="G686" s="18">
        <v>0</v>
      </c>
      <c r="H686" s="18">
        <f>E686* 0.000277947634665629</f>
        <v>0</v>
      </c>
    </row>
    <row r="687" spans="1:8" ht="15.75" hidden="1" customHeight="1" x14ac:dyDescent="0.25">
      <c r="A687" s="15" t="s">
        <v>51</v>
      </c>
      <c r="B687" s="21"/>
      <c r="C687" s="21"/>
      <c r="D687" s="16"/>
      <c r="E687" s="19"/>
    </row>
    <row r="688" spans="1:8" ht="15.75" hidden="1" customHeight="1" x14ac:dyDescent="0.25">
      <c r="A688" s="15" t="s">
        <v>51</v>
      </c>
      <c r="B688" s="11" t="s">
        <v>101</v>
      </c>
      <c r="C688" s="12" t="str">
        <f>B688&amp;"_"&amp;A688</f>
        <v>Taraco_La Paz</v>
      </c>
      <c r="E688" s="13">
        <v>0</v>
      </c>
      <c r="F688" s="14">
        <f t="shared" ref="F688:H688" si="74">SUM(F689:F701)</f>
        <v>0</v>
      </c>
      <c r="G688" s="14">
        <f t="shared" si="74"/>
        <v>0</v>
      </c>
      <c r="H688" s="14">
        <f t="shared" si="74"/>
        <v>0</v>
      </c>
    </row>
    <row r="689" spans="1:8" ht="15.75" hidden="1" customHeight="1" x14ac:dyDescent="0.25">
      <c r="A689" s="15" t="s">
        <v>51</v>
      </c>
      <c r="B689" s="11" t="s">
        <v>101</v>
      </c>
      <c r="C689" s="15"/>
      <c r="D689" s="16" t="s">
        <v>53</v>
      </c>
      <c r="E689" s="17">
        <v>0</v>
      </c>
      <c r="F689" s="20">
        <v>0</v>
      </c>
      <c r="G689" s="20">
        <f>E689</f>
        <v>0</v>
      </c>
      <c r="H689" s="20">
        <v>0</v>
      </c>
    </row>
    <row r="690" spans="1:8" ht="15.75" hidden="1" customHeight="1" x14ac:dyDescent="0.25">
      <c r="A690" s="15" t="s">
        <v>51</v>
      </c>
      <c r="B690" s="11" t="s">
        <v>101</v>
      </c>
      <c r="C690" s="15"/>
      <c r="D690" s="16" t="s">
        <v>15</v>
      </c>
      <c r="E690" s="17">
        <v>0</v>
      </c>
      <c r="F690" s="18">
        <f>E690* 0.981163265034061</f>
        <v>0</v>
      </c>
      <c r="G690" s="18">
        <f>E690* 0.0027595216829083</f>
        <v>0</v>
      </c>
      <c r="H690" s="18">
        <f>E690* 0.0160372202151627</f>
        <v>0</v>
      </c>
    </row>
    <row r="691" spans="1:8" ht="15.75" hidden="1" customHeight="1" x14ac:dyDescent="0.25">
      <c r="A691" s="15" t="s">
        <v>51</v>
      </c>
      <c r="B691" s="11" t="s">
        <v>101</v>
      </c>
      <c r="C691" s="15"/>
      <c r="D691" s="16" t="s">
        <v>16</v>
      </c>
      <c r="E691" s="17">
        <v>0</v>
      </c>
      <c r="F691" s="18">
        <f>E691* 0.142974979378609</f>
        <v>0</v>
      </c>
      <c r="G691" s="18">
        <f>E691* 0.852350838603245</f>
        <v>0</v>
      </c>
      <c r="H691" s="18">
        <f>E691* 0.00467418201814682</f>
        <v>0</v>
      </c>
    </row>
    <row r="692" spans="1:8" ht="15.75" hidden="1" customHeight="1" x14ac:dyDescent="0.25">
      <c r="A692" s="15" t="s">
        <v>51</v>
      </c>
      <c r="B692" s="11" t="s">
        <v>101</v>
      </c>
      <c r="C692" s="15"/>
      <c r="D692" s="16" t="s">
        <v>11</v>
      </c>
      <c r="E692" s="17">
        <v>0</v>
      </c>
      <c r="F692" s="18">
        <f>E692* 0.178797409805735</f>
        <v>0</v>
      </c>
      <c r="G692" s="18">
        <f>E692* 0.819278445883441</f>
        <v>0</v>
      </c>
      <c r="H692" s="18">
        <f>E692* 0.00181313598519889</f>
        <v>0</v>
      </c>
    </row>
    <row r="693" spans="1:8" ht="15.75" hidden="1" customHeight="1" x14ac:dyDescent="0.25">
      <c r="A693" s="15" t="s">
        <v>51</v>
      </c>
      <c r="B693" s="11" t="s">
        <v>101</v>
      </c>
      <c r="C693" s="15"/>
      <c r="D693" s="16" t="s">
        <v>17</v>
      </c>
      <c r="E693" s="17">
        <v>0</v>
      </c>
      <c r="F693" s="18">
        <f>E693* 0.916446662218225</f>
        <v>0</v>
      </c>
      <c r="G693" s="18">
        <f>E693* 0.0292436682236212</f>
        <v>0</v>
      </c>
      <c r="H693" s="18">
        <f>E693* 0.0543096695581537</f>
        <v>0</v>
      </c>
    </row>
    <row r="694" spans="1:8" ht="15.75" hidden="1" customHeight="1" x14ac:dyDescent="0.25">
      <c r="A694" s="15" t="s">
        <v>51</v>
      </c>
      <c r="B694" s="11" t="s">
        <v>101</v>
      </c>
      <c r="C694" s="15"/>
      <c r="D694" s="16" t="s">
        <v>31</v>
      </c>
      <c r="E694" s="17">
        <v>0</v>
      </c>
      <c r="F694" s="18">
        <f>E694* 0.957442434210526</f>
        <v>0</v>
      </c>
      <c r="G694" s="18">
        <f>E694* 0.0158305921052632</f>
        <v>0</v>
      </c>
      <c r="H694" s="18">
        <f>E694* 0.0263157894736842</f>
        <v>0</v>
      </c>
    </row>
    <row r="695" spans="1:8" ht="15.75" hidden="1" customHeight="1" x14ac:dyDescent="0.25">
      <c r="A695" s="15" t="s">
        <v>51</v>
      </c>
      <c r="B695" s="11" t="s">
        <v>101</v>
      </c>
      <c r="C695" s="15"/>
      <c r="D695" s="16" t="s">
        <v>18</v>
      </c>
      <c r="E695" s="17">
        <v>0</v>
      </c>
      <c r="F695" s="18">
        <f>E695* 0.983388008654987</f>
        <v>0</v>
      </c>
      <c r="G695" s="18">
        <f>E695* 0.0133314720457877</f>
        <v>0</v>
      </c>
      <c r="H695" s="18">
        <f>E695* 0.003210721016263</f>
        <v>0</v>
      </c>
    </row>
    <row r="696" spans="1:8" ht="15.75" hidden="1" customHeight="1" x14ac:dyDescent="0.25">
      <c r="A696" s="15" t="s">
        <v>51</v>
      </c>
      <c r="B696" s="11" t="s">
        <v>101</v>
      </c>
      <c r="C696" s="15"/>
      <c r="D696" s="16" t="s">
        <v>19</v>
      </c>
      <c r="E696" s="17">
        <v>0</v>
      </c>
      <c r="F696" s="18">
        <f>E696* 0.511826182618262</f>
        <v>0</v>
      </c>
      <c r="G696" s="18">
        <f>E696* 0.476622662266227</f>
        <v>0</v>
      </c>
      <c r="H696" s="18">
        <f>E696* 0.0115511551155116</f>
        <v>0</v>
      </c>
    </row>
    <row r="697" spans="1:8" ht="15.75" hidden="1" customHeight="1" x14ac:dyDescent="0.25">
      <c r="A697" s="15" t="s">
        <v>51</v>
      </c>
      <c r="B697" s="11" t="s">
        <v>101</v>
      </c>
      <c r="C697" s="15"/>
      <c r="D697" s="16" t="s">
        <v>20</v>
      </c>
      <c r="E697" s="17">
        <v>0</v>
      </c>
      <c r="F697" s="18">
        <f>E697* 0.814615536880747</f>
        <v>0</v>
      </c>
      <c r="G697" s="18">
        <f>E697* 0.0763167839340663</f>
        <v>0</v>
      </c>
      <c r="H697" s="18">
        <f>E697* 0.109013694193014</f>
        <v>0</v>
      </c>
    </row>
    <row r="698" spans="1:8" ht="15.75" hidden="1" customHeight="1" x14ac:dyDescent="0.25">
      <c r="A698" s="15" t="s">
        <v>51</v>
      </c>
      <c r="B698" s="11" t="s">
        <v>101</v>
      </c>
      <c r="C698" s="15"/>
      <c r="D698" s="16" t="s">
        <v>21</v>
      </c>
      <c r="E698" s="17">
        <v>0</v>
      </c>
      <c r="F698" s="18">
        <f>E698* 0.999722052365334</f>
        <v>0</v>
      </c>
      <c r="G698" s="18">
        <v>0</v>
      </c>
      <c r="H698" s="18">
        <f>E698* 0.000277947634665629</f>
        <v>0</v>
      </c>
    </row>
    <row r="699" spans="1:8" ht="15.75" hidden="1" customHeight="1" x14ac:dyDescent="0.25">
      <c r="A699" s="15" t="s">
        <v>51</v>
      </c>
      <c r="B699" s="11" t="s">
        <v>101</v>
      </c>
      <c r="C699" s="15"/>
      <c r="D699" s="16" t="s">
        <v>37</v>
      </c>
      <c r="E699" s="17">
        <v>0</v>
      </c>
      <c r="F699" s="18">
        <f>E699* 0.0555555555555556</f>
        <v>0</v>
      </c>
      <c r="G699" s="18">
        <f>E699* 0.944444444444444</f>
        <v>0</v>
      </c>
      <c r="H699" s="20">
        <v>0</v>
      </c>
    </row>
    <row r="700" spans="1:8" ht="15.75" hidden="1" customHeight="1" x14ac:dyDescent="0.25">
      <c r="A700" s="15" t="s">
        <v>51</v>
      </c>
      <c r="B700" s="11" t="s">
        <v>101</v>
      </c>
      <c r="C700" s="15"/>
      <c r="D700" s="16" t="s">
        <v>28</v>
      </c>
      <c r="E700" s="17">
        <v>0</v>
      </c>
      <c r="F700" s="18">
        <f>E700* 0.00115651503469545</f>
        <v>0</v>
      </c>
      <c r="G700" s="18">
        <f>E700* 0.998843484965305</f>
        <v>0</v>
      </c>
      <c r="H700" s="20">
        <v>0</v>
      </c>
    </row>
    <row r="701" spans="1:8" ht="15.75" hidden="1" customHeight="1" x14ac:dyDescent="0.25">
      <c r="A701" s="15" t="s">
        <v>51</v>
      </c>
      <c r="B701" s="11" t="s">
        <v>101</v>
      </c>
      <c r="C701" s="15"/>
      <c r="D701" s="16" t="s">
        <v>12</v>
      </c>
      <c r="E701" s="17">
        <v>0</v>
      </c>
      <c r="F701" s="18">
        <f>E701* 0.924936238310357</f>
        <v>0</v>
      </c>
      <c r="G701" s="18">
        <f>E701* 0.0351064361799663</f>
        <v>0</v>
      </c>
      <c r="H701" s="18">
        <f>E701* 0.039932320925503</f>
        <v>0</v>
      </c>
    </row>
    <row r="702" spans="1:8" ht="15.75" hidden="1" customHeight="1" x14ac:dyDescent="0.25">
      <c r="A702" s="15" t="s">
        <v>51</v>
      </c>
      <c r="B702" s="8"/>
      <c r="C702" s="8"/>
      <c r="D702" s="9"/>
      <c r="E702" s="19"/>
    </row>
    <row r="703" spans="1:8" ht="15.75" hidden="1" customHeight="1" x14ac:dyDescent="0.25">
      <c r="A703" s="15" t="s">
        <v>51</v>
      </c>
      <c r="B703" s="11" t="s">
        <v>102</v>
      </c>
      <c r="C703" s="12" t="str">
        <f>B703&amp;"_"&amp;A703</f>
        <v>Tihuanacu_La Paz</v>
      </c>
      <c r="E703" s="13">
        <v>1</v>
      </c>
      <c r="F703" s="14">
        <f t="shared" ref="F703:H703" si="75">SUM(F704:F712)</f>
        <v>0.99972205236533396</v>
      </c>
      <c r="G703" s="14">
        <f t="shared" si="75"/>
        <v>0</v>
      </c>
      <c r="H703" s="14">
        <f t="shared" si="75"/>
        <v>2.7794763466562898E-4</v>
      </c>
    </row>
    <row r="704" spans="1:8" ht="15.75" hidden="1" customHeight="1" x14ac:dyDescent="0.25">
      <c r="A704" s="15" t="s">
        <v>51</v>
      </c>
      <c r="B704" s="11" t="s">
        <v>102</v>
      </c>
      <c r="C704" s="15"/>
      <c r="D704" s="16" t="s">
        <v>15</v>
      </c>
      <c r="E704" s="17">
        <v>0</v>
      </c>
      <c r="F704" s="18">
        <f>E704* 0.981163265034061</f>
        <v>0</v>
      </c>
      <c r="G704" s="18">
        <f>E704* 0.0027595216829083</f>
        <v>0</v>
      </c>
      <c r="H704" s="18">
        <f>E704* 0.0160372202151627</f>
        <v>0</v>
      </c>
    </row>
    <row r="705" spans="1:8" ht="15.75" hidden="1" customHeight="1" x14ac:dyDescent="0.25">
      <c r="A705" s="15" t="s">
        <v>51</v>
      </c>
      <c r="B705" s="11" t="s">
        <v>102</v>
      </c>
      <c r="C705" s="15"/>
      <c r="D705" s="16" t="s">
        <v>16</v>
      </c>
      <c r="E705" s="17">
        <v>0</v>
      </c>
      <c r="F705" s="18">
        <f>E705* 0.142974979378609</f>
        <v>0</v>
      </c>
      <c r="G705" s="18">
        <f>E705* 0.852350838603245</f>
        <v>0</v>
      </c>
      <c r="H705" s="18">
        <f>E705* 0.00467418201814682</f>
        <v>0</v>
      </c>
    </row>
    <row r="706" spans="1:8" ht="15.75" hidden="1" customHeight="1" x14ac:dyDescent="0.25">
      <c r="A706" s="15" t="s">
        <v>51</v>
      </c>
      <c r="B706" s="11" t="s">
        <v>102</v>
      </c>
      <c r="C706" s="15"/>
      <c r="D706" s="16" t="s">
        <v>11</v>
      </c>
      <c r="E706" s="17">
        <v>0</v>
      </c>
      <c r="F706" s="18">
        <f>E706* 0.178797409805735</f>
        <v>0</v>
      </c>
      <c r="G706" s="18">
        <f>E706* 0.819278445883441</f>
        <v>0</v>
      </c>
      <c r="H706" s="18">
        <f>E706* 0.00181313598519889</f>
        <v>0</v>
      </c>
    </row>
    <row r="707" spans="1:8" ht="15.75" hidden="1" customHeight="1" x14ac:dyDescent="0.25">
      <c r="A707" s="15" t="s">
        <v>51</v>
      </c>
      <c r="B707" s="11" t="s">
        <v>102</v>
      </c>
      <c r="C707" s="15"/>
      <c r="D707" s="16" t="s">
        <v>17</v>
      </c>
      <c r="E707" s="17">
        <v>0</v>
      </c>
      <c r="F707" s="18">
        <f>E707* 0.916446662218225</f>
        <v>0</v>
      </c>
      <c r="G707" s="18">
        <f>E707* 0.0292436682236212</f>
        <v>0</v>
      </c>
      <c r="H707" s="18">
        <f>E707* 0.0543096695581537</f>
        <v>0</v>
      </c>
    </row>
    <row r="708" spans="1:8" ht="15.75" hidden="1" customHeight="1" x14ac:dyDescent="0.25">
      <c r="A708" s="15" t="s">
        <v>51</v>
      </c>
      <c r="B708" s="11" t="s">
        <v>102</v>
      </c>
      <c r="C708" s="15"/>
      <c r="D708" s="16" t="s">
        <v>31</v>
      </c>
      <c r="E708" s="17">
        <v>0</v>
      </c>
      <c r="F708" s="18">
        <f>E708* 0.957442434210526</f>
        <v>0</v>
      </c>
      <c r="G708" s="18">
        <f>E708* 0.0158305921052632</f>
        <v>0</v>
      </c>
      <c r="H708" s="18">
        <f>E708* 0.0263157894736842</f>
        <v>0</v>
      </c>
    </row>
    <row r="709" spans="1:8" ht="15.75" hidden="1" customHeight="1" x14ac:dyDescent="0.25">
      <c r="A709" s="15" t="s">
        <v>51</v>
      </c>
      <c r="B709" s="11" t="s">
        <v>102</v>
      </c>
      <c r="C709" s="15"/>
      <c r="D709" s="16" t="s">
        <v>20</v>
      </c>
      <c r="E709" s="17">
        <v>0</v>
      </c>
      <c r="F709" s="18">
        <f>E709* 0.814615536880747</f>
        <v>0</v>
      </c>
      <c r="G709" s="18">
        <f>E709* 0.0763167839340663</f>
        <v>0</v>
      </c>
      <c r="H709" s="18">
        <f>E709* 0.109013694193014</f>
        <v>0</v>
      </c>
    </row>
    <row r="710" spans="1:8" ht="15.75" hidden="1" customHeight="1" x14ac:dyDescent="0.25">
      <c r="A710" s="15" t="s">
        <v>51</v>
      </c>
      <c r="B710" s="11" t="s">
        <v>102</v>
      </c>
      <c r="C710" s="15"/>
      <c r="D710" s="16" t="s">
        <v>21</v>
      </c>
      <c r="E710" s="17">
        <v>1</v>
      </c>
      <c r="F710" s="18">
        <f>E710* 0.999722052365334</f>
        <v>0.99972205236533396</v>
      </c>
      <c r="G710" s="18">
        <v>0</v>
      </c>
      <c r="H710" s="18">
        <f>E710* 0.000277947634665629</f>
        <v>2.7794763466562898E-4</v>
      </c>
    </row>
    <row r="711" spans="1:8" ht="15.75" hidden="1" customHeight="1" x14ac:dyDescent="0.25">
      <c r="A711" s="15" t="s">
        <v>51</v>
      </c>
      <c r="B711" s="11" t="s">
        <v>102</v>
      </c>
      <c r="C711" s="15"/>
      <c r="D711" s="16" t="s">
        <v>36</v>
      </c>
      <c r="E711" s="17">
        <v>0</v>
      </c>
      <c r="F711" s="18">
        <f>E711* 0.999132697311362</f>
        <v>0</v>
      </c>
      <c r="G711" s="20">
        <v>0</v>
      </c>
      <c r="H711" s="18">
        <f>E711* 0.000867302688638335</f>
        <v>0</v>
      </c>
    </row>
    <row r="712" spans="1:8" ht="15.75" hidden="1" customHeight="1" x14ac:dyDescent="0.25">
      <c r="A712" s="15" t="s">
        <v>51</v>
      </c>
      <c r="B712" s="11" t="s">
        <v>102</v>
      </c>
      <c r="C712" s="15"/>
      <c r="D712" s="16" t="s">
        <v>12</v>
      </c>
      <c r="E712" s="17">
        <v>0</v>
      </c>
      <c r="F712" s="18">
        <f>E712* 0.924936238310357</f>
        <v>0</v>
      </c>
      <c r="G712" s="18">
        <f>E712* 0.0351064361799663</f>
        <v>0</v>
      </c>
      <c r="H712" s="18">
        <f>E712* 0.039932320925503</f>
        <v>0</v>
      </c>
    </row>
    <row r="713" spans="1:8" ht="15.75" hidden="1" customHeight="1" x14ac:dyDescent="0.25">
      <c r="A713" s="15" t="s">
        <v>51</v>
      </c>
      <c r="B713" s="8"/>
      <c r="C713" s="8"/>
      <c r="D713" s="9"/>
      <c r="E713" s="19"/>
    </row>
    <row r="714" spans="1:8" ht="15.75" hidden="1" customHeight="1" x14ac:dyDescent="0.25">
      <c r="A714" s="15" t="s">
        <v>51</v>
      </c>
      <c r="B714" s="11" t="s">
        <v>103</v>
      </c>
      <c r="C714" s="12" t="str">
        <f>B714&amp;"_"&amp;A714</f>
        <v>Umala_La Paz</v>
      </c>
      <c r="E714" s="13">
        <v>4</v>
      </c>
      <c r="F714" s="14">
        <f t="shared" ref="F714:H714" si="76">SUM(F715:F719)</f>
        <v>2.1631552897129263</v>
      </c>
      <c r="G714" s="14">
        <f t="shared" si="76"/>
        <v>1.7359793888902735</v>
      </c>
      <c r="H714" s="14">
        <f t="shared" si="76"/>
        <v>0.10072930848700241</v>
      </c>
    </row>
    <row r="715" spans="1:8" ht="15.75" hidden="1" customHeight="1" x14ac:dyDescent="0.25">
      <c r="A715" s="15" t="s">
        <v>51</v>
      </c>
      <c r="B715" s="11" t="s">
        <v>103</v>
      </c>
      <c r="C715" s="15"/>
      <c r="D715" s="16" t="s">
        <v>53</v>
      </c>
      <c r="E715" s="17">
        <v>0</v>
      </c>
      <c r="F715" s="20">
        <v>0</v>
      </c>
      <c r="G715" s="20">
        <f>E715</f>
        <v>0</v>
      </c>
      <c r="H715" s="20">
        <v>0</v>
      </c>
    </row>
    <row r="716" spans="1:8" ht="15.75" hidden="1" customHeight="1" x14ac:dyDescent="0.25">
      <c r="A716" s="15" t="s">
        <v>51</v>
      </c>
      <c r="B716" s="11" t="s">
        <v>103</v>
      </c>
      <c r="C716" s="15"/>
      <c r="D716" s="16" t="s">
        <v>16</v>
      </c>
      <c r="E716" s="17">
        <v>1</v>
      </c>
      <c r="F716" s="18">
        <f>E716* 0.142974979378609</f>
        <v>0.14297497937860901</v>
      </c>
      <c r="G716" s="18">
        <f>E716* 0.852350838603245</f>
        <v>0.85235083860324501</v>
      </c>
      <c r="H716" s="18">
        <f>E716* 0.00467418201814682</f>
        <v>4.6741820181468198E-3</v>
      </c>
    </row>
    <row r="717" spans="1:8" ht="15.75" hidden="1" customHeight="1" x14ac:dyDescent="0.25">
      <c r="A717" s="15" t="s">
        <v>51</v>
      </c>
      <c r="B717" s="11" t="s">
        <v>103</v>
      </c>
      <c r="C717" s="15"/>
      <c r="D717" s="16" t="s">
        <v>11</v>
      </c>
      <c r="E717" s="17">
        <v>1</v>
      </c>
      <c r="F717" s="18">
        <f>E717* 0.178797409805735</f>
        <v>0.178797409805735</v>
      </c>
      <c r="G717" s="18">
        <f>E717* 0.819278445883441</f>
        <v>0.81927844588344101</v>
      </c>
      <c r="H717" s="18">
        <f>E717* 0.00181313598519889</f>
        <v>1.8131359851988899E-3</v>
      </c>
    </row>
    <row r="718" spans="1:8" ht="15.75" hidden="1" customHeight="1" x14ac:dyDescent="0.25">
      <c r="A718" s="15" t="s">
        <v>51</v>
      </c>
      <c r="B718" s="11" t="s">
        <v>103</v>
      </c>
      <c r="C718" s="15"/>
      <c r="D718" s="16" t="s">
        <v>17</v>
      </c>
      <c r="E718" s="17">
        <v>1</v>
      </c>
      <c r="F718" s="18">
        <f>E718* 0.916446662218225</f>
        <v>0.91644666221822502</v>
      </c>
      <c r="G718" s="18">
        <f>E718* 0.0292436682236212</f>
        <v>2.9243668223621198E-2</v>
      </c>
      <c r="H718" s="18">
        <f>E718* 0.0543096695581537</f>
        <v>5.4309669558153702E-2</v>
      </c>
    </row>
    <row r="719" spans="1:8" ht="15.75" hidden="1" customHeight="1" x14ac:dyDescent="0.25">
      <c r="A719" s="15" t="s">
        <v>51</v>
      </c>
      <c r="B719" s="11" t="s">
        <v>103</v>
      </c>
      <c r="C719" s="15"/>
      <c r="D719" s="16" t="s">
        <v>12</v>
      </c>
      <c r="E719" s="17">
        <v>1</v>
      </c>
      <c r="F719" s="18">
        <f>E719* 0.924936238310357</f>
        <v>0.92493623831035698</v>
      </c>
      <c r="G719" s="18">
        <f>E719* 0.0351064361799663</f>
        <v>3.5106436179966297E-2</v>
      </c>
      <c r="H719" s="18">
        <f>E719* 0.039932320925503</f>
        <v>3.9932320925503001E-2</v>
      </c>
    </row>
    <row r="720" spans="1:8" ht="15.75" hidden="1" customHeight="1" x14ac:dyDescent="0.25">
      <c r="A720" s="15" t="s">
        <v>51</v>
      </c>
      <c r="B720" s="8"/>
      <c r="C720" s="8"/>
      <c r="D720" s="9"/>
      <c r="E720" s="19"/>
    </row>
    <row r="721" spans="1:8" ht="15.75" hidden="1" customHeight="1" x14ac:dyDescent="0.25">
      <c r="A721" s="15" t="s">
        <v>51</v>
      </c>
      <c r="B721" s="11" t="s">
        <v>104</v>
      </c>
      <c r="C721" s="12" t="str">
        <f>B721&amp;"_"&amp;A721</f>
        <v>Viacha_La Paz</v>
      </c>
      <c r="E721" s="22">
        <v>9018</v>
      </c>
      <c r="F721" s="14">
        <f t="shared" ref="F721:H721" si="77">SUM(F722:F735)</f>
        <v>7596.560175552343</v>
      </c>
      <c r="G721" s="14">
        <f t="shared" si="77"/>
        <v>1070.0757971417406</v>
      </c>
      <c r="H721" s="14">
        <f t="shared" si="77"/>
        <v>351.02902804311293</v>
      </c>
    </row>
    <row r="722" spans="1:8" ht="15.75" hidden="1" customHeight="1" x14ac:dyDescent="0.25">
      <c r="A722" s="15" t="s">
        <v>51</v>
      </c>
      <c r="B722" s="11" t="s">
        <v>104</v>
      </c>
      <c r="C722" s="15"/>
      <c r="D722" s="16" t="s">
        <v>53</v>
      </c>
      <c r="E722" s="17">
        <v>0</v>
      </c>
      <c r="F722" s="20">
        <v>0</v>
      </c>
      <c r="G722" s="20">
        <f>E722</f>
        <v>0</v>
      </c>
      <c r="H722" s="20">
        <v>0</v>
      </c>
    </row>
    <row r="723" spans="1:8" ht="15.75" hidden="1" customHeight="1" x14ac:dyDescent="0.25">
      <c r="A723" s="15" t="s">
        <v>51</v>
      </c>
      <c r="B723" s="11" t="s">
        <v>104</v>
      </c>
      <c r="C723" s="15"/>
      <c r="D723" s="16" t="s">
        <v>15</v>
      </c>
      <c r="E723" s="23">
        <v>1080</v>
      </c>
      <c r="F723" s="18">
        <f>E723* 0.981163265034061</f>
        <v>1059.6563262367858</v>
      </c>
      <c r="G723" s="18">
        <f>E723* 0.0027595216829083</f>
        <v>2.9802834175409636</v>
      </c>
      <c r="H723" s="18">
        <f>E723* 0.0160372202151627</f>
        <v>17.320197832375719</v>
      </c>
    </row>
    <row r="724" spans="1:8" ht="15.75" hidden="1" customHeight="1" x14ac:dyDescent="0.25">
      <c r="A724" s="15" t="s">
        <v>51</v>
      </c>
      <c r="B724" s="11" t="s">
        <v>104</v>
      </c>
      <c r="C724" s="15"/>
      <c r="D724" s="16" t="s">
        <v>16</v>
      </c>
      <c r="E724" s="17">
        <v>67</v>
      </c>
      <c r="F724" s="18">
        <f>E724* 0.142974979378609</f>
        <v>9.5793236183668036</v>
      </c>
      <c r="G724" s="18">
        <f>E724* 0.852350838603245</f>
        <v>57.107506186417417</v>
      </c>
      <c r="H724" s="18">
        <f>E724* 0.00467418201814682</f>
        <v>0.31317019521583694</v>
      </c>
    </row>
    <row r="725" spans="1:8" ht="15.75" hidden="1" customHeight="1" x14ac:dyDescent="0.25">
      <c r="A725" s="15" t="s">
        <v>51</v>
      </c>
      <c r="B725" s="11" t="s">
        <v>104</v>
      </c>
      <c r="C725" s="15"/>
      <c r="D725" s="16" t="s">
        <v>11</v>
      </c>
      <c r="E725" s="17">
        <v>740</v>
      </c>
      <c r="F725" s="18">
        <f>E725* 0.178797409805735</f>
        <v>132.3100832562439</v>
      </c>
      <c r="G725" s="18">
        <f>E725* 0.819278445883441</f>
        <v>606.26604995374635</v>
      </c>
      <c r="H725" s="18">
        <f>E725* 0.00181313598519889</f>
        <v>1.3417206290471786</v>
      </c>
    </row>
    <row r="726" spans="1:8" ht="15.75" hidden="1" customHeight="1" x14ac:dyDescent="0.25">
      <c r="A726" s="15" t="s">
        <v>51</v>
      </c>
      <c r="B726" s="11" t="s">
        <v>104</v>
      </c>
      <c r="C726" s="15"/>
      <c r="D726" s="16" t="s">
        <v>17</v>
      </c>
      <c r="E726" s="17">
        <v>579</v>
      </c>
      <c r="F726" s="18">
        <f>E726* 0.916446662218225</f>
        <v>530.62261742435226</v>
      </c>
      <c r="G726" s="18">
        <f>E726* 0.0292436682236212</f>
        <v>16.932083901476673</v>
      </c>
      <c r="H726" s="18">
        <f>E726* 0.0543096695581537</f>
        <v>31.445298674170992</v>
      </c>
    </row>
    <row r="727" spans="1:8" ht="15.75" hidden="1" customHeight="1" x14ac:dyDescent="0.25">
      <c r="A727" s="15" t="s">
        <v>51</v>
      </c>
      <c r="B727" s="11" t="s">
        <v>104</v>
      </c>
      <c r="C727" s="15"/>
      <c r="D727" s="16" t="s">
        <v>31</v>
      </c>
      <c r="E727" s="17">
        <v>68</v>
      </c>
      <c r="F727" s="18">
        <f>E727* 0.957442434210526</f>
        <v>65.106085526315766</v>
      </c>
      <c r="G727" s="18">
        <f>E727* 0.0158305921052632</f>
        <v>1.0764802631578976</v>
      </c>
      <c r="H727" s="18">
        <f>E727* 0.0263157894736842</f>
        <v>1.7894736842105254</v>
      </c>
    </row>
    <row r="728" spans="1:8" ht="15.75" hidden="1" customHeight="1" x14ac:dyDescent="0.25">
      <c r="A728" s="15" t="s">
        <v>51</v>
      </c>
      <c r="B728" s="11" t="s">
        <v>104</v>
      </c>
      <c r="C728" s="15"/>
      <c r="D728" s="16" t="s">
        <v>18</v>
      </c>
      <c r="E728" s="17">
        <v>180</v>
      </c>
      <c r="F728" s="18">
        <f>E728* 0.983388008654987</f>
        <v>177.00984155789766</v>
      </c>
      <c r="G728" s="18">
        <f>E728* 0.0133314720457877</f>
        <v>2.3996649682417859</v>
      </c>
      <c r="H728" s="18">
        <f>E728* 0.003210721016263</f>
        <v>0.57792978292733999</v>
      </c>
    </row>
    <row r="729" spans="1:8" ht="15.75" hidden="1" customHeight="1" x14ac:dyDescent="0.25">
      <c r="A729" s="15" t="s">
        <v>51</v>
      </c>
      <c r="B729" s="11" t="s">
        <v>104</v>
      </c>
      <c r="C729" s="15"/>
      <c r="D729" s="16" t="s">
        <v>19</v>
      </c>
      <c r="E729" s="17">
        <v>68</v>
      </c>
      <c r="F729" s="18">
        <f>E729* 0.511826182618262</f>
        <v>34.80418041804181</v>
      </c>
      <c r="G729" s="18">
        <f>E729* 0.476622662266227</f>
        <v>32.410341034103439</v>
      </c>
      <c r="H729" s="18">
        <f>E729* 0.0115511551155116</f>
        <v>0.78547854785478888</v>
      </c>
    </row>
    <row r="730" spans="1:8" ht="15.75" hidden="1" customHeight="1" x14ac:dyDescent="0.25">
      <c r="A730" s="15" t="s">
        <v>51</v>
      </c>
      <c r="B730" s="11" t="s">
        <v>104</v>
      </c>
      <c r="C730" s="15"/>
      <c r="D730" s="16" t="s">
        <v>20</v>
      </c>
      <c r="E730" s="23">
        <v>1190</v>
      </c>
      <c r="F730" s="18">
        <f>E730* 0.814615536880747</f>
        <v>969.39248888808891</v>
      </c>
      <c r="G730" s="18">
        <f>E730* 0.0763167839340663</f>
        <v>90.816972881538888</v>
      </c>
      <c r="H730" s="18">
        <f>E730* 0.109013694193014</f>
        <v>129.72629608968666</v>
      </c>
    </row>
    <row r="731" spans="1:8" ht="15.75" hidden="1" customHeight="1" x14ac:dyDescent="0.25">
      <c r="A731" s="15" t="s">
        <v>51</v>
      </c>
      <c r="B731" s="11" t="s">
        <v>104</v>
      </c>
      <c r="C731" s="15"/>
      <c r="D731" s="16" t="s">
        <v>21</v>
      </c>
      <c r="E731" s="17">
        <v>724</v>
      </c>
      <c r="F731" s="18">
        <f>E731* 0.999722052365334</f>
        <v>723.79876591250184</v>
      </c>
      <c r="G731" s="18">
        <v>0</v>
      </c>
      <c r="H731" s="18">
        <f>E731* 0.000277947634665629</f>
        <v>0.20123408749791538</v>
      </c>
    </row>
    <row r="732" spans="1:8" ht="15.75" hidden="1" customHeight="1" x14ac:dyDescent="0.25">
      <c r="A732" s="15" t="s">
        <v>51</v>
      </c>
      <c r="B732" s="11" t="s">
        <v>104</v>
      </c>
      <c r="C732" s="15"/>
      <c r="D732" s="16" t="s">
        <v>36</v>
      </c>
      <c r="E732" s="17">
        <v>14</v>
      </c>
      <c r="F732" s="18">
        <f>E732* 0.999132697311362</f>
        <v>13.987857762359068</v>
      </c>
      <c r="G732" s="20">
        <v>0</v>
      </c>
      <c r="H732" s="18">
        <f>E732* 0.000867302688638335</f>
        <v>1.2142237640936689E-2</v>
      </c>
    </row>
    <row r="733" spans="1:8" ht="15.75" hidden="1" customHeight="1" x14ac:dyDescent="0.25">
      <c r="A733" s="15" t="s">
        <v>51</v>
      </c>
      <c r="B733" s="11" t="s">
        <v>104</v>
      </c>
      <c r="C733" s="15"/>
      <c r="D733" s="16" t="s">
        <v>37</v>
      </c>
      <c r="E733" s="17">
        <v>1</v>
      </c>
      <c r="F733" s="18">
        <f>E733* 0.0555555555555556</f>
        <v>5.5555555555555601E-2</v>
      </c>
      <c r="G733" s="18">
        <f>E733* 0.944444444444444</f>
        <v>0.94444444444444398</v>
      </c>
      <c r="H733" s="20">
        <v>0</v>
      </c>
    </row>
    <row r="734" spans="1:8" ht="15.75" hidden="1" customHeight="1" x14ac:dyDescent="0.25">
      <c r="A734" s="15" t="s">
        <v>51</v>
      </c>
      <c r="B734" s="11" t="s">
        <v>104</v>
      </c>
      <c r="C734" s="15"/>
      <c r="D734" s="16" t="s">
        <v>28</v>
      </c>
      <c r="E734" s="17">
        <v>112</v>
      </c>
      <c r="F734" s="18">
        <f>E734* 0.00115651503469545</f>
        <v>0.1295296838858904</v>
      </c>
      <c r="G734" s="18">
        <f>E734* 0.998843484965305</f>
        <v>111.87047031611415</v>
      </c>
      <c r="H734" s="20">
        <v>0</v>
      </c>
    </row>
    <row r="735" spans="1:8" ht="15.75" hidden="1" customHeight="1" x14ac:dyDescent="0.25">
      <c r="A735" s="15" t="s">
        <v>51</v>
      </c>
      <c r="B735" s="11" t="s">
        <v>104</v>
      </c>
      <c r="C735" s="15"/>
      <c r="D735" s="25" t="s">
        <v>12</v>
      </c>
      <c r="E735" s="27">
        <v>4195</v>
      </c>
      <c r="F735" s="18">
        <f>E735* 0.924936238310357</f>
        <v>3880.1075197119476</v>
      </c>
      <c r="G735" s="18">
        <f>E735* 0.0351064361799663</f>
        <v>147.27149977495861</v>
      </c>
      <c r="H735" s="18">
        <f>E735* 0.039932320925503</f>
        <v>167.51608628248508</v>
      </c>
    </row>
    <row r="736" spans="1:8" ht="15.75" hidden="1" customHeight="1" x14ac:dyDescent="0.25">
      <c r="A736" s="15" t="s">
        <v>105</v>
      </c>
      <c r="B736" s="11" t="s">
        <v>106</v>
      </c>
      <c r="C736" s="12" t="str">
        <f>B736&amp;"_"&amp;A736</f>
        <v>Aiquile_Cochabamba</v>
      </c>
      <c r="E736" s="13">
        <v>51</v>
      </c>
      <c r="F736" s="14">
        <f t="shared" ref="F736:H736" si="78">SUM(F737:F746)</f>
        <v>39.986146311415908</v>
      </c>
      <c r="G736" s="14">
        <f t="shared" si="78"/>
        <v>8.7709946143321549</v>
      </c>
      <c r="H736" s="14">
        <f t="shared" si="78"/>
        <v>2.2392215761203307</v>
      </c>
    </row>
    <row r="737" spans="1:8" ht="15.75" hidden="1" customHeight="1" x14ac:dyDescent="0.25">
      <c r="A737" s="15" t="s">
        <v>105</v>
      </c>
      <c r="B737" s="11" t="s">
        <v>106</v>
      </c>
      <c r="C737" s="15"/>
      <c r="D737" s="16" t="s">
        <v>14</v>
      </c>
      <c r="E737" s="17">
        <v>0</v>
      </c>
      <c r="F737" s="20">
        <v>0</v>
      </c>
      <c r="G737" s="20">
        <f>E737</f>
        <v>0</v>
      </c>
      <c r="H737" s="20">
        <v>0</v>
      </c>
    </row>
    <row r="738" spans="1:8" ht="15.75" hidden="1" customHeight="1" x14ac:dyDescent="0.25">
      <c r="A738" s="15" t="s">
        <v>105</v>
      </c>
      <c r="B738" s="11" t="s">
        <v>106</v>
      </c>
      <c r="C738" s="15"/>
      <c r="D738" s="16" t="s">
        <v>15</v>
      </c>
      <c r="E738" s="17">
        <v>1</v>
      </c>
      <c r="F738" s="18">
        <f>E738* 0.932775698199239</f>
        <v>0.932775698199239</v>
      </c>
      <c r="G738" s="18">
        <f>E738* 0.00808724987291465</f>
        <v>8.0872498729146498E-3</v>
      </c>
      <c r="H738" s="18">
        <f>E738*0.0590600305004852</f>
        <v>5.9060030500485201E-2</v>
      </c>
    </row>
    <row r="739" spans="1:8" ht="15.75" hidden="1" customHeight="1" x14ac:dyDescent="0.25">
      <c r="A739" s="15" t="s">
        <v>105</v>
      </c>
      <c r="B739" s="11" t="s">
        <v>106</v>
      </c>
      <c r="C739" s="15"/>
      <c r="D739" s="16" t="s">
        <v>16</v>
      </c>
      <c r="E739" s="17">
        <v>0</v>
      </c>
      <c r="F739" s="18">
        <f>E739* 0.0803212851405623</f>
        <v>0</v>
      </c>
      <c r="G739" s="18">
        <f>E739* 0.913367756741251</f>
        <v>0</v>
      </c>
      <c r="H739" s="18">
        <f>E739* 0.0057372346528973</f>
        <v>0</v>
      </c>
    </row>
    <row r="740" spans="1:8" ht="15.75" hidden="1" customHeight="1" x14ac:dyDescent="0.25">
      <c r="A740" s="15" t="s">
        <v>105</v>
      </c>
      <c r="B740" s="11" t="s">
        <v>106</v>
      </c>
      <c r="C740" s="15"/>
      <c r="D740" s="16" t="s">
        <v>11</v>
      </c>
      <c r="E740" s="17">
        <v>7</v>
      </c>
      <c r="F740" s="18">
        <f>E740* 0.150611071171819</f>
        <v>1.054277498202733</v>
      </c>
      <c r="G740" s="18">
        <f>E740* 0.847699496764917</f>
        <v>5.9338964773544189</v>
      </c>
      <c r="H740" s="18">
        <f>E740* 0.00136592379583034</f>
        <v>9.5614665708123794E-3</v>
      </c>
    </row>
    <row r="741" spans="1:8" ht="15.75" hidden="1" customHeight="1" x14ac:dyDescent="0.25">
      <c r="A741" s="15" t="s">
        <v>105</v>
      </c>
      <c r="B741" s="11" t="s">
        <v>106</v>
      </c>
      <c r="C741" s="15"/>
      <c r="D741" s="16" t="s">
        <v>17</v>
      </c>
      <c r="E741" s="17">
        <v>14</v>
      </c>
      <c r="F741" s="18">
        <f>E741* 0.840430229624022</f>
        <v>11.766023214736308</v>
      </c>
      <c r="G741" s="18">
        <f>E741* 0.0777504415846581</f>
        <v>1.0885061821852133</v>
      </c>
      <c r="H741" s="18">
        <f>E741* 0.0817877870300278</f>
        <v>1.1450290184203893</v>
      </c>
    </row>
    <row r="742" spans="1:8" ht="15.75" hidden="1" customHeight="1" x14ac:dyDescent="0.25">
      <c r="A742" s="15" t="s">
        <v>105</v>
      </c>
      <c r="B742" s="11" t="s">
        <v>106</v>
      </c>
      <c r="C742" s="15"/>
      <c r="D742" s="16" t="s">
        <v>31</v>
      </c>
      <c r="E742" s="17">
        <v>2</v>
      </c>
      <c r="F742" s="18">
        <f>E742* 0.901975683890578</f>
        <v>1.8039513677811561</v>
      </c>
      <c r="G742" s="18">
        <f>E742* 0.0364741641337386</f>
        <v>7.29483282674772E-2</v>
      </c>
      <c r="H742" s="18">
        <f>E742* 0.0615501519756839</f>
        <v>0.1231003039513678</v>
      </c>
    </row>
    <row r="743" spans="1:8" ht="15.75" hidden="1" customHeight="1" x14ac:dyDescent="0.25">
      <c r="A743" s="15" t="s">
        <v>105</v>
      </c>
      <c r="B743" s="11" t="s">
        <v>106</v>
      </c>
      <c r="C743" s="15"/>
      <c r="D743" s="16" t="s">
        <v>18</v>
      </c>
      <c r="E743" s="17">
        <v>15</v>
      </c>
      <c r="F743" s="18">
        <f>E743* 0.932934264493959</f>
        <v>13.994013967409385</v>
      </c>
      <c r="G743" s="18">
        <f>E743* 0.0585300964416362</f>
        <v>0.87795144662454294</v>
      </c>
      <c r="H743" s="18">
        <f>E743* 0.00853563906440528</f>
        <v>0.12803458596607922</v>
      </c>
    </row>
    <row r="744" spans="1:8" ht="15.75" hidden="1" customHeight="1" x14ac:dyDescent="0.25">
      <c r="A744" s="15" t="s">
        <v>105</v>
      </c>
      <c r="B744" s="11" t="s">
        <v>106</v>
      </c>
      <c r="C744" s="15"/>
      <c r="D744" s="16" t="s">
        <v>20</v>
      </c>
      <c r="E744" s="17">
        <v>1</v>
      </c>
      <c r="F744" s="18">
        <f>E744* 0.686268801552644</f>
        <v>0.68626880155264403</v>
      </c>
      <c r="G744" s="18">
        <f>E744* 0.196991751576904</f>
        <v>0.19699175157690399</v>
      </c>
      <c r="H744" s="18">
        <f>E744* 0.116642406598738</f>
        <v>0.11664240659873799</v>
      </c>
    </row>
    <row r="745" spans="1:8" ht="15.75" hidden="1" customHeight="1" x14ac:dyDescent="0.25">
      <c r="A745" s="15" t="s">
        <v>105</v>
      </c>
      <c r="B745" s="11" t="s">
        <v>106</v>
      </c>
      <c r="C745" s="15"/>
      <c r="D745" s="16" t="s">
        <v>21</v>
      </c>
      <c r="E745" s="17">
        <v>3</v>
      </c>
      <c r="F745" s="18">
        <f>E745* 0.999513766486355</f>
        <v>2.998541299459065</v>
      </c>
      <c r="G745" s="18">
        <f>E745* 0.0000243116756822464</f>
        <v>7.2935027046739189E-5</v>
      </c>
      <c r="H745" s="18">
        <f>E745* 0.00034036345955145</f>
        <v>1.02109037865435E-3</v>
      </c>
    </row>
    <row r="746" spans="1:8" ht="15.75" hidden="1" customHeight="1" x14ac:dyDescent="0.25">
      <c r="A746" s="15" t="s">
        <v>105</v>
      </c>
      <c r="B746" s="11" t="s">
        <v>106</v>
      </c>
      <c r="C746" s="15"/>
      <c r="D746" s="16" t="s">
        <v>12</v>
      </c>
      <c r="E746" s="17">
        <v>8</v>
      </c>
      <c r="F746" s="18">
        <f>E746* 0.843786808009423</f>
        <v>6.7502944640753837</v>
      </c>
      <c r="G746" s="18">
        <f>E746* 0.0740675304279545</f>
        <v>0.59254024342363598</v>
      </c>
      <c r="H746" s="18">
        <f>E746* 0.0820965842167256</f>
        <v>0.65677267373380477</v>
      </c>
    </row>
    <row r="747" spans="1:8" ht="15.75" hidden="1" customHeight="1" x14ac:dyDescent="0.25">
      <c r="A747" s="15" t="s">
        <v>105</v>
      </c>
      <c r="B747" s="8"/>
      <c r="C747" s="8"/>
      <c r="D747" s="9"/>
      <c r="E747" s="19"/>
    </row>
    <row r="748" spans="1:8" ht="15.75" hidden="1" customHeight="1" x14ac:dyDescent="0.25">
      <c r="A748" s="15" t="s">
        <v>105</v>
      </c>
      <c r="B748" s="11" t="s">
        <v>107</v>
      </c>
      <c r="C748" s="12" t="str">
        <f>B748&amp;"_"&amp;A748</f>
        <v>Alalay_Cochabamba</v>
      </c>
      <c r="E748" s="13">
        <v>2</v>
      </c>
      <c r="F748" s="14">
        <f t="shared" ref="F748:H748" si="79">SUM(F749)</f>
        <v>1.9990275329727101</v>
      </c>
      <c r="G748" s="14">
        <f t="shared" si="79"/>
        <v>4.8623351364492797E-5</v>
      </c>
      <c r="H748" s="14">
        <f t="shared" si="79"/>
        <v>6.807269191029E-4</v>
      </c>
    </row>
    <row r="749" spans="1:8" ht="15.75" hidden="1" customHeight="1" x14ac:dyDescent="0.25">
      <c r="A749" s="15" t="s">
        <v>105</v>
      </c>
      <c r="B749" s="11" t="s">
        <v>107</v>
      </c>
      <c r="C749" s="15"/>
      <c r="D749" s="16" t="s">
        <v>21</v>
      </c>
      <c r="E749" s="17">
        <v>2</v>
      </c>
      <c r="F749" s="18">
        <f>E749* 0.999513766486355</f>
        <v>1.9990275329727101</v>
      </c>
      <c r="G749" s="18">
        <f>E749* 0.0000243116756822464</f>
        <v>4.8623351364492797E-5</v>
      </c>
      <c r="H749" s="18">
        <f>E749* 0.00034036345955145</f>
        <v>6.807269191029E-4</v>
      </c>
    </row>
    <row r="750" spans="1:8" ht="15.75" hidden="1" customHeight="1" x14ac:dyDescent="0.25">
      <c r="A750" s="15" t="s">
        <v>105</v>
      </c>
      <c r="B750" s="8"/>
      <c r="C750" s="8"/>
      <c r="D750" s="9"/>
      <c r="E750" s="19"/>
    </row>
    <row r="751" spans="1:8" ht="15.75" hidden="1" customHeight="1" x14ac:dyDescent="0.25">
      <c r="A751" s="15" t="s">
        <v>105</v>
      </c>
      <c r="B751" s="11" t="s">
        <v>108</v>
      </c>
      <c r="C751" s="12" t="str">
        <f>B751&amp;"_"&amp;A751</f>
        <v>Anzaldo_Cochabamba</v>
      </c>
      <c r="E751" s="13">
        <v>1</v>
      </c>
      <c r="F751" s="14">
        <f t="shared" ref="F751:H751" si="80">SUM(F752:F758)</f>
        <v>0.99951376648635504</v>
      </c>
      <c r="G751" s="14">
        <f t="shared" si="80"/>
        <v>2.4311675682246399E-5</v>
      </c>
      <c r="H751" s="14">
        <f t="shared" si="80"/>
        <v>3.4036345955145E-4</v>
      </c>
    </row>
    <row r="752" spans="1:8" ht="15.75" hidden="1" customHeight="1" x14ac:dyDescent="0.25">
      <c r="A752" s="15" t="s">
        <v>105</v>
      </c>
      <c r="B752" s="11" t="s">
        <v>108</v>
      </c>
      <c r="C752" s="15"/>
      <c r="D752" s="16" t="s">
        <v>15</v>
      </c>
      <c r="E752" s="17">
        <v>0</v>
      </c>
      <c r="F752" s="18">
        <f>E752* 0.932775698199239</f>
        <v>0</v>
      </c>
      <c r="G752" s="18">
        <f>E752* 0.00808724987291465</f>
        <v>0</v>
      </c>
      <c r="H752" s="18">
        <f>E752*0.0590600305004852</f>
        <v>0</v>
      </c>
    </row>
    <row r="753" spans="1:8" ht="15.75" hidden="1" customHeight="1" x14ac:dyDescent="0.25">
      <c r="A753" s="15" t="s">
        <v>105</v>
      </c>
      <c r="B753" s="11" t="s">
        <v>108</v>
      </c>
      <c r="C753" s="15"/>
      <c r="D753" s="16" t="s">
        <v>11</v>
      </c>
      <c r="E753" s="17">
        <v>0</v>
      </c>
      <c r="F753" s="18">
        <f>E753* 0.150611071171819</f>
        <v>0</v>
      </c>
      <c r="G753" s="18">
        <f>E753* 0.847699496764917</f>
        <v>0</v>
      </c>
      <c r="H753" s="18">
        <f>E753* 0.00136592379583034</f>
        <v>0</v>
      </c>
    </row>
    <row r="754" spans="1:8" ht="15.75" hidden="1" customHeight="1" x14ac:dyDescent="0.25">
      <c r="A754" s="15" t="s">
        <v>105</v>
      </c>
      <c r="B754" s="11" t="s">
        <v>108</v>
      </c>
      <c r="C754" s="15"/>
      <c r="D754" s="16" t="s">
        <v>17</v>
      </c>
      <c r="E754" s="17">
        <v>0</v>
      </c>
      <c r="F754" s="18">
        <f>E754* 0.840430229624022</f>
        <v>0</v>
      </c>
      <c r="G754" s="18">
        <f>E754* 0.0777504415846581</f>
        <v>0</v>
      </c>
      <c r="H754" s="18">
        <f>E754* 0.0817877870300278</f>
        <v>0</v>
      </c>
    </row>
    <row r="755" spans="1:8" ht="15.75" hidden="1" customHeight="1" x14ac:dyDescent="0.25">
      <c r="A755" s="15" t="s">
        <v>105</v>
      </c>
      <c r="B755" s="11" t="s">
        <v>108</v>
      </c>
      <c r="C755" s="15"/>
      <c r="D755" s="16" t="s">
        <v>31</v>
      </c>
      <c r="E755" s="17">
        <v>0</v>
      </c>
      <c r="F755" s="18">
        <f>E755* 0.901975683890578</f>
        <v>0</v>
      </c>
      <c r="G755" s="18">
        <f>E755* 0.0364741641337386</f>
        <v>0</v>
      </c>
      <c r="H755" s="18">
        <f>E755* 0.0615501519756839</f>
        <v>0</v>
      </c>
    </row>
    <row r="756" spans="1:8" ht="15.75" hidden="1" customHeight="1" x14ac:dyDescent="0.25">
      <c r="A756" s="15" t="s">
        <v>105</v>
      </c>
      <c r="B756" s="11" t="s">
        <v>108</v>
      </c>
      <c r="C756" s="15"/>
      <c r="D756" s="16" t="s">
        <v>20</v>
      </c>
      <c r="E756" s="17">
        <v>0</v>
      </c>
      <c r="F756" s="18">
        <f>E756* 0.686268801552644</f>
        <v>0</v>
      </c>
      <c r="G756" s="18">
        <f>E756* 0.196991751576904</f>
        <v>0</v>
      </c>
      <c r="H756" s="18">
        <f>E756* 0.116642406598738</f>
        <v>0</v>
      </c>
    </row>
    <row r="757" spans="1:8" ht="15.75" hidden="1" customHeight="1" x14ac:dyDescent="0.25">
      <c r="A757" s="15" t="s">
        <v>105</v>
      </c>
      <c r="B757" s="11" t="s">
        <v>108</v>
      </c>
      <c r="C757" s="15"/>
      <c r="D757" s="16" t="s">
        <v>21</v>
      </c>
      <c r="E757" s="17">
        <v>1</v>
      </c>
      <c r="F757" s="18">
        <f>E757* 0.999513766486355</f>
        <v>0.99951376648635504</v>
      </c>
      <c r="G757" s="18">
        <f>E757* 0.0000243116756822464</f>
        <v>2.4311675682246399E-5</v>
      </c>
      <c r="H757" s="18">
        <f>E757* 0.00034036345955145</f>
        <v>3.4036345955145E-4</v>
      </c>
    </row>
    <row r="758" spans="1:8" ht="15.75" hidden="1" customHeight="1" x14ac:dyDescent="0.25">
      <c r="A758" s="15" t="s">
        <v>105</v>
      </c>
      <c r="B758" s="11" t="s">
        <v>108</v>
      </c>
      <c r="C758" s="15"/>
      <c r="D758" s="16" t="s">
        <v>12</v>
      </c>
      <c r="E758" s="17">
        <v>0</v>
      </c>
      <c r="F758" s="18">
        <f>E758* 0.843786808009423</f>
        <v>0</v>
      </c>
      <c r="G758" s="18">
        <f>E758* 0.0740675304279545</f>
        <v>0</v>
      </c>
      <c r="H758" s="18">
        <f>E758* 0.0820965842167256</f>
        <v>0</v>
      </c>
    </row>
    <row r="759" spans="1:8" ht="15.75" hidden="1" customHeight="1" x14ac:dyDescent="0.25">
      <c r="A759" s="15" t="s">
        <v>105</v>
      </c>
      <c r="B759" s="8"/>
      <c r="C759" s="8"/>
      <c r="D759" s="9"/>
      <c r="E759" s="19"/>
    </row>
    <row r="760" spans="1:8" ht="15.75" hidden="1" customHeight="1" x14ac:dyDescent="0.25">
      <c r="A760" s="15" t="s">
        <v>105</v>
      </c>
      <c r="B760" s="11" t="s">
        <v>109</v>
      </c>
      <c r="C760" s="12" t="str">
        <f>B760&amp;"_"&amp;A760</f>
        <v>Arani_Cochabamba</v>
      </c>
      <c r="E760" s="13">
        <v>49</v>
      </c>
      <c r="F760" s="14">
        <f t="shared" ref="F760:H760" si="81">SUM(F761:F769)</f>
        <v>30.62615655873002</v>
      </c>
      <c r="G760" s="14">
        <f t="shared" si="81"/>
        <v>16.265801272686289</v>
      </c>
      <c r="H760" s="14">
        <f t="shared" si="81"/>
        <v>2.1003028829334576</v>
      </c>
    </row>
    <row r="761" spans="1:8" ht="15.75" hidden="1" customHeight="1" x14ac:dyDescent="0.25">
      <c r="A761" s="15" t="s">
        <v>105</v>
      </c>
      <c r="B761" s="11" t="s">
        <v>109</v>
      </c>
      <c r="C761" s="15"/>
      <c r="D761" s="16" t="s">
        <v>14</v>
      </c>
      <c r="E761" s="28">
        <v>0</v>
      </c>
      <c r="F761" s="20">
        <v>0</v>
      </c>
      <c r="G761" s="20">
        <f>E761</f>
        <v>0</v>
      </c>
      <c r="H761" s="20">
        <v>0</v>
      </c>
    </row>
    <row r="762" spans="1:8" ht="15.75" hidden="1" customHeight="1" x14ac:dyDescent="0.25">
      <c r="A762" s="15" t="s">
        <v>105</v>
      </c>
      <c r="B762" s="11" t="s">
        <v>109</v>
      </c>
      <c r="C762" s="15"/>
      <c r="D762" s="16" t="s">
        <v>15</v>
      </c>
      <c r="E762" s="17">
        <v>7</v>
      </c>
      <c r="F762" s="18">
        <f>E762* 0.932775698199239</f>
        <v>6.5294298873946728</v>
      </c>
      <c r="G762" s="18">
        <f>E762* 0.00808724987291465</f>
        <v>5.661074911040255E-2</v>
      </c>
      <c r="H762" s="18">
        <f>E762*0.0590600305004852</f>
        <v>0.41342021350339642</v>
      </c>
    </row>
    <row r="763" spans="1:8" ht="15.75" hidden="1" customHeight="1" x14ac:dyDescent="0.25">
      <c r="A763" s="15" t="s">
        <v>105</v>
      </c>
      <c r="B763" s="11" t="s">
        <v>109</v>
      </c>
      <c r="C763" s="15"/>
      <c r="D763" s="16" t="s">
        <v>11</v>
      </c>
      <c r="E763" s="17">
        <v>17</v>
      </c>
      <c r="F763" s="18">
        <f>E763* 0.150611071171819</f>
        <v>2.560388209920923</v>
      </c>
      <c r="G763" s="18">
        <f>E763* 0.847699496764917</f>
        <v>14.410891445003589</v>
      </c>
      <c r="H763" s="18">
        <f>E763* 0.00136592379583034</f>
        <v>2.3220704529115781E-2</v>
      </c>
    </row>
    <row r="764" spans="1:8" ht="15.75" hidden="1" customHeight="1" x14ac:dyDescent="0.25">
      <c r="A764" s="15" t="s">
        <v>105</v>
      </c>
      <c r="B764" s="11" t="s">
        <v>109</v>
      </c>
      <c r="C764" s="15"/>
      <c r="D764" s="16" t="s">
        <v>17</v>
      </c>
      <c r="E764" s="17">
        <v>6</v>
      </c>
      <c r="F764" s="18">
        <f>E764* 0.840430229624022</f>
        <v>5.0425813777441322</v>
      </c>
      <c r="G764" s="18">
        <f>E764* 0.0777504415846581</f>
        <v>0.46650264950794862</v>
      </c>
      <c r="H764" s="18">
        <f>E764* 0.0817877870300278</f>
        <v>0.49072672218016677</v>
      </c>
    </row>
    <row r="765" spans="1:8" ht="15.75" hidden="1" customHeight="1" x14ac:dyDescent="0.25">
      <c r="A765" s="15" t="s">
        <v>105</v>
      </c>
      <c r="B765" s="11" t="s">
        <v>109</v>
      </c>
      <c r="C765" s="15"/>
      <c r="D765" s="16" t="s">
        <v>31</v>
      </c>
      <c r="E765" s="17">
        <v>0</v>
      </c>
      <c r="F765" s="18">
        <f>E765* 0.901975683890578</f>
        <v>0</v>
      </c>
      <c r="G765" s="18">
        <f>E765* 0.0364741641337386</f>
        <v>0</v>
      </c>
      <c r="H765" s="18">
        <f>E765* 0.0615501519756839</f>
        <v>0</v>
      </c>
    </row>
    <row r="766" spans="1:8" ht="15.75" hidden="1" customHeight="1" x14ac:dyDescent="0.25">
      <c r="A766" s="15" t="s">
        <v>105</v>
      </c>
      <c r="B766" s="11" t="s">
        <v>109</v>
      </c>
      <c r="C766" s="15"/>
      <c r="D766" s="16" t="s">
        <v>20</v>
      </c>
      <c r="E766" s="17">
        <v>3</v>
      </c>
      <c r="F766" s="18">
        <f>E766* 0.686268801552644</f>
        <v>2.0588064046579322</v>
      </c>
      <c r="G766" s="18">
        <f>E766* 0.196991751576904</f>
        <v>0.590975254730712</v>
      </c>
      <c r="H766" s="18">
        <f>E766* 0.116642406598738</f>
        <v>0.349927219796214</v>
      </c>
    </row>
    <row r="767" spans="1:8" ht="15.75" hidden="1" customHeight="1" x14ac:dyDescent="0.25">
      <c r="A767" s="15" t="s">
        <v>105</v>
      </c>
      <c r="B767" s="11" t="s">
        <v>109</v>
      </c>
      <c r="C767" s="15"/>
      <c r="D767" s="16" t="s">
        <v>21</v>
      </c>
      <c r="E767" s="17">
        <v>6</v>
      </c>
      <c r="F767" s="18">
        <f>E767* 0.999513766486355</f>
        <v>5.99708259891813</v>
      </c>
      <c r="G767" s="18">
        <f>E767* 0.0000243116756822464</f>
        <v>1.4587005409347838E-4</v>
      </c>
      <c r="H767" s="18">
        <f>E767* 0.00034036345955145</f>
        <v>2.0421807573086999E-3</v>
      </c>
    </row>
    <row r="768" spans="1:8" ht="15.75" hidden="1" customHeight="1" x14ac:dyDescent="0.25">
      <c r="A768" s="15" t="s">
        <v>105</v>
      </c>
      <c r="B768" s="11" t="s">
        <v>109</v>
      </c>
      <c r="C768" s="15"/>
      <c r="D768" s="16" t="s">
        <v>28</v>
      </c>
      <c r="E768" s="17">
        <v>0</v>
      </c>
      <c r="F768" s="18">
        <f>E768* 0.00094876660341556</f>
        <v>0</v>
      </c>
      <c r="G768" s="18">
        <f>E768* 0.999051233396584</f>
        <v>0</v>
      </c>
      <c r="H768" s="18">
        <v>0</v>
      </c>
    </row>
    <row r="769" spans="1:8" ht="15.75" hidden="1" customHeight="1" x14ac:dyDescent="0.25">
      <c r="A769" s="15" t="s">
        <v>105</v>
      </c>
      <c r="B769" s="11" t="s">
        <v>109</v>
      </c>
      <c r="C769" s="15"/>
      <c r="D769" s="16" t="s">
        <v>12</v>
      </c>
      <c r="E769" s="17">
        <v>10</v>
      </c>
      <c r="F769" s="18">
        <f>E769* 0.843786808009423</f>
        <v>8.4378680800942298</v>
      </c>
      <c r="G769" s="18">
        <f>E769* 0.0740675304279545</f>
        <v>0.74067530427954498</v>
      </c>
      <c r="H769" s="18">
        <f>E769* 0.0820965842167256</f>
        <v>0.82096584216725599</v>
      </c>
    </row>
    <row r="770" spans="1:8" ht="15.75" hidden="1" customHeight="1" x14ac:dyDescent="0.25">
      <c r="A770" s="15" t="s">
        <v>105</v>
      </c>
      <c r="B770" s="8"/>
      <c r="C770" s="8"/>
      <c r="D770" s="9"/>
      <c r="E770" s="19"/>
    </row>
    <row r="771" spans="1:8" ht="15.75" hidden="1" customHeight="1" x14ac:dyDescent="0.25">
      <c r="A771" s="15" t="s">
        <v>105</v>
      </c>
      <c r="B771" s="11" t="s">
        <v>110</v>
      </c>
      <c r="C771" s="12" t="str">
        <f>B771&amp;"_"&amp;A771</f>
        <v>Arbieto_Cochabamba</v>
      </c>
      <c r="E771" s="13">
        <v>208</v>
      </c>
      <c r="F771" s="14">
        <f t="shared" ref="F771:H771" si="82">SUM(F772:F784)</f>
        <v>169.24682241569081</v>
      </c>
      <c r="G771" s="14">
        <f t="shared" si="82"/>
        <v>26.920596771233619</v>
      </c>
      <c r="H771" s="14">
        <f t="shared" si="82"/>
        <v>11.813461436062411</v>
      </c>
    </row>
    <row r="772" spans="1:8" ht="15.75" hidden="1" customHeight="1" x14ac:dyDescent="0.25">
      <c r="A772" s="15" t="s">
        <v>105</v>
      </c>
      <c r="B772" s="11" t="s">
        <v>110</v>
      </c>
      <c r="C772" s="15"/>
      <c r="D772" s="16" t="s">
        <v>14</v>
      </c>
      <c r="E772" s="28">
        <v>0</v>
      </c>
      <c r="F772" s="20">
        <v>0</v>
      </c>
      <c r="G772" s="20">
        <f>E772</f>
        <v>0</v>
      </c>
      <c r="H772" s="20">
        <v>0</v>
      </c>
    </row>
    <row r="773" spans="1:8" ht="15.75" hidden="1" customHeight="1" x14ac:dyDescent="0.25">
      <c r="A773" s="15" t="s">
        <v>105</v>
      </c>
      <c r="B773" s="11" t="s">
        <v>110</v>
      </c>
      <c r="C773" s="15"/>
      <c r="D773" s="16" t="s">
        <v>15</v>
      </c>
      <c r="E773" s="17">
        <v>29</v>
      </c>
      <c r="F773" s="18">
        <f>E773* 0.932775698199239</f>
        <v>27.050495247777931</v>
      </c>
      <c r="G773" s="18">
        <f>E773* 0.00808724987291465</f>
        <v>0.23453024631452485</v>
      </c>
      <c r="H773" s="18">
        <f>E773*0.0590600305004852</f>
        <v>1.7127408845140708</v>
      </c>
    </row>
    <row r="774" spans="1:8" ht="15.75" hidden="1" customHeight="1" x14ac:dyDescent="0.25">
      <c r="A774" s="15" t="s">
        <v>105</v>
      </c>
      <c r="B774" s="11" t="s">
        <v>110</v>
      </c>
      <c r="C774" s="15"/>
      <c r="D774" s="16" t="s">
        <v>16</v>
      </c>
      <c r="E774" s="17">
        <v>2</v>
      </c>
      <c r="F774" s="18">
        <f>E774* 0.0803212851405623</f>
        <v>0.16064257028112461</v>
      </c>
      <c r="G774" s="18">
        <f>E774* 0.913367756741251</f>
        <v>1.8267355134825021</v>
      </c>
      <c r="H774" s="18">
        <f>E774* 0.0057372346528973</f>
        <v>1.1474469305794601E-2</v>
      </c>
    </row>
    <row r="775" spans="1:8" ht="15.75" hidden="1" customHeight="1" x14ac:dyDescent="0.25">
      <c r="A775" s="15" t="s">
        <v>105</v>
      </c>
      <c r="B775" s="11" t="s">
        <v>110</v>
      </c>
      <c r="C775" s="15"/>
      <c r="D775" s="16" t="s">
        <v>11</v>
      </c>
      <c r="E775" s="17">
        <v>17</v>
      </c>
      <c r="F775" s="18">
        <f>E775* 0.150611071171819</f>
        <v>2.560388209920923</v>
      </c>
      <c r="G775" s="18">
        <f>E775* 0.847699496764917</f>
        <v>14.410891445003589</v>
      </c>
      <c r="H775" s="18">
        <f>E775* 0.00136592379583034</f>
        <v>2.3220704529115781E-2</v>
      </c>
    </row>
    <row r="776" spans="1:8" ht="15.75" hidden="1" customHeight="1" x14ac:dyDescent="0.25">
      <c r="A776" s="15" t="s">
        <v>105</v>
      </c>
      <c r="B776" s="11" t="s">
        <v>110</v>
      </c>
      <c r="C776" s="15"/>
      <c r="D776" s="16" t="s">
        <v>17</v>
      </c>
      <c r="E776" s="17">
        <v>29</v>
      </c>
      <c r="F776" s="18">
        <f>E776* 0.840430229624022</f>
        <v>24.372476659096638</v>
      </c>
      <c r="G776" s="18">
        <f>E776* 0.0777504415846581</f>
        <v>2.2547628059550848</v>
      </c>
      <c r="H776" s="18">
        <f>E776* 0.0817877870300278</f>
        <v>2.3718458238708062</v>
      </c>
    </row>
    <row r="777" spans="1:8" ht="15.75" hidden="1" customHeight="1" x14ac:dyDescent="0.25">
      <c r="A777" s="15" t="s">
        <v>105</v>
      </c>
      <c r="B777" s="11" t="s">
        <v>110</v>
      </c>
      <c r="C777" s="15"/>
      <c r="D777" s="16" t="s">
        <v>31</v>
      </c>
      <c r="E777" s="17">
        <v>1</v>
      </c>
      <c r="F777" s="18">
        <f>E777* 0.901975683890578</f>
        <v>0.90197568389057803</v>
      </c>
      <c r="G777" s="18">
        <f>E777* 0.0364741641337386</f>
        <v>3.64741641337386E-2</v>
      </c>
      <c r="H777" s="18">
        <f>E777* 0.0615501519756839</f>
        <v>6.1550151975683899E-2</v>
      </c>
    </row>
    <row r="778" spans="1:8" ht="15.75" hidden="1" customHeight="1" x14ac:dyDescent="0.25">
      <c r="A778" s="15" t="s">
        <v>105</v>
      </c>
      <c r="B778" s="11" t="s">
        <v>110</v>
      </c>
      <c r="C778" s="15"/>
      <c r="D778" s="16" t="s">
        <v>18</v>
      </c>
      <c r="E778" s="17">
        <v>1</v>
      </c>
      <c r="F778" s="18">
        <f>E778* 0.932934264493959</f>
        <v>0.932934264493959</v>
      </c>
      <c r="G778" s="18">
        <f>E778* 0.0585300964416362</f>
        <v>5.8530096441636197E-2</v>
      </c>
      <c r="H778" s="18">
        <f>E778* 0.00853563906440528</f>
        <v>8.5356390644052808E-3</v>
      </c>
    </row>
    <row r="779" spans="1:8" ht="15.75" hidden="1" customHeight="1" x14ac:dyDescent="0.25">
      <c r="A779" s="15" t="s">
        <v>105</v>
      </c>
      <c r="B779" s="11" t="s">
        <v>110</v>
      </c>
      <c r="C779" s="15"/>
      <c r="D779" s="16" t="s">
        <v>19</v>
      </c>
      <c r="E779" s="17">
        <v>1</v>
      </c>
      <c r="F779" s="18">
        <f>E779* 0.290681971640783</f>
        <v>0.29068197164078302</v>
      </c>
      <c r="G779" s="18">
        <f>E779* 0.694125590817016</f>
        <v>0.69412559081701597</v>
      </c>
      <c r="H779" s="18">
        <f>E779* 0.0151924375422012</f>
        <v>1.51924375422012E-2</v>
      </c>
    </row>
    <row r="780" spans="1:8" ht="15.75" hidden="1" customHeight="1" x14ac:dyDescent="0.25">
      <c r="A780" s="15" t="s">
        <v>105</v>
      </c>
      <c r="B780" s="11" t="s">
        <v>110</v>
      </c>
      <c r="C780" s="15"/>
      <c r="D780" s="16" t="s">
        <v>20</v>
      </c>
      <c r="E780" s="17">
        <v>6</v>
      </c>
      <c r="F780" s="18">
        <f>E780* 0.686268801552644</f>
        <v>4.1176128093158644</v>
      </c>
      <c r="G780" s="18">
        <f>E780* 0.196991751576904</f>
        <v>1.181950509461424</v>
      </c>
      <c r="H780" s="18">
        <f>E780* 0.116642406598738</f>
        <v>0.69985443959242799</v>
      </c>
    </row>
    <row r="781" spans="1:8" ht="15.75" hidden="1" customHeight="1" x14ac:dyDescent="0.25">
      <c r="A781" s="15" t="s">
        <v>105</v>
      </c>
      <c r="B781" s="11" t="s">
        <v>110</v>
      </c>
      <c r="C781" s="15"/>
      <c r="D781" s="16" t="s">
        <v>21</v>
      </c>
      <c r="E781" s="17">
        <v>38</v>
      </c>
      <c r="F781" s="18">
        <f>E781* 0.999513766486355</f>
        <v>37.981523126481491</v>
      </c>
      <c r="G781" s="18">
        <f>E781* 0.0000243116756822464</f>
        <v>9.2384367592536314E-4</v>
      </c>
      <c r="H781" s="18">
        <f>E781* 0.00034036345955145</f>
        <v>1.29338114629551E-2</v>
      </c>
    </row>
    <row r="782" spans="1:8" ht="15.75" hidden="1" customHeight="1" x14ac:dyDescent="0.25">
      <c r="A782" s="15" t="s">
        <v>105</v>
      </c>
      <c r="B782" s="11" t="s">
        <v>110</v>
      </c>
      <c r="C782" s="15"/>
      <c r="D782" s="16" t="s">
        <v>36</v>
      </c>
      <c r="E782" s="17">
        <v>0</v>
      </c>
      <c r="F782" s="20">
        <f>E782</f>
        <v>0</v>
      </c>
      <c r="G782" s="20">
        <v>0</v>
      </c>
      <c r="H782" s="20">
        <v>0</v>
      </c>
    </row>
    <row r="783" spans="1:8" ht="15.75" hidden="1" customHeight="1" x14ac:dyDescent="0.25">
      <c r="A783" s="15" t="s">
        <v>105</v>
      </c>
      <c r="B783" s="11" t="s">
        <v>110</v>
      </c>
      <c r="C783" s="15"/>
      <c r="D783" s="16" t="s">
        <v>28</v>
      </c>
      <c r="E783" s="17">
        <v>0</v>
      </c>
      <c r="F783" s="18">
        <f>E783* 0.00094876660341556</f>
        <v>0</v>
      </c>
      <c r="G783" s="18">
        <f>E783* 0.999051233396584</f>
        <v>0</v>
      </c>
      <c r="H783" s="18">
        <v>0</v>
      </c>
    </row>
    <row r="784" spans="1:8" ht="15.75" hidden="1" customHeight="1" x14ac:dyDescent="0.25">
      <c r="A784" s="15" t="s">
        <v>105</v>
      </c>
      <c r="B784" s="11" t="s">
        <v>110</v>
      </c>
      <c r="C784" s="15"/>
      <c r="D784" s="16" t="s">
        <v>12</v>
      </c>
      <c r="E784" s="17">
        <v>84</v>
      </c>
      <c r="F784" s="18">
        <f>E784* 0.843786808009423</f>
        <v>70.878091872791529</v>
      </c>
      <c r="G784" s="18">
        <f>E784* 0.0740675304279545</f>
        <v>6.221672555948178</v>
      </c>
      <c r="H784" s="18">
        <f>E784* 0.0820965842167256</f>
        <v>6.8961130742049503</v>
      </c>
    </row>
    <row r="785" spans="1:8" ht="15.75" hidden="1" customHeight="1" x14ac:dyDescent="0.25">
      <c r="A785" s="15" t="s">
        <v>105</v>
      </c>
      <c r="B785" s="21"/>
      <c r="C785" s="21"/>
      <c r="D785" s="16"/>
      <c r="E785" s="19"/>
    </row>
    <row r="786" spans="1:8" ht="15.75" hidden="1" customHeight="1" x14ac:dyDescent="0.25">
      <c r="A786" s="15" t="s">
        <v>105</v>
      </c>
      <c r="B786" s="11" t="s">
        <v>111</v>
      </c>
      <c r="C786" s="12" t="str">
        <f>B786&amp;"_"&amp;A786</f>
        <v>Arque_Cochabamba</v>
      </c>
      <c r="E786" s="13">
        <v>4</v>
      </c>
      <c r="F786" s="14">
        <f t="shared" ref="F786:H786" si="83">SUM(F787:F789)</f>
        <v>2.990068833768551</v>
      </c>
      <c r="G786" s="14">
        <f t="shared" si="83"/>
        <v>0.92549856170093958</v>
      </c>
      <c r="H786" s="14">
        <f t="shared" si="83"/>
        <v>8.3834437744961035E-2</v>
      </c>
    </row>
    <row r="787" spans="1:8" ht="15.75" hidden="1" customHeight="1" x14ac:dyDescent="0.25">
      <c r="A787" s="15" t="s">
        <v>105</v>
      </c>
      <c r="B787" s="11" t="s">
        <v>111</v>
      </c>
      <c r="C787" s="15"/>
      <c r="D787" s="16" t="s">
        <v>11</v>
      </c>
      <c r="E787" s="17">
        <v>1</v>
      </c>
      <c r="F787" s="18">
        <f>E787* 0.150611071171819</f>
        <v>0.15061107117181899</v>
      </c>
      <c r="G787" s="18">
        <f>E787* 0.847699496764917</f>
        <v>0.84769949676491696</v>
      </c>
      <c r="H787" s="18">
        <f>E787* 0.00136592379583034</f>
        <v>1.36592379583034E-3</v>
      </c>
    </row>
    <row r="788" spans="1:8" ht="15.75" hidden="1" customHeight="1" x14ac:dyDescent="0.25">
      <c r="A788" s="15" t="s">
        <v>105</v>
      </c>
      <c r="B788" s="11" t="s">
        <v>111</v>
      </c>
      <c r="C788" s="15"/>
      <c r="D788" s="16" t="s">
        <v>17</v>
      </c>
      <c r="E788" s="17">
        <v>1</v>
      </c>
      <c r="F788" s="18">
        <f>E788* 0.840430229624022</f>
        <v>0.84043022962402203</v>
      </c>
      <c r="G788" s="18">
        <f>E788* 0.0777504415846581</f>
        <v>7.7750441584658103E-2</v>
      </c>
      <c r="H788" s="18">
        <f>E788* 0.0817877870300278</f>
        <v>8.17877870300278E-2</v>
      </c>
    </row>
    <row r="789" spans="1:8" ht="15.75" hidden="1" customHeight="1" x14ac:dyDescent="0.25">
      <c r="A789" s="15" t="s">
        <v>105</v>
      </c>
      <c r="B789" s="11" t="s">
        <v>111</v>
      </c>
      <c r="C789" s="15"/>
      <c r="D789" s="16" t="s">
        <v>21</v>
      </c>
      <c r="E789" s="17">
        <v>2</v>
      </c>
      <c r="F789" s="18">
        <f>E789* 0.999513766486355</f>
        <v>1.9990275329727101</v>
      </c>
      <c r="G789" s="18">
        <f>E789* 0.0000243116756822464</f>
        <v>4.8623351364492797E-5</v>
      </c>
      <c r="H789" s="18">
        <f>E789* 0.00034036345955145</f>
        <v>6.807269191029E-4</v>
      </c>
    </row>
    <row r="790" spans="1:8" ht="15.75" hidden="1" customHeight="1" x14ac:dyDescent="0.25">
      <c r="A790" s="15" t="s">
        <v>105</v>
      </c>
      <c r="B790" s="8"/>
      <c r="C790" s="8"/>
      <c r="D790" s="9"/>
      <c r="E790" s="19"/>
    </row>
    <row r="791" spans="1:8" ht="15.75" hidden="1" customHeight="1" x14ac:dyDescent="0.25">
      <c r="A791" s="15" t="s">
        <v>105</v>
      </c>
      <c r="B791" s="11" t="s">
        <v>112</v>
      </c>
      <c r="C791" s="12" t="str">
        <f>B791&amp;"_"&amp;A791</f>
        <v>Bolívar_Cochabamba</v>
      </c>
      <c r="E791" s="13">
        <v>4</v>
      </c>
      <c r="F791" s="14">
        <f t="shared" ref="F791:H791" si="84">SUM(F792:F794)</f>
        <v>2.0744280701668991</v>
      </c>
      <c r="G791" s="14">
        <f t="shared" si="84"/>
        <v>1.7812366849874068</v>
      </c>
      <c r="H791" s="14">
        <f t="shared" si="84"/>
        <v>0.14357966512217368</v>
      </c>
    </row>
    <row r="792" spans="1:8" ht="15.75" hidden="1" customHeight="1" x14ac:dyDescent="0.25">
      <c r="A792" s="15" t="s">
        <v>105</v>
      </c>
      <c r="B792" s="11" t="s">
        <v>112</v>
      </c>
      <c r="C792" s="15"/>
      <c r="D792" s="16" t="s">
        <v>15</v>
      </c>
      <c r="E792" s="17">
        <v>1</v>
      </c>
      <c r="F792" s="18">
        <f>E792* 0.932775698199239</f>
        <v>0.932775698199239</v>
      </c>
      <c r="G792" s="18">
        <f>E792* 0.00808724987291465</f>
        <v>8.0872498729146498E-3</v>
      </c>
      <c r="H792" s="18">
        <f>E792*0.0590600305004852</f>
        <v>5.9060030500485201E-2</v>
      </c>
    </row>
    <row r="793" spans="1:8" ht="15.75" hidden="1" customHeight="1" x14ac:dyDescent="0.25">
      <c r="A793" s="15" t="s">
        <v>105</v>
      </c>
      <c r="B793" s="11" t="s">
        <v>112</v>
      </c>
      <c r="C793" s="15"/>
      <c r="D793" s="16" t="s">
        <v>11</v>
      </c>
      <c r="E793" s="17">
        <v>2</v>
      </c>
      <c r="F793" s="18">
        <f>E793* 0.150611071171819</f>
        <v>0.30122214234363798</v>
      </c>
      <c r="G793" s="18">
        <f>E793* 0.847699496764917</f>
        <v>1.6953989935298339</v>
      </c>
      <c r="H793" s="18">
        <f>E793* 0.00136592379583034</f>
        <v>2.73184759166068E-3</v>
      </c>
    </row>
    <row r="794" spans="1:8" ht="15.75" hidden="1" customHeight="1" x14ac:dyDescent="0.25">
      <c r="A794" s="15" t="s">
        <v>105</v>
      </c>
      <c r="B794" s="11" t="s">
        <v>112</v>
      </c>
      <c r="C794" s="15"/>
      <c r="D794" s="16" t="s">
        <v>17</v>
      </c>
      <c r="E794" s="17">
        <v>1</v>
      </c>
      <c r="F794" s="18">
        <f>E794* 0.840430229624022</f>
        <v>0.84043022962402203</v>
      </c>
      <c r="G794" s="18">
        <f>E794* 0.0777504415846581</f>
        <v>7.7750441584658103E-2</v>
      </c>
      <c r="H794" s="18">
        <f>E794* 0.0817877870300278</f>
        <v>8.17877870300278E-2</v>
      </c>
    </row>
    <row r="795" spans="1:8" ht="15.75" hidden="1" customHeight="1" x14ac:dyDescent="0.25">
      <c r="A795" s="15" t="s">
        <v>105</v>
      </c>
      <c r="B795" s="8"/>
      <c r="C795" s="8"/>
      <c r="D795" s="9"/>
      <c r="E795" s="19"/>
    </row>
    <row r="796" spans="1:8" ht="15.75" hidden="1" customHeight="1" x14ac:dyDescent="0.25">
      <c r="A796" s="15" t="s">
        <v>105</v>
      </c>
      <c r="B796" s="11" t="s">
        <v>113</v>
      </c>
      <c r="C796" s="12" t="str">
        <f>B796&amp;"_"&amp;A796</f>
        <v>Capinota_Cochabamba</v>
      </c>
      <c r="E796" s="13">
        <v>966</v>
      </c>
      <c r="F796" s="14">
        <f t="shared" ref="F796:H796" si="85">SUM(F797:F809)</f>
        <v>675.58142473510611</v>
      </c>
      <c r="G796" s="14">
        <f t="shared" si="85"/>
        <v>264.29714479300276</v>
      </c>
      <c r="H796" s="14">
        <f t="shared" si="85"/>
        <v>25.997156356931008</v>
      </c>
    </row>
    <row r="797" spans="1:8" ht="15.75" hidden="1" customHeight="1" x14ac:dyDescent="0.25">
      <c r="A797" s="15" t="s">
        <v>105</v>
      </c>
      <c r="B797" s="11" t="s">
        <v>113</v>
      </c>
      <c r="C797" s="15"/>
      <c r="D797" s="16" t="s">
        <v>14</v>
      </c>
      <c r="E797" s="17">
        <v>0</v>
      </c>
      <c r="F797" s="20">
        <v>0</v>
      </c>
      <c r="G797" s="20">
        <f>E797</f>
        <v>0</v>
      </c>
      <c r="H797" s="20">
        <v>0</v>
      </c>
    </row>
    <row r="798" spans="1:8" ht="15.75" hidden="1" customHeight="1" x14ac:dyDescent="0.25">
      <c r="A798" s="15" t="s">
        <v>105</v>
      </c>
      <c r="B798" s="11" t="s">
        <v>113</v>
      </c>
      <c r="C798" s="15"/>
      <c r="D798" s="16" t="s">
        <v>15</v>
      </c>
      <c r="E798" s="17">
        <v>28</v>
      </c>
      <c r="F798" s="18">
        <f>E798* 0.932775698199239</f>
        <v>26.117719549578691</v>
      </c>
      <c r="G798" s="18">
        <f>E798* 0.00808724987291465</f>
        <v>0.2264429964416102</v>
      </c>
      <c r="H798" s="18">
        <f>E798*0.0590600305004852</f>
        <v>1.6536808540135857</v>
      </c>
    </row>
    <row r="799" spans="1:8" ht="15.75" hidden="1" customHeight="1" x14ac:dyDescent="0.25">
      <c r="A799" s="15" t="s">
        <v>105</v>
      </c>
      <c r="B799" s="11" t="s">
        <v>113</v>
      </c>
      <c r="C799" s="15"/>
      <c r="D799" s="16" t="s">
        <v>16</v>
      </c>
      <c r="E799" s="17">
        <v>4</v>
      </c>
      <c r="F799" s="18">
        <f>E799* 0.0803212851405623</f>
        <v>0.32128514056224922</v>
      </c>
      <c r="G799" s="18">
        <f>E799* 0.913367756741251</f>
        <v>3.6534710269650041</v>
      </c>
      <c r="H799" s="18">
        <f>E799* 0.0057372346528973</f>
        <v>2.2948938611589201E-2</v>
      </c>
    </row>
    <row r="800" spans="1:8" ht="15.75" hidden="1" customHeight="1" x14ac:dyDescent="0.25">
      <c r="A800" s="15" t="s">
        <v>105</v>
      </c>
      <c r="B800" s="11" t="s">
        <v>113</v>
      </c>
      <c r="C800" s="15"/>
      <c r="D800" s="16" t="s">
        <v>11</v>
      </c>
      <c r="E800" s="17">
        <v>186</v>
      </c>
      <c r="F800" s="18">
        <f>E800* 0.150611071171819</f>
        <v>28.013659237958333</v>
      </c>
      <c r="G800" s="18">
        <f>E800* 0.847699496764917</f>
        <v>157.67210639827456</v>
      </c>
      <c r="H800" s="18">
        <f>E800* 0.00136592379583034</f>
        <v>0.25406182602444322</v>
      </c>
    </row>
    <row r="801" spans="1:8" ht="15.75" hidden="1" customHeight="1" x14ac:dyDescent="0.25">
      <c r="A801" s="15" t="s">
        <v>105</v>
      </c>
      <c r="B801" s="11" t="s">
        <v>113</v>
      </c>
      <c r="C801" s="15"/>
      <c r="D801" s="16" t="s">
        <v>17</v>
      </c>
      <c r="E801" s="17">
        <v>45</v>
      </c>
      <c r="F801" s="18">
        <f>E801* 0.840430229624022</f>
        <v>37.819360333080994</v>
      </c>
      <c r="G801" s="18">
        <f>E801* 0.0777504415846581</f>
        <v>3.4987698713096145</v>
      </c>
      <c r="H801" s="18">
        <f>E801* 0.0817877870300278</f>
        <v>3.6804504163512508</v>
      </c>
    </row>
    <row r="802" spans="1:8" ht="15.75" hidden="1" customHeight="1" x14ac:dyDescent="0.25">
      <c r="A802" s="15" t="s">
        <v>105</v>
      </c>
      <c r="B802" s="11" t="s">
        <v>113</v>
      </c>
      <c r="C802" s="15"/>
      <c r="D802" s="16" t="s">
        <v>31</v>
      </c>
      <c r="E802" s="17">
        <v>0</v>
      </c>
      <c r="F802" s="18">
        <f>E802* 0.901975683890578</f>
        <v>0</v>
      </c>
      <c r="G802" s="18">
        <f>E802* 0.0364741641337386</f>
        <v>0</v>
      </c>
      <c r="H802" s="18">
        <f>E802* 0.0615501519756839</f>
        <v>0</v>
      </c>
    </row>
    <row r="803" spans="1:8" ht="15.75" hidden="1" customHeight="1" x14ac:dyDescent="0.25">
      <c r="A803" s="15" t="s">
        <v>105</v>
      </c>
      <c r="B803" s="11" t="s">
        <v>113</v>
      </c>
      <c r="C803" s="15"/>
      <c r="D803" s="16" t="s">
        <v>18</v>
      </c>
      <c r="E803" s="17">
        <v>5</v>
      </c>
      <c r="F803" s="18">
        <f>E803* 0.932934264493959</f>
        <v>4.6646713224697951</v>
      </c>
      <c r="G803" s="18">
        <f>E803* 0.0585300964416362</f>
        <v>0.29265048220818096</v>
      </c>
      <c r="H803" s="18">
        <f>E803* 0.00853563906440528</f>
        <v>4.2678195322026408E-2</v>
      </c>
    </row>
    <row r="804" spans="1:8" ht="15.75" hidden="1" customHeight="1" x14ac:dyDescent="0.25">
      <c r="A804" s="15" t="s">
        <v>105</v>
      </c>
      <c r="B804" s="11" t="s">
        <v>113</v>
      </c>
      <c r="C804" s="15"/>
      <c r="D804" s="16" t="s">
        <v>19</v>
      </c>
      <c r="E804" s="17">
        <v>1</v>
      </c>
      <c r="F804" s="18">
        <f>E804* 0.290681971640783</f>
        <v>0.29068197164078302</v>
      </c>
      <c r="G804" s="18">
        <f>E804* 0.694125590817016</f>
        <v>0.69412559081701597</v>
      </c>
      <c r="H804" s="18">
        <f>E804* 0.0151924375422012</f>
        <v>1.51924375422012E-2</v>
      </c>
    </row>
    <row r="805" spans="1:8" ht="15.75" hidden="1" customHeight="1" x14ac:dyDescent="0.25">
      <c r="A805" s="15" t="s">
        <v>105</v>
      </c>
      <c r="B805" s="11" t="s">
        <v>113</v>
      </c>
      <c r="C805" s="15"/>
      <c r="D805" s="16" t="s">
        <v>20</v>
      </c>
      <c r="E805" s="17">
        <v>12</v>
      </c>
      <c r="F805" s="18">
        <f>E805* 0.686268801552644</f>
        <v>8.2352256186317288</v>
      </c>
      <c r="G805" s="18">
        <f>E805* 0.196991751576904</f>
        <v>2.363901018922848</v>
      </c>
      <c r="H805" s="18">
        <f>E805* 0.116642406598738</f>
        <v>1.399708879184856</v>
      </c>
    </row>
    <row r="806" spans="1:8" ht="15.75" hidden="1" customHeight="1" x14ac:dyDescent="0.25">
      <c r="A806" s="15" t="s">
        <v>105</v>
      </c>
      <c r="B806" s="11" t="s">
        <v>113</v>
      </c>
      <c r="C806" s="15"/>
      <c r="D806" s="16" t="s">
        <v>21</v>
      </c>
      <c r="E806" s="17">
        <v>377</v>
      </c>
      <c r="F806" s="18">
        <f>E806* 0.999513766486355</f>
        <v>376.81668996535586</v>
      </c>
      <c r="G806" s="18">
        <f>E806* 0.0000243116756822464</f>
        <v>9.1655017322068918E-3</v>
      </c>
      <c r="H806" s="18">
        <f>E806* 0.00034036345955145</f>
        <v>0.12831702425089664</v>
      </c>
    </row>
    <row r="807" spans="1:8" ht="15.75" hidden="1" customHeight="1" x14ac:dyDescent="0.25">
      <c r="A807" s="15" t="s">
        <v>105</v>
      </c>
      <c r="B807" s="11" t="s">
        <v>113</v>
      </c>
      <c r="C807" s="15"/>
      <c r="D807" s="16" t="s">
        <v>36</v>
      </c>
      <c r="E807" s="17">
        <v>0</v>
      </c>
      <c r="F807" s="20">
        <f>E807</f>
        <v>0</v>
      </c>
      <c r="G807" s="20">
        <v>0</v>
      </c>
      <c r="H807" s="20">
        <v>0</v>
      </c>
    </row>
    <row r="808" spans="1:8" ht="15.75" hidden="1" customHeight="1" x14ac:dyDescent="0.25">
      <c r="A808" s="15" t="s">
        <v>105</v>
      </c>
      <c r="B808" s="11" t="s">
        <v>113</v>
      </c>
      <c r="C808" s="15"/>
      <c r="D808" s="16" t="s">
        <v>28</v>
      </c>
      <c r="E808" s="17">
        <v>79</v>
      </c>
      <c r="F808" s="18">
        <f>E808* 0.00094876660341556</f>
        <v>7.4952561669829235E-2</v>
      </c>
      <c r="G808" s="18">
        <f>E808* 0.999051233396584</f>
        <v>78.925047438330139</v>
      </c>
      <c r="H808" s="18">
        <v>0</v>
      </c>
    </row>
    <row r="809" spans="1:8" ht="15.75" hidden="1" customHeight="1" x14ac:dyDescent="0.25">
      <c r="A809" s="15" t="s">
        <v>105</v>
      </c>
      <c r="B809" s="11" t="s">
        <v>113</v>
      </c>
      <c r="C809" s="15"/>
      <c r="D809" s="16" t="s">
        <v>12</v>
      </c>
      <c r="E809" s="17">
        <v>229</v>
      </c>
      <c r="F809" s="18">
        <f>E809* 0.843786808009423</f>
        <v>193.22717903415787</v>
      </c>
      <c r="G809" s="18">
        <f>E809* 0.0740675304279545</f>
        <v>16.96146446800158</v>
      </c>
      <c r="H809" s="18">
        <f>E809* 0.0820965842167256</f>
        <v>18.80011778563016</v>
      </c>
    </row>
    <row r="810" spans="1:8" ht="15.75" hidden="1" customHeight="1" x14ac:dyDescent="0.25">
      <c r="A810" s="15" t="s">
        <v>105</v>
      </c>
      <c r="B810" s="8"/>
      <c r="C810" s="8"/>
      <c r="D810" s="9"/>
      <c r="E810" s="19"/>
    </row>
    <row r="811" spans="1:8" ht="15.75" hidden="1" customHeight="1" x14ac:dyDescent="0.25">
      <c r="A811" s="15" t="s">
        <v>105</v>
      </c>
      <c r="B811" s="11" t="s">
        <v>114</v>
      </c>
      <c r="C811" s="12" t="str">
        <f>B811&amp;"_"&amp;A811</f>
        <v>Chimoré_Cochabamba</v>
      </c>
      <c r="E811" s="22">
        <v>1151</v>
      </c>
      <c r="F811" s="14">
        <f t="shared" ref="F811:H811" si="86">SUM(F812:F824)</f>
        <v>1000.3900774884926</v>
      </c>
      <c r="G811" s="14">
        <f t="shared" si="86"/>
        <v>91.372711476981081</v>
      </c>
      <c r="H811" s="14">
        <f t="shared" si="86"/>
        <v>59.139883142949486</v>
      </c>
    </row>
    <row r="812" spans="1:8" ht="15.75" hidden="1" customHeight="1" x14ac:dyDescent="0.25">
      <c r="A812" s="15" t="s">
        <v>105</v>
      </c>
      <c r="B812" s="11" t="s">
        <v>114</v>
      </c>
      <c r="C812" s="15"/>
      <c r="D812" s="16" t="s">
        <v>14</v>
      </c>
      <c r="E812" s="17">
        <v>0</v>
      </c>
      <c r="F812" s="20">
        <v>0</v>
      </c>
      <c r="G812" s="20">
        <f>E812</f>
        <v>0</v>
      </c>
      <c r="H812" s="20">
        <v>0</v>
      </c>
    </row>
    <row r="813" spans="1:8" ht="15.75" hidden="1" customHeight="1" x14ac:dyDescent="0.25">
      <c r="A813" s="15" t="s">
        <v>105</v>
      </c>
      <c r="B813" s="11" t="s">
        <v>114</v>
      </c>
      <c r="C813" s="15"/>
      <c r="D813" s="16" t="s">
        <v>15</v>
      </c>
      <c r="E813" s="17">
        <v>21</v>
      </c>
      <c r="F813" s="18">
        <f>E813* 0.932775698199239</f>
        <v>19.588289662184017</v>
      </c>
      <c r="G813" s="18">
        <f>E813* 0.00808724987291465</f>
        <v>0.16983224733120764</v>
      </c>
      <c r="H813" s="18">
        <f>E813*0.0590600305004852</f>
        <v>1.2402606405101892</v>
      </c>
    </row>
    <row r="814" spans="1:8" ht="15.75" hidden="1" customHeight="1" x14ac:dyDescent="0.25">
      <c r="A814" s="15" t="s">
        <v>105</v>
      </c>
      <c r="B814" s="11" t="s">
        <v>114</v>
      </c>
      <c r="C814" s="15"/>
      <c r="D814" s="16" t="s">
        <v>16</v>
      </c>
      <c r="E814" s="17">
        <v>5</v>
      </c>
      <c r="F814" s="18">
        <f>E814* 0.0803212851405623</f>
        <v>0.40160642570281152</v>
      </c>
      <c r="G814" s="18">
        <f>E814* 0.913367756741251</f>
        <v>4.5668387837062552</v>
      </c>
      <c r="H814" s="18">
        <f>E814* 0.0057372346528973</f>
        <v>2.8686173264486501E-2</v>
      </c>
    </row>
    <row r="815" spans="1:8" ht="15.75" hidden="1" customHeight="1" x14ac:dyDescent="0.25">
      <c r="A815" s="15" t="s">
        <v>105</v>
      </c>
      <c r="B815" s="11" t="s">
        <v>114</v>
      </c>
      <c r="C815" s="15"/>
      <c r="D815" s="16" t="s">
        <v>11</v>
      </c>
      <c r="E815" s="17">
        <v>39</v>
      </c>
      <c r="F815" s="18">
        <f>E815* 0.150611071171819</f>
        <v>5.8738317757009408</v>
      </c>
      <c r="G815" s="18">
        <f>E815* 0.847699496764917</f>
        <v>33.060280373831759</v>
      </c>
      <c r="H815" s="18">
        <f>E815* 0.00136592379583034</f>
        <v>5.3271028037383261E-2</v>
      </c>
    </row>
    <row r="816" spans="1:8" ht="15.75" hidden="1" customHeight="1" x14ac:dyDescent="0.25">
      <c r="A816" s="15" t="s">
        <v>105</v>
      </c>
      <c r="B816" s="11" t="s">
        <v>114</v>
      </c>
      <c r="C816" s="15"/>
      <c r="D816" s="16" t="s">
        <v>17</v>
      </c>
      <c r="E816" s="17">
        <v>32</v>
      </c>
      <c r="F816" s="18">
        <f>E816* 0.840430229624022</f>
        <v>26.893767347968705</v>
      </c>
      <c r="G816" s="18">
        <f>E816* 0.0777504415846581</f>
        <v>2.4880141307090593</v>
      </c>
      <c r="H816" s="18">
        <f>E816* 0.0817877870300278</f>
        <v>2.6172091849608896</v>
      </c>
    </row>
    <row r="817" spans="1:8" ht="15.75" hidden="1" customHeight="1" x14ac:dyDescent="0.25">
      <c r="A817" s="15" t="s">
        <v>105</v>
      </c>
      <c r="B817" s="11" t="s">
        <v>114</v>
      </c>
      <c r="C817" s="15"/>
      <c r="D817" s="16" t="s">
        <v>31</v>
      </c>
      <c r="E817" s="17">
        <v>0</v>
      </c>
      <c r="F817" s="18">
        <f>E817* 0.901975683890578</f>
        <v>0</v>
      </c>
      <c r="G817" s="18">
        <f>E817* 0.0364741641337386</f>
        <v>0</v>
      </c>
      <c r="H817" s="18">
        <f>E817* 0.0615501519756839</f>
        <v>0</v>
      </c>
    </row>
    <row r="818" spans="1:8" ht="15.75" hidden="1" customHeight="1" x14ac:dyDescent="0.25">
      <c r="A818" s="15" t="s">
        <v>105</v>
      </c>
      <c r="B818" s="11" t="s">
        <v>114</v>
      </c>
      <c r="C818" s="15"/>
      <c r="D818" s="16" t="s">
        <v>18</v>
      </c>
      <c r="E818" s="17">
        <v>5</v>
      </c>
      <c r="F818" s="18">
        <f>E818* 0.932934264493959</f>
        <v>4.6646713224697951</v>
      </c>
      <c r="G818" s="18">
        <f>E818* 0.0585300964416362</f>
        <v>0.29265048220818096</v>
      </c>
      <c r="H818" s="18">
        <f>E818* 0.00853563906440528</f>
        <v>4.2678195322026408E-2</v>
      </c>
    </row>
    <row r="819" spans="1:8" ht="15.75" hidden="1" customHeight="1" x14ac:dyDescent="0.25">
      <c r="A819" s="15" t="s">
        <v>105</v>
      </c>
      <c r="B819" s="11" t="s">
        <v>114</v>
      </c>
      <c r="C819" s="15"/>
      <c r="D819" s="16" t="s">
        <v>115</v>
      </c>
      <c r="E819" s="17">
        <v>0</v>
      </c>
      <c r="F819" s="20">
        <v>0</v>
      </c>
      <c r="G819" s="20">
        <f>E819</f>
        <v>0</v>
      </c>
      <c r="H819" s="20">
        <v>0</v>
      </c>
    </row>
    <row r="820" spans="1:8" ht="15.75" hidden="1" customHeight="1" x14ac:dyDescent="0.25">
      <c r="A820" s="15" t="s">
        <v>105</v>
      </c>
      <c r="B820" s="11" t="s">
        <v>114</v>
      </c>
      <c r="C820" s="15"/>
      <c r="D820" s="16" t="s">
        <v>19</v>
      </c>
      <c r="E820" s="17">
        <v>1</v>
      </c>
      <c r="F820" s="18">
        <f>E820* 0.290681971640783</f>
        <v>0.29068197164078302</v>
      </c>
      <c r="G820" s="18">
        <f>E820* 0.694125590817016</f>
        <v>0.69412559081701597</v>
      </c>
      <c r="H820" s="18">
        <f>E820* 0.0151924375422012</f>
        <v>1.51924375422012E-2</v>
      </c>
    </row>
    <row r="821" spans="1:8" ht="15.75" hidden="1" customHeight="1" x14ac:dyDescent="0.25">
      <c r="A821" s="15" t="s">
        <v>105</v>
      </c>
      <c r="B821" s="11" t="s">
        <v>114</v>
      </c>
      <c r="C821" s="15"/>
      <c r="D821" s="16" t="s">
        <v>20</v>
      </c>
      <c r="E821" s="17">
        <v>5</v>
      </c>
      <c r="F821" s="18">
        <f>E821* 0.686268801552644</f>
        <v>3.43134400776322</v>
      </c>
      <c r="G821" s="18">
        <f>E821* 0.196991751576904</f>
        <v>0.98495875788451992</v>
      </c>
      <c r="H821" s="18">
        <f>E821* 0.116642406598738</f>
        <v>0.58321203299368995</v>
      </c>
    </row>
    <row r="822" spans="1:8" ht="15.75" hidden="1" customHeight="1" x14ac:dyDescent="0.25">
      <c r="A822" s="15" t="s">
        <v>105</v>
      </c>
      <c r="B822" s="11" t="s">
        <v>114</v>
      </c>
      <c r="C822" s="15"/>
      <c r="D822" s="16" t="s">
        <v>21</v>
      </c>
      <c r="E822" s="17">
        <v>380</v>
      </c>
      <c r="F822" s="18">
        <f>E822* 0.999513766486355</f>
        <v>379.81523126481494</v>
      </c>
      <c r="G822" s="18">
        <f>E822* 0.0000243116756822464</f>
        <v>9.2384367592536314E-3</v>
      </c>
      <c r="H822" s="18">
        <f>E822* 0.00034036345955145</f>
        <v>0.129338114629551</v>
      </c>
    </row>
    <row r="823" spans="1:8" ht="15.75" hidden="1" customHeight="1" x14ac:dyDescent="0.25">
      <c r="A823" s="15" t="s">
        <v>105</v>
      </c>
      <c r="B823" s="11" t="s">
        <v>114</v>
      </c>
      <c r="C823" s="15"/>
      <c r="D823" s="16" t="s">
        <v>28</v>
      </c>
      <c r="E823" s="17">
        <v>0</v>
      </c>
      <c r="F823" s="18">
        <f>E823* 0.00094876660341556</f>
        <v>0</v>
      </c>
      <c r="G823" s="18">
        <f>E823* 0.999051233396584</f>
        <v>0</v>
      </c>
      <c r="H823" s="18">
        <v>0</v>
      </c>
    </row>
    <row r="824" spans="1:8" ht="15.75" hidden="1" customHeight="1" x14ac:dyDescent="0.25">
      <c r="A824" s="15" t="s">
        <v>105</v>
      </c>
      <c r="B824" s="11" t="s">
        <v>114</v>
      </c>
      <c r="C824" s="15"/>
      <c r="D824" s="16" t="s">
        <v>12</v>
      </c>
      <c r="E824" s="17">
        <v>663</v>
      </c>
      <c r="F824" s="18">
        <f>E824* 0.843786808009423</f>
        <v>559.43065371024738</v>
      </c>
      <c r="G824" s="18">
        <f>E824* 0.0740675304279545</f>
        <v>49.106772673733829</v>
      </c>
      <c r="H824" s="18">
        <f>E824* 0.0820965842167256</f>
        <v>54.43003533568907</v>
      </c>
    </row>
    <row r="825" spans="1:8" ht="15.75" hidden="1" customHeight="1" x14ac:dyDescent="0.25">
      <c r="A825" s="15" t="s">
        <v>105</v>
      </c>
      <c r="B825" s="8"/>
      <c r="C825" s="8"/>
      <c r="D825" s="9"/>
      <c r="E825" s="19"/>
    </row>
    <row r="826" spans="1:8" ht="15.75" hidden="1" customHeight="1" x14ac:dyDescent="0.25">
      <c r="A826" s="15" t="s">
        <v>105</v>
      </c>
      <c r="B826" s="11" t="s">
        <v>116</v>
      </c>
      <c r="C826" s="12" t="str">
        <f>B826&amp;"_"&amp;A826</f>
        <v>Cliza_Cochabamba</v>
      </c>
      <c r="E826" s="22">
        <v>2086</v>
      </c>
      <c r="F826" s="14">
        <f t="shared" ref="F826:H826" si="87">SUM(F827:F839)</f>
        <v>1617.3626275024071</v>
      </c>
      <c r="G826" s="14">
        <f t="shared" si="87"/>
        <v>352.15320559959889</v>
      </c>
      <c r="H826" s="14">
        <f t="shared" si="87"/>
        <v>116.28590518393833</v>
      </c>
    </row>
    <row r="827" spans="1:8" ht="15.75" hidden="1" customHeight="1" x14ac:dyDescent="0.25">
      <c r="A827" s="15" t="s">
        <v>105</v>
      </c>
      <c r="B827" s="11" t="s">
        <v>116</v>
      </c>
      <c r="C827" s="15"/>
      <c r="D827" s="16" t="s">
        <v>14</v>
      </c>
      <c r="E827" s="17">
        <v>0</v>
      </c>
      <c r="F827" s="20">
        <v>0</v>
      </c>
      <c r="G827" s="20">
        <f>E827</f>
        <v>0</v>
      </c>
      <c r="H827" s="20">
        <v>0</v>
      </c>
    </row>
    <row r="828" spans="1:8" ht="15.75" hidden="1" customHeight="1" x14ac:dyDescent="0.25">
      <c r="A828" s="15" t="s">
        <v>105</v>
      </c>
      <c r="B828" s="11" t="s">
        <v>116</v>
      </c>
      <c r="C828" s="15"/>
      <c r="D828" s="16" t="s">
        <v>15</v>
      </c>
      <c r="E828" s="17">
        <v>578</v>
      </c>
      <c r="F828" s="18">
        <f>E828* 0.932775698199239</f>
        <v>539.14435355916009</v>
      </c>
      <c r="G828" s="18">
        <f>E828* 0.00808724987291465</f>
        <v>4.6744304265446672</v>
      </c>
      <c r="H828" s="18">
        <f>E828*0.0590600305004852</f>
        <v>34.136697629280448</v>
      </c>
    </row>
    <row r="829" spans="1:8" ht="15.75" hidden="1" customHeight="1" x14ac:dyDescent="0.25">
      <c r="A829" s="15" t="s">
        <v>105</v>
      </c>
      <c r="B829" s="11" t="s">
        <v>116</v>
      </c>
      <c r="C829" s="15"/>
      <c r="D829" s="16" t="s">
        <v>16</v>
      </c>
      <c r="E829" s="17">
        <v>4</v>
      </c>
      <c r="F829" s="18">
        <f>E829* 0.0803212851405623</f>
        <v>0.32128514056224922</v>
      </c>
      <c r="G829" s="18">
        <f>E829* 0.913367756741251</f>
        <v>3.6534710269650041</v>
      </c>
      <c r="H829" s="18">
        <f>E829* 0.0057372346528973</f>
        <v>2.2948938611589201E-2</v>
      </c>
    </row>
    <row r="830" spans="1:8" ht="15.75" hidden="1" customHeight="1" x14ac:dyDescent="0.25">
      <c r="A830" s="15" t="s">
        <v>105</v>
      </c>
      <c r="B830" s="11" t="s">
        <v>116</v>
      </c>
      <c r="C830" s="15"/>
      <c r="D830" s="16" t="s">
        <v>11</v>
      </c>
      <c r="E830" s="17">
        <v>250</v>
      </c>
      <c r="F830" s="18">
        <f>E830* 0.150611071171819</f>
        <v>37.652767792954748</v>
      </c>
      <c r="G830" s="18">
        <f>E830* 0.847699496764917</f>
        <v>211.92487419122924</v>
      </c>
      <c r="H830" s="18">
        <f>E830* 0.00136592379583034</f>
        <v>0.34148094895758502</v>
      </c>
    </row>
    <row r="831" spans="1:8" ht="15.75" hidden="1" customHeight="1" x14ac:dyDescent="0.25">
      <c r="A831" s="15" t="s">
        <v>105</v>
      </c>
      <c r="B831" s="11" t="s">
        <v>116</v>
      </c>
      <c r="C831" s="15"/>
      <c r="D831" s="16" t="s">
        <v>17</v>
      </c>
      <c r="E831" s="17">
        <v>222</v>
      </c>
      <c r="F831" s="18">
        <f>E831* 0.840430229624022</f>
        <v>186.57551097653288</v>
      </c>
      <c r="G831" s="18">
        <f>E831* 0.0777504415846581</f>
        <v>17.2605980317941</v>
      </c>
      <c r="H831" s="18">
        <f>E831* 0.0817877870300278</f>
        <v>18.156888720666171</v>
      </c>
    </row>
    <row r="832" spans="1:8" ht="15.75" hidden="1" customHeight="1" x14ac:dyDescent="0.25">
      <c r="A832" s="15" t="s">
        <v>105</v>
      </c>
      <c r="B832" s="11" t="s">
        <v>116</v>
      </c>
      <c r="C832" s="15"/>
      <c r="D832" s="16" t="s">
        <v>31</v>
      </c>
      <c r="E832" s="17">
        <v>10</v>
      </c>
      <c r="F832" s="18">
        <f>E832* 0.901975683890578</f>
        <v>9.0197568389057796</v>
      </c>
      <c r="G832" s="18">
        <f>E832* 0.0364741641337386</f>
        <v>0.36474164133738601</v>
      </c>
      <c r="H832" s="18">
        <f>E832* 0.0615501519756839</f>
        <v>0.61550151975683898</v>
      </c>
    </row>
    <row r="833" spans="1:8" ht="15.75" hidden="1" customHeight="1" x14ac:dyDescent="0.25">
      <c r="A833" s="15" t="s">
        <v>105</v>
      </c>
      <c r="B833" s="11" t="s">
        <v>116</v>
      </c>
      <c r="C833" s="15"/>
      <c r="D833" s="16" t="s">
        <v>18</v>
      </c>
      <c r="E833" s="17">
        <v>27</v>
      </c>
      <c r="F833" s="18">
        <f>E833* 0.932934264493959</f>
        <v>25.189225141336895</v>
      </c>
      <c r="G833" s="18">
        <f>E833* 0.0585300964416362</f>
        <v>1.5803126039241773</v>
      </c>
      <c r="H833" s="18">
        <f>E833* 0.00853563906440528</f>
        <v>0.23046225473894258</v>
      </c>
    </row>
    <row r="834" spans="1:8" ht="15.75" hidden="1" customHeight="1" x14ac:dyDescent="0.25">
      <c r="A834" s="15" t="s">
        <v>105</v>
      </c>
      <c r="B834" s="11" t="s">
        <v>116</v>
      </c>
      <c r="C834" s="15"/>
      <c r="D834" s="16" t="s">
        <v>19</v>
      </c>
      <c r="E834" s="17">
        <v>47</v>
      </c>
      <c r="F834" s="18">
        <f>E834* 0.290681971640783</f>
        <v>13.662052667116802</v>
      </c>
      <c r="G834" s="18">
        <f>E834* 0.694125590817016</f>
        <v>32.623902768399752</v>
      </c>
      <c r="H834" s="18">
        <f>E834* 0.0151924375422012</f>
        <v>0.71404456448345643</v>
      </c>
    </row>
    <row r="835" spans="1:8" ht="15.75" hidden="1" customHeight="1" x14ac:dyDescent="0.25">
      <c r="A835" s="15" t="s">
        <v>105</v>
      </c>
      <c r="B835" s="11" t="s">
        <v>116</v>
      </c>
      <c r="C835" s="15"/>
      <c r="D835" s="16" t="s">
        <v>20</v>
      </c>
      <c r="E835" s="17">
        <v>67</v>
      </c>
      <c r="F835" s="18">
        <f>E835* 0.686268801552644</f>
        <v>45.980009704027147</v>
      </c>
      <c r="G835" s="18">
        <f>E835* 0.196991751576904</f>
        <v>13.198447355652567</v>
      </c>
      <c r="H835" s="18">
        <f>E835* 0.116642406598738</f>
        <v>7.8150412421154458</v>
      </c>
    </row>
    <row r="836" spans="1:8" ht="15.75" hidden="1" customHeight="1" x14ac:dyDescent="0.25">
      <c r="A836" s="15" t="s">
        <v>105</v>
      </c>
      <c r="B836" s="11" t="s">
        <v>116</v>
      </c>
      <c r="C836" s="15"/>
      <c r="D836" s="16" t="s">
        <v>21</v>
      </c>
      <c r="E836" s="17">
        <v>203</v>
      </c>
      <c r="F836" s="18">
        <f>E836* 0.999513766486355</f>
        <v>202.90129459673008</v>
      </c>
      <c r="G836" s="18">
        <f>E836* 0.0000243116756822464</f>
        <v>4.9352701634960191E-3</v>
      </c>
      <c r="H836" s="18">
        <f>E836* 0.00034036345955145</f>
        <v>6.9093782288944347E-2</v>
      </c>
    </row>
    <row r="837" spans="1:8" ht="15.75" hidden="1" customHeight="1" x14ac:dyDescent="0.25">
      <c r="A837" s="15" t="s">
        <v>105</v>
      </c>
      <c r="B837" s="11" t="s">
        <v>116</v>
      </c>
      <c r="C837" s="15"/>
      <c r="D837" s="16" t="s">
        <v>37</v>
      </c>
      <c r="E837" s="17">
        <v>0</v>
      </c>
      <c r="F837" s="20">
        <v>0</v>
      </c>
      <c r="G837" s="20">
        <f>E837</f>
        <v>0</v>
      </c>
      <c r="H837" s="20">
        <v>0</v>
      </c>
    </row>
    <row r="838" spans="1:8" ht="15.75" hidden="1" customHeight="1" x14ac:dyDescent="0.25">
      <c r="A838" s="15" t="s">
        <v>105</v>
      </c>
      <c r="B838" s="11" t="s">
        <v>116</v>
      </c>
      <c r="C838" s="15"/>
      <c r="D838" s="16" t="s">
        <v>28</v>
      </c>
      <c r="E838" s="17">
        <v>18</v>
      </c>
      <c r="F838" s="18">
        <f>E838* 0.00094876660341556</f>
        <v>1.707779886148008E-2</v>
      </c>
      <c r="G838" s="18">
        <f>E838* 0.999051233396584</f>
        <v>17.982922201138511</v>
      </c>
      <c r="H838" s="18">
        <v>0</v>
      </c>
    </row>
    <row r="839" spans="1:8" ht="15.75" hidden="1" customHeight="1" x14ac:dyDescent="0.25">
      <c r="A839" s="15" t="s">
        <v>105</v>
      </c>
      <c r="B839" s="11" t="s">
        <v>116</v>
      </c>
      <c r="C839" s="15"/>
      <c r="D839" s="16" t="s">
        <v>12</v>
      </c>
      <c r="E839" s="17">
        <v>660</v>
      </c>
      <c r="F839" s="18">
        <f>E839* 0.843786808009423</f>
        <v>556.89929328621918</v>
      </c>
      <c r="G839" s="18">
        <f>E839* 0.0740675304279545</f>
        <v>48.884570082449969</v>
      </c>
      <c r="H839" s="18">
        <f>E839* 0.0820965842167256</f>
        <v>54.183745583038892</v>
      </c>
    </row>
    <row r="840" spans="1:8" ht="15.75" hidden="1" customHeight="1" x14ac:dyDescent="0.25">
      <c r="A840" s="15" t="s">
        <v>105</v>
      </c>
      <c r="B840" s="8"/>
      <c r="C840" s="8"/>
      <c r="D840" s="9"/>
      <c r="E840" s="19"/>
    </row>
    <row r="841" spans="1:8" ht="15.75" hidden="1" customHeight="1" x14ac:dyDescent="0.25">
      <c r="A841" s="15" t="s">
        <v>105</v>
      </c>
      <c r="B841" s="11" t="s">
        <v>117</v>
      </c>
      <c r="C841" s="12" t="str">
        <f>B841&amp;"_"&amp;A841</f>
        <v>Cocapata_Cochabamba</v>
      </c>
      <c r="E841" s="13">
        <v>302</v>
      </c>
      <c r="F841" s="14">
        <f t="shared" ref="F841:H841" si="88">SUM(F842:F853)</f>
        <v>242.72147921606123</v>
      </c>
      <c r="G841" s="14">
        <f t="shared" si="88"/>
        <v>51.573748765124989</v>
      </c>
      <c r="H841" s="14">
        <f t="shared" si="88"/>
        <v>7.6698242025468826</v>
      </c>
    </row>
    <row r="842" spans="1:8" ht="15.75" hidden="1" customHeight="1" x14ac:dyDescent="0.25">
      <c r="A842" s="15" t="s">
        <v>105</v>
      </c>
      <c r="B842" s="11" t="s">
        <v>117</v>
      </c>
      <c r="C842" s="15"/>
      <c r="D842" s="16" t="s">
        <v>14</v>
      </c>
      <c r="E842" s="17">
        <v>0</v>
      </c>
      <c r="F842" s="20">
        <v>0</v>
      </c>
      <c r="G842" s="20">
        <f>E842</f>
        <v>0</v>
      </c>
      <c r="H842" s="20">
        <v>0</v>
      </c>
    </row>
    <row r="843" spans="1:8" ht="15.75" hidden="1" customHeight="1" x14ac:dyDescent="0.25">
      <c r="A843" s="15" t="s">
        <v>105</v>
      </c>
      <c r="B843" s="11" t="s">
        <v>117</v>
      </c>
      <c r="C843" s="15"/>
      <c r="D843" s="16" t="s">
        <v>15</v>
      </c>
      <c r="E843" s="17">
        <v>6</v>
      </c>
      <c r="F843" s="18">
        <f>E843* 0.932775698199239</f>
        <v>5.5966541891954336</v>
      </c>
      <c r="G843" s="18">
        <f>E843* 0.00808724987291465</f>
        <v>4.8523499237487902E-2</v>
      </c>
      <c r="H843" s="18">
        <f>E843*0.0590600305004852</f>
        <v>0.35436018300291122</v>
      </c>
    </row>
    <row r="844" spans="1:8" ht="15.75" hidden="1" customHeight="1" x14ac:dyDescent="0.25">
      <c r="A844" s="15" t="s">
        <v>105</v>
      </c>
      <c r="B844" s="11" t="s">
        <v>117</v>
      </c>
      <c r="C844" s="15"/>
      <c r="D844" s="16" t="s">
        <v>16</v>
      </c>
      <c r="E844" s="17">
        <v>3</v>
      </c>
      <c r="F844" s="18">
        <f>E844* 0.0803212851405623</f>
        <v>0.24096385542168691</v>
      </c>
      <c r="G844" s="18">
        <f>E844* 0.913367756741251</f>
        <v>2.7401032702237531</v>
      </c>
      <c r="H844" s="18">
        <f>E844* 0.0057372346528973</f>
        <v>1.7211703958691902E-2</v>
      </c>
    </row>
    <row r="845" spans="1:8" ht="15.75" hidden="1" customHeight="1" x14ac:dyDescent="0.25">
      <c r="A845" s="15" t="s">
        <v>105</v>
      </c>
      <c r="B845" s="11" t="s">
        <v>117</v>
      </c>
      <c r="C845" s="15"/>
      <c r="D845" s="16" t="s">
        <v>11</v>
      </c>
      <c r="E845" s="17">
        <v>29</v>
      </c>
      <c r="F845" s="18">
        <f>E845* 0.150611071171819</f>
        <v>4.3677210639827511</v>
      </c>
      <c r="G845" s="18">
        <f>E845* 0.847699496764917</f>
        <v>24.583285406182593</v>
      </c>
      <c r="H845" s="18">
        <f>E845* 0.00136592379583034</f>
        <v>3.9611790079079862E-2</v>
      </c>
    </row>
    <row r="846" spans="1:8" ht="15.75" hidden="1" customHeight="1" x14ac:dyDescent="0.25">
      <c r="A846" s="15" t="s">
        <v>105</v>
      </c>
      <c r="B846" s="11" t="s">
        <v>117</v>
      </c>
      <c r="C846" s="15"/>
      <c r="D846" s="16" t="s">
        <v>17</v>
      </c>
      <c r="E846" s="17">
        <v>16</v>
      </c>
      <c r="F846" s="18">
        <f>E846* 0.840430229624022</f>
        <v>13.446883673984352</v>
      </c>
      <c r="G846" s="18">
        <f>E846* 0.0777504415846581</f>
        <v>1.2440070653545297</v>
      </c>
      <c r="H846" s="18">
        <f>E846* 0.0817877870300278</f>
        <v>1.3086045924804448</v>
      </c>
    </row>
    <row r="847" spans="1:8" ht="15.75" hidden="1" customHeight="1" x14ac:dyDescent="0.25">
      <c r="A847" s="15" t="s">
        <v>105</v>
      </c>
      <c r="B847" s="11" t="s">
        <v>117</v>
      </c>
      <c r="C847" s="15"/>
      <c r="D847" s="16" t="s">
        <v>31</v>
      </c>
      <c r="E847" s="17">
        <v>1</v>
      </c>
      <c r="F847" s="18">
        <f>E847* 0.901975683890578</f>
        <v>0.90197568389057803</v>
      </c>
      <c r="G847" s="18">
        <f>E847* 0.0364741641337386</f>
        <v>3.64741641337386E-2</v>
      </c>
      <c r="H847" s="18">
        <f>E847* 0.0615501519756839</f>
        <v>6.1550151975683899E-2</v>
      </c>
    </row>
    <row r="848" spans="1:8" ht="15.75" hidden="1" customHeight="1" x14ac:dyDescent="0.25">
      <c r="A848" s="15" t="s">
        <v>105</v>
      </c>
      <c r="B848" s="11" t="s">
        <v>117</v>
      </c>
      <c r="C848" s="15"/>
      <c r="D848" s="16" t="s">
        <v>18</v>
      </c>
      <c r="E848" s="17">
        <v>5</v>
      </c>
      <c r="F848" s="18">
        <f>E848* 0.932934264493959</f>
        <v>4.6646713224697951</v>
      </c>
      <c r="G848" s="18">
        <f>E848* 0.0585300964416362</f>
        <v>0.29265048220818096</v>
      </c>
      <c r="H848" s="18">
        <f>E848* 0.00853563906440528</f>
        <v>4.2678195322026408E-2</v>
      </c>
    </row>
    <row r="849" spans="1:8" ht="15.75" hidden="1" customHeight="1" x14ac:dyDescent="0.25">
      <c r="A849" s="15" t="s">
        <v>105</v>
      </c>
      <c r="B849" s="11" t="s">
        <v>117</v>
      </c>
      <c r="C849" s="15"/>
      <c r="D849" s="16" t="s">
        <v>19</v>
      </c>
      <c r="E849" s="17">
        <v>1</v>
      </c>
      <c r="F849" s="18">
        <f>E849* 0.290681971640783</f>
        <v>0.29068197164078302</v>
      </c>
      <c r="G849" s="18">
        <f>E849* 0.694125590817016</f>
        <v>0.69412559081701597</v>
      </c>
      <c r="H849" s="18">
        <f>E849* 0.0151924375422012</f>
        <v>1.51924375422012E-2</v>
      </c>
    </row>
    <row r="850" spans="1:8" ht="15.75" hidden="1" customHeight="1" x14ac:dyDescent="0.25">
      <c r="A850" s="15" t="s">
        <v>105</v>
      </c>
      <c r="B850" s="11" t="s">
        <v>117</v>
      </c>
      <c r="C850" s="15"/>
      <c r="D850" s="16" t="s">
        <v>20</v>
      </c>
      <c r="E850" s="17">
        <v>8</v>
      </c>
      <c r="F850" s="18">
        <f>E850* 0.686268801552644</f>
        <v>5.4901504124211522</v>
      </c>
      <c r="G850" s="18">
        <f>E850* 0.196991751576904</f>
        <v>1.5759340126152319</v>
      </c>
      <c r="H850" s="18">
        <f>E850* 0.116642406598738</f>
        <v>0.93313925278990395</v>
      </c>
    </row>
    <row r="851" spans="1:8" ht="15.75" hidden="1" customHeight="1" x14ac:dyDescent="0.25">
      <c r="A851" s="15" t="s">
        <v>105</v>
      </c>
      <c r="B851" s="11" t="s">
        <v>117</v>
      </c>
      <c r="C851" s="15"/>
      <c r="D851" s="16" t="s">
        <v>21</v>
      </c>
      <c r="E851" s="17">
        <v>158</v>
      </c>
      <c r="F851" s="18">
        <f>E851* 0.999513766486355</f>
        <v>157.92317510484409</v>
      </c>
      <c r="G851" s="18">
        <f>E851* 0.0000243116756822464</f>
        <v>3.8412447577949311E-3</v>
      </c>
      <c r="H851" s="18">
        <f>E851* 0.00034036345955145</f>
        <v>5.3777426609129098E-2</v>
      </c>
    </row>
    <row r="852" spans="1:8" ht="15.75" hidden="1" customHeight="1" x14ac:dyDescent="0.25">
      <c r="A852" s="15" t="s">
        <v>105</v>
      </c>
      <c r="B852" s="11" t="s">
        <v>117</v>
      </c>
      <c r="C852" s="15"/>
      <c r="D852" s="16" t="s">
        <v>28</v>
      </c>
      <c r="E852" s="17">
        <v>16</v>
      </c>
      <c r="F852" s="18">
        <f>E852* 0.00094876660341556</f>
        <v>1.518026565464896E-2</v>
      </c>
      <c r="G852" s="18">
        <f>E852* 0.999051233396584</f>
        <v>15.984819734345344</v>
      </c>
      <c r="H852" s="18">
        <v>0</v>
      </c>
    </row>
    <row r="853" spans="1:8" ht="15.75" hidden="1" customHeight="1" x14ac:dyDescent="0.25">
      <c r="A853" s="15" t="s">
        <v>105</v>
      </c>
      <c r="B853" s="11" t="s">
        <v>117</v>
      </c>
      <c r="C853" s="15"/>
      <c r="D853" s="16" t="s">
        <v>12</v>
      </c>
      <c r="E853" s="17">
        <v>59</v>
      </c>
      <c r="F853" s="18">
        <f>E853* 0.843786808009423</f>
        <v>49.783421672555953</v>
      </c>
      <c r="G853" s="18">
        <f>E853* 0.0740675304279545</f>
        <v>4.3699842952493153</v>
      </c>
      <c r="H853" s="18">
        <f>E853* 0.0820965842167256</f>
        <v>4.8436984687868101</v>
      </c>
    </row>
    <row r="854" spans="1:8" ht="15.75" hidden="1" customHeight="1" x14ac:dyDescent="0.25">
      <c r="A854" s="15" t="s">
        <v>105</v>
      </c>
      <c r="B854" s="8"/>
      <c r="C854" s="8"/>
      <c r="D854" s="9"/>
      <c r="E854" s="19"/>
    </row>
    <row r="855" spans="1:8" ht="15.75" hidden="1" customHeight="1" x14ac:dyDescent="0.25">
      <c r="A855" s="15" t="s">
        <v>105</v>
      </c>
      <c r="B855" s="11" t="s">
        <v>105</v>
      </c>
      <c r="C855" s="12" t="str">
        <f>B855&amp;"_"&amp;A855</f>
        <v>Cochabamba_Cochabamba</v>
      </c>
      <c r="E855" s="22">
        <v>205083</v>
      </c>
      <c r="F855" s="14">
        <f t="shared" ref="F855:H855" si="89">SUM(F856:F871)</f>
        <v>177329.29792583812</v>
      </c>
      <c r="G855" s="14">
        <f t="shared" si="89"/>
        <v>18242.619154566921</v>
      </c>
      <c r="H855" s="14">
        <f t="shared" si="89"/>
        <v>9492.9780605712331</v>
      </c>
    </row>
    <row r="856" spans="1:8" ht="15.75" hidden="1" customHeight="1" x14ac:dyDescent="0.25">
      <c r="A856" s="15" t="s">
        <v>105</v>
      </c>
      <c r="B856" s="11" t="s">
        <v>105</v>
      </c>
      <c r="C856" s="15"/>
      <c r="D856" s="16" t="s">
        <v>14</v>
      </c>
      <c r="E856" s="17">
        <v>0</v>
      </c>
      <c r="F856" s="20">
        <v>0</v>
      </c>
      <c r="G856" s="20">
        <f>E856</f>
        <v>0</v>
      </c>
      <c r="H856" s="20">
        <v>0</v>
      </c>
    </row>
    <row r="857" spans="1:8" ht="15.75" hidden="1" customHeight="1" x14ac:dyDescent="0.25">
      <c r="A857" s="15" t="s">
        <v>105</v>
      </c>
      <c r="B857" s="11" t="s">
        <v>105</v>
      </c>
      <c r="C857" s="15"/>
      <c r="D857" s="16" t="s">
        <v>15</v>
      </c>
      <c r="E857" s="23">
        <v>45613</v>
      </c>
      <c r="F857" s="18">
        <f>E857* 0.932775698199239</f>
        <v>42546.697921961888</v>
      </c>
      <c r="G857" s="18">
        <f>E857* 0.00808724987291465</f>
        <v>368.88372845325591</v>
      </c>
      <c r="H857" s="18">
        <f>E857*0.0590600305004852</f>
        <v>2693.9051712186315</v>
      </c>
    </row>
    <row r="858" spans="1:8" ht="15.75" hidden="1" customHeight="1" x14ac:dyDescent="0.25">
      <c r="A858" s="15" t="s">
        <v>105</v>
      </c>
      <c r="B858" s="11" t="s">
        <v>105</v>
      </c>
      <c r="C858" s="15"/>
      <c r="D858" s="16" t="s">
        <v>16</v>
      </c>
      <c r="E858" s="17">
        <v>745</v>
      </c>
      <c r="F858" s="18">
        <f>E858* 0.0803212851405623</f>
        <v>59.839357429718916</v>
      </c>
      <c r="G858" s="18">
        <f>E858* 0.913367756741251</f>
        <v>680.45897877223206</v>
      </c>
      <c r="H858" s="18">
        <f>E858* 0.0057372346528973</f>
        <v>4.2742398164084889</v>
      </c>
    </row>
    <row r="859" spans="1:8" ht="15.75" hidden="1" customHeight="1" x14ac:dyDescent="0.25">
      <c r="A859" s="15" t="s">
        <v>105</v>
      </c>
      <c r="B859" s="11" t="s">
        <v>105</v>
      </c>
      <c r="C859" s="15"/>
      <c r="D859" s="16" t="s">
        <v>11</v>
      </c>
      <c r="E859" s="23">
        <v>10083</v>
      </c>
      <c r="F859" s="18">
        <f>E859* 0.150611071171819</f>
        <v>1518.6114306254508</v>
      </c>
      <c r="G859" s="18">
        <f>E859* 0.847699496764917</f>
        <v>8547.354025880657</v>
      </c>
      <c r="H859" s="18">
        <f>E859* 0.00136592379583034</f>
        <v>13.772609633357318</v>
      </c>
    </row>
    <row r="860" spans="1:8" ht="15.75" hidden="1" customHeight="1" x14ac:dyDescent="0.25">
      <c r="A860" s="15" t="s">
        <v>105</v>
      </c>
      <c r="B860" s="11" t="s">
        <v>105</v>
      </c>
      <c r="C860" s="15"/>
      <c r="D860" s="16" t="s">
        <v>17</v>
      </c>
      <c r="E860" s="23">
        <v>20143</v>
      </c>
      <c r="F860" s="18">
        <f>E860* 0.840430229624022</f>
        <v>16928.786115316674</v>
      </c>
      <c r="G860" s="18">
        <f>E860* 0.0777504415846581</f>
        <v>1566.1271448397681</v>
      </c>
      <c r="H860" s="18">
        <f>E860* 0.0817877870300278</f>
        <v>1647.4513941458499</v>
      </c>
    </row>
    <row r="861" spans="1:8" ht="15.75" hidden="1" customHeight="1" x14ac:dyDescent="0.25">
      <c r="A861" s="15" t="s">
        <v>105</v>
      </c>
      <c r="B861" s="11" t="s">
        <v>105</v>
      </c>
      <c r="C861" s="15"/>
      <c r="D861" s="16" t="s">
        <v>31</v>
      </c>
      <c r="E861" s="17">
        <v>888</v>
      </c>
      <c r="F861" s="18">
        <f>E861* 0.901975683890578</f>
        <v>800.95440729483335</v>
      </c>
      <c r="G861" s="18">
        <f>E861* 0.0364741641337386</f>
        <v>32.389057750759875</v>
      </c>
      <c r="H861" s="18">
        <f>E861* 0.0615501519756839</f>
        <v>54.656534954407306</v>
      </c>
    </row>
    <row r="862" spans="1:8" ht="15.75" hidden="1" customHeight="1" x14ac:dyDescent="0.25">
      <c r="A862" s="15" t="s">
        <v>105</v>
      </c>
      <c r="B862" s="11" t="s">
        <v>105</v>
      </c>
      <c r="C862" s="15"/>
      <c r="D862" s="16" t="s">
        <v>18</v>
      </c>
      <c r="E862" s="23">
        <v>6642</v>
      </c>
      <c r="F862" s="18">
        <f>E862* 0.932934264493959</f>
        <v>6196.5493847688758</v>
      </c>
      <c r="G862" s="18">
        <f>E862* 0.0585300964416362</f>
        <v>388.75690056534762</v>
      </c>
      <c r="H862" s="18">
        <f>E862* 0.00853563906440528</f>
        <v>56.693714665779872</v>
      </c>
    </row>
    <row r="863" spans="1:8" ht="15.75" hidden="1" customHeight="1" x14ac:dyDescent="0.25">
      <c r="A863" s="15" t="s">
        <v>105</v>
      </c>
      <c r="B863" s="11" t="s">
        <v>105</v>
      </c>
      <c r="C863" s="15"/>
      <c r="D863" s="16" t="s">
        <v>35</v>
      </c>
      <c r="E863" s="17">
        <v>0</v>
      </c>
      <c r="F863" s="20">
        <v>0</v>
      </c>
      <c r="G863" s="20">
        <f>E863</f>
        <v>0</v>
      </c>
      <c r="H863" s="20">
        <v>0</v>
      </c>
    </row>
    <row r="864" spans="1:8" ht="15.75" hidden="1" customHeight="1" x14ac:dyDescent="0.25">
      <c r="A864" s="15" t="s">
        <v>105</v>
      </c>
      <c r="B864" s="11" t="s">
        <v>105</v>
      </c>
      <c r="C864" s="15"/>
      <c r="D864" s="16" t="s">
        <v>19</v>
      </c>
      <c r="E864" s="23">
        <v>1540</v>
      </c>
      <c r="F864" s="18">
        <f>E864* 0.290681971640783</f>
        <v>447.65023632680584</v>
      </c>
      <c r="G864" s="18">
        <f>E864* 0.694125590817016</f>
        <v>1068.9534098582046</v>
      </c>
      <c r="H864" s="18">
        <f>E864* 0.0151924375422012</f>
        <v>23.396353814989848</v>
      </c>
    </row>
    <row r="865" spans="1:8" ht="15.75" hidden="1" customHeight="1" x14ac:dyDescent="0.25">
      <c r="A865" s="15" t="s">
        <v>105</v>
      </c>
      <c r="B865" s="11" t="s">
        <v>105</v>
      </c>
      <c r="C865" s="15"/>
      <c r="D865" s="16" t="s">
        <v>20</v>
      </c>
      <c r="E865" s="23">
        <v>3370</v>
      </c>
      <c r="F865" s="18">
        <f>E865* 0.686268801552644</f>
        <v>2312.7258612324104</v>
      </c>
      <c r="G865" s="18">
        <f>E865* 0.196991751576904</f>
        <v>663.86220281416649</v>
      </c>
      <c r="H865" s="18">
        <f>E865* 0.116642406598738</f>
        <v>393.08491023774707</v>
      </c>
    </row>
    <row r="866" spans="1:8" ht="15.75" hidden="1" customHeight="1" x14ac:dyDescent="0.25">
      <c r="A866" s="15" t="s">
        <v>105</v>
      </c>
      <c r="B866" s="11" t="s">
        <v>105</v>
      </c>
      <c r="C866" s="15"/>
      <c r="D866" s="16" t="s">
        <v>21</v>
      </c>
      <c r="E866" s="23">
        <v>59220</v>
      </c>
      <c r="F866" s="18">
        <f>E866* 0.999513766486355</f>
        <v>59191.205251321946</v>
      </c>
      <c r="G866" s="18">
        <f>E866* 0.0000243116756822464</f>
        <v>1.4397374339026316</v>
      </c>
      <c r="H866" s="18">
        <f>E866* 0.00034036345955145</f>
        <v>20.156324074636871</v>
      </c>
    </row>
    <row r="867" spans="1:8" ht="15.75" hidden="1" customHeight="1" x14ac:dyDescent="0.25">
      <c r="A867" s="15" t="s">
        <v>105</v>
      </c>
      <c r="B867" s="11" t="s">
        <v>105</v>
      </c>
      <c r="C867" s="15"/>
      <c r="D867" s="16" t="s">
        <v>36</v>
      </c>
      <c r="E867" s="17">
        <v>195</v>
      </c>
      <c r="F867" s="20">
        <f>E867</f>
        <v>195</v>
      </c>
      <c r="G867" s="20">
        <v>0</v>
      </c>
      <c r="H867" s="20">
        <v>0</v>
      </c>
    </row>
    <row r="868" spans="1:8" ht="15.75" hidden="1" customHeight="1" x14ac:dyDescent="0.25">
      <c r="A868" s="15" t="s">
        <v>105</v>
      </c>
      <c r="B868" s="11" t="s">
        <v>105</v>
      </c>
      <c r="C868" s="15"/>
      <c r="D868" s="16" t="s">
        <v>37</v>
      </c>
      <c r="E868" s="17">
        <v>16</v>
      </c>
      <c r="F868" s="20">
        <v>0</v>
      </c>
      <c r="G868" s="20">
        <f>E868</f>
        <v>16</v>
      </c>
      <c r="H868" s="20">
        <v>0</v>
      </c>
    </row>
    <row r="869" spans="1:8" ht="15.75" hidden="1" customHeight="1" x14ac:dyDescent="0.25">
      <c r="A869" s="15" t="s">
        <v>105</v>
      </c>
      <c r="B869" s="11" t="s">
        <v>105</v>
      </c>
      <c r="C869" s="15"/>
      <c r="D869" s="16" t="s">
        <v>28</v>
      </c>
      <c r="E869" s="17">
        <v>761</v>
      </c>
      <c r="F869" s="18">
        <f>E869* 0.00094876660341556</f>
        <v>0.72201138519924113</v>
      </c>
      <c r="G869" s="18">
        <f>E869* 0.999051233396584</f>
        <v>760.27798861480039</v>
      </c>
      <c r="H869" s="18">
        <v>0</v>
      </c>
    </row>
    <row r="870" spans="1:8" ht="15.75" hidden="1" customHeight="1" x14ac:dyDescent="0.25">
      <c r="A870" s="15" t="s">
        <v>105</v>
      </c>
      <c r="B870" s="11" t="s">
        <v>105</v>
      </c>
      <c r="C870" s="15"/>
      <c r="D870" s="16" t="s">
        <v>84</v>
      </c>
      <c r="E870" s="17">
        <v>11</v>
      </c>
      <c r="F870" s="20">
        <v>0</v>
      </c>
      <c r="G870" s="20">
        <f>E870</f>
        <v>11</v>
      </c>
      <c r="H870" s="20">
        <v>0</v>
      </c>
    </row>
    <row r="871" spans="1:8" ht="15.75" hidden="1" customHeight="1" x14ac:dyDescent="0.25">
      <c r="A871" s="15" t="s">
        <v>105</v>
      </c>
      <c r="B871" s="11" t="s">
        <v>105</v>
      </c>
      <c r="C871" s="15"/>
      <c r="D871" s="16" t="s">
        <v>12</v>
      </c>
      <c r="E871" s="23">
        <v>55856</v>
      </c>
      <c r="F871" s="18">
        <f>E871* 0.843786808009423</f>
        <v>47130.555948174326</v>
      </c>
      <c r="G871" s="18">
        <f>E871* 0.0740675304279545</f>
        <v>4137.1159795838266</v>
      </c>
      <c r="H871" s="18">
        <f>E871* 0.0820965842167256</f>
        <v>4585.5868080094251</v>
      </c>
    </row>
    <row r="872" spans="1:8" ht="15.75" hidden="1" customHeight="1" x14ac:dyDescent="0.25">
      <c r="A872" s="15" t="s">
        <v>105</v>
      </c>
      <c r="B872" s="8"/>
      <c r="C872" s="8"/>
      <c r="D872" s="9"/>
      <c r="E872" s="19"/>
    </row>
    <row r="873" spans="1:8" ht="15.75" hidden="1" customHeight="1" x14ac:dyDescent="0.25">
      <c r="A873" s="15" t="s">
        <v>105</v>
      </c>
      <c r="B873" s="11" t="s">
        <v>118</v>
      </c>
      <c r="C873" s="12" t="str">
        <f>B873&amp;"_"&amp;A873</f>
        <v>Colcapirhua_Cochabamba</v>
      </c>
      <c r="E873" s="22">
        <v>7867</v>
      </c>
      <c r="F873" s="14">
        <f t="shared" ref="F873:H873" si="90">SUM(F874:F887)</f>
        <v>5840.4086878600192</v>
      </c>
      <c r="G873" s="14">
        <f t="shared" si="90"/>
        <v>1628.0493428926809</v>
      </c>
      <c r="H873" s="14">
        <f t="shared" si="90"/>
        <v>397.82963019968508</v>
      </c>
    </row>
    <row r="874" spans="1:8" ht="15.75" hidden="1" customHeight="1" x14ac:dyDescent="0.25">
      <c r="A874" s="15" t="s">
        <v>105</v>
      </c>
      <c r="B874" s="11" t="s">
        <v>118</v>
      </c>
      <c r="C874" s="15"/>
      <c r="D874" s="16" t="s">
        <v>14</v>
      </c>
      <c r="E874" s="17">
        <v>0</v>
      </c>
      <c r="F874" s="20">
        <v>0</v>
      </c>
      <c r="G874" s="20">
        <f>E874</f>
        <v>0</v>
      </c>
      <c r="H874" s="20">
        <v>0</v>
      </c>
    </row>
    <row r="875" spans="1:8" ht="15.75" hidden="1" customHeight="1" x14ac:dyDescent="0.25">
      <c r="A875" s="15" t="s">
        <v>105</v>
      </c>
      <c r="B875" s="11" t="s">
        <v>118</v>
      </c>
      <c r="C875" s="15"/>
      <c r="D875" s="16" t="s">
        <v>15</v>
      </c>
      <c r="E875" s="23">
        <v>1225</v>
      </c>
      <c r="F875" s="18">
        <f>E875* 0.932775698199239</f>
        <v>1142.6502302940678</v>
      </c>
      <c r="G875" s="18">
        <f>E875* 0.00808724987291465</f>
        <v>9.9068810943204468</v>
      </c>
      <c r="H875" s="18">
        <f>E875*0.0590600305004852</f>
        <v>72.348537363094366</v>
      </c>
    </row>
    <row r="876" spans="1:8" ht="15.75" hidden="1" customHeight="1" x14ac:dyDescent="0.25">
      <c r="A876" s="15" t="s">
        <v>105</v>
      </c>
      <c r="B876" s="11" t="s">
        <v>118</v>
      </c>
      <c r="C876" s="15"/>
      <c r="D876" s="16" t="s">
        <v>16</v>
      </c>
      <c r="E876" s="17">
        <v>36</v>
      </c>
      <c r="F876" s="18">
        <f>E876* 0.0803212851405623</f>
        <v>2.8915662650602432</v>
      </c>
      <c r="G876" s="18">
        <f>E876* 0.913367756741251</f>
        <v>32.881239242685041</v>
      </c>
      <c r="H876" s="18">
        <f>E876* 0.0057372346528973</f>
        <v>0.20654044750430281</v>
      </c>
    </row>
    <row r="877" spans="1:8" ht="15.75" hidden="1" customHeight="1" x14ac:dyDescent="0.25">
      <c r="A877" s="15" t="s">
        <v>105</v>
      </c>
      <c r="B877" s="11" t="s">
        <v>118</v>
      </c>
      <c r="C877" s="15"/>
      <c r="D877" s="16" t="s">
        <v>11</v>
      </c>
      <c r="E877" s="17">
        <v>820</v>
      </c>
      <c r="F877" s="18">
        <f>E877* 0.150611071171819</f>
        <v>123.50107836089157</v>
      </c>
      <c r="G877" s="18">
        <f>E877* 0.847699496764917</f>
        <v>695.11358734723194</v>
      </c>
      <c r="H877" s="18">
        <f>E877* 0.00136592379583034</f>
        <v>1.1200575125808787</v>
      </c>
    </row>
    <row r="878" spans="1:8" ht="15.75" hidden="1" customHeight="1" x14ac:dyDescent="0.25">
      <c r="A878" s="15" t="s">
        <v>105</v>
      </c>
      <c r="B878" s="11" t="s">
        <v>118</v>
      </c>
      <c r="C878" s="15"/>
      <c r="D878" s="16" t="s">
        <v>17</v>
      </c>
      <c r="E878" s="17">
        <v>829</v>
      </c>
      <c r="F878" s="18">
        <f>E878* 0.840430229624022</f>
        <v>696.71666035831424</v>
      </c>
      <c r="G878" s="18">
        <f>E878* 0.0777504415846581</f>
        <v>64.455116073681566</v>
      </c>
      <c r="H878" s="18">
        <f>E878* 0.0817877870300278</f>
        <v>67.802075447893046</v>
      </c>
    </row>
    <row r="879" spans="1:8" ht="15.75" hidden="1" customHeight="1" x14ac:dyDescent="0.25">
      <c r="A879" s="15" t="s">
        <v>105</v>
      </c>
      <c r="B879" s="11" t="s">
        <v>118</v>
      </c>
      <c r="C879" s="15"/>
      <c r="D879" s="16" t="s">
        <v>31</v>
      </c>
      <c r="E879" s="17">
        <v>30</v>
      </c>
      <c r="F879" s="18">
        <f>E879* 0.901975683890578</f>
        <v>27.059270516717341</v>
      </c>
      <c r="G879" s="18">
        <f>E879* 0.0364741641337386</f>
        <v>1.094224924012158</v>
      </c>
      <c r="H879" s="18">
        <f>E879* 0.0615501519756839</f>
        <v>1.8465045592705169</v>
      </c>
    </row>
    <row r="880" spans="1:8" ht="15.75" hidden="1" customHeight="1" x14ac:dyDescent="0.25">
      <c r="A880" s="15" t="s">
        <v>105</v>
      </c>
      <c r="B880" s="11" t="s">
        <v>118</v>
      </c>
      <c r="C880" s="15"/>
      <c r="D880" s="16" t="s">
        <v>18</v>
      </c>
      <c r="E880" s="17">
        <v>154</v>
      </c>
      <c r="F880" s="18">
        <f>E880* 0.932934264493959</f>
        <v>143.67187673206968</v>
      </c>
      <c r="G880" s="18">
        <f>E880* 0.0585300964416362</f>
        <v>9.0136348520119736</v>
      </c>
      <c r="H880" s="18">
        <f>E880* 0.00853563906440528</f>
        <v>1.3144884159184131</v>
      </c>
    </row>
    <row r="881" spans="1:8" ht="15.75" hidden="1" customHeight="1" x14ac:dyDescent="0.25">
      <c r="A881" s="15" t="s">
        <v>105</v>
      </c>
      <c r="B881" s="11" t="s">
        <v>118</v>
      </c>
      <c r="C881" s="15"/>
      <c r="D881" s="16" t="s">
        <v>19</v>
      </c>
      <c r="E881" s="17">
        <v>45</v>
      </c>
      <c r="F881" s="18">
        <f>E881* 0.290681971640783</f>
        <v>13.080688723835236</v>
      </c>
      <c r="G881" s="18">
        <f>E881* 0.694125590817016</f>
        <v>31.235651586765719</v>
      </c>
      <c r="H881" s="18">
        <f>E881* 0.0151924375422012</f>
        <v>0.68365968939905397</v>
      </c>
    </row>
    <row r="882" spans="1:8" ht="15.75" hidden="1" customHeight="1" x14ac:dyDescent="0.25">
      <c r="A882" s="15" t="s">
        <v>105</v>
      </c>
      <c r="B882" s="11" t="s">
        <v>118</v>
      </c>
      <c r="C882" s="15"/>
      <c r="D882" s="16" t="s">
        <v>20</v>
      </c>
      <c r="E882" s="17">
        <v>244</v>
      </c>
      <c r="F882" s="18">
        <f>E882* 0.686268801552644</f>
        <v>167.44958757884515</v>
      </c>
      <c r="G882" s="18">
        <f>E882* 0.196991751576904</f>
        <v>48.065987384764576</v>
      </c>
      <c r="H882" s="18">
        <f>E882* 0.116642406598738</f>
        <v>28.46074721009207</v>
      </c>
    </row>
    <row r="883" spans="1:8" ht="15.75" hidden="1" customHeight="1" x14ac:dyDescent="0.25">
      <c r="A883" s="15" t="s">
        <v>105</v>
      </c>
      <c r="B883" s="11" t="s">
        <v>118</v>
      </c>
      <c r="C883" s="15"/>
      <c r="D883" s="16" t="s">
        <v>21</v>
      </c>
      <c r="E883" s="23">
        <v>1222</v>
      </c>
      <c r="F883" s="18">
        <f>E883* 0.999513766486355</f>
        <v>1221.4058226463258</v>
      </c>
      <c r="G883" s="18">
        <f>E883* 0.0000243116756822464</f>
        <v>2.9708867683705099E-2</v>
      </c>
      <c r="H883" s="18">
        <f>E883* 0.00034036345955145</f>
        <v>0.4159241475718719</v>
      </c>
    </row>
    <row r="884" spans="1:8" ht="15.75" hidden="1" customHeight="1" x14ac:dyDescent="0.25">
      <c r="A884" s="15" t="s">
        <v>105</v>
      </c>
      <c r="B884" s="11" t="s">
        <v>118</v>
      </c>
      <c r="C884" s="15"/>
      <c r="D884" s="16" t="s">
        <v>36</v>
      </c>
      <c r="E884" s="17">
        <v>3</v>
      </c>
      <c r="F884" s="20">
        <f>E884</f>
        <v>3</v>
      </c>
      <c r="G884" s="20">
        <v>0</v>
      </c>
      <c r="H884" s="20">
        <v>0</v>
      </c>
    </row>
    <row r="885" spans="1:8" ht="15.75" hidden="1" customHeight="1" x14ac:dyDescent="0.25">
      <c r="A885" s="15" t="s">
        <v>105</v>
      </c>
      <c r="B885" s="11" t="s">
        <v>118</v>
      </c>
      <c r="C885" s="15"/>
      <c r="D885" s="16" t="s">
        <v>37</v>
      </c>
      <c r="E885" s="17">
        <v>1</v>
      </c>
      <c r="F885" s="20">
        <v>0</v>
      </c>
      <c r="G885" s="20">
        <f>E885</f>
        <v>1</v>
      </c>
      <c r="H885" s="20">
        <v>0</v>
      </c>
    </row>
    <row r="886" spans="1:8" ht="15.75" hidden="1" customHeight="1" x14ac:dyDescent="0.25">
      <c r="A886" s="15" t="s">
        <v>105</v>
      </c>
      <c r="B886" s="11" t="s">
        <v>118</v>
      </c>
      <c r="C886" s="15"/>
      <c r="D886" s="16" t="s">
        <v>28</v>
      </c>
      <c r="E886" s="17">
        <v>534</v>
      </c>
      <c r="F886" s="18">
        <f>E886* 0.00094876660341556</f>
        <v>0.5066413662239091</v>
      </c>
      <c r="G886" s="18">
        <f>E886* 0.999051233396584</f>
        <v>533.49335863377587</v>
      </c>
      <c r="H886" s="18">
        <v>0</v>
      </c>
    </row>
    <row r="887" spans="1:8" ht="15.75" hidden="1" customHeight="1" x14ac:dyDescent="0.25">
      <c r="A887" s="15" t="s">
        <v>105</v>
      </c>
      <c r="B887" s="11" t="s">
        <v>118</v>
      </c>
      <c r="C887" s="15"/>
      <c r="D887" s="16" t="s">
        <v>12</v>
      </c>
      <c r="E887" s="23">
        <v>2724</v>
      </c>
      <c r="F887" s="18">
        <f>E887* 0.843786808009423</f>
        <v>2298.4752650176683</v>
      </c>
      <c r="G887" s="18">
        <f>E887* 0.0740675304279545</f>
        <v>201.75995288574805</v>
      </c>
      <c r="H887" s="18">
        <f>E887* 0.0820965842167256</f>
        <v>223.63109540636052</v>
      </c>
    </row>
    <row r="888" spans="1:8" ht="15.75" hidden="1" customHeight="1" x14ac:dyDescent="0.25">
      <c r="A888" s="15" t="s">
        <v>105</v>
      </c>
      <c r="B888" s="8"/>
      <c r="C888" s="8"/>
      <c r="D888" s="9"/>
      <c r="E888" s="19"/>
    </row>
    <row r="889" spans="1:8" ht="15.75" hidden="1" customHeight="1" x14ac:dyDescent="0.25">
      <c r="A889" s="15" t="s">
        <v>105</v>
      </c>
      <c r="B889" s="11" t="s">
        <v>119</v>
      </c>
      <c r="C889" s="12" t="str">
        <f>B889&amp;"_"&amp;A889</f>
        <v>Colomi_Cochabamba</v>
      </c>
      <c r="E889" s="13">
        <v>547</v>
      </c>
      <c r="F889" s="14">
        <f t="shared" ref="F889:H889" si="91">SUM(F890:F902)</f>
        <v>339.57155019150719</v>
      </c>
      <c r="G889" s="14">
        <f t="shared" si="91"/>
        <v>183.78927176323086</v>
      </c>
      <c r="H889" s="14">
        <f t="shared" si="91"/>
        <v>23.557752628830794</v>
      </c>
    </row>
    <row r="890" spans="1:8" ht="15.75" hidden="1" customHeight="1" x14ac:dyDescent="0.25">
      <c r="A890" s="15" t="s">
        <v>105</v>
      </c>
      <c r="B890" s="11" t="s">
        <v>119</v>
      </c>
      <c r="C890" s="15"/>
      <c r="D890" s="16" t="s">
        <v>14</v>
      </c>
      <c r="E890" s="17">
        <v>0</v>
      </c>
      <c r="F890" s="20">
        <v>0</v>
      </c>
      <c r="G890" s="20">
        <f>E890</f>
        <v>0</v>
      </c>
      <c r="H890" s="20">
        <v>0</v>
      </c>
    </row>
    <row r="891" spans="1:8" ht="15.75" hidden="1" customHeight="1" x14ac:dyDescent="0.25">
      <c r="A891" s="15" t="s">
        <v>105</v>
      </c>
      <c r="B891" s="11" t="s">
        <v>119</v>
      </c>
      <c r="C891" s="15"/>
      <c r="D891" s="16" t="s">
        <v>15</v>
      </c>
      <c r="E891" s="17">
        <v>40</v>
      </c>
      <c r="F891" s="18">
        <f>E891* 0.932775698199239</f>
        <v>37.311027927969562</v>
      </c>
      <c r="G891" s="18">
        <f>E891* 0.00808724987291465</f>
        <v>0.32348999491658598</v>
      </c>
      <c r="H891" s="18">
        <f>E891*0.0590600305004852</f>
        <v>2.3624012200194082</v>
      </c>
    </row>
    <row r="892" spans="1:8" ht="15.75" hidden="1" customHeight="1" x14ac:dyDescent="0.25">
      <c r="A892" s="15" t="s">
        <v>105</v>
      </c>
      <c r="B892" s="11" t="s">
        <v>119</v>
      </c>
      <c r="C892" s="15"/>
      <c r="D892" s="16" t="s">
        <v>16</v>
      </c>
      <c r="E892" s="17">
        <v>5</v>
      </c>
      <c r="F892" s="18">
        <f>E892* 0.0803212851405623</f>
        <v>0.40160642570281152</v>
      </c>
      <c r="G892" s="18">
        <f>E892* 0.913367756741251</f>
        <v>4.5668387837062552</v>
      </c>
      <c r="H892" s="18">
        <f>E892* 0.0057372346528973</f>
        <v>2.8686173264486501E-2</v>
      </c>
    </row>
    <row r="893" spans="1:8" ht="15.75" hidden="1" customHeight="1" x14ac:dyDescent="0.25">
      <c r="A893" s="15" t="s">
        <v>105</v>
      </c>
      <c r="B893" s="11" t="s">
        <v>119</v>
      </c>
      <c r="C893" s="15"/>
      <c r="D893" s="16" t="s">
        <v>11</v>
      </c>
      <c r="E893" s="17">
        <v>178</v>
      </c>
      <c r="F893" s="18">
        <f>E893* 0.150611071171819</f>
        <v>26.808770668583779</v>
      </c>
      <c r="G893" s="18">
        <f>E893* 0.847699496764917</f>
        <v>150.89051042415522</v>
      </c>
      <c r="H893" s="18">
        <f>E893* 0.00136592379583034</f>
        <v>0.24313443565780052</v>
      </c>
    </row>
    <row r="894" spans="1:8" ht="15.75" hidden="1" customHeight="1" x14ac:dyDescent="0.25">
      <c r="A894" s="15" t="s">
        <v>105</v>
      </c>
      <c r="B894" s="11" t="s">
        <v>119</v>
      </c>
      <c r="C894" s="15"/>
      <c r="D894" s="16" t="s">
        <v>17</v>
      </c>
      <c r="E894" s="17">
        <v>77</v>
      </c>
      <c r="F894" s="18">
        <f>E894* 0.840430229624022</f>
        <v>64.713127681049698</v>
      </c>
      <c r="G894" s="18">
        <f>E894* 0.0777504415846581</f>
        <v>5.9867840020186742</v>
      </c>
      <c r="H894" s="18">
        <f>E894* 0.0817877870300278</f>
        <v>6.2976596013121409</v>
      </c>
    </row>
    <row r="895" spans="1:8" ht="15.75" hidden="1" customHeight="1" x14ac:dyDescent="0.25">
      <c r="A895" s="15" t="s">
        <v>105</v>
      </c>
      <c r="B895" s="11" t="s">
        <v>119</v>
      </c>
      <c r="C895" s="15"/>
      <c r="D895" s="16" t="s">
        <v>31</v>
      </c>
      <c r="E895" s="17">
        <v>1</v>
      </c>
      <c r="F895" s="18">
        <f>E895* 0.901975683890578</f>
        <v>0.90197568389057803</v>
      </c>
      <c r="G895" s="18">
        <f>E895* 0.0364741641337386</f>
        <v>3.64741641337386E-2</v>
      </c>
      <c r="H895" s="18">
        <f>E895* 0.0615501519756839</f>
        <v>6.1550151975683899E-2</v>
      </c>
    </row>
    <row r="896" spans="1:8" ht="15.75" hidden="1" customHeight="1" x14ac:dyDescent="0.25">
      <c r="A896" s="15" t="s">
        <v>105</v>
      </c>
      <c r="B896" s="11" t="s">
        <v>119</v>
      </c>
      <c r="C896" s="15"/>
      <c r="D896" s="16" t="s">
        <v>18</v>
      </c>
      <c r="E896" s="17">
        <v>9</v>
      </c>
      <c r="F896" s="18">
        <f>E896* 0.932934264493959</f>
        <v>8.3964083804456315</v>
      </c>
      <c r="G896" s="18">
        <f>E896* 0.0585300964416362</f>
        <v>0.52677086797472572</v>
      </c>
      <c r="H896" s="18">
        <f>E896* 0.00853563906440528</f>
        <v>7.6820751579647531E-2</v>
      </c>
    </row>
    <row r="897" spans="1:8" ht="15.75" hidden="1" customHeight="1" x14ac:dyDescent="0.25">
      <c r="A897" s="15" t="s">
        <v>105</v>
      </c>
      <c r="B897" s="11" t="s">
        <v>119</v>
      </c>
      <c r="C897" s="15"/>
      <c r="D897" s="16" t="s">
        <v>19</v>
      </c>
      <c r="E897" s="17">
        <v>7</v>
      </c>
      <c r="F897" s="18">
        <f>E897* 0.290681971640783</f>
        <v>2.034773801485481</v>
      </c>
      <c r="G897" s="18">
        <f>E897* 0.694125590817016</f>
        <v>4.8588791357191115</v>
      </c>
      <c r="H897" s="18">
        <f>E897* 0.0151924375422012</f>
        <v>0.1063470627954084</v>
      </c>
    </row>
    <row r="898" spans="1:8" ht="15.75" hidden="1" customHeight="1" x14ac:dyDescent="0.25">
      <c r="A898" s="15" t="s">
        <v>105</v>
      </c>
      <c r="B898" s="11" t="s">
        <v>119</v>
      </c>
      <c r="C898" s="15"/>
      <c r="D898" s="16" t="s">
        <v>20</v>
      </c>
      <c r="E898" s="17">
        <v>7</v>
      </c>
      <c r="F898" s="18">
        <f>E898* 0.686268801552644</f>
        <v>4.8038816108685083</v>
      </c>
      <c r="G898" s="18">
        <f>E898* 0.196991751576904</f>
        <v>1.378942261038328</v>
      </c>
      <c r="H898" s="18">
        <f>E898* 0.116642406598738</f>
        <v>0.81649684619116591</v>
      </c>
    </row>
    <row r="899" spans="1:8" ht="15.75" hidden="1" customHeight="1" x14ac:dyDescent="0.25">
      <c r="A899" s="15" t="s">
        <v>105</v>
      </c>
      <c r="B899" s="11" t="s">
        <v>119</v>
      </c>
      <c r="C899" s="15"/>
      <c r="D899" s="16" t="s">
        <v>21</v>
      </c>
      <c r="E899" s="17">
        <v>55</v>
      </c>
      <c r="F899" s="18">
        <f>E899* 0.999513766486355</f>
        <v>54.973257156749526</v>
      </c>
      <c r="G899" s="18">
        <f>E899* 0.0000243116756822464</f>
        <v>1.3371421625235518E-3</v>
      </c>
      <c r="H899" s="18">
        <f>E899* 0.00034036345955145</f>
        <v>1.8719990275329751E-2</v>
      </c>
    </row>
    <row r="900" spans="1:8" ht="15.75" hidden="1" customHeight="1" x14ac:dyDescent="0.25">
      <c r="A900" s="15" t="s">
        <v>105</v>
      </c>
      <c r="B900" s="11" t="s">
        <v>119</v>
      </c>
      <c r="C900" s="15"/>
      <c r="D900" s="16" t="s">
        <v>37</v>
      </c>
      <c r="E900" s="17">
        <v>1</v>
      </c>
      <c r="F900" s="20">
        <v>0</v>
      </c>
      <c r="G900" s="20">
        <f>E900</f>
        <v>1</v>
      </c>
      <c r="H900" s="20">
        <v>0</v>
      </c>
    </row>
    <row r="901" spans="1:8" ht="15.75" hidden="1" customHeight="1" x14ac:dyDescent="0.25">
      <c r="A901" s="15" t="s">
        <v>105</v>
      </c>
      <c r="B901" s="11" t="s">
        <v>119</v>
      </c>
      <c r="C901" s="15"/>
      <c r="D901" s="16" t="s">
        <v>28</v>
      </c>
      <c r="E901" s="17">
        <v>2</v>
      </c>
      <c r="F901" s="18">
        <f>E901* 0.00094876660341556</f>
        <v>1.89753320683112E-3</v>
      </c>
      <c r="G901" s="18">
        <f>E901* 0.999051233396584</f>
        <v>1.9981024667931679</v>
      </c>
      <c r="H901" s="18">
        <v>0</v>
      </c>
    </row>
    <row r="902" spans="1:8" ht="15.75" hidden="1" customHeight="1" x14ac:dyDescent="0.25">
      <c r="A902" s="15" t="s">
        <v>105</v>
      </c>
      <c r="B902" s="11" t="s">
        <v>119</v>
      </c>
      <c r="C902" s="15"/>
      <c r="D902" s="16" t="s">
        <v>12</v>
      </c>
      <c r="E902" s="17">
        <v>165</v>
      </c>
      <c r="F902" s="18">
        <f>E902* 0.843786808009423</f>
        <v>139.22482332155479</v>
      </c>
      <c r="G902" s="18">
        <f>E902* 0.0740675304279545</f>
        <v>12.221142520612492</v>
      </c>
      <c r="H902" s="18">
        <f>E902* 0.0820965842167256</f>
        <v>13.545936395759723</v>
      </c>
    </row>
    <row r="903" spans="1:8" ht="15.75" hidden="1" customHeight="1" x14ac:dyDescent="0.25">
      <c r="A903" s="15" t="s">
        <v>105</v>
      </c>
      <c r="B903" s="8"/>
      <c r="C903" s="8"/>
      <c r="D903" s="9"/>
      <c r="E903" s="19"/>
    </row>
    <row r="904" spans="1:8" ht="15.75" hidden="1" customHeight="1" x14ac:dyDescent="0.25">
      <c r="A904" s="15" t="s">
        <v>105</v>
      </c>
      <c r="B904" s="11" t="s">
        <v>120</v>
      </c>
      <c r="C904" s="12" t="str">
        <f>B904&amp;"_"&amp;A904</f>
        <v>Entre Ríos_Cochabamba</v>
      </c>
      <c r="E904" s="22">
        <v>1730</v>
      </c>
      <c r="F904" s="14">
        <f t="shared" ref="F904:H904" si="92">SUM(F905:F916)</f>
        <v>1456.1692189479886</v>
      </c>
      <c r="G904" s="14">
        <f t="shared" si="92"/>
        <v>177.90978863323195</v>
      </c>
      <c r="H904" s="14">
        <f t="shared" si="92"/>
        <v>95.777979357865277</v>
      </c>
    </row>
    <row r="905" spans="1:8" ht="15.75" hidden="1" customHeight="1" x14ac:dyDescent="0.25">
      <c r="A905" s="15" t="s">
        <v>105</v>
      </c>
      <c r="B905" s="11" t="s">
        <v>120</v>
      </c>
      <c r="C905" s="15"/>
      <c r="D905" s="16" t="s">
        <v>14</v>
      </c>
      <c r="E905" s="10">
        <v>0</v>
      </c>
      <c r="F905" s="20">
        <v>0</v>
      </c>
      <c r="G905" s="20">
        <f>E905</f>
        <v>0</v>
      </c>
      <c r="H905" s="20">
        <v>0</v>
      </c>
    </row>
    <row r="906" spans="1:8" ht="15.75" hidden="1" customHeight="1" x14ac:dyDescent="0.25">
      <c r="A906" s="15" t="s">
        <v>105</v>
      </c>
      <c r="B906" s="11" t="s">
        <v>120</v>
      </c>
      <c r="C906" s="15"/>
      <c r="D906" s="16" t="s">
        <v>15</v>
      </c>
      <c r="E906" s="17">
        <v>20</v>
      </c>
      <c r="F906" s="18">
        <f>E906* 0.932775698199239</f>
        <v>18.655513963984781</v>
      </c>
      <c r="G906" s="18">
        <f>E906* 0.00808724987291465</f>
        <v>0.16174499745829299</v>
      </c>
      <c r="H906" s="18">
        <f>E906*0.0590600305004852</f>
        <v>1.1812006100097041</v>
      </c>
    </row>
    <row r="907" spans="1:8" ht="15.75" hidden="1" customHeight="1" x14ac:dyDescent="0.25">
      <c r="A907" s="15" t="s">
        <v>105</v>
      </c>
      <c r="B907" s="11" t="s">
        <v>120</v>
      </c>
      <c r="C907" s="15"/>
      <c r="D907" s="16" t="s">
        <v>16</v>
      </c>
      <c r="E907" s="17">
        <v>5</v>
      </c>
      <c r="F907" s="18">
        <f>E907* 0.0803212851405623</f>
        <v>0.40160642570281152</v>
      </c>
      <c r="G907" s="18">
        <f>E907* 0.913367756741251</f>
        <v>4.5668387837062552</v>
      </c>
      <c r="H907" s="18">
        <f>E907* 0.0057372346528973</f>
        <v>2.8686173264486501E-2</v>
      </c>
    </row>
    <row r="908" spans="1:8" ht="15.75" hidden="1" customHeight="1" x14ac:dyDescent="0.25">
      <c r="A908" s="15" t="s">
        <v>105</v>
      </c>
      <c r="B908" s="11" t="s">
        <v>120</v>
      </c>
      <c r="C908" s="15"/>
      <c r="D908" s="16" t="s">
        <v>11</v>
      </c>
      <c r="E908" s="17">
        <v>84</v>
      </c>
      <c r="F908" s="18">
        <f>E908* 0.150611071171819</f>
        <v>12.651329978432795</v>
      </c>
      <c r="G908" s="18">
        <f>E908* 0.847699496764917</f>
        <v>71.206757728253024</v>
      </c>
      <c r="H908" s="18">
        <f>E908* 0.00136592379583034</f>
        <v>0.11473759884974856</v>
      </c>
    </row>
    <row r="909" spans="1:8" ht="15.75" hidden="1" customHeight="1" x14ac:dyDescent="0.25">
      <c r="A909" s="15" t="s">
        <v>105</v>
      </c>
      <c r="B909" s="11" t="s">
        <v>120</v>
      </c>
      <c r="C909" s="15"/>
      <c r="D909" s="16" t="s">
        <v>17</v>
      </c>
      <c r="E909" s="17">
        <v>37</v>
      </c>
      <c r="F909" s="18">
        <f>E909* 0.840430229624022</f>
        <v>31.095918496088814</v>
      </c>
      <c r="G909" s="18">
        <f>E909* 0.0777504415846581</f>
        <v>2.8767663386323497</v>
      </c>
      <c r="H909" s="18">
        <f>E909* 0.0817877870300278</f>
        <v>3.0261481201110287</v>
      </c>
    </row>
    <row r="910" spans="1:8" ht="15.75" hidden="1" customHeight="1" x14ac:dyDescent="0.25">
      <c r="A910" s="15" t="s">
        <v>105</v>
      </c>
      <c r="B910" s="11" t="s">
        <v>120</v>
      </c>
      <c r="C910" s="15"/>
      <c r="D910" s="16" t="s">
        <v>31</v>
      </c>
      <c r="E910" s="17">
        <v>2</v>
      </c>
      <c r="F910" s="18">
        <f>E910* 0.901975683890578</f>
        <v>1.8039513677811561</v>
      </c>
      <c r="G910" s="18">
        <f>E910* 0.0364741641337386</f>
        <v>7.29483282674772E-2</v>
      </c>
      <c r="H910" s="18">
        <f>E910* 0.0615501519756839</f>
        <v>0.1231003039513678</v>
      </c>
    </row>
    <row r="911" spans="1:8" ht="15.75" hidden="1" customHeight="1" x14ac:dyDescent="0.25">
      <c r="A911" s="15" t="s">
        <v>105</v>
      </c>
      <c r="B911" s="11" t="s">
        <v>120</v>
      </c>
      <c r="C911" s="15"/>
      <c r="D911" s="16" t="s">
        <v>18</v>
      </c>
      <c r="E911" s="17">
        <v>3</v>
      </c>
      <c r="F911" s="18">
        <f>E911* 0.932934264493959</f>
        <v>2.7988027934818769</v>
      </c>
      <c r="G911" s="18">
        <f>E911* 0.0585300964416362</f>
        <v>0.17559028932490858</v>
      </c>
      <c r="H911" s="18">
        <f>E911* 0.00853563906440528</f>
        <v>2.5606917193215843E-2</v>
      </c>
    </row>
    <row r="912" spans="1:8" ht="15.75" hidden="1" customHeight="1" x14ac:dyDescent="0.25">
      <c r="A912" s="15" t="s">
        <v>105</v>
      </c>
      <c r="B912" s="11" t="s">
        <v>120</v>
      </c>
      <c r="C912" s="15"/>
      <c r="D912" s="16" t="s">
        <v>19</v>
      </c>
      <c r="E912" s="17">
        <v>4</v>
      </c>
      <c r="F912" s="18">
        <f>E912* 0.290681971640783</f>
        <v>1.1627278865631321</v>
      </c>
      <c r="G912" s="18">
        <f>E912* 0.694125590817016</f>
        <v>2.7765023632680639</v>
      </c>
      <c r="H912" s="18">
        <f>E912* 0.0151924375422012</f>
        <v>6.0769750168804801E-2</v>
      </c>
    </row>
    <row r="913" spans="1:8" ht="15.75" hidden="1" customHeight="1" x14ac:dyDescent="0.25">
      <c r="A913" s="15" t="s">
        <v>105</v>
      </c>
      <c r="B913" s="11" t="s">
        <v>120</v>
      </c>
      <c r="C913" s="15"/>
      <c r="D913" s="16" t="s">
        <v>20</v>
      </c>
      <c r="E913" s="17">
        <v>10</v>
      </c>
      <c r="F913" s="18">
        <f>E913* 0.686268801552644</f>
        <v>6.86268801552644</v>
      </c>
      <c r="G913" s="18">
        <f>E913* 0.196991751576904</f>
        <v>1.9699175157690398</v>
      </c>
      <c r="H913" s="18">
        <f>E913* 0.116642406598738</f>
        <v>1.1664240659873799</v>
      </c>
    </row>
    <row r="914" spans="1:8" ht="15.75" hidden="1" customHeight="1" x14ac:dyDescent="0.25">
      <c r="A914" s="15" t="s">
        <v>105</v>
      </c>
      <c r="B914" s="11" t="s">
        <v>120</v>
      </c>
      <c r="C914" s="15"/>
      <c r="D914" s="16" t="s">
        <v>21</v>
      </c>
      <c r="E914" s="17">
        <v>457</v>
      </c>
      <c r="F914" s="18">
        <f>E914* 0.999513766486355</f>
        <v>456.77779128426425</v>
      </c>
      <c r="G914" s="18">
        <f>E914* 0.0000243116756822464</f>
        <v>1.1110435786786605E-2</v>
      </c>
      <c r="H914" s="18">
        <f>E914* 0.00034036345955145</f>
        <v>0.15554610101501265</v>
      </c>
    </row>
    <row r="915" spans="1:8" ht="15.75" hidden="1" customHeight="1" x14ac:dyDescent="0.25">
      <c r="A915" s="15" t="s">
        <v>105</v>
      </c>
      <c r="B915" s="11" t="s">
        <v>120</v>
      </c>
      <c r="C915" s="15"/>
      <c r="D915" s="16" t="s">
        <v>28</v>
      </c>
      <c r="E915" s="17">
        <v>13</v>
      </c>
      <c r="F915" s="18">
        <f>E915* 0.00094876660341556</f>
        <v>1.233396584440228E-2</v>
      </c>
      <c r="G915" s="18">
        <f>E915* 0.999051233396584</f>
        <v>12.987666034155591</v>
      </c>
      <c r="H915" s="18">
        <v>0</v>
      </c>
    </row>
    <row r="916" spans="1:8" ht="15.75" hidden="1" customHeight="1" x14ac:dyDescent="0.25">
      <c r="A916" s="15" t="s">
        <v>105</v>
      </c>
      <c r="B916" s="11" t="s">
        <v>120</v>
      </c>
      <c r="C916" s="15"/>
      <c r="D916" s="16" t="s">
        <v>12</v>
      </c>
      <c r="E916" s="23">
        <v>1095</v>
      </c>
      <c r="F916" s="18">
        <f>E916* 0.843786808009423</f>
        <v>923.94655477031813</v>
      </c>
      <c r="G916" s="18">
        <f>E916* 0.0740675304279545</f>
        <v>81.103945818610171</v>
      </c>
      <c r="H916" s="18">
        <f>E916* 0.0820965842167256</f>
        <v>89.895759717314533</v>
      </c>
    </row>
    <row r="917" spans="1:8" ht="15.75" hidden="1" customHeight="1" x14ac:dyDescent="0.25">
      <c r="A917" s="15" t="s">
        <v>105</v>
      </c>
      <c r="B917" s="8"/>
      <c r="C917" s="8"/>
      <c r="D917" s="9"/>
      <c r="E917" s="19"/>
    </row>
    <row r="918" spans="1:8" ht="15.75" hidden="1" customHeight="1" x14ac:dyDescent="0.25">
      <c r="A918" s="15" t="s">
        <v>105</v>
      </c>
      <c r="B918" s="11" t="s">
        <v>121</v>
      </c>
      <c r="C918" s="12" t="str">
        <f>B918&amp;"_"&amp;A918</f>
        <v>Independencia (Ayopaya)_Cochabamba</v>
      </c>
      <c r="E918" s="13">
        <v>23</v>
      </c>
      <c r="F918" s="14">
        <f t="shared" ref="F918:H918" si="93">SUM(F919:F927)</f>
        <v>18.739819171352394</v>
      </c>
      <c r="G918" s="14">
        <f t="shared" si="93"/>
        <v>3.4609582167298147</v>
      </c>
      <c r="H918" s="14">
        <f t="shared" si="93"/>
        <v>0.79672100942471391</v>
      </c>
    </row>
    <row r="919" spans="1:8" ht="15.75" hidden="1" customHeight="1" x14ac:dyDescent="0.25">
      <c r="A919" s="15" t="s">
        <v>105</v>
      </c>
      <c r="B919" s="11" t="s">
        <v>121</v>
      </c>
      <c r="C919" s="15"/>
      <c r="D919" s="16" t="s">
        <v>14</v>
      </c>
      <c r="E919" s="17">
        <v>0</v>
      </c>
      <c r="F919" s="20">
        <v>0</v>
      </c>
      <c r="G919" s="20">
        <f>E919</f>
        <v>0</v>
      </c>
      <c r="H919" s="20">
        <v>0</v>
      </c>
    </row>
    <row r="920" spans="1:8" ht="15.75" hidden="1" customHeight="1" x14ac:dyDescent="0.25">
      <c r="A920" s="15" t="s">
        <v>105</v>
      </c>
      <c r="B920" s="11" t="s">
        <v>121</v>
      </c>
      <c r="C920" s="15"/>
      <c r="D920" s="16" t="s">
        <v>15</v>
      </c>
      <c r="E920" s="17">
        <v>0</v>
      </c>
      <c r="F920" s="18">
        <f>E920* 0.932775698199239</f>
        <v>0</v>
      </c>
      <c r="G920" s="18">
        <f>E920* 0.00808724987291465</f>
        <v>0</v>
      </c>
      <c r="H920" s="18">
        <f>E920*0.0590600305004852</f>
        <v>0</v>
      </c>
    </row>
    <row r="921" spans="1:8" ht="15.75" hidden="1" customHeight="1" x14ac:dyDescent="0.25">
      <c r="A921" s="15" t="s">
        <v>105</v>
      </c>
      <c r="B921" s="11" t="s">
        <v>121</v>
      </c>
      <c r="C921" s="15"/>
      <c r="D921" s="16" t="s">
        <v>11</v>
      </c>
      <c r="E921" s="17">
        <v>3</v>
      </c>
      <c r="F921" s="18">
        <f>E921* 0.150611071171819</f>
        <v>0.45183321351545697</v>
      </c>
      <c r="G921" s="18">
        <f>E921* 0.847699496764917</f>
        <v>2.5430984902947511</v>
      </c>
      <c r="H921" s="18">
        <f>E921* 0.00136592379583034</f>
        <v>4.0977713874910202E-3</v>
      </c>
    </row>
    <row r="922" spans="1:8" ht="15.75" hidden="1" customHeight="1" x14ac:dyDescent="0.25">
      <c r="A922" s="15" t="s">
        <v>105</v>
      </c>
      <c r="B922" s="11" t="s">
        <v>121</v>
      </c>
      <c r="C922" s="15"/>
      <c r="D922" s="16" t="s">
        <v>17</v>
      </c>
      <c r="E922" s="17">
        <v>3</v>
      </c>
      <c r="F922" s="18">
        <f>E922* 0.840430229624022</f>
        <v>2.5212906888720661</v>
      </c>
      <c r="G922" s="18">
        <f>E922* 0.0777504415846581</f>
        <v>0.23325132475397431</v>
      </c>
      <c r="H922" s="18">
        <f>E922* 0.0817877870300278</f>
        <v>0.24536336109008339</v>
      </c>
    </row>
    <row r="923" spans="1:8" ht="15.75" hidden="1" customHeight="1" x14ac:dyDescent="0.25">
      <c r="A923" s="15" t="s">
        <v>105</v>
      </c>
      <c r="B923" s="11" t="s">
        <v>121</v>
      </c>
      <c r="C923" s="15"/>
      <c r="D923" s="16" t="s">
        <v>18</v>
      </c>
      <c r="E923" s="17">
        <v>2</v>
      </c>
      <c r="F923" s="18">
        <f>E923* 0.932934264493959</f>
        <v>1.865868528987918</v>
      </c>
      <c r="G923" s="18">
        <f>E923* 0.0585300964416362</f>
        <v>0.11706019288327239</v>
      </c>
      <c r="H923" s="18">
        <f>E923* 0.00853563906440528</f>
        <v>1.7071278128810562E-2</v>
      </c>
    </row>
    <row r="924" spans="1:8" ht="15.75" hidden="1" customHeight="1" x14ac:dyDescent="0.25">
      <c r="A924" s="15" t="s">
        <v>105</v>
      </c>
      <c r="B924" s="11" t="s">
        <v>121</v>
      </c>
      <c r="C924" s="15"/>
      <c r="D924" s="16" t="s">
        <v>19</v>
      </c>
      <c r="E924" s="17">
        <v>0</v>
      </c>
      <c r="F924" s="18">
        <f>E924* 0.290681971640783</f>
        <v>0</v>
      </c>
      <c r="G924" s="18">
        <f>E924* 0.694125590817016</f>
        <v>0</v>
      </c>
      <c r="H924" s="18">
        <f>E924* 0.0151924375422012</f>
        <v>0</v>
      </c>
    </row>
    <row r="925" spans="1:8" ht="15.75" hidden="1" customHeight="1" x14ac:dyDescent="0.25">
      <c r="A925" s="15" t="s">
        <v>105</v>
      </c>
      <c r="B925" s="11" t="s">
        <v>121</v>
      </c>
      <c r="C925" s="15"/>
      <c r="D925" s="16" t="s">
        <v>20</v>
      </c>
      <c r="E925" s="17">
        <v>1</v>
      </c>
      <c r="F925" s="18">
        <f>E925* 0.686268801552644</f>
        <v>0.68626880155264403</v>
      </c>
      <c r="G925" s="18">
        <f>E925* 0.196991751576904</f>
        <v>0.19699175157690399</v>
      </c>
      <c r="H925" s="18">
        <f>E925* 0.116642406598738</f>
        <v>0.11664240659873799</v>
      </c>
    </row>
    <row r="926" spans="1:8" ht="15.75" hidden="1" customHeight="1" x14ac:dyDescent="0.25">
      <c r="A926" s="15" t="s">
        <v>105</v>
      </c>
      <c r="B926" s="11" t="s">
        <v>121</v>
      </c>
      <c r="C926" s="15"/>
      <c r="D926" s="16" t="s">
        <v>21</v>
      </c>
      <c r="E926" s="17">
        <v>9</v>
      </c>
      <c r="F926" s="18">
        <f>E926* 0.999513766486355</f>
        <v>8.995623898377195</v>
      </c>
      <c r="G926" s="18">
        <f>E926* 0.0000243116756822464</f>
        <v>2.1880508114021759E-4</v>
      </c>
      <c r="H926" s="18">
        <f>E926* 0.00034036345955145</f>
        <v>3.0632711359630501E-3</v>
      </c>
    </row>
    <row r="927" spans="1:8" ht="15.75" hidden="1" customHeight="1" x14ac:dyDescent="0.25">
      <c r="A927" s="15" t="s">
        <v>105</v>
      </c>
      <c r="B927" s="11" t="s">
        <v>121</v>
      </c>
      <c r="C927" s="15"/>
      <c r="D927" s="16" t="s">
        <v>12</v>
      </c>
      <c r="E927" s="17">
        <v>5</v>
      </c>
      <c r="F927" s="18">
        <f>E927* 0.843786808009423</f>
        <v>4.2189340400471149</v>
      </c>
      <c r="G927" s="18">
        <f>E927* 0.0740675304279545</f>
        <v>0.37033765213977249</v>
      </c>
      <c r="H927" s="18">
        <f>E927* 0.0820965842167256</f>
        <v>0.41048292108362799</v>
      </c>
    </row>
    <row r="928" spans="1:8" ht="15.75" hidden="1" customHeight="1" x14ac:dyDescent="0.25">
      <c r="A928" s="15" t="s">
        <v>105</v>
      </c>
      <c r="B928" s="8"/>
      <c r="C928" s="8"/>
      <c r="D928" s="9"/>
      <c r="E928" s="19"/>
    </row>
    <row r="929" spans="1:8" ht="15.75" hidden="1" customHeight="1" x14ac:dyDescent="0.25">
      <c r="A929" s="15" t="s">
        <v>105</v>
      </c>
      <c r="B929" s="11" t="s">
        <v>122</v>
      </c>
      <c r="C929" s="12" t="str">
        <f>B929&amp;"_"&amp;A929</f>
        <v>Mizque_Cochabamba</v>
      </c>
      <c r="E929" s="13">
        <v>152</v>
      </c>
      <c r="F929" s="14">
        <f t="shared" ref="F929:H929" si="94">SUM(F930:F940)</f>
        <v>116.12963132970629</v>
      </c>
      <c r="G929" s="14">
        <f t="shared" si="94"/>
        <v>31.646366354515482</v>
      </c>
      <c r="H929" s="14">
        <f t="shared" si="94"/>
        <v>4.2035937504447238</v>
      </c>
    </row>
    <row r="930" spans="1:8" ht="15.75" hidden="1" customHeight="1" x14ac:dyDescent="0.25">
      <c r="A930" s="15" t="s">
        <v>105</v>
      </c>
      <c r="B930" s="11" t="s">
        <v>122</v>
      </c>
      <c r="C930" s="15"/>
      <c r="D930" s="16" t="s">
        <v>14</v>
      </c>
      <c r="E930" s="17">
        <v>0</v>
      </c>
      <c r="F930" s="20">
        <v>0</v>
      </c>
      <c r="G930" s="20">
        <f>E930</f>
        <v>0</v>
      </c>
      <c r="H930" s="20">
        <v>0</v>
      </c>
    </row>
    <row r="931" spans="1:8" ht="15.75" hidden="1" customHeight="1" x14ac:dyDescent="0.25">
      <c r="A931" s="15" t="s">
        <v>105</v>
      </c>
      <c r="B931" s="11" t="s">
        <v>122</v>
      </c>
      <c r="C931" s="15"/>
      <c r="D931" s="16" t="s">
        <v>15</v>
      </c>
      <c r="E931" s="17">
        <v>13</v>
      </c>
      <c r="F931" s="18">
        <f>E931* 0.932775698199239</f>
        <v>12.126084076590107</v>
      </c>
      <c r="G931" s="18">
        <f>E931* 0.00808724987291465</f>
        <v>0.10513424834789045</v>
      </c>
      <c r="H931" s="18">
        <f>E931*0.0590600305004852</f>
        <v>0.76778039650630758</v>
      </c>
    </row>
    <row r="932" spans="1:8" ht="15.75" hidden="1" customHeight="1" x14ac:dyDescent="0.25">
      <c r="A932" s="15" t="s">
        <v>105</v>
      </c>
      <c r="B932" s="11" t="s">
        <v>122</v>
      </c>
      <c r="C932" s="15"/>
      <c r="D932" s="16" t="s">
        <v>16</v>
      </c>
      <c r="E932" s="17">
        <v>2</v>
      </c>
      <c r="F932" s="18">
        <f>E932* 0.0803212851405623</f>
        <v>0.16064257028112461</v>
      </c>
      <c r="G932" s="18">
        <f>E932* 0.913367756741251</f>
        <v>1.8267355134825021</v>
      </c>
      <c r="H932" s="18">
        <f>E932* 0.0057372346528973</f>
        <v>1.1474469305794601E-2</v>
      </c>
    </row>
    <row r="933" spans="1:8" ht="15.75" hidden="1" customHeight="1" x14ac:dyDescent="0.25">
      <c r="A933" s="15" t="s">
        <v>105</v>
      </c>
      <c r="B933" s="11" t="s">
        <v>122</v>
      </c>
      <c r="C933" s="15"/>
      <c r="D933" s="16" t="s">
        <v>11</v>
      </c>
      <c r="E933" s="17">
        <v>28</v>
      </c>
      <c r="F933" s="18">
        <f>E933* 0.150611071171819</f>
        <v>4.2171099928109319</v>
      </c>
      <c r="G933" s="18">
        <f>E933* 0.847699496764917</f>
        <v>23.735585909417676</v>
      </c>
      <c r="H933" s="18">
        <f>E933* 0.00136592379583034</f>
        <v>3.8245866283249517E-2</v>
      </c>
    </row>
    <row r="934" spans="1:8" ht="15.75" hidden="1" customHeight="1" x14ac:dyDescent="0.25">
      <c r="A934" s="15" t="s">
        <v>105</v>
      </c>
      <c r="B934" s="11" t="s">
        <v>122</v>
      </c>
      <c r="C934" s="15"/>
      <c r="D934" s="16" t="s">
        <v>17</v>
      </c>
      <c r="E934" s="17">
        <v>17</v>
      </c>
      <c r="F934" s="18">
        <f>E934* 0.840430229624022</f>
        <v>14.287313903608375</v>
      </c>
      <c r="G934" s="18">
        <f>E934* 0.0777504415846581</f>
        <v>1.3217575069391878</v>
      </c>
      <c r="H934" s="18">
        <f>E934* 0.0817877870300278</f>
        <v>1.3903923795104727</v>
      </c>
    </row>
    <row r="935" spans="1:8" ht="15.75" hidden="1" customHeight="1" x14ac:dyDescent="0.25">
      <c r="A935" s="15" t="s">
        <v>105</v>
      </c>
      <c r="B935" s="11" t="s">
        <v>122</v>
      </c>
      <c r="C935" s="15"/>
      <c r="D935" s="16" t="s">
        <v>18</v>
      </c>
      <c r="E935" s="17">
        <v>3</v>
      </c>
      <c r="F935" s="18">
        <f>E935* 0.932934264493959</f>
        <v>2.7988027934818769</v>
      </c>
      <c r="G935" s="18">
        <f>E935* 0.0585300964416362</f>
        <v>0.17559028932490858</v>
      </c>
      <c r="H935" s="18">
        <f>E935* 0.00853563906440528</f>
        <v>2.5606917193215843E-2</v>
      </c>
    </row>
    <row r="936" spans="1:8" ht="15.75" hidden="1" customHeight="1" x14ac:dyDescent="0.25">
      <c r="A936" s="15" t="s">
        <v>105</v>
      </c>
      <c r="B936" s="11" t="s">
        <v>122</v>
      </c>
      <c r="C936" s="15"/>
      <c r="D936" s="16" t="s">
        <v>35</v>
      </c>
      <c r="E936" s="17">
        <v>0</v>
      </c>
      <c r="F936" s="20">
        <v>0</v>
      </c>
      <c r="G936" s="20">
        <f>E936</f>
        <v>0</v>
      </c>
      <c r="H936" s="20">
        <v>0</v>
      </c>
    </row>
    <row r="937" spans="1:8" ht="15.75" hidden="1" customHeight="1" x14ac:dyDescent="0.25">
      <c r="A937" s="15" t="s">
        <v>105</v>
      </c>
      <c r="B937" s="11" t="s">
        <v>122</v>
      </c>
      <c r="C937" s="15"/>
      <c r="D937" s="16" t="s">
        <v>19</v>
      </c>
      <c r="E937" s="17">
        <v>4</v>
      </c>
      <c r="F937" s="18">
        <f>E937* 0.290681971640783</f>
        <v>1.1627278865631321</v>
      </c>
      <c r="G937" s="18">
        <f>E937* 0.694125590817016</f>
        <v>2.7765023632680639</v>
      </c>
      <c r="H937" s="18">
        <f>E937* 0.0151924375422012</f>
        <v>6.0769750168804801E-2</v>
      </c>
    </row>
    <row r="938" spans="1:8" ht="15.75" hidden="1" customHeight="1" x14ac:dyDescent="0.25">
      <c r="A938" s="15" t="s">
        <v>105</v>
      </c>
      <c r="B938" s="11" t="s">
        <v>122</v>
      </c>
      <c r="C938" s="15"/>
      <c r="D938" s="16" t="s">
        <v>20</v>
      </c>
      <c r="E938" s="17">
        <v>0</v>
      </c>
      <c r="F938" s="18">
        <f>E938* 0.686268801552644</f>
        <v>0</v>
      </c>
      <c r="G938" s="18">
        <f>E938* 0.196991751576904</f>
        <v>0</v>
      </c>
      <c r="H938" s="18">
        <f>E938* 0.116642406598738</f>
        <v>0</v>
      </c>
    </row>
    <row r="939" spans="1:8" ht="15.75" hidden="1" customHeight="1" x14ac:dyDescent="0.25">
      <c r="A939" s="15" t="s">
        <v>105</v>
      </c>
      <c r="B939" s="11" t="s">
        <v>122</v>
      </c>
      <c r="C939" s="15"/>
      <c r="D939" s="16" t="s">
        <v>21</v>
      </c>
      <c r="E939" s="17">
        <v>62</v>
      </c>
      <c r="F939" s="18">
        <f>E939* 0.999513766486355</f>
        <v>61.969853522154011</v>
      </c>
      <c r="G939" s="18">
        <f>E939* 0.0000243116756822464</f>
        <v>1.5073238922992767E-3</v>
      </c>
      <c r="H939" s="18">
        <f>E939* 0.00034036345955145</f>
        <v>2.1102534492189899E-2</v>
      </c>
    </row>
    <row r="940" spans="1:8" ht="15.75" hidden="1" customHeight="1" x14ac:dyDescent="0.25">
      <c r="A940" s="15" t="s">
        <v>105</v>
      </c>
      <c r="B940" s="11" t="s">
        <v>122</v>
      </c>
      <c r="C940" s="15"/>
      <c r="D940" s="16" t="s">
        <v>12</v>
      </c>
      <c r="E940" s="17">
        <v>23</v>
      </c>
      <c r="F940" s="18">
        <f>E940* 0.843786808009423</f>
        <v>19.407096584216728</v>
      </c>
      <c r="G940" s="18">
        <f>E940* 0.0740675304279545</f>
        <v>1.7035531998429534</v>
      </c>
      <c r="H940" s="18">
        <f>E940* 0.0820965842167256</f>
        <v>1.8882214369846888</v>
      </c>
    </row>
    <row r="941" spans="1:8" ht="15.75" hidden="1" customHeight="1" x14ac:dyDescent="0.25">
      <c r="A941" s="15" t="s">
        <v>105</v>
      </c>
      <c r="B941" s="8"/>
      <c r="C941" s="8"/>
      <c r="D941" s="9"/>
      <c r="E941" s="19"/>
    </row>
    <row r="942" spans="1:8" ht="15.75" hidden="1" customHeight="1" x14ac:dyDescent="0.25">
      <c r="A942" s="15" t="s">
        <v>105</v>
      </c>
      <c r="B942" s="11" t="s">
        <v>123</v>
      </c>
      <c r="C942" s="12" t="str">
        <f>B942&amp;"_"&amp;A942</f>
        <v>Morochata_Cochabamba</v>
      </c>
      <c r="E942" s="13">
        <v>24</v>
      </c>
      <c r="F942" s="14">
        <f t="shared" ref="F942:H942" si="95">SUM(F943:F954)</f>
        <v>20.12587056153566</v>
      </c>
      <c r="G942" s="14">
        <f t="shared" si="95"/>
        <v>3.1981434814249141</v>
      </c>
      <c r="H942" s="14">
        <f t="shared" si="95"/>
        <v>0.67318164851362061</v>
      </c>
    </row>
    <row r="943" spans="1:8" ht="15.75" hidden="1" customHeight="1" x14ac:dyDescent="0.25">
      <c r="A943" s="15" t="s">
        <v>105</v>
      </c>
      <c r="B943" s="11" t="s">
        <v>123</v>
      </c>
      <c r="C943" s="15"/>
      <c r="D943" s="16" t="s">
        <v>14</v>
      </c>
      <c r="E943" s="17">
        <v>0</v>
      </c>
      <c r="F943" s="20">
        <v>0</v>
      </c>
      <c r="G943" s="20">
        <f>E943</f>
        <v>0</v>
      </c>
      <c r="H943" s="20">
        <v>0</v>
      </c>
    </row>
    <row r="944" spans="1:8" ht="15.75" hidden="1" customHeight="1" x14ac:dyDescent="0.25">
      <c r="A944" s="15" t="s">
        <v>105</v>
      </c>
      <c r="B944" s="11" t="s">
        <v>123</v>
      </c>
      <c r="C944" s="15"/>
      <c r="D944" s="16" t="s">
        <v>15</v>
      </c>
      <c r="E944" s="17">
        <v>0</v>
      </c>
      <c r="F944" s="18">
        <f>E944* 0.932775698199239</f>
        <v>0</v>
      </c>
      <c r="G944" s="18">
        <f>E944* 0.00808724987291465</f>
        <v>0</v>
      </c>
      <c r="H944" s="18">
        <f>E944*0.0590600305004852</f>
        <v>0</v>
      </c>
    </row>
    <row r="945" spans="1:8" ht="15.75" hidden="1" customHeight="1" x14ac:dyDescent="0.25">
      <c r="A945" s="15" t="s">
        <v>105</v>
      </c>
      <c r="B945" s="11" t="s">
        <v>123</v>
      </c>
      <c r="C945" s="15"/>
      <c r="D945" s="16" t="s">
        <v>16</v>
      </c>
      <c r="E945" s="17">
        <v>0</v>
      </c>
      <c r="F945" s="18">
        <f>E945* 0.0803212851405623</f>
        <v>0</v>
      </c>
      <c r="G945" s="18">
        <f>E945* 0.913367756741251</f>
        <v>0</v>
      </c>
      <c r="H945" s="18">
        <f>E945* 0.0057372346528973</f>
        <v>0</v>
      </c>
    </row>
    <row r="946" spans="1:8" ht="15.75" hidden="1" customHeight="1" x14ac:dyDescent="0.25">
      <c r="A946" s="15" t="s">
        <v>105</v>
      </c>
      <c r="B946" s="11" t="s">
        <v>123</v>
      </c>
      <c r="C946" s="15"/>
      <c r="D946" s="16" t="s">
        <v>11</v>
      </c>
      <c r="E946" s="17">
        <v>3</v>
      </c>
      <c r="F946" s="18">
        <f>E946* 0.150611071171819</f>
        <v>0.45183321351545697</v>
      </c>
      <c r="G946" s="18">
        <f>E946* 0.847699496764917</f>
        <v>2.5430984902947511</v>
      </c>
      <c r="H946" s="18">
        <f>E946* 0.00136592379583034</f>
        <v>4.0977713874910202E-3</v>
      </c>
    </row>
    <row r="947" spans="1:8" ht="15.75" hidden="1" customHeight="1" x14ac:dyDescent="0.25">
      <c r="A947" s="15" t="s">
        <v>105</v>
      </c>
      <c r="B947" s="11" t="s">
        <v>123</v>
      </c>
      <c r="C947" s="15"/>
      <c r="D947" s="16" t="s">
        <v>17</v>
      </c>
      <c r="E947" s="17">
        <v>1</v>
      </c>
      <c r="F947" s="18">
        <f>E947* 0.840430229624022</f>
        <v>0.84043022962402203</v>
      </c>
      <c r="G947" s="18">
        <f>E947* 0.0777504415846581</f>
        <v>7.7750441584658103E-2</v>
      </c>
      <c r="H947" s="18">
        <f>E947* 0.0817877870300278</f>
        <v>8.17877870300278E-2</v>
      </c>
    </row>
    <row r="948" spans="1:8" ht="15.75" hidden="1" customHeight="1" x14ac:dyDescent="0.25">
      <c r="A948" s="15" t="s">
        <v>105</v>
      </c>
      <c r="B948" s="11" t="s">
        <v>123</v>
      </c>
      <c r="C948" s="15"/>
      <c r="D948" s="16" t="s">
        <v>31</v>
      </c>
      <c r="E948" s="17">
        <v>0</v>
      </c>
      <c r="F948" s="18">
        <f>E948* 0.901975683890578</f>
        <v>0</v>
      </c>
      <c r="G948" s="18">
        <f>E948* 0.0364741641337386</f>
        <v>0</v>
      </c>
      <c r="H948" s="18">
        <f>E948* 0.0615501519756839</f>
        <v>0</v>
      </c>
    </row>
    <row r="949" spans="1:8" ht="15.75" hidden="1" customHeight="1" x14ac:dyDescent="0.25">
      <c r="A949" s="15" t="s">
        <v>105</v>
      </c>
      <c r="B949" s="11" t="s">
        <v>123</v>
      </c>
      <c r="C949" s="15"/>
      <c r="D949" s="16" t="s">
        <v>18</v>
      </c>
      <c r="E949" s="17">
        <v>1</v>
      </c>
      <c r="F949" s="18">
        <f>E949* 0.932934264493959</f>
        <v>0.932934264493959</v>
      </c>
      <c r="G949" s="18">
        <f>E949* 0.0585300964416362</f>
        <v>5.8530096441636197E-2</v>
      </c>
      <c r="H949" s="18">
        <f>E949* 0.00853563906440528</f>
        <v>8.5356390644052808E-3</v>
      </c>
    </row>
    <row r="950" spans="1:8" ht="15.75" hidden="1" customHeight="1" x14ac:dyDescent="0.25">
      <c r="A950" s="15" t="s">
        <v>105</v>
      </c>
      <c r="B950" s="11" t="s">
        <v>123</v>
      </c>
      <c r="C950" s="15"/>
      <c r="D950" s="16" t="s">
        <v>19</v>
      </c>
      <c r="E950" s="17">
        <v>0</v>
      </c>
      <c r="F950" s="18">
        <f>E950* 0.290681971640783</f>
        <v>0</v>
      </c>
      <c r="G950" s="18">
        <f>E950* 0.694125590817016</f>
        <v>0</v>
      </c>
      <c r="H950" s="18">
        <f>E950* 0.0151924375422012</f>
        <v>0</v>
      </c>
    </row>
    <row r="951" spans="1:8" ht="15.75" hidden="1" customHeight="1" x14ac:dyDescent="0.25">
      <c r="A951" s="15" t="s">
        <v>105</v>
      </c>
      <c r="B951" s="11" t="s">
        <v>123</v>
      </c>
      <c r="C951" s="15"/>
      <c r="D951" s="16" t="s">
        <v>20</v>
      </c>
      <c r="E951" s="17">
        <v>0</v>
      </c>
      <c r="F951" s="18">
        <f>E951* 0.686268801552644</f>
        <v>0</v>
      </c>
      <c r="G951" s="18">
        <f>E951* 0.196991751576904</f>
        <v>0</v>
      </c>
      <c r="H951" s="18">
        <f>E951* 0.116642406598738</f>
        <v>0</v>
      </c>
    </row>
    <row r="952" spans="1:8" ht="15.75" hidden="1" customHeight="1" x14ac:dyDescent="0.25">
      <c r="A952" s="15" t="s">
        <v>105</v>
      </c>
      <c r="B952" s="11" t="s">
        <v>123</v>
      </c>
      <c r="C952" s="15"/>
      <c r="D952" s="16" t="s">
        <v>21</v>
      </c>
      <c r="E952" s="17">
        <v>12</v>
      </c>
      <c r="F952" s="18">
        <f>E952* 0.999513766486355</f>
        <v>11.99416519783626</v>
      </c>
      <c r="G952" s="18">
        <f>E952* 0.0000243116756822464</f>
        <v>2.9174010818695676E-4</v>
      </c>
      <c r="H952" s="18">
        <f>E952* 0.00034036345955145</f>
        <v>4.0843615146173998E-3</v>
      </c>
    </row>
    <row r="953" spans="1:8" ht="15.75" hidden="1" customHeight="1" x14ac:dyDescent="0.25">
      <c r="A953" s="15" t="s">
        <v>105</v>
      </c>
      <c r="B953" s="11" t="s">
        <v>123</v>
      </c>
      <c r="C953" s="15"/>
      <c r="D953" s="16" t="s">
        <v>28</v>
      </c>
      <c r="E953" s="17">
        <v>0</v>
      </c>
      <c r="F953" s="18">
        <f>E953* 0.00094876660341556</f>
        <v>0</v>
      </c>
      <c r="G953" s="18">
        <f>E953* 0.999051233396584</f>
        <v>0</v>
      </c>
      <c r="H953" s="18">
        <v>0</v>
      </c>
    </row>
    <row r="954" spans="1:8" ht="15.75" hidden="1" customHeight="1" x14ac:dyDescent="0.25">
      <c r="A954" s="15" t="s">
        <v>105</v>
      </c>
      <c r="B954" s="11" t="s">
        <v>123</v>
      </c>
      <c r="C954" s="15"/>
      <c r="D954" s="16" t="s">
        <v>12</v>
      </c>
      <c r="E954" s="17">
        <v>7</v>
      </c>
      <c r="F954" s="18">
        <f>E954* 0.843786808009423</f>
        <v>5.9065076560659611</v>
      </c>
      <c r="G954" s="18">
        <f>E954* 0.0740675304279545</f>
        <v>0.51847271299568143</v>
      </c>
      <c r="H954" s="18">
        <f>E954* 0.0820965842167256</f>
        <v>0.57467608951707916</v>
      </c>
    </row>
    <row r="955" spans="1:8" ht="15.75" hidden="1" customHeight="1" x14ac:dyDescent="0.25">
      <c r="A955" s="15" t="s">
        <v>105</v>
      </c>
      <c r="B955" s="8"/>
      <c r="C955" s="8"/>
      <c r="D955" s="9"/>
      <c r="E955" s="19"/>
    </row>
    <row r="956" spans="1:8" ht="15.75" hidden="1" customHeight="1" x14ac:dyDescent="0.25">
      <c r="A956" s="15" t="s">
        <v>105</v>
      </c>
      <c r="B956" s="11" t="s">
        <v>124</v>
      </c>
      <c r="C956" s="12" t="str">
        <f>B956&amp;"_"&amp;A956</f>
        <v>Omereque_Cochabamba</v>
      </c>
      <c r="E956" s="13">
        <v>6</v>
      </c>
      <c r="F956" s="14">
        <f t="shared" ref="F956:H956" si="96">SUM(F957:F964)</f>
        <v>3.3172155089897299</v>
      </c>
      <c r="G956" s="14">
        <f t="shared" si="96"/>
        <v>2.6601829948537059</v>
      </c>
      <c r="H956" s="14">
        <f t="shared" si="96"/>
        <v>2.1509412975853029E-2</v>
      </c>
    </row>
    <row r="957" spans="1:8" ht="15.75" hidden="1" customHeight="1" x14ac:dyDescent="0.25">
      <c r="A957" s="15" t="s">
        <v>105</v>
      </c>
      <c r="B957" s="11" t="s">
        <v>124</v>
      </c>
      <c r="C957" s="15"/>
      <c r="D957" s="16" t="s">
        <v>16</v>
      </c>
      <c r="E957" s="17">
        <v>0</v>
      </c>
      <c r="F957" s="18">
        <f>E957* 0.0803212851405623</f>
        <v>0</v>
      </c>
      <c r="G957" s="18">
        <f>E957* 0.913367756741251</f>
        <v>0</v>
      </c>
      <c r="H957" s="18">
        <f>E957* 0.0057372346528973</f>
        <v>0</v>
      </c>
    </row>
    <row r="958" spans="1:8" ht="15.75" hidden="1" customHeight="1" x14ac:dyDescent="0.25">
      <c r="A958" s="15" t="s">
        <v>105</v>
      </c>
      <c r="B958" s="11" t="s">
        <v>124</v>
      </c>
      <c r="C958" s="15"/>
      <c r="D958" s="16" t="s">
        <v>11</v>
      </c>
      <c r="E958" s="17">
        <v>3</v>
      </c>
      <c r="F958" s="18">
        <f>E958* 0.150611071171819</f>
        <v>0.45183321351545697</v>
      </c>
      <c r="G958" s="18">
        <f>E958* 0.847699496764917</f>
        <v>2.5430984902947511</v>
      </c>
      <c r="H958" s="18">
        <f>E958* 0.00136592379583034</f>
        <v>4.0977713874910202E-3</v>
      </c>
    </row>
    <row r="959" spans="1:8" ht="15.75" hidden="1" customHeight="1" x14ac:dyDescent="0.25">
      <c r="A959" s="15" t="s">
        <v>105</v>
      </c>
      <c r="B959" s="11" t="s">
        <v>124</v>
      </c>
      <c r="C959" s="15"/>
      <c r="D959" s="16" t="s">
        <v>17</v>
      </c>
      <c r="E959" s="17">
        <v>0</v>
      </c>
      <c r="F959" s="18">
        <f>E959* 0.840430229624022</f>
        <v>0</v>
      </c>
      <c r="G959" s="18">
        <f>E959* 0.0777504415846581</f>
        <v>0</v>
      </c>
      <c r="H959" s="18">
        <f>E959* 0.0817877870300278</f>
        <v>0</v>
      </c>
    </row>
    <row r="960" spans="1:8" ht="15.75" hidden="1" customHeight="1" x14ac:dyDescent="0.25">
      <c r="A960" s="15" t="s">
        <v>105</v>
      </c>
      <c r="B960" s="11" t="s">
        <v>124</v>
      </c>
      <c r="C960" s="15"/>
      <c r="D960" s="16" t="s">
        <v>18</v>
      </c>
      <c r="E960" s="17">
        <v>2</v>
      </c>
      <c r="F960" s="18">
        <f>E960* 0.932934264493959</f>
        <v>1.865868528987918</v>
      </c>
      <c r="G960" s="18">
        <f>E960* 0.0585300964416362</f>
        <v>0.11706019288327239</v>
      </c>
      <c r="H960" s="18">
        <f>E960* 0.00853563906440528</f>
        <v>1.7071278128810562E-2</v>
      </c>
    </row>
    <row r="961" spans="1:8" ht="15.75" hidden="1" customHeight="1" x14ac:dyDescent="0.25">
      <c r="A961" s="15" t="s">
        <v>105</v>
      </c>
      <c r="B961" s="11" t="s">
        <v>124</v>
      </c>
      <c r="C961" s="15"/>
      <c r="D961" s="16" t="s">
        <v>20</v>
      </c>
      <c r="E961" s="17">
        <v>0</v>
      </c>
      <c r="F961" s="18">
        <f>E961* 0.686268801552644</f>
        <v>0</v>
      </c>
      <c r="G961" s="18">
        <f>E961* 0.196991751576904</f>
        <v>0</v>
      </c>
      <c r="H961" s="18">
        <f>E961* 0.116642406598738</f>
        <v>0</v>
      </c>
    </row>
    <row r="962" spans="1:8" ht="15.75" hidden="1" customHeight="1" x14ac:dyDescent="0.25">
      <c r="A962" s="15" t="s">
        <v>105</v>
      </c>
      <c r="B962" s="11" t="s">
        <v>124</v>
      </c>
      <c r="C962" s="15"/>
      <c r="D962" s="16" t="s">
        <v>21</v>
      </c>
      <c r="E962" s="17">
        <v>1</v>
      </c>
      <c r="F962" s="18">
        <f>E962* 0.999513766486355</f>
        <v>0.99951376648635504</v>
      </c>
      <c r="G962" s="18">
        <f>E962* 0.0000243116756822464</f>
        <v>2.4311675682246399E-5</v>
      </c>
      <c r="H962" s="18">
        <f>E962* 0.00034036345955145</f>
        <v>3.4036345955145E-4</v>
      </c>
    </row>
    <row r="963" spans="1:8" ht="15.75" hidden="1" customHeight="1" x14ac:dyDescent="0.25">
      <c r="A963" s="15" t="s">
        <v>105</v>
      </c>
      <c r="B963" s="11" t="s">
        <v>124</v>
      </c>
      <c r="C963" s="15"/>
      <c r="D963" s="16" t="s">
        <v>28</v>
      </c>
      <c r="E963" s="17">
        <v>0</v>
      </c>
      <c r="F963" s="18">
        <f>E963* 0.00094876660341556</f>
        <v>0</v>
      </c>
      <c r="G963" s="18">
        <f>E963* 0.999051233396584</f>
        <v>0</v>
      </c>
      <c r="H963" s="18">
        <v>0</v>
      </c>
    </row>
    <row r="964" spans="1:8" ht="15.75" hidden="1" customHeight="1" x14ac:dyDescent="0.25">
      <c r="A964" s="15" t="s">
        <v>105</v>
      </c>
      <c r="B964" s="11" t="s">
        <v>124</v>
      </c>
      <c r="C964" s="15"/>
      <c r="D964" s="16" t="s">
        <v>12</v>
      </c>
      <c r="E964" s="17">
        <v>0</v>
      </c>
      <c r="F964" s="18">
        <f>E964* 0.843786808009423</f>
        <v>0</v>
      </c>
      <c r="G964" s="18">
        <f>E964* 0.0740675304279545</f>
        <v>0</v>
      </c>
      <c r="H964" s="18">
        <f>E964* 0.0820965842167256</f>
        <v>0</v>
      </c>
    </row>
    <row r="965" spans="1:8" ht="15.75" hidden="1" customHeight="1" x14ac:dyDescent="0.25">
      <c r="A965" s="15" t="s">
        <v>105</v>
      </c>
      <c r="B965" s="8"/>
      <c r="C965" s="8"/>
      <c r="D965" s="9"/>
      <c r="E965" s="19"/>
    </row>
    <row r="966" spans="1:8" ht="15.75" hidden="1" customHeight="1" x14ac:dyDescent="0.25">
      <c r="A966" s="15" t="s">
        <v>105</v>
      </c>
      <c r="B966" s="11" t="s">
        <v>125</v>
      </c>
      <c r="C966" s="12" t="str">
        <f>B966&amp;"_"&amp;A966</f>
        <v>Pasorapa_Cochabamba</v>
      </c>
      <c r="E966" s="13">
        <v>1</v>
      </c>
      <c r="F966" s="14">
        <f t="shared" ref="F966:H966" si="97">SUM(F967)</f>
        <v>0.84043022962402203</v>
      </c>
      <c r="G966" s="14">
        <f t="shared" si="97"/>
        <v>7.7750441584658103E-2</v>
      </c>
      <c r="H966" s="14">
        <f t="shared" si="97"/>
        <v>8.17877870300278E-2</v>
      </c>
    </row>
    <row r="967" spans="1:8" ht="15.75" hidden="1" customHeight="1" x14ac:dyDescent="0.25">
      <c r="A967" s="15" t="s">
        <v>105</v>
      </c>
      <c r="B967" s="11" t="s">
        <v>125</v>
      </c>
      <c r="C967" s="15"/>
      <c r="D967" s="16" t="s">
        <v>17</v>
      </c>
      <c r="E967" s="17">
        <v>1</v>
      </c>
      <c r="F967" s="18">
        <f>E967* 0.840430229624022</f>
        <v>0.84043022962402203</v>
      </c>
      <c r="G967" s="18">
        <f>E967* 0.0777504415846581</f>
        <v>7.7750441584658103E-2</v>
      </c>
      <c r="H967" s="18">
        <f>E967* 0.0817877870300278</f>
        <v>8.17877870300278E-2</v>
      </c>
    </row>
    <row r="968" spans="1:8" ht="15.75" hidden="1" customHeight="1" x14ac:dyDescent="0.25">
      <c r="A968" s="15" t="s">
        <v>105</v>
      </c>
      <c r="B968" s="8"/>
      <c r="C968" s="8"/>
      <c r="D968" s="9"/>
      <c r="E968" s="19"/>
    </row>
    <row r="969" spans="1:8" ht="15.75" hidden="1" customHeight="1" x14ac:dyDescent="0.25">
      <c r="A969" s="15" t="s">
        <v>105</v>
      </c>
      <c r="B969" s="11" t="s">
        <v>126</v>
      </c>
      <c r="C969" s="12" t="str">
        <f>B969&amp;"_"&amp;A969</f>
        <v>Pocona_Cochabamba</v>
      </c>
      <c r="E969" s="13">
        <v>67</v>
      </c>
      <c r="F969" s="14">
        <f t="shared" ref="F969:H969" si="98">SUM(F970:F976)</f>
        <v>17.803581964056203</v>
      </c>
      <c r="G969" s="14">
        <f t="shared" si="98"/>
        <v>48.292162665918049</v>
      </c>
      <c r="H969" s="14">
        <f t="shared" si="98"/>
        <v>0.88547518781880008</v>
      </c>
    </row>
    <row r="970" spans="1:8" ht="15.75" hidden="1" customHeight="1" x14ac:dyDescent="0.25">
      <c r="A970" s="15" t="s">
        <v>105</v>
      </c>
      <c r="B970" s="11" t="s">
        <v>126</v>
      </c>
      <c r="C970" s="15"/>
      <c r="D970" s="16" t="s">
        <v>15</v>
      </c>
      <c r="E970" s="17">
        <v>1</v>
      </c>
      <c r="F970" s="18">
        <f>E970* 0.932775698199239</f>
        <v>0.932775698199239</v>
      </c>
      <c r="G970" s="18">
        <f>E970* 0.00808724987291465</f>
        <v>8.0872498729146498E-3</v>
      </c>
      <c r="H970" s="18">
        <f>E970*0.0590600305004852</f>
        <v>5.9060030500485201E-2</v>
      </c>
    </row>
    <row r="971" spans="1:8" ht="15.75" hidden="1" customHeight="1" x14ac:dyDescent="0.25">
      <c r="A971" s="15" t="s">
        <v>105</v>
      </c>
      <c r="B971" s="11" t="s">
        <v>126</v>
      </c>
      <c r="C971" s="15"/>
      <c r="D971" s="16" t="s">
        <v>16</v>
      </c>
      <c r="E971" s="17">
        <v>1</v>
      </c>
      <c r="F971" s="18">
        <f>E971* 0.0803212851405623</f>
        <v>8.0321285140562304E-2</v>
      </c>
      <c r="G971" s="18">
        <f>E971* 0.913367756741251</f>
        <v>0.91336775674125104</v>
      </c>
      <c r="H971" s="18">
        <f>E971* 0.0057372346528973</f>
        <v>5.7372346528973004E-3</v>
      </c>
    </row>
    <row r="972" spans="1:8" ht="15.75" hidden="1" customHeight="1" x14ac:dyDescent="0.25">
      <c r="A972" s="15" t="s">
        <v>105</v>
      </c>
      <c r="B972" s="11" t="s">
        <v>126</v>
      </c>
      <c r="C972" s="15"/>
      <c r="D972" s="16" t="s">
        <v>11</v>
      </c>
      <c r="E972" s="17">
        <v>55</v>
      </c>
      <c r="F972" s="18">
        <f>E972* 0.150611071171819</f>
        <v>8.2836089144500438</v>
      </c>
      <c r="G972" s="18">
        <f>E972* 0.847699496764917</f>
        <v>46.623472322070434</v>
      </c>
      <c r="H972" s="18">
        <f>E972* 0.00136592379583034</f>
        <v>7.5125808770668698E-2</v>
      </c>
    </row>
    <row r="973" spans="1:8" ht="15.75" hidden="1" customHeight="1" x14ac:dyDescent="0.25">
      <c r="A973" s="15" t="s">
        <v>105</v>
      </c>
      <c r="B973" s="11" t="s">
        <v>126</v>
      </c>
      <c r="C973" s="15"/>
      <c r="D973" s="16" t="s">
        <v>17</v>
      </c>
      <c r="E973" s="17">
        <v>6</v>
      </c>
      <c r="F973" s="18">
        <f>E973* 0.840430229624022</f>
        <v>5.0425813777441322</v>
      </c>
      <c r="G973" s="18">
        <f>E973* 0.0777504415846581</f>
        <v>0.46650264950794862</v>
      </c>
      <c r="H973" s="18">
        <f>E973* 0.0817877870300278</f>
        <v>0.49072672218016677</v>
      </c>
    </row>
    <row r="974" spans="1:8" ht="15.75" hidden="1" customHeight="1" x14ac:dyDescent="0.25">
      <c r="A974" s="15" t="s">
        <v>105</v>
      </c>
      <c r="B974" s="11" t="s">
        <v>126</v>
      </c>
      <c r="C974" s="15"/>
      <c r="D974" s="16" t="s">
        <v>18</v>
      </c>
      <c r="E974" s="17">
        <v>1</v>
      </c>
      <c r="F974" s="18">
        <f>E974* 0.932934264493959</f>
        <v>0.932934264493959</v>
      </c>
      <c r="G974" s="18">
        <f>E974* 0.0585300964416362</f>
        <v>5.8530096441636197E-2</v>
      </c>
      <c r="H974" s="18">
        <f>E974* 0.00853563906440528</f>
        <v>8.5356390644052808E-3</v>
      </c>
    </row>
    <row r="975" spans="1:8" ht="15.75" hidden="1" customHeight="1" x14ac:dyDescent="0.25">
      <c r="A975" s="15" t="s">
        <v>105</v>
      </c>
      <c r="B975" s="11" t="s">
        <v>126</v>
      </c>
      <c r="C975" s="15"/>
      <c r="D975" s="16" t="s">
        <v>19</v>
      </c>
      <c r="E975" s="17">
        <v>0</v>
      </c>
      <c r="F975" s="18">
        <f>E975* 0.290681971640783</f>
        <v>0</v>
      </c>
      <c r="G975" s="18">
        <f>E975* 0.694125590817016</f>
        <v>0</v>
      </c>
      <c r="H975" s="18">
        <f>E975* 0.0151924375422012</f>
        <v>0</v>
      </c>
    </row>
    <row r="976" spans="1:8" ht="15.75" hidden="1" customHeight="1" x14ac:dyDescent="0.25">
      <c r="A976" s="15" t="s">
        <v>105</v>
      </c>
      <c r="B976" s="11" t="s">
        <v>126</v>
      </c>
      <c r="C976" s="15"/>
      <c r="D976" s="16" t="s">
        <v>12</v>
      </c>
      <c r="E976" s="17">
        <v>3</v>
      </c>
      <c r="F976" s="18">
        <f>E976* 0.843786808009423</f>
        <v>2.5313604240282688</v>
      </c>
      <c r="G976" s="18">
        <f>E976* 0.0740675304279545</f>
        <v>0.22220259128386349</v>
      </c>
      <c r="H976" s="18">
        <f>E976* 0.0820965842167256</f>
        <v>0.24628975265017677</v>
      </c>
    </row>
    <row r="977" spans="1:8" ht="15.75" hidden="1" customHeight="1" x14ac:dyDescent="0.25">
      <c r="A977" s="15" t="s">
        <v>105</v>
      </c>
      <c r="B977" s="8"/>
      <c r="C977" s="8"/>
      <c r="D977" s="9"/>
      <c r="E977" s="19"/>
    </row>
    <row r="978" spans="1:8" ht="15.75" hidden="1" customHeight="1" x14ac:dyDescent="0.25">
      <c r="A978" s="15" t="s">
        <v>105</v>
      </c>
      <c r="B978" s="11" t="s">
        <v>127</v>
      </c>
      <c r="C978" s="12" t="str">
        <f>B978&amp;"_"&amp;A978</f>
        <v>Pojo_Cochabamba</v>
      </c>
      <c r="E978" s="13">
        <v>38</v>
      </c>
      <c r="F978" s="14">
        <f t="shared" ref="F978:H978" si="99">SUM(F979:F983)</f>
        <v>27.677430938873176</v>
      </c>
      <c r="G978" s="14">
        <f t="shared" si="99"/>
        <v>8.4414365420772484</v>
      </c>
      <c r="H978" s="14">
        <f t="shared" si="99"/>
        <v>1.8766420347317645</v>
      </c>
    </row>
    <row r="979" spans="1:8" ht="15.75" hidden="1" customHeight="1" x14ac:dyDescent="0.25">
      <c r="A979" s="15" t="s">
        <v>105</v>
      </c>
      <c r="B979" s="11" t="s">
        <v>127</v>
      </c>
      <c r="C979" s="15"/>
      <c r="D979" s="16" t="s">
        <v>15</v>
      </c>
      <c r="E979" s="17">
        <v>1</v>
      </c>
      <c r="F979" s="18">
        <f>E979* 0.932775698199239</f>
        <v>0.932775698199239</v>
      </c>
      <c r="G979" s="18">
        <f>E979* 0.00808724987291465</f>
        <v>8.0872498729146498E-3</v>
      </c>
      <c r="H979" s="18">
        <f>E979*0.0590600305004852</f>
        <v>5.9060030500485201E-2</v>
      </c>
    </row>
    <row r="980" spans="1:8" ht="15.75" hidden="1" customHeight="1" x14ac:dyDescent="0.25">
      <c r="A980" s="15" t="s">
        <v>105</v>
      </c>
      <c r="B980" s="11" t="s">
        <v>127</v>
      </c>
      <c r="C980" s="15"/>
      <c r="D980" s="16" t="s">
        <v>11</v>
      </c>
      <c r="E980" s="17">
        <v>8</v>
      </c>
      <c r="F980" s="18">
        <f>E980* 0.150611071171819</f>
        <v>1.2048885693745519</v>
      </c>
      <c r="G980" s="18">
        <f>E980* 0.847699496764917</f>
        <v>6.7815959741193357</v>
      </c>
      <c r="H980" s="18">
        <f>E980* 0.00136592379583034</f>
        <v>1.092739036664272E-2</v>
      </c>
    </row>
    <row r="981" spans="1:8" ht="15.75" hidden="1" customHeight="1" x14ac:dyDescent="0.25">
      <c r="A981" s="15" t="s">
        <v>105</v>
      </c>
      <c r="B981" s="11" t="s">
        <v>127</v>
      </c>
      <c r="C981" s="15"/>
      <c r="D981" s="16" t="s">
        <v>17</v>
      </c>
      <c r="E981" s="17">
        <v>6</v>
      </c>
      <c r="F981" s="18">
        <f>E981* 0.840430229624022</f>
        <v>5.0425813777441322</v>
      </c>
      <c r="G981" s="18">
        <f>E981* 0.0777504415846581</f>
        <v>0.46650264950794862</v>
      </c>
      <c r="H981" s="18">
        <f>E981* 0.0817877870300278</f>
        <v>0.49072672218016677</v>
      </c>
    </row>
    <row r="982" spans="1:8" ht="15.75" hidden="1" customHeight="1" x14ac:dyDescent="0.25">
      <c r="A982" s="15" t="s">
        <v>105</v>
      </c>
      <c r="B982" s="11" t="s">
        <v>127</v>
      </c>
      <c r="C982" s="15"/>
      <c r="D982" s="16" t="s">
        <v>21</v>
      </c>
      <c r="E982" s="17">
        <v>7</v>
      </c>
      <c r="F982" s="18">
        <f>E982* 0.999513766486355</f>
        <v>6.9965963654044856</v>
      </c>
      <c r="G982" s="18">
        <f>E982* 0.0000243116756822464</f>
        <v>1.7018172977572478E-4</v>
      </c>
      <c r="H982" s="18">
        <f>E982* 0.00034036345955145</f>
        <v>2.38254421686015E-3</v>
      </c>
    </row>
    <row r="983" spans="1:8" ht="15.75" hidden="1" customHeight="1" x14ac:dyDescent="0.25">
      <c r="A983" s="15" t="s">
        <v>105</v>
      </c>
      <c r="B983" s="11" t="s">
        <v>127</v>
      </c>
      <c r="C983" s="15"/>
      <c r="D983" s="16" t="s">
        <v>12</v>
      </c>
      <c r="E983" s="17">
        <v>16</v>
      </c>
      <c r="F983" s="18">
        <f>E983* 0.843786808009423</f>
        <v>13.500588928150767</v>
      </c>
      <c r="G983" s="18">
        <f>E983* 0.0740675304279545</f>
        <v>1.185080486847272</v>
      </c>
      <c r="H983" s="18">
        <f>E983* 0.0820965842167256</f>
        <v>1.3135453474676095</v>
      </c>
    </row>
    <row r="984" spans="1:8" ht="15.75" hidden="1" customHeight="1" x14ac:dyDescent="0.25">
      <c r="A984" s="15" t="s">
        <v>105</v>
      </c>
      <c r="B984" s="8"/>
      <c r="C984" s="8"/>
      <c r="D984" s="9"/>
      <c r="E984" s="19"/>
    </row>
    <row r="985" spans="1:8" ht="15.75" hidden="1" customHeight="1" x14ac:dyDescent="0.25">
      <c r="A985" s="15" t="s">
        <v>105</v>
      </c>
      <c r="B985" s="11" t="s">
        <v>128</v>
      </c>
      <c r="C985" s="12" t="str">
        <f>B985&amp;"_"&amp;A985</f>
        <v>Puerto Villarroel_Cochabamba</v>
      </c>
      <c r="E985" s="22">
        <v>3183</v>
      </c>
      <c r="F985" s="14">
        <f t="shared" ref="F985:H985" si="100">SUM(F986:F998)</f>
        <v>2785.6691239838051</v>
      </c>
      <c r="G985" s="14">
        <f t="shared" si="100"/>
        <v>288.214697529825</v>
      </c>
      <c r="H985" s="14">
        <f t="shared" si="100"/>
        <v>108.77604789417657</v>
      </c>
    </row>
    <row r="986" spans="1:8" ht="15.75" hidden="1" customHeight="1" x14ac:dyDescent="0.25">
      <c r="A986" s="15" t="s">
        <v>105</v>
      </c>
      <c r="B986" s="11" t="s">
        <v>128</v>
      </c>
      <c r="C986" s="15"/>
      <c r="D986" s="16" t="s">
        <v>14</v>
      </c>
      <c r="E986" s="17">
        <v>0</v>
      </c>
      <c r="F986" s="20">
        <v>0</v>
      </c>
      <c r="G986" s="20">
        <f>E986</f>
        <v>0</v>
      </c>
      <c r="H986" s="20">
        <v>0</v>
      </c>
    </row>
    <row r="987" spans="1:8" ht="15.75" hidden="1" customHeight="1" x14ac:dyDescent="0.25">
      <c r="A987" s="15" t="s">
        <v>105</v>
      </c>
      <c r="B987" s="11" t="s">
        <v>128</v>
      </c>
      <c r="C987" s="15"/>
      <c r="D987" s="16" t="s">
        <v>15</v>
      </c>
      <c r="E987" s="17">
        <v>31</v>
      </c>
      <c r="F987" s="18">
        <f>E987* 0.932775698199239</f>
        <v>28.916046644176408</v>
      </c>
      <c r="G987" s="18">
        <f>E987* 0.00808724987291465</f>
        <v>0.25070474606035414</v>
      </c>
      <c r="H987" s="18">
        <f>E987*0.0590600305004852</f>
        <v>1.8308609455150413</v>
      </c>
    </row>
    <row r="988" spans="1:8" ht="15.75" hidden="1" customHeight="1" x14ac:dyDescent="0.25">
      <c r="A988" s="15" t="s">
        <v>105</v>
      </c>
      <c r="B988" s="11" t="s">
        <v>128</v>
      </c>
      <c r="C988" s="15"/>
      <c r="D988" s="16" t="s">
        <v>16</v>
      </c>
      <c r="E988" s="17">
        <v>33</v>
      </c>
      <c r="F988" s="18">
        <f>E988* 0.0803212851405623</f>
        <v>2.6506024096385561</v>
      </c>
      <c r="G988" s="18">
        <f>E988* 0.913367756741251</f>
        <v>30.141135972461285</v>
      </c>
      <c r="H988" s="18">
        <f>E988* 0.0057372346528973</f>
        <v>0.18932874354561091</v>
      </c>
    </row>
    <row r="989" spans="1:8" ht="15.75" hidden="1" customHeight="1" x14ac:dyDescent="0.25">
      <c r="A989" s="15" t="s">
        <v>105</v>
      </c>
      <c r="B989" s="11" t="s">
        <v>128</v>
      </c>
      <c r="C989" s="15"/>
      <c r="D989" s="16" t="s">
        <v>11</v>
      </c>
      <c r="E989" s="17">
        <v>176</v>
      </c>
      <c r="F989" s="18">
        <f>E989* 0.150611071171819</f>
        <v>26.507548526240143</v>
      </c>
      <c r="G989" s="18">
        <f>E989* 0.847699496764917</f>
        <v>149.19511143062539</v>
      </c>
      <c r="H989" s="18">
        <f>E989* 0.00136592379583034</f>
        <v>0.24040258806613984</v>
      </c>
    </row>
    <row r="990" spans="1:8" ht="15.75" hidden="1" customHeight="1" x14ac:dyDescent="0.25">
      <c r="A990" s="15" t="s">
        <v>105</v>
      </c>
      <c r="B990" s="11" t="s">
        <v>128</v>
      </c>
      <c r="C990" s="15"/>
      <c r="D990" s="16" t="s">
        <v>17</v>
      </c>
      <c r="E990" s="17">
        <v>36</v>
      </c>
      <c r="F990" s="18">
        <f>E990* 0.840430229624022</f>
        <v>30.255488266464795</v>
      </c>
      <c r="G990" s="18">
        <f>E990* 0.0777504415846581</f>
        <v>2.7990158970476919</v>
      </c>
      <c r="H990" s="18">
        <f>E990* 0.0817877870300278</f>
        <v>2.9443603330810006</v>
      </c>
    </row>
    <row r="991" spans="1:8" ht="15.75" hidden="1" customHeight="1" x14ac:dyDescent="0.25">
      <c r="A991" s="15" t="s">
        <v>105</v>
      </c>
      <c r="B991" s="11" t="s">
        <v>128</v>
      </c>
      <c r="C991" s="15"/>
      <c r="D991" s="16" t="s">
        <v>31</v>
      </c>
      <c r="E991" s="17">
        <v>1</v>
      </c>
      <c r="F991" s="18">
        <f>E991* 0.901975683890578</f>
        <v>0.90197568389057803</v>
      </c>
      <c r="G991" s="18">
        <f>E991* 0.0364741641337386</f>
        <v>3.64741641337386E-2</v>
      </c>
      <c r="H991" s="18">
        <f>E991* 0.0615501519756839</f>
        <v>6.1550151975683899E-2</v>
      </c>
    </row>
    <row r="992" spans="1:8" ht="15.75" hidden="1" customHeight="1" x14ac:dyDescent="0.25">
      <c r="A992" s="15" t="s">
        <v>105</v>
      </c>
      <c r="B992" s="11" t="s">
        <v>128</v>
      </c>
      <c r="C992" s="15"/>
      <c r="D992" s="16" t="s">
        <v>18</v>
      </c>
      <c r="E992" s="17">
        <v>10</v>
      </c>
      <c r="F992" s="18">
        <f>E992* 0.932934264493959</f>
        <v>9.3293426449395902</v>
      </c>
      <c r="G992" s="18">
        <f>E992* 0.0585300964416362</f>
        <v>0.58530096441636192</v>
      </c>
      <c r="H992" s="18">
        <f>E992* 0.00853563906440528</f>
        <v>8.5356390644052815E-2</v>
      </c>
    </row>
    <row r="993" spans="1:8" ht="15.75" hidden="1" customHeight="1" x14ac:dyDescent="0.25">
      <c r="A993" s="15" t="s">
        <v>105</v>
      </c>
      <c r="B993" s="11" t="s">
        <v>128</v>
      </c>
      <c r="C993" s="15"/>
      <c r="D993" s="16" t="s">
        <v>19</v>
      </c>
      <c r="E993" s="17">
        <v>10</v>
      </c>
      <c r="F993" s="18">
        <f>E993* 0.290681971640783</f>
        <v>2.9068197164078304</v>
      </c>
      <c r="G993" s="18">
        <f>E993* 0.694125590817016</f>
        <v>6.9412559081701595</v>
      </c>
      <c r="H993" s="18">
        <f>E993* 0.0151924375422012</f>
        <v>0.15192437542201201</v>
      </c>
    </row>
    <row r="994" spans="1:8" ht="15.75" hidden="1" customHeight="1" x14ac:dyDescent="0.25">
      <c r="A994" s="15" t="s">
        <v>105</v>
      </c>
      <c r="B994" s="11" t="s">
        <v>128</v>
      </c>
      <c r="C994" s="15"/>
      <c r="D994" s="16" t="s">
        <v>20</v>
      </c>
      <c r="E994" s="17">
        <v>17</v>
      </c>
      <c r="F994" s="18">
        <f>E994* 0.686268801552644</f>
        <v>11.666569626394949</v>
      </c>
      <c r="G994" s="18">
        <f>E994* 0.196991751576904</f>
        <v>3.3488597768073678</v>
      </c>
      <c r="H994" s="18">
        <f>E994* 0.116642406598738</f>
        <v>1.9829209121785458</v>
      </c>
    </row>
    <row r="995" spans="1:8" ht="15.75" hidden="1" customHeight="1" x14ac:dyDescent="0.25">
      <c r="A995" s="15" t="s">
        <v>105</v>
      </c>
      <c r="B995" s="11" t="s">
        <v>128</v>
      </c>
      <c r="C995" s="15"/>
      <c r="D995" s="16" t="s">
        <v>21</v>
      </c>
      <c r="E995" s="23">
        <v>1636</v>
      </c>
      <c r="F995" s="18">
        <f>E995* 0.999513766486355</f>
        <v>1635.2045219716767</v>
      </c>
      <c r="G995" s="18">
        <f>E995* 0.0000243116756822464</f>
        <v>3.9773901416155111E-2</v>
      </c>
      <c r="H995" s="18">
        <f>E995* 0.00034036345955145</f>
        <v>0.55683461982617222</v>
      </c>
    </row>
    <row r="996" spans="1:8" ht="15.75" hidden="1" customHeight="1" x14ac:dyDescent="0.25">
      <c r="A996" s="15" t="s">
        <v>105</v>
      </c>
      <c r="B996" s="11" t="s">
        <v>128</v>
      </c>
      <c r="C996" s="15"/>
      <c r="D996" s="16" t="s">
        <v>36</v>
      </c>
      <c r="E996" s="17">
        <v>2</v>
      </c>
      <c r="F996" s="20">
        <f>E996</f>
        <v>2</v>
      </c>
      <c r="G996" s="20">
        <v>0</v>
      </c>
      <c r="H996" s="20">
        <v>0</v>
      </c>
    </row>
    <row r="997" spans="1:8" ht="15.75" hidden="1" customHeight="1" x14ac:dyDescent="0.25">
      <c r="A997" s="15" t="s">
        <v>105</v>
      </c>
      <c r="B997" s="11" t="s">
        <v>128</v>
      </c>
      <c r="C997" s="15"/>
      <c r="D997" s="16" t="s">
        <v>28</v>
      </c>
      <c r="E997" s="17">
        <v>4</v>
      </c>
      <c r="F997" s="18">
        <f>E997* 0.00094876660341556</f>
        <v>3.79506641366224E-3</v>
      </c>
      <c r="G997" s="18">
        <f>E997* 0.999051233396584</f>
        <v>3.9962049335863359</v>
      </c>
      <c r="H997" s="18">
        <v>0</v>
      </c>
    </row>
    <row r="998" spans="1:8" ht="15.75" hidden="1" customHeight="1" x14ac:dyDescent="0.25">
      <c r="A998" s="15" t="s">
        <v>105</v>
      </c>
      <c r="B998" s="11" t="s">
        <v>128</v>
      </c>
      <c r="C998" s="15"/>
      <c r="D998" s="16" t="s">
        <v>12</v>
      </c>
      <c r="E998" s="23">
        <v>1227</v>
      </c>
      <c r="F998" s="18">
        <f>E998* 0.843786808009423</f>
        <v>1035.3264134275619</v>
      </c>
      <c r="G998" s="18">
        <f>E998* 0.0740675304279545</f>
        <v>90.880859835100168</v>
      </c>
      <c r="H998" s="18">
        <f>E998* 0.0820965842167256</f>
        <v>100.73250883392231</v>
      </c>
    </row>
    <row r="999" spans="1:8" ht="15.75" hidden="1" customHeight="1" x14ac:dyDescent="0.25">
      <c r="A999" s="15" t="s">
        <v>105</v>
      </c>
      <c r="B999" s="8"/>
      <c r="C999" s="8"/>
      <c r="D999" s="9"/>
      <c r="E999" s="19"/>
    </row>
    <row r="1000" spans="1:8" ht="15.75" hidden="1" customHeight="1" x14ac:dyDescent="0.25">
      <c r="A1000" s="15" t="s">
        <v>105</v>
      </c>
      <c r="B1000" s="11" t="s">
        <v>129</v>
      </c>
      <c r="C1000" s="12" t="str">
        <f>B1000&amp;"_"&amp;A1000</f>
        <v>Punata_Cochabamba</v>
      </c>
      <c r="E1000" s="22">
        <v>5272</v>
      </c>
      <c r="F1000" s="14">
        <f t="shared" ref="F1000:H1000" si="101">SUM(F1001:F1013)</f>
        <v>4257.3327176939047</v>
      </c>
      <c r="G1000" s="14">
        <f t="shared" si="101"/>
        <v>744.47256250547957</v>
      </c>
      <c r="H1000" s="14">
        <f t="shared" si="101"/>
        <v>269.68735398527923</v>
      </c>
    </row>
    <row r="1001" spans="1:8" ht="15.75" hidden="1" customHeight="1" x14ac:dyDescent="0.25">
      <c r="A1001" s="15" t="s">
        <v>105</v>
      </c>
      <c r="B1001" s="11" t="s">
        <v>129</v>
      </c>
      <c r="C1001" s="15"/>
      <c r="D1001" s="16" t="s">
        <v>14</v>
      </c>
      <c r="E1001" s="17">
        <v>0</v>
      </c>
      <c r="F1001" s="20">
        <v>0</v>
      </c>
      <c r="G1001" s="20">
        <f>E1001</f>
        <v>0</v>
      </c>
      <c r="H1001" s="20">
        <v>0</v>
      </c>
    </row>
    <row r="1002" spans="1:8" ht="15.75" hidden="1" customHeight="1" x14ac:dyDescent="0.25">
      <c r="A1002" s="15" t="s">
        <v>105</v>
      </c>
      <c r="B1002" s="11" t="s">
        <v>129</v>
      </c>
      <c r="C1002" s="15"/>
      <c r="D1002" s="16" t="s">
        <v>15</v>
      </c>
      <c r="E1002" s="17">
        <v>877</v>
      </c>
      <c r="F1002" s="18">
        <f>E1002* 0.932775698199239</f>
        <v>818.04428732073256</v>
      </c>
      <c r="G1002" s="18">
        <f>E1002* 0.00808724987291465</f>
        <v>7.092518138546148</v>
      </c>
      <c r="H1002" s="18">
        <f>E1002*0.0590600305004852</f>
        <v>51.79564674892552</v>
      </c>
    </row>
    <row r="1003" spans="1:8" ht="15.75" hidden="1" customHeight="1" x14ac:dyDescent="0.25">
      <c r="A1003" s="15" t="s">
        <v>105</v>
      </c>
      <c r="B1003" s="11" t="s">
        <v>129</v>
      </c>
      <c r="C1003" s="15"/>
      <c r="D1003" s="16" t="s">
        <v>16</v>
      </c>
      <c r="E1003" s="17">
        <v>15</v>
      </c>
      <c r="F1003" s="18">
        <f>E1003* 0.0803212851405623</f>
        <v>1.2048192771084345</v>
      </c>
      <c r="G1003" s="18">
        <f>E1003* 0.913367756741251</f>
        <v>13.700516351118765</v>
      </c>
      <c r="H1003" s="18">
        <f>E1003* 0.0057372346528973</f>
        <v>8.6058519793459506E-2</v>
      </c>
    </row>
    <row r="1004" spans="1:8" ht="15.75" hidden="1" customHeight="1" x14ac:dyDescent="0.25">
      <c r="A1004" s="15" t="s">
        <v>105</v>
      </c>
      <c r="B1004" s="11" t="s">
        <v>129</v>
      </c>
      <c r="C1004" s="15"/>
      <c r="D1004" s="16" t="s">
        <v>11</v>
      </c>
      <c r="E1004" s="17">
        <v>498</v>
      </c>
      <c r="F1004" s="18">
        <f>E1004* 0.150611071171819</f>
        <v>75.004313443565863</v>
      </c>
      <c r="G1004" s="18">
        <f>E1004* 0.847699496764917</f>
        <v>422.15434938892867</v>
      </c>
      <c r="H1004" s="18">
        <f>E1004* 0.00136592379583034</f>
        <v>0.68023005032350936</v>
      </c>
    </row>
    <row r="1005" spans="1:8" ht="15.75" hidden="1" customHeight="1" x14ac:dyDescent="0.25">
      <c r="A1005" s="15" t="s">
        <v>105</v>
      </c>
      <c r="B1005" s="11" t="s">
        <v>129</v>
      </c>
      <c r="C1005" s="15"/>
      <c r="D1005" s="16" t="s">
        <v>17</v>
      </c>
      <c r="E1005" s="17">
        <v>415</v>
      </c>
      <c r="F1005" s="18">
        <f>E1005* 0.840430229624022</f>
        <v>348.77854529396916</v>
      </c>
      <c r="G1005" s="18">
        <f>E1005* 0.0777504415846581</f>
        <v>32.266433257633111</v>
      </c>
      <c r="H1005" s="18">
        <f>E1005* 0.0817877870300278</f>
        <v>33.941931617461535</v>
      </c>
    </row>
    <row r="1006" spans="1:8" ht="15.75" hidden="1" customHeight="1" x14ac:dyDescent="0.25">
      <c r="A1006" s="15" t="s">
        <v>105</v>
      </c>
      <c r="B1006" s="11" t="s">
        <v>129</v>
      </c>
      <c r="C1006" s="15"/>
      <c r="D1006" s="16" t="s">
        <v>31</v>
      </c>
      <c r="E1006" s="17">
        <v>17</v>
      </c>
      <c r="F1006" s="18">
        <f>E1006* 0.901975683890578</f>
        <v>15.333586626139827</v>
      </c>
      <c r="G1006" s="18">
        <f>E1006* 0.0364741641337386</f>
        <v>0.62006079027355621</v>
      </c>
      <c r="H1006" s="18">
        <f>E1006* 0.0615501519756839</f>
        <v>1.0463525835866263</v>
      </c>
    </row>
    <row r="1007" spans="1:8" ht="15.75" hidden="1" customHeight="1" x14ac:dyDescent="0.25">
      <c r="A1007" s="15" t="s">
        <v>105</v>
      </c>
      <c r="B1007" s="11" t="s">
        <v>129</v>
      </c>
      <c r="C1007" s="15"/>
      <c r="D1007" s="16" t="s">
        <v>18</v>
      </c>
      <c r="E1007" s="17">
        <v>59</v>
      </c>
      <c r="F1007" s="18">
        <f>E1007* 0.932934264493959</f>
        <v>55.043121605143583</v>
      </c>
      <c r="G1007" s="18">
        <f>E1007* 0.0585300964416362</f>
        <v>3.4532756900565356</v>
      </c>
      <c r="H1007" s="18">
        <f>E1007* 0.00853563906440528</f>
        <v>0.50360270479991154</v>
      </c>
    </row>
    <row r="1008" spans="1:8" ht="15.75" hidden="1" customHeight="1" x14ac:dyDescent="0.25">
      <c r="A1008" s="15" t="s">
        <v>105</v>
      </c>
      <c r="B1008" s="11" t="s">
        <v>129</v>
      </c>
      <c r="C1008" s="15"/>
      <c r="D1008" s="16" t="s">
        <v>19</v>
      </c>
      <c r="E1008" s="17">
        <v>55</v>
      </c>
      <c r="F1008" s="18">
        <f>E1008* 0.290681971640783</f>
        <v>15.987508440243067</v>
      </c>
      <c r="G1008" s="18">
        <f>E1008* 0.694125590817016</f>
        <v>38.176907494935875</v>
      </c>
      <c r="H1008" s="18">
        <f>E1008* 0.0151924375422012</f>
        <v>0.83558406482106606</v>
      </c>
    </row>
    <row r="1009" spans="1:8" ht="15.75" hidden="1" customHeight="1" x14ac:dyDescent="0.25">
      <c r="A1009" s="15" t="s">
        <v>105</v>
      </c>
      <c r="B1009" s="11" t="s">
        <v>129</v>
      </c>
      <c r="C1009" s="15"/>
      <c r="D1009" s="16" t="s">
        <v>20</v>
      </c>
      <c r="E1009" s="17">
        <v>210</v>
      </c>
      <c r="F1009" s="18">
        <f>E1009* 0.686268801552644</f>
        <v>144.11644832605523</v>
      </c>
      <c r="G1009" s="18">
        <f>E1009* 0.196991751576904</f>
        <v>41.368267831149836</v>
      </c>
      <c r="H1009" s="18">
        <f>E1009* 0.116642406598738</f>
        <v>24.494905385734977</v>
      </c>
    </row>
    <row r="1010" spans="1:8" ht="15.75" hidden="1" customHeight="1" x14ac:dyDescent="0.25">
      <c r="A1010" s="15" t="s">
        <v>105</v>
      </c>
      <c r="B1010" s="11" t="s">
        <v>129</v>
      </c>
      <c r="C1010" s="15"/>
      <c r="D1010" s="16" t="s">
        <v>21</v>
      </c>
      <c r="E1010" s="23">
        <v>1180</v>
      </c>
      <c r="F1010" s="18">
        <f>E1010* 0.999513766486355</f>
        <v>1179.426244453899</v>
      </c>
      <c r="G1010" s="18">
        <f>E1010* 0.0000243116756822464</f>
        <v>2.868777730505075E-2</v>
      </c>
      <c r="H1010" s="18">
        <f>E1010* 0.00034036345955145</f>
        <v>0.40162888227071103</v>
      </c>
    </row>
    <row r="1011" spans="1:8" ht="15.75" hidden="1" customHeight="1" x14ac:dyDescent="0.25">
      <c r="A1011" s="15" t="s">
        <v>105</v>
      </c>
      <c r="B1011" s="11" t="s">
        <v>129</v>
      </c>
      <c r="C1011" s="15"/>
      <c r="D1011" s="16" t="s">
        <v>36</v>
      </c>
      <c r="E1011" s="17">
        <v>2</v>
      </c>
      <c r="F1011" s="20">
        <f>E1011</f>
        <v>2</v>
      </c>
      <c r="G1011" s="20">
        <v>0</v>
      </c>
      <c r="H1011" s="20">
        <v>0</v>
      </c>
    </row>
    <row r="1012" spans="1:8" ht="15.75" hidden="1" customHeight="1" x14ac:dyDescent="0.25">
      <c r="A1012" s="15" t="s">
        <v>105</v>
      </c>
      <c r="B1012" s="11" t="s">
        <v>129</v>
      </c>
      <c r="C1012" s="15"/>
      <c r="D1012" s="16" t="s">
        <v>28</v>
      </c>
      <c r="E1012" s="17">
        <v>45</v>
      </c>
      <c r="F1012" s="18">
        <f>E1012* 0.00094876660341556</f>
        <v>4.2694497153700203E-2</v>
      </c>
      <c r="G1012" s="18">
        <f>E1012* 0.999051233396584</f>
        <v>44.957305502846282</v>
      </c>
      <c r="H1012" s="18">
        <v>0</v>
      </c>
    </row>
    <row r="1013" spans="1:8" ht="15.75" hidden="1" customHeight="1" x14ac:dyDescent="0.25">
      <c r="A1013" s="15" t="s">
        <v>105</v>
      </c>
      <c r="B1013" s="11" t="s">
        <v>129</v>
      </c>
      <c r="C1013" s="15"/>
      <c r="D1013" s="16" t="s">
        <v>12</v>
      </c>
      <c r="E1013" s="23">
        <v>1899</v>
      </c>
      <c r="F1013" s="18">
        <f>E1013* 0.843786808009423</f>
        <v>1602.3511484098942</v>
      </c>
      <c r="G1013" s="18">
        <f>E1013* 0.0740675304279545</f>
        <v>140.65424028268558</v>
      </c>
      <c r="H1013" s="18">
        <f>E1013* 0.0820965842167256</f>
        <v>155.90141342756192</v>
      </c>
    </row>
    <row r="1014" spans="1:8" ht="15.75" hidden="1" customHeight="1" x14ac:dyDescent="0.25">
      <c r="A1014" s="15" t="s">
        <v>105</v>
      </c>
      <c r="B1014" s="8"/>
      <c r="C1014" s="8"/>
      <c r="D1014" s="9"/>
      <c r="E1014" s="19"/>
    </row>
    <row r="1015" spans="1:8" ht="15.75" hidden="1" customHeight="1" x14ac:dyDescent="0.25">
      <c r="A1015" s="15" t="s">
        <v>105</v>
      </c>
      <c r="B1015" s="11" t="s">
        <v>130</v>
      </c>
      <c r="C1015" s="12" t="str">
        <f>B1015&amp;"_"&amp;A1015</f>
        <v>Quillacollo_Cochabamba</v>
      </c>
      <c r="E1015" s="22">
        <v>61899</v>
      </c>
      <c r="F1015" s="14">
        <f t="shared" ref="F1015:H1015" si="102">SUM(F1016:F1029)</f>
        <v>44025.560484561283</v>
      </c>
      <c r="G1015" s="14">
        <f t="shared" si="102"/>
        <v>14651.008428421905</v>
      </c>
      <c r="H1015" s="14">
        <f t="shared" si="102"/>
        <v>3216.173311396512</v>
      </c>
    </row>
    <row r="1016" spans="1:8" ht="15.75" hidden="1" customHeight="1" x14ac:dyDescent="0.25">
      <c r="A1016" s="15" t="s">
        <v>105</v>
      </c>
      <c r="B1016" s="11" t="s">
        <v>130</v>
      </c>
      <c r="C1016" s="15"/>
      <c r="D1016" s="16" t="s">
        <v>14</v>
      </c>
      <c r="E1016" s="17">
        <v>0</v>
      </c>
      <c r="F1016" s="20">
        <v>0</v>
      </c>
      <c r="G1016" s="20">
        <f>E1016</f>
        <v>0</v>
      </c>
      <c r="H1016" s="20">
        <v>0</v>
      </c>
    </row>
    <row r="1017" spans="1:8" ht="15.75" hidden="1" customHeight="1" x14ac:dyDescent="0.25">
      <c r="A1017" s="15" t="s">
        <v>105</v>
      </c>
      <c r="B1017" s="11" t="s">
        <v>130</v>
      </c>
      <c r="C1017" s="15"/>
      <c r="D1017" s="16" t="s">
        <v>15</v>
      </c>
      <c r="E1017" s="23">
        <v>10128</v>
      </c>
      <c r="F1017" s="18">
        <f>E1017* 0.932775698199239</f>
        <v>9447.1522713618924</v>
      </c>
      <c r="G1017" s="18">
        <f>E1017* 0.00808724987291465</f>
        <v>81.907666712879575</v>
      </c>
      <c r="H1017" s="18">
        <f>E1017*0.0590600305004852</f>
        <v>598.1599889089141</v>
      </c>
    </row>
    <row r="1018" spans="1:8" ht="15.75" hidden="1" customHeight="1" x14ac:dyDescent="0.25">
      <c r="A1018" s="15" t="s">
        <v>105</v>
      </c>
      <c r="B1018" s="11" t="s">
        <v>130</v>
      </c>
      <c r="C1018" s="15"/>
      <c r="D1018" s="16" t="s">
        <v>16</v>
      </c>
      <c r="E1018" s="17">
        <v>373</v>
      </c>
      <c r="F1018" s="18">
        <f>E1018* 0.0803212851405623</f>
        <v>29.95983935742974</v>
      </c>
      <c r="G1018" s="18">
        <f>E1018* 0.913367756741251</f>
        <v>340.68617326448663</v>
      </c>
      <c r="H1018" s="18">
        <f>E1018* 0.0057372346528973</f>
        <v>2.139988525530693</v>
      </c>
    </row>
    <row r="1019" spans="1:8" ht="15.75" hidden="1" customHeight="1" x14ac:dyDescent="0.25">
      <c r="A1019" s="15" t="s">
        <v>105</v>
      </c>
      <c r="B1019" s="11" t="s">
        <v>130</v>
      </c>
      <c r="C1019" s="15"/>
      <c r="D1019" s="16" t="s">
        <v>11</v>
      </c>
      <c r="E1019" s="23">
        <v>9029</v>
      </c>
      <c r="F1019" s="18">
        <f>E1019* 0.150611071171819</f>
        <v>1359.8673616103536</v>
      </c>
      <c r="G1019" s="18">
        <f>E1019* 0.847699496764917</f>
        <v>7653.8787562904354</v>
      </c>
      <c r="H1019" s="18">
        <f>E1019* 0.00136592379583034</f>
        <v>12.33292595255214</v>
      </c>
    </row>
    <row r="1020" spans="1:8" ht="15.75" hidden="1" customHeight="1" x14ac:dyDescent="0.25">
      <c r="A1020" s="15" t="s">
        <v>105</v>
      </c>
      <c r="B1020" s="11" t="s">
        <v>130</v>
      </c>
      <c r="C1020" s="15"/>
      <c r="D1020" s="16" t="s">
        <v>17</v>
      </c>
      <c r="E1020" s="23">
        <v>5933</v>
      </c>
      <c r="F1020" s="18">
        <f>E1020* 0.840430229624022</f>
        <v>4986.2725523593226</v>
      </c>
      <c r="G1020" s="18">
        <f>E1020* 0.0777504415846581</f>
        <v>461.2933699217765</v>
      </c>
      <c r="H1020" s="18">
        <f>E1020* 0.0817877870300278</f>
        <v>485.24694044915492</v>
      </c>
    </row>
    <row r="1021" spans="1:8" ht="15.75" hidden="1" customHeight="1" x14ac:dyDescent="0.25">
      <c r="A1021" s="15" t="s">
        <v>105</v>
      </c>
      <c r="B1021" s="11" t="s">
        <v>130</v>
      </c>
      <c r="C1021" s="15"/>
      <c r="D1021" s="16" t="s">
        <v>31</v>
      </c>
      <c r="E1021" s="17">
        <v>220</v>
      </c>
      <c r="F1021" s="18">
        <f>E1021* 0.901975683890578</f>
        <v>198.43465045592717</v>
      </c>
      <c r="G1021" s="18">
        <f>E1021* 0.0364741641337386</f>
        <v>8.0243161094224913</v>
      </c>
      <c r="H1021" s="18">
        <f>E1021* 0.0615501519756839</f>
        <v>13.541033434650458</v>
      </c>
    </row>
    <row r="1022" spans="1:8" ht="15.75" hidden="1" customHeight="1" x14ac:dyDescent="0.25">
      <c r="A1022" s="15" t="s">
        <v>105</v>
      </c>
      <c r="B1022" s="11" t="s">
        <v>130</v>
      </c>
      <c r="C1022" s="15"/>
      <c r="D1022" s="16" t="s">
        <v>18</v>
      </c>
      <c r="E1022" s="23">
        <v>1313</v>
      </c>
      <c r="F1022" s="18">
        <f>E1022* 0.932934264493959</f>
        <v>1224.9426892805682</v>
      </c>
      <c r="G1022" s="18">
        <f>E1022* 0.0585300964416362</f>
        <v>76.850016627868328</v>
      </c>
      <c r="H1022" s="18">
        <f>E1022* 0.00853563906440528</f>
        <v>11.207294091564133</v>
      </c>
    </row>
    <row r="1023" spans="1:8" ht="15.75" hidden="1" customHeight="1" x14ac:dyDescent="0.25">
      <c r="A1023" s="15" t="s">
        <v>105</v>
      </c>
      <c r="B1023" s="11" t="s">
        <v>130</v>
      </c>
      <c r="C1023" s="15"/>
      <c r="D1023" s="16" t="s">
        <v>19</v>
      </c>
      <c r="E1023" s="17">
        <v>827</v>
      </c>
      <c r="F1023" s="18">
        <f>E1023* 0.290681971640783</f>
        <v>240.39399054692757</v>
      </c>
      <c r="G1023" s="18">
        <f>E1023* 0.694125590817016</f>
        <v>574.04186360567223</v>
      </c>
      <c r="H1023" s="18">
        <f>E1023* 0.0151924375422012</f>
        <v>12.564145847400393</v>
      </c>
    </row>
    <row r="1024" spans="1:8" ht="15.75" hidden="1" customHeight="1" x14ac:dyDescent="0.25">
      <c r="A1024" s="15" t="s">
        <v>105</v>
      </c>
      <c r="B1024" s="11" t="s">
        <v>130</v>
      </c>
      <c r="C1024" s="15"/>
      <c r="D1024" s="16" t="s">
        <v>20</v>
      </c>
      <c r="E1024" s="23">
        <v>3203</v>
      </c>
      <c r="F1024" s="18">
        <f>E1024* 0.686268801552644</f>
        <v>2198.1189713731187</v>
      </c>
      <c r="G1024" s="18">
        <f>E1024* 0.196991751576904</f>
        <v>630.96458030082351</v>
      </c>
      <c r="H1024" s="18">
        <f>E1024* 0.116642406598738</f>
        <v>373.60562833575779</v>
      </c>
    </row>
    <row r="1025" spans="1:8" ht="15.75" hidden="1" customHeight="1" x14ac:dyDescent="0.25">
      <c r="A1025" s="15" t="s">
        <v>105</v>
      </c>
      <c r="B1025" s="11" t="s">
        <v>130</v>
      </c>
      <c r="C1025" s="15"/>
      <c r="D1025" s="16" t="s">
        <v>21</v>
      </c>
      <c r="E1025" s="23">
        <v>6791</v>
      </c>
      <c r="F1025" s="18">
        <f>E1025* 0.999513766486355</f>
        <v>6787.6979882088372</v>
      </c>
      <c r="G1025" s="18">
        <f>E1025* 0.0000243116756822464</f>
        <v>0.16510058955813528</v>
      </c>
      <c r="H1025" s="18">
        <f>E1025* 0.00034036345955145</f>
        <v>2.3114082538138971</v>
      </c>
    </row>
    <row r="1026" spans="1:8" ht="15.75" hidden="1" customHeight="1" x14ac:dyDescent="0.25">
      <c r="A1026" s="15" t="s">
        <v>105</v>
      </c>
      <c r="B1026" s="11" t="s">
        <v>130</v>
      </c>
      <c r="C1026" s="15"/>
      <c r="D1026" s="16" t="s">
        <v>36</v>
      </c>
      <c r="E1026" s="17">
        <v>25</v>
      </c>
      <c r="F1026" s="20">
        <f>E1026</f>
        <v>25</v>
      </c>
      <c r="G1026" s="20">
        <v>0</v>
      </c>
      <c r="H1026" s="20">
        <v>0</v>
      </c>
    </row>
    <row r="1027" spans="1:8" ht="15.75" hidden="1" customHeight="1" x14ac:dyDescent="0.25">
      <c r="A1027" s="15" t="s">
        <v>105</v>
      </c>
      <c r="B1027" s="11" t="s">
        <v>130</v>
      </c>
      <c r="C1027" s="15"/>
      <c r="D1027" s="16" t="s">
        <v>37</v>
      </c>
      <c r="E1027" s="17">
        <v>8</v>
      </c>
      <c r="F1027" s="20">
        <v>0</v>
      </c>
      <c r="G1027" s="20">
        <f>E1027</f>
        <v>8</v>
      </c>
      <c r="H1027" s="20">
        <v>0</v>
      </c>
    </row>
    <row r="1028" spans="1:8" ht="15.75" hidden="1" customHeight="1" x14ac:dyDescent="0.25">
      <c r="A1028" s="15" t="s">
        <v>105</v>
      </c>
      <c r="B1028" s="11" t="s">
        <v>130</v>
      </c>
      <c r="C1028" s="15"/>
      <c r="D1028" s="16" t="s">
        <v>28</v>
      </c>
      <c r="E1028" s="23">
        <v>3280</v>
      </c>
      <c r="F1028" s="18">
        <f>E1028* 0.00094876660341556</f>
        <v>3.1119544592030368</v>
      </c>
      <c r="G1028" s="18">
        <f>E1028* 0.999051233396584</f>
        <v>3276.8880455407952</v>
      </c>
      <c r="H1028" s="18">
        <v>0</v>
      </c>
    </row>
    <row r="1029" spans="1:8" ht="15.75" hidden="1" customHeight="1" x14ac:dyDescent="0.25">
      <c r="A1029" s="15" t="s">
        <v>105</v>
      </c>
      <c r="B1029" s="11" t="s">
        <v>130</v>
      </c>
      <c r="C1029" s="15"/>
      <c r="D1029" s="16" t="s">
        <v>12</v>
      </c>
      <c r="E1029" s="23">
        <v>20769</v>
      </c>
      <c r="F1029" s="18">
        <f>E1029* 0.843786808009423</f>
        <v>17524.608215547705</v>
      </c>
      <c r="G1029" s="18">
        <f>E1029* 0.0740675304279545</f>
        <v>1538.3085394581869</v>
      </c>
      <c r="H1029" s="18">
        <f>E1029* 0.0820965842167256</f>
        <v>1705.0639575971738</v>
      </c>
    </row>
    <row r="1030" spans="1:8" ht="15.75" hidden="1" customHeight="1" x14ac:dyDescent="0.25">
      <c r="A1030" s="15" t="s">
        <v>105</v>
      </c>
      <c r="B1030" s="8"/>
      <c r="C1030" s="8"/>
      <c r="D1030" s="9"/>
      <c r="E1030" s="19"/>
    </row>
    <row r="1031" spans="1:8" ht="15.75" hidden="1" customHeight="1" x14ac:dyDescent="0.25">
      <c r="A1031" s="15" t="s">
        <v>105</v>
      </c>
      <c r="B1031" s="11" t="s">
        <v>131</v>
      </c>
      <c r="C1031" s="12" t="str">
        <f>B1031&amp;"_"&amp;A1031</f>
        <v>Sacaba_Cochabamba</v>
      </c>
      <c r="E1031" s="22">
        <v>34426</v>
      </c>
      <c r="F1031" s="14">
        <f t="shared" ref="F1031:H1031" si="103">SUM(F1032:F1047)</f>
        <v>24911.410447254177</v>
      </c>
      <c r="G1031" s="14">
        <f t="shared" si="103"/>
        <v>7815.9570007026605</v>
      </c>
      <c r="H1031" s="14">
        <f t="shared" si="103"/>
        <v>1694.7855922861877</v>
      </c>
    </row>
    <row r="1032" spans="1:8" ht="15.75" hidden="1" customHeight="1" x14ac:dyDescent="0.25">
      <c r="A1032" s="15" t="s">
        <v>105</v>
      </c>
      <c r="B1032" s="11" t="s">
        <v>131</v>
      </c>
      <c r="C1032" s="15"/>
      <c r="D1032" s="16" t="s">
        <v>14</v>
      </c>
      <c r="E1032" s="17">
        <v>0</v>
      </c>
      <c r="F1032" s="20">
        <v>0</v>
      </c>
      <c r="G1032" s="20">
        <f>E1032</f>
        <v>0</v>
      </c>
      <c r="H1032" s="20">
        <v>0</v>
      </c>
    </row>
    <row r="1033" spans="1:8" ht="15.75" hidden="1" customHeight="1" x14ac:dyDescent="0.25">
      <c r="A1033" s="15" t="s">
        <v>105</v>
      </c>
      <c r="B1033" s="11" t="s">
        <v>131</v>
      </c>
      <c r="C1033" s="15"/>
      <c r="D1033" s="16" t="s">
        <v>15</v>
      </c>
      <c r="E1033" s="23">
        <v>4959</v>
      </c>
      <c r="F1033" s="18">
        <f>E1033* 0.932775698199239</f>
        <v>4625.6346873700259</v>
      </c>
      <c r="G1033" s="18">
        <f>E1033* 0.00808724987291465</f>
        <v>40.10467211978375</v>
      </c>
      <c r="H1033" s="18">
        <f>E1033*0.0590600305004852</f>
        <v>292.8786912519061</v>
      </c>
    </row>
    <row r="1034" spans="1:8" ht="15.75" hidden="1" customHeight="1" x14ac:dyDescent="0.25">
      <c r="A1034" s="15" t="s">
        <v>105</v>
      </c>
      <c r="B1034" s="11" t="s">
        <v>131</v>
      </c>
      <c r="C1034" s="15"/>
      <c r="D1034" s="16" t="s">
        <v>16</v>
      </c>
      <c r="E1034" s="17">
        <v>433</v>
      </c>
      <c r="F1034" s="18">
        <f>E1034* 0.0803212851405623</f>
        <v>34.779116465863474</v>
      </c>
      <c r="G1034" s="18">
        <f>E1034* 0.913367756741251</f>
        <v>395.48823866896169</v>
      </c>
      <c r="H1034" s="18">
        <f>E1034* 0.0057372346528973</f>
        <v>2.4842226047045313</v>
      </c>
    </row>
    <row r="1035" spans="1:8" ht="15.75" hidden="1" customHeight="1" x14ac:dyDescent="0.25">
      <c r="A1035" s="15" t="s">
        <v>105</v>
      </c>
      <c r="B1035" s="11" t="s">
        <v>131</v>
      </c>
      <c r="C1035" s="15"/>
      <c r="D1035" s="16" t="s">
        <v>11</v>
      </c>
      <c r="E1035" s="23">
        <v>5165</v>
      </c>
      <c r="F1035" s="18">
        <f>E1035* 0.150611071171819</f>
        <v>777.90618260244503</v>
      </c>
      <c r="G1035" s="18">
        <f>E1035* 0.847699496764917</f>
        <v>4378.3679007907958</v>
      </c>
      <c r="H1035" s="18">
        <f>E1035* 0.00136592379583034</f>
        <v>7.0549964054637062</v>
      </c>
    </row>
    <row r="1036" spans="1:8" ht="15.75" hidden="1" customHeight="1" x14ac:dyDescent="0.25">
      <c r="A1036" s="15" t="s">
        <v>105</v>
      </c>
      <c r="B1036" s="11" t="s">
        <v>131</v>
      </c>
      <c r="C1036" s="15"/>
      <c r="D1036" s="16" t="s">
        <v>17</v>
      </c>
      <c r="E1036" s="23">
        <v>2777</v>
      </c>
      <c r="F1036" s="18">
        <f>E1036* 0.840430229624022</f>
        <v>2333.8747476659091</v>
      </c>
      <c r="G1036" s="18">
        <f>E1036* 0.0777504415846581</f>
        <v>215.91297628059556</v>
      </c>
      <c r="H1036" s="18">
        <f>E1036* 0.0817877870300278</f>
        <v>227.1246845823872</v>
      </c>
    </row>
    <row r="1037" spans="1:8" ht="15.75" hidden="1" customHeight="1" x14ac:dyDescent="0.25">
      <c r="A1037" s="15" t="s">
        <v>105</v>
      </c>
      <c r="B1037" s="11" t="s">
        <v>131</v>
      </c>
      <c r="C1037" s="15"/>
      <c r="D1037" s="16" t="s">
        <v>31</v>
      </c>
      <c r="E1037" s="17">
        <v>94</v>
      </c>
      <c r="F1037" s="18">
        <f>E1037* 0.901975683890578</f>
        <v>84.785714285714334</v>
      </c>
      <c r="G1037" s="18">
        <f>E1037* 0.0364741641337386</f>
        <v>3.4285714285714284</v>
      </c>
      <c r="H1037" s="18">
        <f>E1037* 0.0615501519756839</f>
        <v>5.7857142857142865</v>
      </c>
    </row>
    <row r="1038" spans="1:8" ht="15.75" hidden="1" customHeight="1" x14ac:dyDescent="0.25">
      <c r="A1038" s="15" t="s">
        <v>105</v>
      </c>
      <c r="B1038" s="11" t="s">
        <v>131</v>
      </c>
      <c r="C1038" s="15"/>
      <c r="D1038" s="16" t="s">
        <v>18</v>
      </c>
      <c r="E1038" s="17">
        <v>582</v>
      </c>
      <c r="F1038" s="18">
        <f>E1038* 0.932934264493959</f>
        <v>542.96774193548413</v>
      </c>
      <c r="G1038" s="18">
        <f>E1038* 0.0585300964416362</f>
        <v>34.064516129032263</v>
      </c>
      <c r="H1038" s="18">
        <f>E1038* 0.00853563906440528</f>
        <v>4.9677419354838737</v>
      </c>
    </row>
    <row r="1039" spans="1:8" ht="15.75" hidden="1" customHeight="1" x14ac:dyDescent="0.25">
      <c r="A1039" s="15" t="s">
        <v>105</v>
      </c>
      <c r="B1039" s="11" t="s">
        <v>131</v>
      </c>
      <c r="C1039" s="15"/>
      <c r="D1039" s="16" t="s">
        <v>35</v>
      </c>
      <c r="E1039" s="17">
        <v>0</v>
      </c>
      <c r="F1039" s="20">
        <v>0</v>
      </c>
      <c r="G1039" s="20">
        <f>E1039</f>
        <v>0</v>
      </c>
      <c r="H1039" s="20">
        <v>0</v>
      </c>
    </row>
    <row r="1040" spans="1:8" ht="15.75" hidden="1" customHeight="1" x14ac:dyDescent="0.25">
      <c r="A1040" s="15" t="s">
        <v>105</v>
      </c>
      <c r="B1040" s="11" t="s">
        <v>131</v>
      </c>
      <c r="C1040" s="15"/>
      <c r="D1040" s="16" t="s">
        <v>19</v>
      </c>
      <c r="E1040" s="17">
        <v>337</v>
      </c>
      <c r="F1040" s="18">
        <f>E1040* 0.290681971640783</f>
        <v>97.959824442943884</v>
      </c>
      <c r="G1040" s="18">
        <f>E1040* 0.694125590817016</f>
        <v>233.92032410533437</v>
      </c>
      <c r="H1040" s="18">
        <f>E1040* 0.0151924375422012</f>
        <v>5.1198514517218046</v>
      </c>
    </row>
    <row r="1041" spans="1:8" ht="15.75" hidden="1" customHeight="1" x14ac:dyDescent="0.25">
      <c r="A1041" s="15" t="s">
        <v>105</v>
      </c>
      <c r="B1041" s="11" t="s">
        <v>131</v>
      </c>
      <c r="C1041" s="15"/>
      <c r="D1041" s="16" t="s">
        <v>20</v>
      </c>
      <c r="E1041" s="23">
        <v>2360</v>
      </c>
      <c r="F1041" s="18">
        <f>E1041* 0.686268801552644</f>
        <v>1619.5943716642398</v>
      </c>
      <c r="G1041" s="18">
        <f>E1041* 0.196991751576904</f>
        <v>464.90053372149339</v>
      </c>
      <c r="H1041" s="18">
        <f>E1041* 0.116642406598738</f>
        <v>275.27607957302166</v>
      </c>
    </row>
    <row r="1042" spans="1:8" ht="15.75" hidden="1" customHeight="1" x14ac:dyDescent="0.25">
      <c r="A1042" s="15" t="s">
        <v>105</v>
      </c>
      <c r="B1042" s="11" t="s">
        <v>131</v>
      </c>
      <c r="C1042" s="15"/>
      <c r="D1042" s="16" t="s">
        <v>21</v>
      </c>
      <c r="E1042" s="23">
        <v>5822</v>
      </c>
      <c r="F1042" s="18">
        <f>E1042* 0.999513766486355</f>
        <v>5819.1691484835592</v>
      </c>
      <c r="G1042" s="18">
        <f>E1042* 0.0000243116756822464</f>
        <v>0.14154257582203852</v>
      </c>
      <c r="H1042" s="18">
        <f>E1042* 0.00034036345955145</f>
        <v>1.981596061508542</v>
      </c>
    </row>
    <row r="1043" spans="1:8" ht="15.75" hidden="1" customHeight="1" x14ac:dyDescent="0.25">
      <c r="A1043" s="15" t="s">
        <v>105</v>
      </c>
      <c r="B1043" s="11" t="s">
        <v>131</v>
      </c>
      <c r="C1043" s="15"/>
      <c r="D1043" s="16" t="s">
        <v>36</v>
      </c>
      <c r="E1043" s="17">
        <v>10</v>
      </c>
      <c r="F1043" s="20">
        <f>E1043</f>
        <v>10</v>
      </c>
      <c r="G1043" s="20">
        <v>0</v>
      </c>
      <c r="H1043" s="20">
        <v>0</v>
      </c>
    </row>
    <row r="1044" spans="1:8" ht="15.75" hidden="1" customHeight="1" x14ac:dyDescent="0.25">
      <c r="A1044" s="15" t="s">
        <v>105</v>
      </c>
      <c r="B1044" s="11" t="s">
        <v>131</v>
      </c>
      <c r="C1044" s="15"/>
      <c r="D1044" s="16" t="s">
        <v>37</v>
      </c>
      <c r="E1044" s="17">
        <v>8</v>
      </c>
      <c r="F1044" s="20">
        <v>0</v>
      </c>
      <c r="G1044" s="20">
        <f>E1044</f>
        <v>8</v>
      </c>
      <c r="H1044" s="20">
        <v>0</v>
      </c>
    </row>
    <row r="1045" spans="1:8" ht="15.75" hidden="1" customHeight="1" x14ac:dyDescent="0.25">
      <c r="A1045" s="15" t="s">
        <v>105</v>
      </c>
      <c r="B1045" s="11" t="s">
        <v>131</v>
      </c>
      <c r="C1045" s="15"/>
      <c r="D1045" s="16" t="s">
        <v>28</v>
      </c>
      <c r="E1045" s="23">
        <v>1256</v>
      </c>
      <c r="F1045" s="18">
        <f>E1045* 0.00094876660341556</f>
        <v>1.1916508538899433</v>
      </c>
      <c r="G1045" s="18">
        <f>E1045* 0.999051233396584</f>
        <v>1254.8083491461095</v>
      </c>
      <c r="H1045" s="18">
        <v>0</v>
      </c>
    </row>
    <row r="1046" spans="1:8" ht="15.75" hidden="1" customHeight="1" x14ac:dyDescent="0.25">
      <c r="A1046" s="15" t="s">
        <v>105</v>
      </c>
      <c r="B1046" s="11" t="s">
        <v>131</v>
      </c>
      <c r="C1046" s="15"/>
      <c r="D1046" s="16" t="s">
        <v>84</v>
      </c>
      <c r="E1046" s="17">
        <v>0</v>
      </c>
      <c r="F1046" s="20">
        <v>0</v>
      </c>
      <c r="G1046" s="20">
        <f>E1046</f>
        <v>0</v>
      </c>
      <c r="H1046" s="20">
        <v>0</v>
      </c>
    </row>
    <row r="1047" spans="1:8" ht="15.75" hidden="1" customHeight="1" x14ac:dyDescent="0.25">
      <c r="A1047" s="15" t="s">
        <v>105</v>
      </c>
      <c r="B1047" s="11" t="s">
        <v>131</v>
      </c>
      <c r="C1047" s="15"/>
      <c r="D1047" s="16" t="s">
        <v>12</v>
      </c>
      <c r="E1047" s="23">
        <v>10623</v>
      </c>
      <c r="F1047" s="18">
        <f>E1047* 0.843786808009423</f>
        <v>8963.5472614841001</v>
      </c>
      <c r="G1047" s="18">
        <f>E1047* 0.0740675304279545</f>
        <v>786.81937573616062</v>
      </c>
      <c r="H1047" s="18">
        <f>E1047* 0.0820965842167256</f>
        <v>872.11201413427602</v>
      </c>
    </row>
    <row r="1048" spans="1:8" ht="15.75" hidden="1" customHeight="1" x14ac:dyDescent="0.25">
      <c r="A1048" s="15" t="s">
        <v>105</v>
      </c>
      <c r="B1048" s="8"/>
      <c r="C1048" s="8"/>
      <c r="D1048" s="9"/>
      <c r="E1048" s="19"/>
    </row>
    <row r="1049" spans="1:8" ht="15.75" hidden="1" customHeight="1" x14ac:dyDescent="0.25">
      <c r="A1049" s="15" t="s">
        <v>105</v>
      </c>
      <c r="B1049" s="11" t="s">
        <v>132</v>
      </c>
      <c r="C1049" s="12" t="str">
        <f>B1049&amp;"_"&amp;A1049</f>
        <v>Sacabamba_Cochabamba</v>
      </c>
      <c r="E1049" s="13">
        <v>5</v>
      </c>
      <c r="F1049" s="14">
        <f t="shared" ref="F1049:H1049" si="104">SUM(F1050:F1053)</f>
        <v>3.2807508054093342</v>
      </c>
      <c r="G1049" s="14">
        <f t="shared" si="104"/>
        <v>1.6196241525179558</v>
      </c>
      <c r="H1049" s="14">
        <f t="shared" si="104"/>
        <v>9.9026875287162239E-2</v>
      </c>
    </row>
    <row r="1050" spans="1:8" ht="15.75" hidden="1" customHeight="1" x14ac:dyDescent="0.25">
      <c r="A1050" s="15" t="s">
        <v>105</v>
      </c>
      <c r="B1050" s="11" t="s">
        <v>132</v>
      </c>
      <c r="C1050" s="15"/>
      <c r="D1050" s="16" t="s">
        <v>11</v>
      </c>
      <c r="E1050" s="17">
        <v>1</v>
      </c>
      <c r="F1050" s="18">
        <f>E1050* 0.150611071171819</f>
        <v>0.15061107117181899</v>
      </c>
      <c r="G1050" s="18">
        <f>E1050* 0.847699496764917</f>
        <v>0.84769949676491696</v>
      </c>
      <c r="H1050" s="18">
        <f>E1050* 0.00136592379583034</f>
        <v>1.36592379583034E-3</v>
      </c>
    </row>
    <row r="1051" spans="1:8" ht="15.75" hidden="1" customHeight="1" x14ac:dyDescent="0.25">
      <c r="A1051" s="15" t="s">
        <v>105</v>
      </c>
      <c r="B1051" s="11" t="s">
        <v>132</v>
      </c>
      <c r="C1051" s="15"/>
      <c r="D1051" s="16" t="s">
        <v>17</v>
      </c>
      <c r="E1051" s="17">
        <v>1</v>
      </c>
      <c r="F1051" s="18">
        <f>E1051* 0.840430229624022</f>
        <v>0.84043022962402203</v>
      </c>
      <c r="G1051" s="18">
        <f>E1051* 0.0777504415846581</f>
        <v>7.7750441584658103E-2</v>
      </c>
      <c r="H1051" s="18">
        <f>E1051* 0.0817877870300278</f>
        <v>8.17877870300278E-2</v>
      </c>
    </row>
    <row r="1052" spans="1:8" ht="15.75" hidden="1" customHeight="1" x14ac:dyDescent="0.25">
      <c r="A1052" s="15" t="s">
        <v>105</v>
      </c>
      <c r="B1052" s="11" t="s">
        <v>132</v>
      </c>
      <c r="C1052" s="15"/>
      <c r="D1052" s="16" t="s">
        <v>19</v>
      </c>
      <c r="E1052" s="17">
        <v>1</v>
      </c>
      <c r="F1052" s="18">
        <f>E1052* 0.290681971640783</f>
        <v>0.29068197164078302</v>
      </c>
      <c r="G1052" s="18">
        <f>E1052* 0.694125590817016</f>
        <v>0.69412559081701597</v>
      </c>
      <c r="H1052" s="18">
        <f>E1052* 0.0151924375422012</f>
        <v>1.51924375422012E-2</v>
      </c>
    </row>
    <row r="1053" spans="1:8" ht="15.75" hidden="1" customHeight="1" x14ac:dyDescent="0.25">
      <c r="A1053" s="15" t="s">
        <v>105</v>
      </c>
      <c r="B1053" s="11" t="s">
        <v>132</v>
      </c>
      <c r="C1053" s="15"/>
      <c r="D1053" s="16" t="s">
        <v>21</v>
      </c>
      <c r="E1053" s="17">
        <v>2</v>
      </c>
      <c r="F1053" s="18">
        <f>E1053* 0.999513766486355</f>
        <v>1.9990275329727101</v>
      </c>
      <c r="G1053" s="18">
        <f>E1053* 0.0000243116756822464</f>
        <v>4.8623351364492797E-5</v>
      </c>
      <c r="H1053" s="18">
        <f>E1053* 0.00034036345955145</f>
        <v>6.807269191029E-4</v>
      </c>
    </row>
    <row r="1054" spans="1:8" ht="15.75" hidden="1" customHeight="1" x14ac:dyDescent="0.25">
      <c r="A1054" s="15" t="s">
        <v>105</v>
      </c>
      <c r="B1054" s="21"/>
      <c r="C1054" s="21"/>
      <c r="D1054" s="16"/>
      <c r="E1054" s="19"/>
    </row>
    <row r="1055" spans="1:8" ht="15.75" hidden="1" customHeight="1" x14ac:dyDescent="0.25">
      <c r="A1055" s="15" t="s">
        <v>105</v>
      </c>
      <c r="B1055" s="11" t="s">
        <v>133</v>
      </c>
      <c r="C1055" s="12" t="str">
        <f>B1055&amp;"_"&amp;A1055</f>
        <v>San Benito_Cochabamba</v>
      </c>
      <c r="E1055" s="13">
        <v>100</v>
      </c>
      <c r="F1055" s="14">
        <f t="shared" ref="F1055:H1055" si="105">SUM(F1056:F1065)</f>
        <v>74.047703847465996</v>
      </c>
      <c r="G1055" s="14">
        <f t="shared" si="105"/>
        <v>20.235514804569515</v>
      </c>
      <c r="H1055" s="14">
        <f t="shared" si="105"/>
        <v>5.7061559986267119</v>
      </c>
    </row>
    <row r="1056" spans="1:8" ht="15.75" hidden="1" customHeight="1" x14ac:dyDescent="0.25">
      <c r="A1056" s="15" t="s">
        <v>105</v>
      </c>
      <c r="B1056" s="11" t="s">
        <v>133</v>
      </c>
      <c r="C1056" s="15"/>
      <c r="D1056" s="16" t="s">
        <v>14</v>
      </c>
      <c r="E1056" s="17">
        <v>0</v>
      </c>
      <c r="F1056" s="20">
        <v>0</v>
      </c>
      <c r="G1056" s="20">
        <f>E1056</f>
        <v>0</v>
      </c>
      <c r="H1056" s="20">
        <v>0</v>
      </c>
    </row>
    <row r="1057" spans="1:8" ht="15.75" hidden="1" customHeight="1" x14ac:dyDescent="0.25">
      <c r="A1057" s="15" t="s">
        <v>105</v>
      </c>
      <c r="B1057" s="11" t="s">
        <v>133</v>
      </c>
      <c r="C1057" s="15"/>
      <c r="D1057" s="16" t="s">
        <v>15</v>
      </c>
      <c r="E1057" s="17">
        <v>22</v>
      </c>
      <c r="F1057" s="18">
        <f>E1057* 0.932775698199239</f>
        <v>20.521065360383258</v>
      </c>
      <c r="G1057" s="18">
        <f>E1057* 0.00808724987291465</f>
        <v>0.17791949720412228</v>
      </c>
      <c r="H1057" s="18">
        <f>E1057*0.0590600305004852</f>
        <v>1.2993206710106744</v>
      </c>
    </row>
    <row r="1058" spans="1:8" ht="15.75" hidden="1" customHeight="1" x14ac:dyDescent="0.25">
      <c r="A1058" s="15" t="s">
        <v>105</v>
      </c>
      <c r="B1058" s="11" t="s">
        <v>133</v>
      </c>
      <c r="C1058" s="15"/>
      <c r="D1058" s="16" t="s">
        <v>11</v>
      </c>
      <c r="E1058" s="17">
        <v>17</v>
      </c>
      <c r="F1058" s="18">
        <f>E1058* 0.150611071171819</f>
        <v>2.560388209920923</v>
      </c>
      <c r="G1058" s="18">
        <f>E1058* 0.847699496764917</f>
        <v>14.410891445003589</v>
      </c>
      <c r="H1058" s="18">
        <f>E1058* 0.00136592379583034</f>
        <v>2.3220704529115781E-2</v>
      </c>
    </row>
    <row r="1059" spans="1:8" ht="15.75" hidden="1" customHeight="1" x14ac:dyDescent="0.25">
      <c r="A1059" s="15" t="s">
        <v>105</v>
      </c>
      <c r="B1059" s="11" t="s">
        <v>133</v>
      </c>
      <c r="C1059" s="15"/>
      <c r="D1059" s="16" t="s">
        <v>17</v>
      </c>
      <c r="E1059" s="17">
        <v>23</v>
      </c>
      <c r="F1059" s="18">
        <f>E1059* 0.840430229624022</f>
        <v>19.329895281352506</v>
      </c>
      <c r="G1059" s="18">
        <f>E1059* 0.0777504415846581</f>
        <v>1.7882601564471363</v>
      </c>
      <c r="H1059" s="18">
        <f>E1059* 0.0817877870300278</f>
        <v>1.8811191016906395</v>
      </c>
    </row>
    <row r="1060" spans="1:8" ht="15.75" hidden="1" customHeight="1" x14ac:dyDescent="0.25">
      <c r="A1060" s="15" t="s">
        <v>105</v>
      </c>
      <c r="B1060" s="11" t="s">
        <v>133</v>
      </c>
      <c r="C1060" s="15"/>
      <c r="D1060" s="16" t="s">
        <v>31</v>
      </c>
      <c r="E1060" s="17">
        <v>2</v>
      </c>
      <c r="F1060" s="18">
        <f>E1060* 0.901975683890578</f>
        <v>1.8039513677811561</v>
      </c>
      <c r="G1060" s="18">
        <f>E1060* 0.0364741641337386</f>
        <v>7.29483282674772E-2</v>
      </c>
      <c r="H1060" s="18">
        <f>E1060* 0.0615501519756839</f>
        <v>0.1231003039513678</v>
      </c>
    </row>
    <row r="1061" spans="1:8" ht="15.75" hidden="1" customHeight="1" x14ac:dyDescent="0.25">
      <c r="A1061" s="15" t="s">
        <v>105</v>
      </c>
      <c r="B1061" s="11" t="s">
        <v>133</v>
      </c>
      <c r="C1061" s="15"/>
      <c r="D1061" s="16" t="s">
        <v>18</v>
      </c>
      <c r="E1061" s="17">
        <v>0</v>
      </c>
      <c r="F1061" s="18">
        <f>E1061* 0.932934264493959</f>
        <v>0</v>
      </c>
      <c r="G1061" s="18">
        <f>E1061* 0.0585300964416362</f>
        <v>0</v>
      </c>
      <c r="H1061" s="18">
        <f>E1061* 0.00853563906440528</f>
        <v>0</v>
      </c>
    </row>
    <row r="1062" spans="1:8" ht="15.75" hidden="1" customHeight="1" x14ac:dyDescent="0.25">
      <c r="A1062" s="15" t="s">
        <v>105</v>
      </c>
      <c r="B1062" s="11" t="s">
        <v>133</v>
      </c>
      <c r="C1062" s="15"/>
      <c r="D1062" s="16" t="s">
        <v>20</v>
      </c>
      <c r="E1062" s="17">
        <v>7</v>
      </c>
      <c r="F1062" s="18">
        <f>E1062* 0.686268801552644</f>
        <v>4.8038816108685083</v>
      </c>
      <c r="G1062" s="18">
        <f>E1062* 0.196991751576904</f>
        <v>1.378942261038328</v>
      </c>
      <c r="H1062" s="18">
        <f>E1062* 0.116642406598738</f>
        <v>0.81649684619116591</v>
      </c>
    </row>
    <row r="1063" spans="1:8" ht="15.75" hidden="1" customHeight="1" x14ac:dyDescent="0.25">
      <c r="A1063" s="15" t="s">
        <v>105</v>
      </c>
      <c r="B1063" s="11" t="s">
        <v>133</v>
      </c>
      <c r="C1063" s="15"/>
      <c r="D1063" s="16" t="s">
        <v>21</v>
      </c>
      <c r="E1063" s="17">
        <v>9</v>
      </c>
      <c r="F1063" s="18">
        <f>E1063* 0.999513766486355</f>
        <v>8.995623898377195</v>
      </c>
      <c r="G1063" s="18">
        <f>E1063* 0.0000243116756822464</f>
        <v>2.1880508114021759E-4</v>
      </c>
      <c r="H1063" s="18">
        <f>E1063* 0.00034036345955145</f>
        <v>3.0632711359630501E-3</v>
      </c>
    </row>
    <row r="1064" spans="1:8" ht="15.75" hidden="1" customHeight="1" x14ac:dyDescent="0.25">
      <c r="A1064" s="15" t="s">
        <v>105</v>
      </c>
      <c r="B1064" s="11" t="s">
        <v>133</v>
      </c>
      <c r="C1064" s="15"/>
      <c r="D1064" s="16" t="s">
        <v>28</v>
      </c>
      <c r="E1064" s="17">
        <v>1</v>
      </c>
      <c r="F1064" s="18">
        <f>E1064* 0.00094876660341556</f>
        <v>9.4876660341556001E-4</v>
      </c>
      <c r="G1064" s="18">
        <f>E1064* 0.999051233396584</f>
        <v>0.99905123339658397</v>
      </c>
      <c r="H1064" s="18">
        <v>0</v>
      </c>
    </row>
    <row r="1065" spans="1:8" ht="15.75" hidden="1" customHeight="1" x14ac:dyDescent="0.25">
      <c r="A1065" s="15" t="s">
        <v>105</v>
      </c>
      <c r="B1065" s="11" t="s">
        <v>133</v>
      </c>
      <c r="C1065" s="15"/>
      <c r="D1065" s="16" t="s">
        <v>12</v>
      </c>
      <c r="E1065" s="17">
        <v>19</v>
      </c>
      <c r="F1065" s="18">
        <f>E1065* 0.843786808009423</f>
        <v>16.031949352179037</v>
      </c>
      <c r="G1065" s="18">
        <f>E1065* 0.0740675304279545</f>
        <v>1.4072830781311354</v>
      </c>
      <c r="H1065" s="18">
        <f>E1065* 0.0820965842167256</f>
        <v>1.5598351001177864</v>
      </c>
    </row>
    <row r="1066" spans="1:8" ht="15.75" hidden="1" customHeight="1" x14ac:dyDescent="0.25">
      <c r="A1066" s="15" t="s">
        <v>105</v>
      </c>
      <c r="B1066" s="8"/>
      <c r="C1066" s="8"/>
      <c r="D1066" s="9"/>
      <c r="E1066" s="19"/>
    </row>
    <row r="1067" spans="1:8" ht="15.75" hidden="1" customHeight="1" x14ac:dyDescent="0.25">
      <c r="A1067" s="15" t="s">
        <v>105</v>
      </c>
      <c r="B1067" s="11" t="s">
        <v>134</v>
      </c>
      <c r="C1067" s="12" t="str">
        <f>B1067&amp;"_"&amp;A1067</f>
        <v>Santiváñez_Cochabamba</v>
      </c>
      <c r="E1067" s="13">
        <v>43</v>
      </c>
      <c r="F1067" s="14">
        <f t="shared" ref="F1067:H1067" si="106">SUM(F1068:F1078)</f>
        <v>28.994764093336236</v>
      </c>
      <c r="G1067" s="14">
        <f t="shared" si="106"/>
        <v>11.927940002439225</v>
      </c>
      <c r="H1067" s="14">
        <f t="shared" si="106"/>
        <v>2.0715850981031299</v>
      </c>
    </row>
    <row r="1068" spans="1:8" ht="15.75" hidden="1" customHeight="1" x14ac:dyDescent="0.25">
      <c r="A1068" s="15" t="s">
        <v>105</v>
      </c>
      <c r="B1068" s="11" t="s">
        <v>134</v>
      </c>
      <c r="C1068" s="15"/>
      <c r="D1068" s="16" t="s">
        <v>14</v>
      </c>
      <c r="E1068" s="17">
        <v>0</v>
      </c>
      <c r="F1068" s="20">
        <v>0</v>
      </c>
      <c r="G1068" s="20">
        <f>E1068</f>
        <v>0</v>
      </c>
      <c r="H1068" s="20">
        <v>0</v>
      </c>
    </row>
    <row r="1069" spans="1:8" ht="15.75" hidden="1" customHeight="1" x14ac:dyDescent="0.25">
      <c r="A1069" s="15" t="s">
        <v>105</v>
      </c>
      <c r="B1069" s="11" t="s">
        <v>134</v>
      </c>
      <c r="C1069" s="15"/>
      <c r="D1069" s="16" t="s">
        <v>15</v>
      </c>
      <c r="E1069" s="17">
        <v>5</v>
      </c>
      <c r="F1069" s="18">
        <f>E1069* 0.932775698199239</f>
        <v>4.6638784909961952</v>
      </c>
      <c r="G1069" s="18">
        <f>E1069* 0.00808724987291465</f>
        <v>4.0436249364573247E-2</v>
      </c>
      <c r="H1069" s="18">
        <f>E1069*0.0590600305004852</f>
        <v>0.29530015250242603</v>
      </c>
    </row>
    <row r="1070" spans="1:8" ht="15.75" hidden="1" customHeight="1" x14ac:dyDescent="0.25">
      <c r="A1070" s="15" t="s">
        <v>105</v>
      </c>
      <c r="B1070" s="11" t="s">
        <v>134</v>
      </c>
      <c r="C1070" s="15"/>
      <c r="D1070" s="16" t="s">
        <v>11</v>
      </c>
      <c r="E1070" s="17">
        <v>11</v>
      </c>
      <c r="F1070" s="18">
        <f>E1070* 0.150611071171819</f>
        <v>1.6567217828900089</v>
      </c>
      <c r="G1070" s="18">
        <f>E1070* 0.847699496764917</f>
        <v>9.3246944644140868</v>
      </c>
      <c r="H1070" s="18">
        <f>E1070* 0.00136592379583034</f>
        <v>1.502516175413374E-2</v>
      </c>
    </row>
    <row r="1071" spans="1:8" ht="15.75" hidden="1" customHeight="1" x14ac:dyDescent="0.25">
      <c r="A1071" s="15" t="s">
        <v>105</v>
      </c>
      <c r="B1071" s="11" t="s">
        <v>134</v>
      </c>
      <c r="C1071" s="15"/>
      <c r="D1071" s="16" t="s">
        <v>17</v>
      </c>
      <c r="E1071" s="17">
        <v>5</v>
      </c>
      <c r="F1071" s="18">
        <f>E1071* 0.840430229624022</f>
        <v>4.2021511481201106</v>
      </c>
      <c r="G1071" s="18">
        <f>E1071* 0.0777504415846581</f>
        <v>0.38875220792329052</v>
      </c>
      <c r="H1071" s="18">
        <f>E1071* 0.0817877870300278</f>
        <v>0.40893893515013902</v>
      </c>
    </row>
    <row r="1072" spans="1:8" ht="15.75" hidden="1" customHeight="1" x14ac:dyDescent="0.25">
      <c r="A1072" s="15" t="s">
        <v>105</v>
      </c>
      <c r="B1072" s="11" t="s">
        <v>134</v>
      </c>
      <c r="C1072" s="15"/>
      <c r="D1072" s="16" t="s">
        <v>31</v>
      </c>
      <c r="E1072" s="17">
        <v>0</v>
      </c>
      <c r="F1072" s="18">
        <f>E1072* 0.901975683890578</f>
        <v>0</v>
      </c>
      <c r="G1072" s="18">
        <f>E1072* 0.0364741641337386</f>
        <v>0</v>
      </c>
      <c r="H1072" s="18">
        <f>E1072* 0.0615501519756839</f>
        <v>0</v>
      </c>
    </row>
    <row r="1073" spans="1:8" ht="15.75" hidden="1" customHeight="1" x14ac:dyDescent="0.25">
      <c r="A1073" s="15" t="s">
        <v>105</v>
      </c>
      <c r="B1073" s="11" t="s">
        <v>134</v>
      </c>
      <c r="C1073" s="15"/>
      <c r="D1073" s="16" t="s">
        <v>18</v>
      </c>
      <c r="E1073" s="17">
        <v>0</v>
      </c>
      <c r="F1073" s="18">
        <f>E1073* 0.932934264493959</f>
        <v>0</v>
      </c>
      <c r="G1073" s="18">
        <f>E1073* 0.0585300964416362</f>
        <v>0</v>
      </c>
      <c r="H1073" s="18">
        <f>E1073* 0.00853563906440528</f>
        <v>0</v>
      </c>
    </row>
    <row r="1074" spans="1:8" ht="15.75" hidden="1" customHeight="1" x14ac:dyDescent="0.25">
      <c r="A1074" s="15" t="s">
        <v>105</v>
      </c>
      <c r="B1074" s="11" t="s">
        <v>134</v>
      </c>
      <c r="C1074" s="15"/>
      <c r="D1074" s="16" t="s">
        <v>19</v>
      </c>
      <c r="E1074" s="17">
        <v>1</v>
      </c>
      <c r="F1074" s="18">
        <f>E1074* 0.290681971640783</f>
        <v>0.29068197164078302</v>
      </c>
      <c r="G1074" s="18">
        <f>E1074* 0.694125590817016</f>
        <v>0.69412559081701597</v>
      </c>
      <c r="H1074" s="18">
        <f>E1074* 0.0151924375422012</f>
        <v>1.51924375422012E-2</v>
      </c>
    </row>
    <row r="1075" spans="1:8" ht="15.75" hidden="1" customHeight="1" x14ac:dyDescent="0.25">
      <c r="A1075" s="15" t="s">
        <v>105</v>
      </c>
      <c r="B1075" s="11" t="s">
        <v>134</v>
      </c>
      <c r="C1075" s="15"/>
      <c r="D1075" s="16" t="s">
        <v>20</v>
      </c>
      <c r="E1075" s="17">
        <v>3</v>
      </c>
      <c r="F1075" s="18">
        <f>E1075* 0.686268801552644</f>
        <v>2.0588064046579322</v>
      </c>
      <c r="G1075" s="18">
        <f>E1075* 0.196991751576904</f>
        <v>0.590975254730712</v>
      </c>
      <c r="H1075" s="18">
        <f>E1075* 0.116642406598738</f>
        <v>0.349927219796214</v>
      </c>
    </row>
    <row r="1076" spans="1:8" ht="15.75" hidden="1" customHeight="1" x14ac:dyDescent="0.25">
      <c r="A1076" s="15" t="s">
        <v>105</v>
      </c>
      <c r="B1076" s="11" t="s">
        <v>134</v>
      </c>
      <c r="C1076" s="15"/>
      <c r="D1076" s="16" t="s">
        <v>21</v>
      </c>
      <c r="E1076" s="17">
        <v>6</v>
      </c>
      <c r="F1076" s="18">
        <f>E1076* 0.999513766486355</f>
        <v>5.99708259891813</v>
      </c>
      <c r="G1076" s="18">
        <f>E1076* 0.0000243116756822464</f>
        <v>1.4587005409347838E-4</v>
      </c>
      <c r="H1076" s="18">
        <f>E1076* 0.00034036345955145</f>
        <v>2.0421807573086999E-3</v>
      </c>
    </row>
    <row r="1077" spans="1:8" ht="15.75" hidden="1" customHeight="1" x14ac:dyDescent="0.25">
      <c r="A1077" s="15" t="s">
        <v>105</v>
      </c>
      <c r="B1077" s="11" t="s">
        <v>134</v>
      </c>
      <c r="C1077" s="15"/>
      <c r="D1077" s="16" t="s">
        <v>28</v>
      </c>
      <c r="E1077" s="17">
        <v>0</v>
      </c>
      <c r="F1077" s="18">
        <f>E1077* 0.00094876660341556</f>
        <v>0</v>
      </c>
      <c r="G1077" s="18">
        <f>E1077* 0.999051233396584</f>
        <v>0</v>
      </c>
      <c r="H1077" s="18">
        <v>0</v>
      </c>
    </row>
    <row r="1078" spans="1:8" ht="15.75" hidden="1" customHeight="1" x14ac:dyDescent="0.25">
      <c r="A1078" s="15" t="s">
        <v>105</v>
      </c>
      <c r="B1078" s="11" t="s">
        <v>134</v>
      </c>
      <c r="C1078" s="15"/>
      <c r="D1078" s="16" t="s">
        <v>12</v>
      </c>
      <c r="E1078" s="17">
        <v>12</v>
      </c>
      <c r="F1078" s="18">
        <f>E1078* 0.843786808009423</f>
        <v>10.125441696113075</v>
      </c>
      <c r="G1078" s="18">
        <f>E1078* 0.0740675304279545</f>
        <v>0.88881036513545397</v>
      </c>
      <c r="H1078" s="18">
        <f>E1078* 0.0820965842167256</f>
        <v>0.9851590106007071</v>
      </c>
    </row>
    <row r="1079" spans="1:8" ht="15.75" hidden="1" customHeight="1" x14ac:dyDescent="0.25">
      <c r="A1079" s="15" t="s">
        <v>105</v>
      </c>
      <c r="B1079" s="8"/>
      <c r="C1079" s="8"/>
      <c r="D1079" s="9"/>
      <c r="E1079" s="19"/>
    </row>
    <row r="1080" spans="1:8" ht="15.75" hidden="1" customHeight="1" x14ac:dyDescent="0.25">
      <c r="A1080" s="15" t="s">
        <v>105</v>
      </c>
      <c r="B1080" s="11" t="s">
        <v>135</v>
      </c>
      <c r="C1080" s="12" t="str">
        <f>B1080&amp;"_"&amp;A1080</f>
        <v>Shinahota_Cochabamba</v>
      </c>
      <c r="E1080" s="13">
        <v>746</v>
      </c>
      <c r="F1080" s="14">
        <f t="shared" ref="F1080:H1080" si="107">SUM(F1081:F1093)</f>
        <v>681.91171788890586</v>
      </c>
      <c r="G1080" s="14">
        <f t="shared" si="107"/>
        <v>37.73464176760428</v>
      </c>
      <c r="H1080" s="14">
        <f t="shared" si="107"/>
        <v>26.282861480092567</v>
      </c>
    </row>
    <row r="1081" spans="1:8" ht="15.75" hidden="1" customHeight="1" x14ac:dyDescent="0.25">
      <c r="A1081" s="15" t="s">
        <v>105</v>
      </c>
      <c r="B1081" s="11" t="s">
        <v>135</v>
      </c>
      <c r="C1081" s="15"/>
      <c r="D1081" s="16" t="s">
        <v>14</v>
      </c>
      <c r="E1081" s="17">
        <v>0</v>
      </c>
      <c r="F1081" s="20">
        <v>0</v>
      </c>
      <c r="G1081" s="20">
        <f>E1081</f>
        <v>0</v>
      </c>
      <c r="H1081" s="20">
        <v>0</v>
      </c>
    </row>
    <row r="1082" spans="1:8" ht="15.75" hidden="1" customHeight="1" x14ac:dyDescent="0.25">
      <c r="A1082" s="15" t="s">
        <v>105</v>
      </c>
      <c r="B1082" s="11" t="s">
        <v>135</v>
      </c>
      <c r="C1082" s="15"/>
      <c r="D1082" s="16" t="s">
        <v>15</v>
      </c>
      <c r="E1082" s="17">
        <v>14</v>
      </c>
      <c r="F1082" s="18">
        <f>E1082* 0.932775698199239</f>
        <v>13.058859774789346</v>
      </c>
      <c r="G1082" s="18">
        <f>E1082* 0.00808724987291465</f>
        <v>0.1132214982208051</v>
      </c>
      <c r="H1082" s="18">
        <f>E1082*0.0590600305004852</f>
        <v>0.82684042700679283</v>
      </c>
    </row>
    <row r="1083" spans="1:8" ht="15.75" hidden="1" customHeight="1" x14ac:dyDescent="0.25">
      <c r="A1083" s="15" t="s">
        <v>105</v>
      </c>
      <c r="B1083" s="11" t="s">
        <v>135</v>
      </c>
      <c r="C1083" s="15"/>
      <c r="D1083" s="16" t="s">
        <v>16</v>
      </c>
      <c r="E1083" s="17">
        <v>0</v>
      </c>
      <c r="F1083" s="18">
        <f>E1083* 0.0803212851405623</f>
        <v>0</v>
      </c>
      <c r="G1083" s="18">
        <f>E1083* 0.913367756741251</f>
        <v>0</v>
      </c>
      <c r="H1083" s="18">
        <f>E1083* 0.0057372346528973</f>
        <v>0</v>
      </c>
    </row>
    <row r="1084" spans="1:8" ht="15.75" hidden="1" customHeight="1" x14ac:dyDescent="0.25">
      <c r="A1084" s="15" t="s">
        <v>105</v>
      </c>
      <c r="B1084" s="11" t="s">
        <v>135</v>
      </c>
      <c r="C1084" s="15"/>
      <c r="D1084" s="16" t="s">
        <v>11</v>
      </c>
      <c r="E1084" s="17">
        <v>17</v>
      </c>
      <c r="F1084" s="18">
        <f>E1084* 0.150611071171819</f>
        <v>2.560388209920923</v>
      </c>
      <c r="G1084" s="18">
        <f>E1084* 0.847699496764917</f>
        <v>14.410891445003589</v>
      </c>
      <c r="H1084" s="18">
        <f>E1084* 0.00136592379583034</f>
        <v>2.3220704529115781E-2</v>
      </c>
    </row>
    <row r="1085" spans="1:8" ht="15.75" hidden="1" customHeight="1" x14ac:dyDescent="0.25">
      <c r="A1085" s="15" t="s">
        <v>105</v>
      </c>
      <c r="B1085" s="11" t="s">
        <v>135</v>
      </c>
      <c r="C1085" s="15"/>
      <c r="D1085" s="16" t="s">
        <v>17</v>
      </c>
      <c r="E1085" s="17">
        <v>11</v>
      </c>
      <c r="F1085" s="18">
        <f>E1085* 0.840430229624022</f>
        <v>9.2447325258642419</v>
      </c>
      <c r="G1085" s="18">
        <f>E1085* 0.0777504415846581</f>
        <v>0.85525485743123908</v>
      </c>
      <c r="H1085" s="18">
        <f>E1085* 0.0817877870300278</f>
        <v>0.89966565733030579</v>
      </c>
    </row>
    <row r="1086" spans="1:8" ht="15.75" hidden="1" customHeight="1" x14ac:dyDescent="0.25">
      <c r="A1086" s="15" t="s">
        <v>105</v>
      </c>
      <c r="B1086" s="11" t="s">
        <v>135</v>
      </c>
      <c r="C1086" s="15"/>
      <c r="D1086" s="16" t="s">
        <v>31</v>
      </c>
      <c r="E1086" s="17">
        <v>0</v>
      </c>
      <c r="F1086" s="18">
        <f>E1086* 0.901975683890578</f>
        <v>0</v>
      </c>
      <c r="G1086" s="18">
        <f>E1086* 0.0364741641337386</f>
        <v>0</v>
      </c>
      <c r="H1086" s="18">
        <f>E1086* 0.0615501519756839</f>
        <v>0</v>
      </c>
    </row>
    <row r="1087" spans="1:8" ht="15.75" hidden="1" customHeight="1" x14ac:dyDescent="0.25">
      <c r="A1087" s="15" t="s">
        <v>105</v>
      </c>
      <c r="B1087" s="11" t="s">
        <v>135</v>
      </c>
      <c r="C1087" s="15"/>
      <c r="D1087" s="16" t="s">
        <v>18</v>
      </c>
      <c r="E1087" s="17">
        <v>3</v>
      </c>
      <c r="F1087" s="18">
        <f>E1087* 0.932934264493959</f>
        <v>2.7988027934818769</v>
      </c>
      <c r="G1087" s="18">
        <f>E1087* 0.0585300964416362</f>
        <v>0.17559028932490858</v>
      </c>
      <c r="H1087" s="18">
        <f>E1087* 0.00853563906440528</f>
        <v>2.5606917193215843E-2</v>
      </c>
    </row>
    <row r="1088" spans="1:8" ht="15.75" hidden="1" customHeight="1" x14ac:dyDescent="0.25">
      <c r="A1088" s="15" t="s">
        <v>105</v>
      </c>
      <c r="B1088" s="11" t="s">
        <v>135</v>
      </c>
      <c r="C1088" s="15"/>
      <c r="D1088" s="16" t="s">
        <v>19</v>
      </c>
      <c r="E1088" s="17">
        <v>0</v>
      </c>
      <c r="F1088" s="18">
        <f>E1088* 0.290681971640783</f>
        <v>0</v>
      </c>
      <c r="G1088" s="18">
        <f>E1088* 0.694125590817016</f>
        <v>0</v>
      </c>
      <c r="H1088" s="18">
        <f>E1088* 0.0151924375422012</f>
        <v>0</v>
      </c>
    </row>
    <row r="1089" spans="1:8" ht="15.75" hidden="1" customHeight="1" x14ac:dyDescent="0.25">
      <c r="A1089" s="15" t="s">
        <v>105</v>
      </c>
      <c r="B1089" s="11" t="s">
        <v>135</v>
      </c>
      <c r="C1089" s="15"/>
      <c r="D1089" s="16" t="s">
        <v>20</v>
      </c>
      <c r="E1089" s="17">
        <v>2</v>
      </c>
      <c r="F1089" s="18">
        <f>E1089* 0.686268801552644</f>
        <v>1.3725376031052881</v>
      </c>
      <c r="G1089" s="18">
        <f>E1089* 0.196991751576904</f>
        <v>0.39398350315380798</v>
      </c>
      <c r="H1089" s="18">
        <f>E1089* 0.116642406598738</f>
        <v>0.23328481319747599</v>
      </c>
    </row>
    <row r="1090" spans="1:8" ht="15.75" hidden="1" customHeight="1" x14ac:dyDescent="0.25">
      <c r="A1090" s="15" t="s">
        <v>105</v>
      </c>
      <c r="B1090" s="11" t="s">
        <v>135</v>
      </c>
      <c r="C1090" s="15"/>
      <c r="D1090" s="16" t="s">
        <v>21</v>
      </c>
      <c r="E1090" s="17">
        <v>405</v>
      </c>
      <c r="F1090" s="18">
        <f>E1090* 0.999513766486355</f>
        <v>404.80307542697381</v>
      </c>
      <c r="G1090" s="18">
        <f>E1090* 0.0000243116756822464</f>
        <v>9.8462286513097911E-3</v>
      </c>
      <c r="H1090" s="18">
        <f>E1090* 0.00034036345955145</f>
        <v>0.13784720111833726</v>
      </c>
    </row>
    <row r="1091" spans="1:8" ht="15.75" hidden="1" customHeight="1" x14ac:dyDescent="0.25">
      <c r="A1091" s="15" t="s">
        <v>105</v>
      </c>
      <c r="B1091" s="11" t="s">
        <v>135</v>
      </c>
      <c r="C1091" s="15"/>
      <c r="D1091" s="16" t="s">
        <v>36</v>
      </c>
      <c r="E1091" s="17">
        <v>0</v>
      </c>
      <c r="F1091" s="20">
        <f>E1091</f>
        <v>0</v>
      </c>
      <c r="G1091" s="20">
        <v>0</v>
      </c>
      <c r="H1091" s="20">
        <v>0</v>
      </c>
    </row>
    <row r="1092" spans="1:8" ht="15.75" hidden="1" customHeight="1" x14ac:dyDescent="0.25">
      <c r="A1092" s="15" t="s">
        <v>105</v>
      </c>
      <c r="B1092" s="11" t="s">
        <v>135</v>
      </c>
      <c r="C1092" s="15"/>
      <c r="D1092" s="16" t="s">
        <v>28</v>
      </c>
      <c r="E1092" s="17">
        <v>0</v>
      </c>
      <c r="F1092" s="18">
        <f>E1092* 0.00094876660341556</f>
        <v>0</v>
      </c>
      <c r="G1092" s="18">
        <f>E1092* 0.999051233396584</f>
        <v>0</v>
      </c>
      <c r="H1092" s="18">
        <v>0</v>
      </c>
    </row>
    <row r="1093" spans="1:8" ht="15.75" hidden="1" customHeight="1" x14ac:dyDescent="0.25">
      <c r="A1093" s="15" t="s">
        <v>105</v>
      </c>
      <c r="B1093" s="11" t="s">
        <v>135</v>
      </c>
      <c r="C1093" s="15"/>
      <c r="D1093" s="16" t="s">
        <v>12</v>
      </c>
      <c r="E1093" s="17">
        <v>294</v>
      </c>
      <c r="F1093" s="18">
        <f>E1093* 0.843786808009423</f>
        <v>248.07332155477036</v>
      </c>
      <c r="G1093" s="18">
        <f>E1093* 0.0740675304279545</f>
        <v>21.775853945818621</v>
      </c>
      <c r="H1093" s="18">
        <f>E1093* 0.0820965842167256</f>
        <v>24.136395759717324</v>
      </c>
    </row>
    <row r="1094" spans="1:8" ht="15.75" hidden="1" customHeight="1" x14ac:dyDescent="0.25">
      <c r="A1094" s="15" t="s">
        <v>105</v>
      </c>
      <c r="B1094" s="8"/>
      <c r="C1094" s="8"/>
      <c r="D1094" s="9"/>
      <c r="E1094" s="19"/>
    </row>
    <row r="1095" spans="1:8" ht="15.75" hidden="1" customHeight="1" x14ac:dyDescent="0.25">
      <c r="A1095" s="15" t="s">
        <v>105</v>
      </c>
      <c r="B1095" s="11" t="s">
        <v>136</v>
      </c>
      <c r="C1095" s="12" t="str">
        <f>B1095&amp;"_"&amp;A1095</f>
        <v>Sipe Sipe_Cochabamba</v>
      </c>
      <c r="E1095" s="13">
        <v>198</v>
      </c>
      <c r="F1095" s="14">
        <f t="shared" ref="F1095:H1095" si="108">SUM(F1096:F1108)</f>
        <v>107.39073797939872</v>
      </c>
      <c r="G1095" s="14">
        <f t="shared" si="108"/>
        <v>80.360772506074468</v>
      </c>
      <c r="H1095" s="14">
        <f t="shared" si="108"/>
        <v>10.231970137050219</v>
      </c>
    </row>
    <row r="1096" spans="1:8" ht="15.75" hidden="1" customHeight="1" x14ac:dyDescent="0.25">
      <c r="A1096" s="15" t="s">
        <v>105</v>
      </c>
      <c r="B1096" s="11" t="s">
        <v>136</v>
      </c>
      <c r="C1096" s="15"/>
      <c r="D1096" s="16" t="s">
        <v>14</v>
      </c>
      <c r="E1096" s="17">
        <v>0</v>
      </c>
      <c r="F1096" s="20">
        <v>0</v>
      </c>
      <c r="G1096" s="20">
        <f>E1096</f>
        <v>0</v>
      </c>
      <c r="H1096" s="20">
        <v>0</v>
      </c>
    </row>
    <row r="1097" spans="1:8" ht="15.75" hidden="1" customHeight="1" x14ac:dyDescent="0.25">
      <c r="A1097" s="15" t="s">
        <v>105</v>
      </c>
      <c r="B1097" s="11" t="s">
        <v>136</v>
      </c>
      <c r="C1097" s="15"/>
      <c r="D1097" s="16" t="s">
        <v>15</v>
      </c>
      <c r="E1097" s="17">
        <v>11</v>
      </c>
      <c r="F1097" s="18">
        <f>E1097* 0.932775698199239</f>
        <v>10.260532680191629</v>
      </c>
      <c r="G1097" s="18">
        <f>E1097* 0.00808724987291465</f>
        <v>8.8959748602061142E-2</v>
      </c>
      <c r="H1097" s="18">
        <f>E1097*0.0590600305004852</f>
        <v>0.64966033550533719</v>
      </c>
    </row>
    <row r="1098" spans="1:8" ht="15.75" hidden="1" customHeight="1" x14ac:dyDescent="0.25">
      <c r="A1098" s="15" t="s">
        <v>105</v>
      </c>
      <c r="B1098" s="11" t="s">
        <v>136</v>
      </c>
      <c r="C1098" s="15"/>
      <c r="D1098" s="16" t="s">
        <v>16</v>
      </c>
      <c r="E1098" s="17">
        <v>0</v>
      </c>
      <c r="F1098" s="18">
        <f>E1098* 0.0803212851405623</f>
        <v>0</v>
      </c>
      <c r="G1098" s="18">
        <f>E1098* 0.913367756741251</f>
        <v>0</v>
      </c>
      <c r="H1098" s="18">
        <f>E1098* 0.0057372346528973</f>
        <v>0</v>
      </c>
    </row>
    <row r="1099" spans="1:8" ht="15.75" hidden="1" customHeight="1" x14ac:dyDescent="0.25">
      <c r="A1099" s="15" t="s">
        <v>105</v>
      </c>
      <c r="B1099" s="11" t="s">
        <v>136</v>
      </c>
      <c r="C1099" s="15"/>
      <c r="D1099" s="16" t="s">
        <v>11</v>
      </c>
      <c r="E1099" s="17">
        <v>30</v>
      </c>
      <c r="F1099" s="18">
        <f>E1099* 0.150611071171819</f>
        <v>4.5183321351545693</v>
      </c>
      <c r="G1099" s="18">
        <f>E1099* 0.847699496764917</f>
        <v>25.430984902947507</v>
      </c>
      <c r="H1099" s="18">
        <f>E1099* 0.00136592379583034</f>
        <v>4.0977713874910199E-2</v>
      </c>
    </row>
    <row r="1100" spans="1:8" ht="15.75" hidden="1" customHeight="1" x14ac:dyDescent="0.25">
      <c r="A1100" s="15" t="s">
        <v>105</v>
      </c>
      <c r="B1100" s="11" t="s">
        <v>136</v>
      </c>
      <c r="C1100" s="15"/>
      <c r="D1100" s="16" t="s">
        <v>17</v>
      </c>
      <c r="E1100" s="17">
        <v>20</v>
      </c>
      <c r="F1100" s="18">
        <f>E1100* 0.840430229624022</f>
        <v>16.808604592480442</v>
      </c>
      <c r="G1100" s="18">
        <f>E1100* 0.0777504415846581</f>
        <v>1.5550088316931621</v>
      </c>
      <c r="H1100" s="18">
        <f>E1100* 0.0817877870300278</f>
        <v>1.6357557406005561</v>
      </c>
    </row>
    <row r="1101" spans="1:8" ht="15.75" hidden="1" customHeight="1" x14ac:dyDescent="0.25">
      <c r="A1101" s="15" t="s">
        <v>105</v>
      </c>
      <c r="B1101" s="11" t="s">
        <v>136</v>
      </c>
      <c r="C1101" s="15"/>
      <c r="D1101" s="16" t="s">
        <v>31</v>
      </c>
      <c r="E1101" s="17">
        <v>1</v>
      </c>
      <c r="F1101" s="18">
        <f>E1101* 0.901975683890578</f>
        <v>0.90197568389057803</v>
      </c>
      <c r="G1101" s="18">
        <f>E1101* 0.0364741641337386</f>
        <v>3.64741641337386E-2</v>
      </c>
      <c r="H1101" s="18">
        <f>E1101* 0.0615501519756839</f>
        <v>6.1550151975683899E-2</v>
      </c>
    </row>
    <row r="1102" spans="1:8" ht="15.75" hidden="1" customHeight="1" x14ac:dyDescent="0.25">
      <c r="A1102" s="15" t="s">
        <v>105</v>
      </c>
      <c r="B1102" s="11" t="s">
        <v>136</v>
      </c>
      <c r="C1102" s="15"/>
      <c r="D1102" s="16" t="s">
        <v>18</v>
      </c>
      <c r="E1102" s="17">
        <v>6</v>
      </c>
      <c r="F1102" s="18">
        <f>E1102* 0.932934264493959</f>
        <v>5.5976055869637538</v>
      </c>
      <c r="G1102" s="18">
        <f>E1102* 0.0585300964416362</f>
        <v>0.35118057864981717</v>
      </c>
      <c r="H1102" s="18">
        <f>E1102* 0.00853563906440528</f>
        <v>5.1213834386431685E-2</v>
      </c>
    </row>
    <row r="1103" spans="1:8" ht="15.75" hidden="1" customHeight="1" x14ac:dyDescent="0.25">
      <c r="A1103" s="15" t="s">
        <v>105</v>
      </c>
      <c r="B1103" s="11" t="s">
        <v>136</v>
      </c>
      <c r="C1103" s="15"/>
      <c r="D1103" s="16" t="s">
        <v>19</v>
      </c>
      <c r="E1103" s="17">
        <v>38</v>
      </c>
      <c r="F1103" s="18">
        <f>E1103* 0.290681971640783</f>
        <v>11.045914922349755</v>
      </c>
      <c r="G1103" s="18">
        <f>E1103* 0.694125590817016</f>
        <v>26.376772451046605</v>
      </c>
      <c r="H1103" s="18">
        <f>E1103* 0.0151924375422012</f>
        <v>0.57731262660364557</v>
      </c>
    </row>
    <row r="1104" spans="1:8" ht="15.75" hidden="1" customHeight="1" x14ac:dyDescent="0.25">
      <c r="A1104" s="15" t="s">
        <v>105</v>
      </c>
      <c r="B1104" s="11" t="s">
        <v>136</v>
      </c>
      <c r="C1104" s="15"/>
      <c r="D1104" s="16" t="s">
        <v>20</v>
      </c>
      <c r="E1104" s="17">
        <v>33</v>
      </c>
      <c r="F1104" s="18">
        <f>E1104* 0.686268801552644</f>
        <v>22.646870451237252</v>
      </c>
      <c r="G1104" s="18">
        <f>E1104* 0.196991751576904</f>
        <v>6.5007278020378321</v>
      </c>
      <c r="H1104" s="18">
        <f>E1104* 0.116642406598738</f>
        <v>3.8491994177583537</v>
      </c>
    </row>
    <row r="1105" spans="1:8" ht="15.75" hidden="1" customHeight="1" x14ac:dyDescent="0.25">
      <c r="A1105" s="15" t="s">
        <v>105</v>
      </c>
      <c r="B1105" s="11" t="s">
        <v>136</v>
      </c>
      <c r="C1105" s="15"/>
      <c r="D1105" s="16" t="s">
        <v>21</v>
      </c>
      <c r="E1105" s="17">
        <v>1</v>
      </c>
      <c r="F1105" s="18">
        <f>E1105* 0.999513766486355</f>
        <v>0.99951376648635504</v>
      </c>
      <c r="G1105" s="18">
        <f>E1105* 0.0000243116756822464</f>
        <v>2.4311675682246399E-5</v>
      </c>
      <c r="H1105" s="18">
        <f>E1105* 0.00034036345955145</f>
        <v>3.4036345955145E-4</v>
      </c>
    </row>
    <row r="1106" spans="1:8" ht="15.75" hidden="1" customHeight="1" x14ac:dyDescent="0.25">
      <c r="A1106" s="15" t="s">
        <v>105</v>
      </c>
      <c r="B1106" s="11" t="s">
        <v>136</v>
      </c>
      <c r="C1106" s="15"/>
      <c r="D1106" s="16" t="s">
        <v>36</v>
      </c>
      <c r="E1106" s="17">
        <v>0</v>
      </c>
      <c r="F1106" s="20">
        <f>E1106</f>
        <v>0</v>
      </c>
      <c r="G1106" s="20">
        <v>0</v>
      </c>
      <c r="H1106" s="20">
        <v>0</v>
      </c>
    </row>
    <row r="1107" spans="1:8" ht="15.75" hidden="1" customHeight="1" x14ac:dyDescent="0.25">
      <c r="A1107" s="15" t="s">
        <v>105</v>
      </c>
      <c r="B1107" s="11" t="s">
        <v>136</v>
      </c>
      <c r="C1107" s="15"/>
      <c r="D1107" s="16" t="s">
        <v>28</v>
      </c>
      <c r="E1107" s="17">
        <v>17</v>
      </c>
      <c r="F1107" s="18">
        <f>E1107* 0.00094876660341556</f>
        <v>1.6129032258064519E-2</v>
      </c>
      <c r="G1107" s="18">
        <f>E1107* 0.999051233396584</f>
        <v>16.983870967741929</v>
      </c>
      <c r="H1107" s="18">
        <v>0</v>
      </c>
    </row>
    <row r="1108" spans="1:8" ht="15.75" hidden="1" customHeight="1" x14ac:dyDescent="0.25">
      <c r="A1108" s="15" t="s">
        <v>105</v>
      </c>
      <c r="B1108" s="11" t="s">
        <v>136</v>
      </c>
      <c r="C1108" s="15"/>
      <c r="D1108" s="16" t="s">
        <v>12</v>
      </c>
      <c r="E1108" s="17">
        <v>41</v>
      </c>
      <c r="F1108" s="18">
        <f>E1108* 0.843786808009423</f>
        <v>34.595259128386338</v>
      </c>
      <c r="G1108" s="18">
        <f>E1108* 0.0740675304279545</f>
        <v>3.0367687475461342</v>
      </c>
      <c r="H1108" s="18">
        <f>E1108* 0.0820965842167256</f>
        <v>3.3659599528857496</v>
      </c>
    </row>
    <row r="1109" spans="1:8" ht="15.75" hidden="1" customHeight="1" x14ac:dyDescent="0.25">
      <c r="A1109" s="15" t="s">
        <v>105</v>
      </c>
      <c r="B1109" s="8"/>
      <c r="C1109" s="8"/>
      <c r="D1109" s="9"/>
      <c r="E1109" s="19"/>
    </row>
    <row r="1110" spans="1:8" ht="15.75" hidden="1" customHeight="1" x14ac:dyDescent="0.25">
      <c r="A1110" s="15" t="s">
        <v>105</v>
      </c>
      <c r="B1110" s="11" t="s">
        <v>137</v>
      </c>
      <c r="C1110" s="12" t="str">
        <f>B1110&amp;"_"&amp;A1110</f>
        <v>Tacopaya_Cochabamba</v>
      </c>
      <c r="E1110" s="13">
        <v>9</v>
      </c>
      <c r="F1110" s="14">
        <f t="shared" ref="F1110:H1110" si="109">SUM(F1111:F1120)</f>
        <v>7.9909942445857274</v>
      </c>
      <c r="G1110" s="14">
        <f t="shared" si="109"/>
        <v>0.92193720892264719</v>
      </c>
      <c r="H1110" s="14">
        <f t="shared" si="109"/>
        <v>8.5845052229416088E-2</v>
      </c>
    </row>
    <row r="1111" spans="1:8" ht="15.75" hidden="1" customHeight="1" x14ac:dyDescent="0.25">
      <c r="A1111" s="15" t="s">
        <v>105</v>
      </c>
      <c r="B1111" s="11" t="s">
        <v>137</v>
      </c>
      <c r="C1111" s="15"/>
      <c r="D1111" s="16" t="s">
        <v>15</v>
      </c>
      <c r="E1111" s="17">
        <v>0</v>
      </c>
      <c r="F1111" s="18">
        <f>E1111* 0.932775698199239</f>
        <v>0</v>
      </c>
      <c r="G1111" s="18">
        <f>E1111* 0.00808724987291465</f>
        <v>0</v>
      </c>
      <c r="H1111" s="18">
        <f>E1111*0.0590600305004852</f>
        <v>0</v>
      </c>
    </row>
    <row r="1112" spans="1:8" ht="15.75" hidden="1" customHeight="1" x14ac:dyDescent="0.25">
      <c r="A1112" s="15" t="s">
        <v>105</v>
      </c>
      <c r="B1112" s="11" t="s">
        <v>137</v>
      </c>
      <c r="C1112" s="15"/>
      <c r="D1112" s="16" t="s">
        <v>16</v>
      </c>
      <c r="E1112" s="17">
        <v>0</v>
      </c>
      <c r="F1112" s="18">
        <f>E1112* 0.0803212851405623</f>
        <v>0</v>
      </c>
      <c r="G1112" s="18">
        <f>E1112* 0.913367756741251</f>
        <v>0</v>
      </c>
      <c r="H1112" s="18">
        <f>E1112* 0.0057372346528973</f>
        <v>0</v>
      </c>
    </row>
    <row r="1113" spans="1:8" ht="15.75" hidden="1" customHeight="1" x14ac:dyDescent="0.25">
      <c r="A1113" s="15" t="s">
        <v>105</v>
      </c>
      <c r="B1113" s="11" t="s">
        <v>137</v>
      </c>
      <c r="C1113" s="15"/>
      <c r="D1113" s="16" t="s">
        <v>11</v>
      </c>
      <c r="E1113" s="17">
        <v>1</v>
      </c>
      <c r="F1113" s="18">
        <f>E1113* 0.150611071171819</f>
        <v>0.15061107117181899</v>
      </c>
      <c r="G1113" s="18">
        <f>E1113* 0.847699496764917</f>
        <v>0.84769949676491696</v>
      </c>
      <c r="H1113" s="18">
        <f>E1113* 0.00136592379583034</f>
        <v>1.36592379583034E-3</v>
      </c>
    </row>
    <row r="1114" spans="1:8" ht="15.75" hidden="1" customHeight="1" x14ac:dyDescent="0.25">
      <c r="A1114" s="15" t="s">
        <v>105</v>
      </c>
      <c r="B1114" s="11" t="s">
        <v>137</v>
      </c>
      <c r="C1114" s="15"/>
      <c r="D1114" s="16" t="s">
        <v>17</v>
      </c>
      <c r="E1114" s="17">
        <v>0</v>
      </c>
      <c r="F1114" s="18">
        <f>E1114* 0.840430229624022</f>
        <v>0</v>
      </c>
      <c r="G1114" s="18">
        <f>E1114* 0.0777504415846581</f>
        <v>0</v>
      </c>
      <c r="H1114" s="18">
        <f>E1114* 0.0817877870300278</f>
        <v>0</v>
      </c>
    </row>
    <row r="1115" spans="1:8" ht="15.75" hidden="1" customHeight="1" x14ac:dyDescent="0.25">
      <c r="A1115" s="15" t="s">
        <v>105</v>
      </c>
      <c r="B1115" s="11" t="s">
        <v>137</v>
      </c>
      <c r="C1115" s="15"/>
      <c r="D1115" s="16" t="s">
        <v>18</v>
      </c>
      <c r="E1115" s="17">
        <v>0</v>
      </c>
      <c r="F1115" s="18">
        <f>E1115* 0.932934264493959</f>
        <v>0</v>
      </c>
      <c r="G1115" s="18">
        <f>E1115* 0.0585300964416362</f>
        <v>0</v>
      </c>
      <c r="H1115" s="18">
        <f>E1115* 0.00853563906440528</f>
        <v>0</v>
      </c>
    </row>
    <row r="1116" spans="1:8" ht="15.75" hidden="1" customHeight="1" x14ac:dyDescent="0.25">
      <c r="A1116" s="15" t="s">
        <v>105</v>
      </c>
      <c r="B1116" s="11" t="s">
        <v>137</v>
      </c>
      <c r="C1116" s="15"/>
      <c r="D1116" s="16" t="s">
        <v>19</v>
      </c>
      <c r="E1116" s="17">
        <v>0</v>
      </c>
      <c r="F1116" s="18">
        <f>E1116* 0.290681971640783</f>
        <v>0</v>
      </c>
      <c r="G1116" s="18">
        <f>E1116* 0.694125590817016</f>
        <v>0</v>
      </c>
      <c r="H1116" s="18">
        <f>E1116* 0.0151924375422012</f>
        <v>0</v>
      </c>
    </row>
    <row r="1117" spans="1:8" ht="15.75" hidden="1" customHeight="1" x14ac:dyDescent="0.25">
      <c r="A1117" s="15" t="s">
        <v>105</v>
      </c>
      <c r="B1117" s="11" t="s">
        <v>137</v>
      </c>
      <c r="C1117" s="15"/>
      <c r="D1117" s="16" t="s">
        <v>20</v>
      </c>
      <c r="E1117" s="17">
        <v>0</v>
      </c>
      <c r="F1117" s="18">
        <f>E1117* 0.686268801552644</f>
        <v>0</v>
      </c>
      <c r="G1117" s="18">
        <f>E1117* 0.196991751576904</f>
        <v>0</v>
      </c>
      <c r="H1117" s="18">
        <f>E1117* 0.116642406598738</f>
        <v>0</v>
      </c>
    </row>
    <row r="1118" spans="1:8" ht="15.75" hidden="1" customHeight="1" x14ac:dyDescent="0.25">
      <c r="A1118" s="15" t="s">
        <v>105</v>
      </c>
      <c r="B1118" s="11" t="s">
        <v>137</v>
      </c>
      <c r="C1118" s="15"/>
      <c r="D1118" s="16" t="s">
        <v>21</v>
      </c>
      <c r="E1118" s="17">
        <v>7</v>
      </c>
      <c r="F1118" s="18">
        <f>E1118* 0.999513766486355</f>
        <v>6.9965963654044856</v>
      </c>
      <c r="G1118" s="18">
        <f>E1118* 0.0000243116756822464</f>
        <v>1.7018172977572478E-4</v>
      </c>
      <c r="H1118" s="18">
        <f>E1118* 0.00034036345955145</f>
        <v>2.38254421686015E-3</v>
      </c>
    </row>
    <row r="1119" spans="1:8" ht="15.75" hidden="1" customHeight="1" x14ac:dyDescent="0.25">
      <c r="A1119" s="15" t="s">
        <v>105</v>
      </c>
      <c r="B1119" s="11" t="s">
        <v>137</v>
      </c>
      <c r="C1119" s="15"/>
      <c r="D1119" s="16" t="s">
        <v>28</v>
      </c>
      <c r="E1119" s="17">
        <v>0</v>
      </c>
      <c r="F1119" s="18">
        <f>E1119* 0.00094876660341556</f>
        <v>0</v>
      </c>
      <c r="G1119" s="18">
        <f>E1119* 0.999051233396584</f>
        <v>0</v>
      </c>
      <c r="H1119" s="18">
        <v>0</v>
      </c>
    </row>
    <row r="1120" spans="1:8" ht="15.75" hidden="1" customHeight="1" x14ac:dyDescent="0.25">
      <c r="A1120" s="15" t="s">
        <v>105</v>
      </c>
      <c r="B1120" s="11" t="s">
        <v>137</v>
      </c>
      <c r="C1120" s="15"/>
      <c r="D1120" s="16" t="s">
        <v>12</v>
      </c>
      <c r="E1120" s="17">
        <v>1</v>
      </c>
      <c r="F1120" s="18">
        <f>E1120* 0.843786808009423</f>
        <v>0.84378680800942296</v>
      </c>
      <c r="G1120" s="18">
        <f>E1120* 0.0740675304279545</f>
        <v>7.4067530427954498E-2</v>
      </c>
      <c r="H1120" s="18">
        <f>E1120* 0.0820965842167256</f>
        <v>8.2096584216725596E-2</v>
      </c>
    </row>
    <row r="1121" spans="1:8" ht="15.75" hidden="1" customHeight="1" x14ac:dyDescent="0.25">
      <c r="A1121" s="15" t="s">
        <v>105</v>
      </c>
      <c r="B1121" s="8"/>
      <c r="C1121" s="8"/>
      <c r="D1121" s="9"/>
      <c r="E1121" s="19"/>
    </row>
    <row r="1122" spans="1:8" ht="15.75" hidden="1" customHeight="1" x14ac:dyDescent="0.25">
      <c r="A1122" s="15" t="s">
        <v>105</v>
      </c>
      <c r="B1122" s="11" t="s">
        <v>138</v>
      </c>
      <c r="C1122" s="12" t="str">
        <f>B1122&amp;"_"&amp;A1122</f>
        <v>Tapacarí_Cochabamba</v>
      </c>
      <c r="E1122" s="13">
        <v>13</v>
      </c>
      <c r="F1122" s="14">
        <f t="shared" ref="F1122:H1122" si="110">SUM(F1123:F1133)</f>
        <v>10.825336119877345</v>
      </c>
      <c r="G1122" s="14">
        <f t="shared" si="110"/>
        <v>1.921478989375859</v>
      </c>
      <c r="H1122" s="14">
        <f t="shared" si="110"/>
        <v>0.25143571073155124</v>
      </c>
    </row>
    <row r="1123" spans="1:8" ht="15.75" hidden="1" customHeight="1" x14ac:dyDescent="0.25">
      <c r="A1123" s="15" t="s">
        <v>105</v>
      </c>
      <c r="B1123" s="11" t="s">
        <v>138</v>
      </c>
      <c r="C1123" s="15"/>
      <c r="D1123" s="16" t="s">
        <v>14</v>
      </c>
      <c r="E1123" s="17">
        <v>0</v>
      </c>
      <c r="F1123" s="20">
        <v>0</v>
      </c>
      <c r="G1123" s="20">
        <f>E1123</f>
        <v>0</v>
      </c>
      <c r="H1123" s="20">
        <v>0</v>
      </c>
    </row>
    <row r="1124" spans="1:8" ht="15.75" hidden="1" customHeight="1" x14ac:dyDescent="0.25">
      <c r="A1124" s="15" t="s">
        <v>105</v>
      </c>
      <c r="B1124" s="11" t="s">
        <v>138</v>
      </c>
      <c r="C1124" s="15"/>
      <c r="D1124" s="16" t="s">
        <v>15</v>
      </c>
      <c r="E1124" s="17">
        <v>0</v>
      </c>
      <c r="F1124" s="18">
        <f>E1124* 0.932775698199239</f>
        <v>0</v>
      </c>
      <c r="G1124" s="18">
        <f>E1124* 0.00808724987291465</f>
        <v>0</v>
      </c>
      <c r="H1124" s="18">
        <f>E1124*0.0590600305004852</f>
        <v>0</v>
      </c>
    </row>
    <row r="1125" spans="1:8" ht="15.75" hidden="1" customHeight="1" x14ac:dyDescent="0.25">
      <c r="A1125" s="15" t="s">
        <v>105</v>
      </c>
      <c r="B1125" s="11" t="s">
        <v>138</v>
      </c>
      <c r="C1125" s="15"/>
      <c r="D1125" s="16" t="s">
        <v>16</v>
      </c>
      <c r="E1125" s="17">
        <v>0</v>
      </c>
      <c r="F1125" s="18">
        <f>E1125* 0.0803212851405623</f>
        <v>0</v>
      </c>
      <c r="G1125" s="18">
        <f>E1125* 0.913367756741251</f>
        <v>0</v>
      </c>
      <c r="H1125" s="18">
        <f>E1125* 0.0057372346528973</f>
        <v>0</v>
      </c>
    </row>
    <row r="1126" spans="1:8" ht="15.75" hidden="1" customHeight="1" x14ac:dyDescent="0.25">
      <c r="A1126" s="15" t="s">
        <v>105</v>
      </c>
      <c r="B1126" s="11" t="s">
        <v>138</v>
      </c>
      <c r="C1126" s="15"/>
      <c r="D1126" s="16" t="s">
        <v>11</v>
      </c>
      <c r="E1126" s="17">
        <v>2</v>
      </c>
      <c r="F1126" s="18">
        <f>E1126* 0.150611071171819</f>
        <v>0.30122214234363798</v>
      </c>
      <c r="G1126" s="18">
        <f>E1126* 0.847699496764917</f>
        <v>1.6953989935298339</v>
      </c>
      <c r="H1126" s="18">
        <f>E1126* 0.00136592379583034</f>
        <v>2.73184759166068E-3</v>
      </c>
    </row>
    <row r="1127" spans="1:8" ht="15.75" hidden="1" customHeight="1" x14ac:dyDescent="0.25">
      <c r="A1127" s="15" t="s">
        <v>105</v>
      </c>
      <c r="B1127" s="11" t="s">
        <v>138</v>
      </c>
      <c r="C1127" s="15"/>
      <c r="D1127" s="16" t="s">
        <v>17</v>
      </c>
      <c r="E1127" s="17">
        <v>1</v>
      </c>
      <c r="F1127" s="18">
        <f>E1127* 0.840430229624022</f>
        <v>0.84043022962402203</v>
      </c>
      <c r="G1127" s="18">
        <f>E1127* 0.0777504415846581</f>
        <v>7.7750441584658103E-2</v>
      </c>
      <c r="H1127" s="18">
        <f>E1127* 0.0817877870300278</f>
        <v>8.17877870300278E-2</v>
      </c>
    </row>
    <row r="1128" spans="1:8" ht="15.75" hidden="1" customHeight="1" x14ac:dyDescent="0.25">
      <c r="A1128" s="15" t="s">
        <v>105</v>
      </c>
      <c r="B1128" s="11" t="s">
        <v>138</v>
      </c>
      <c r="C1128" s="15"/>
      <c r="D1128" s="16" t="s">
        <v>31</v>
      </c>
      <c r="E1128" s="17">
        <v>0</v>
      </c>
      <c r="F1128" s="18">
        <f>E1128* 0.901975683890578</f>
        <v>0</v>
      </c>
      <c r="G1128" s="18">
        <f>E1128* 0.0364741641337386</f>
        <v>0</v>
      </c>
      <c r="H1128" s="18">
        <f>E1128* 0.0615501519756839</f>
        <v>0</v>
      </c>
    </row>
    <row r="1129" spans="1:8" ht="15.75" hidden="1" customHeight="1" x14ac:dyDescent="0.25">
      <c r="A1129" s="15" t="s">
        <v>105</v>
      </c>
      <c r="B1129" s="11" t="s">
        <v>138</v>
      </c>
      <c r="C1129" s="15"/>
      <c r="D1129" s="16" t="s">
        <v>18</v>
      </c>
      <c r="E1129" s="17">
        <v>0</v>
      </c>
      <c r="F1129" s="18">
        <f>E1129* 0.932934264493959</f>
        <v>0</v>
      </c>
      <c r="G1129" s="18">
        <f>E1129* 0.0585300964416362</f>
        <v>0</v>
      </c>
      <c r="H1129" s="18">
        <f>E1129* 0.00853563906440528</f>
        <v>0</v>
      </c>
    </row>
    <row r="1130" spans="1:8" ht="15.75" hidden="1" customHeight="1" x14ac:dyDescent="0.25">
      <c r="A1130" s="15" t="s">
        <v>105</v>
      </c>
      <c r="B1130" s="11" t="s">
        <v>138</v>
      </c>
      <c r="C1130" s="15"/>
      <c r="D1130" s="16" t="s">
        <v>19</v>
      </c>
      <c r="E1130" s="17">
        <v>0</v>
      </c>
      <c r="F1130" s="18">
        <f>E1130* 0.290681971640783</f>
        <v>0</v>
      </c>
      <c r="G1130" s="18">
        <f>E1130* 0.694125590817016</f>
        <v>0</v>
      </c>
      <c r="H1130" s="18">
        <f>E1130* 0.0151924375422012</f>
        <v>0</v>
      </c>
    </row>
    <row r="1131" spans="1:8" ht="15.75" hidden="1" customHeight="1" x14ac:dyDescent="0.25">
      <c r="A1131" s="15" t="s">
        <v>105</v>
      </c>
      <c r="B1131" s="11" t="s">
        <v>138</v>
      </c>
      <c r="C1131" s="15"/>
      <c r="D1131" s="16" t="s">
        <v>20</v>
      </c>
      <c r="E1131" s="17">
        <v>0</v>
      </c>
      <c r="F1131" s="18">
        <f>E1131* 0.686268801552644</f>
        <v>0</v>
      </c>
      <c r="G1131" s="18">
        <f>E1131* 0.196991751576904</f>
        <v>0</v>
      </c>
      <c r="H1131" s="18">
        <f>E1131* 0.116642406598738</f>
        <v>0</v>
      </c>
    </row>
    <row r="1132" spans="1:8" ht="15.75" hidden="1" customHeight="1" x14ac:dyDescent="0.25">
      <c r="A1132" s="15" t="s">
        <v>105</v>
      </c>
      <c r="B1132" s="11" t="s">
        <v>138</v>
      </c>
      <c r="C1132" s="15"/>
      <c r="D1132" s="16" t="s">
        <v>21</v>
      </c>
      <c r="E1132" s="17">
        <v>8</v>
      </c>
      <c r="F1132" s="18">
        <f>E1132* 0.999513766486355</f>
        <v>7.9961101318908403</v>
      </c>
      <c r="G1132" s="18">
        <f>E1132* 0.0000243116756822464</f>
        <v>1.9449340545797119E-4</v>
      </c>
      <c r="H1132" s="18">
        <f>E1132* 0.00034036345955145</f>
        <v>2.7229076764116E-3</v>
      </c>
    </row>
    <row r="1133" spans="1:8" ht="15.75" hidden="1" customHeight="1" x14ac:dyDescent="0.25">
      <c r="A1133" s="15" t="s">
        <v>105</v>
      </c>
      <c r="B1133" s="11" t="s">
        <v>138</v>
      </c>
      <c r="C1133" s="15"/>
      <c r="D1133" s="16" t="s">
        <v>12</v>
      </c>
      <c r="E1133" s="17">
        <v>2</v>
      </c>
      <c r="F1133" s="18">
        <f>E1133* 0.843786808009423</f>
        <v>1.6875736160188459</v>
      </c>
      <c r="G1133" s="18">
        <f>E1133* 0.0740675304279545</f>
        <v>0.148135060855909</v>
      </c>
      <c r="H1133" s="18">
        <f>E1133* 0.0820965842167256</f>
        <v>0.16419316843345119</v>
      </c>
    </row>
    <row r="1134" spans="1:8" ht="15.75" hidden="1" customHeight="1" x14ac:dyDescent="0.25">
      <c r="A1134" s="15" t="s">
        <v>105</v>
      </c>
      <c r="B1134" s="8"/>
      <c r="C1134" s="8"/>
      <c r="D1134" s="9"/>
      <c r="E1134" s="19"/>
    </row>
    <row r="1135" spans="1:8" ht="15.75" hidden="1" customHeight="1" x14ac:dyDescent="0.25">
      <c r="A1135" s="15" t="s">
        <v>105</v>
      </c>
      <c r="B1135" s="11" t="s">
        <v>139</v>
      </c>
      <c r="C1135" s="12" t="str">
        <f>B1135&amp;"_"&amp;A1135</f>
        <v>Tarata_Cochabamba</v>
      </c>
      <c r="E1135" s="13">
        <v>407</v>
      </c>
      <c r="F1135" s="14">
        <f t="shared" ref="F1135:H1135" si="111">SUM(F1136:F1146)</f>
        <v>327.19304377771016</v>
      </c>
      <c r="G1135" s="14">
        <f t="shared" si="111"/>
        <v>51.801522608305746</v>
      </c>
      <c r="H1135" s="14">
        <f t="shared" si="111"/>
        <v>27.973926741987267</v>
      </c>
    </row>
    <row r="1136" spans="1:8" ht="15.75" hidden="1" customHeight="1" x14ac:dyDescent="0.25">
      <c r="A1136" s="15" t="s">
        <v>105</v>
      </c>
      <c r="B1136" s="11" t="s">
        <v>139</v>
      </c>
      <c r="C1136" s="15"/>
      <c r="D1136" s="16" t="s">
        <v>14</v>
      </c>
      <c r="E1136" s="17">
        <v>0</v>
      </c>
      <c r="F1136" s="20">
        <v>0</v>
      </c>
      <c r="G1136" s="20">
        <f>E1136</f>
        <v>0</v>
      </c>
      <c r="H1136" s="20">
        <v>0</v>
      </c>
    </row>
    <row r="1137" spans="1:8" ht="15.75" hidden="1" customHeight="1" x14ac:dyDescent="0.25">
      <c r="A1137" s="15" t="s">
        <v>105</v>
      </c>
      <c r="B1137" s="11" t="s">
        <v>139</v>
      </c>
      <c r="C1137" s="15"/>
      <c r="D1137" s="16" t="s">
        <v>15</v>
      </c>
      <c r="E1137" s="17">
        <v>40</v>
      </c>
      <c r="F1137" s="18">
        <f>E1137* 0.932775698199239</f>
        <v>37.311027927969562</v>
      </c>
      <c r="G1137" s="18">
        <f>E1137* 0.00808724987291465</f>
        <v>0.32348999491658598</v>
      </c>
      <c r="H1137" s="18">
        <f>E1137*0.0590600305004852</f>
        <v>2.3624012200194082</v>
      </c>
    </row>
    <row r="1138" spans="1:8" ht="15.75" hidden="1" customHeight="1" x14ac:dyDescent="0.25">
      <c r="A1138" s="15" t="s">
        <v>105</v>
      </c>
      <c r="B1138" s="11" t="s">
        <v>139</v>
      </c>
      <c r="C1138" s="15"/>
      <c r="D1138" s="16" t="s">
        <v>16</v>
      </c>
      <c r="E1138" s="17">
        <v>1</v>
      </c>
      <c r="F1138" s="18">
        <f>E1138* 0.0803212851405623</f>
        <v>8.0321285140562304E-2</v>
      </c>
      <c r="G1138" s="18">
        <f>E1138* 0.913367756741251</f>
        <v>0.91336775674125104</v>
      </c>
      <c r="H1138" s="18">
        <f>E1138* 0.0057372346528973</f>
        <v>5.7372346528973004E-3</v>
      </c>
    </row>
    <row r="1139" spans="1:8" ht="15.75" hidden="1" customHeight="1" x14ac:dyDescent="0.25">
      <c r="A1139" s="15" t="s">
        <v>105</v>
      </c>
      <c r="B1139" s="11" t="s">
        <v>139</v>
      </c>
      <c r="C1139" s="15"/>
      <c r="D1139" s="16" t="s">
        <v>11</v>
      </c>
      <c r="E1139" s="17">
        <v>25</v>
      </c>
      <c r="F1139" s="18">
        <f>E1139* 0.150611071171819</f>
        <v>3.7652767792954749</v>
      </c>
      <c r="G1139" s="18">
        <f>E1139* 0.847699496764917</f>
        <v>21.192487419122923</v>
      </c>
      <c r="H1139" s="18">
        <f>E1139* 0.00136592379583034</f>
        <v>3.4148094895758499E-2</v>
      </c>
    </row>
    <row r="1140" spans="1:8" ht="15.75" hidden="1" customHeight="1" x14ac:dyDescent="0.25">
      <c r="A1140" s="15" t="s">
        <v>105</v>
      </c>
      <c r="B1140" s="11" t="s">
        <v>139</v>
      </c>
      <c r="C1140" s="15"/>
      <c r="D1140" s="16" t="s">
        <v>17</v>
      </c>
      <c r="E1140" s="17">
        <v>41</v>
      </c>
      <c r="F1140" s="18">
        <f>E1140* 0.840430229624022</f>
        <v>34.457639414584904</v>
      </c>
      <c r="G1140" s="18">
        <f>E1140* 0.0777504415846581</f>
        <v>3.1877681049709823</v>
      </c>
      <c r="H1140" s="18">
        <f>E1140* 0.0817877870300278</f>
        <v>3.3532992682311398</v>
      </c>
    </row>
    <row r="1141" spans="1:8" ht="15.75" hidden="1" customHeight="1" x14ac:dyDescent="0.25">
      <c r="A1141" s="15" t="s">
        <v>105</v>
      </c>
      <c r="B1141" s="11" t="s">
        <v>139</v>
      </c>
      <c r="C1141" s="15"/>
      <c r="D1141" s="16" t="s">
        <v>31</v>
      </c>
      <c r="E1141" s="17">
        <v>2</v>
      </c>
      <c r="F1141" s="18">
        <f>E1141* 0.901975683890578</f>
        <v>1.8039513677811561</v>
      </c>
      <c r="G1141" s="18">
        <f>E1141* 0.0364741641337386</f>
        <v>7.29483282674772E-2</v>
      </c>
      <c r="H1141" s="18">
        <f>E1141* 0.0615501519756839</f>
        <v>0.1231003039513678</v>
      </c>
    </row>
    <row r="1142" spans="1:8" ht="15.75" hidden="1" customHeight="1" x14ac:dyDescent="0.25">
      <c r="A1142" s="15" t="s">
        <v>105</v>
      </c>
      <c r="B1142" s="11" t="s">
        <v>139</v>
      </c>
      <c r="C1142" s="15"/>
      <c r="D1142" s="16" t="s">
        <v>18</v>
      </c>
      <c r="E1142" s="17">
        <v>5</v>
      </c>
      <c r="F1142" s="18">
        <f>E1142* 0.932934264493959</f>
        <v>4.6646713224697951</v>
      </c>
      <c r="G1142" s="18">
        <f>E1142* 0.0585300964416362</f>
        <v>0.29265048220818096</v>
      </c>
      <c r="H1142" s="18">
        <f>E1142* 0.00853563906440528</f>
        <v>4.2678195322026408E-2</v>
      </c>
    </row>
    <row r="1143" spans="1:8" ht="15.75" hidden="1" customHeight="1" x14ac:dyDescent="0.25">
      <c r="A1143" s="15" t="s">
        <v>105</v>
      </c>
      <c r="B1143" s="11" t="s">
        <v>139</v>
      </c>
      <c r="C1143" s="15"/>
      <c r="D1143" s="16" t="s">
        <v>19</v>
      </c>
      <c r="E1143" s="17">
        <v>4</v>
      </c>
      <c r="F1143" s="18">
        <f>E1143* 0.290681971640783</f>
        <v>1.1627278865631321</v>
      </c>
      <c r="G1143" s="18">
        <f>E1143* 0.694125590817016</f>
        <v>2.7765023632680639</v>
      </c>
      <c r="H1143" s="18">
        <f>E1143* 0.0151924375422012</f>
        <v>6.0769750168804801E-2</v>
      </c>
    </row>
    <row r="1144" spans="1:8" ht="15.75" hidden="1" customHeight="1" x14ac:dyDescent="0.25">
      <c r="A1144" s="15" t="s">
        <v>105</v>
      </c>
      <c r="B1144" s="11" t="s">
        <v>139</v>
      </c>
      <c r="C1144" s="15"/>
      <c r="D1144" s="16" t="s">
        <v>20</v>
      </c>
      <c r="E1144" s="17">
        <v>35</v>
      </c>
      <c r="F1144" s="18">
        <f>E1144* 0.686268801552644</f>
        <v>24.019408054342541</v>
      </c>
      <c r="G1144" s="18">
        <f>E1144* 0.196991751576904</f>
        <v>6.89471130519164</v>
      </c>
      <c r="H1144" s="18">
        <f>E1144* 0.116642406598738</f>
        <v>4.0824842309558296</v>
      </c>
    </row>
    <row r="1145" spans="1:8" ht="15.75" hidden="1" customHeight="1" x14ac:dyDescent="0.25">
      <c r="A1145" s="15" t="s">
        <v>105</v>
      </c>
      <c r="B1145" s="11" t="s">
        <v>139</v>
      </c>
      <c r="C1145" s="15"/>
      <c r="D1145" s="16" t="s">
        <v>21</v>
      </c>
      <c r="E1145" s="17">
        <v>36</v>
      </c>
      <c r="F1145" s="18">
        <f>E1145* 0.999513766486355</f>
        <v>35.98249559350878</v>
      </c>
      <c r="G1145" s="18">
        <f>E1145* 0.0000243116756822464</f>
        <v>8.7522032456087038E-4</v>
      </c>
      <c r="H1145" s="18">
        <f>E1145* 0.00034036345955145</f>
        <v>1.22530845438522E-2</v>
      </c>
    </row>
    <row r="1146" spans="1:8" ht="15.75" hidden="1" customHeight="1" x14ac:dyDescent="0.25">
      <c r="A1146" s="15" t="s">
        <v>105</v>
      </c>
      <c r="B1146" s="11" t="s">
        <v>139</v>
      </c>
      <c r="C1146" s="15"/>
      <c r="D1146" s="16" t="s">
        <v>12</v>
      </c>
      <c r="E1146" s="17">
        <v>218</v>
      </c>
      <c r="F1146" s="18">
        <f>E1146* 0.843786808009423</f>
        <v>183.9455241460542</v>
      </c>
      <c r="G1146" s="18">
        <f>E1146* 0.0740675304279545</f>
        <v>16.146721633294081</v>
      </c>
      <c r="H1146" s="18">
        <f>E1146* 0.0820965842167256</f>
        <v>17.897055359246181</v>
      </c>
    </row>
    <row r="1147" spans="1:8" ht="15.75" hidden="1" customHeight="1" x14ac:dyDescent="0.25">
      <c r="A1147" s="15" t="s">
        <v>105</v>
      </c>
      <c r="B1147" s="8"/>
      <c r="C1147" s="8"/>
      <c r="D1147" s="9"/>
      <c r="E1147" s="19"/>
    </row>
    <row r="1148" spans="1:8" ht="15.75" hidden="1" customHeight="1" x14ac:dyDescent="0.25">
      <c r="A1148" s="15" t="s">
        <v>105</v>
      </c>
      <c r="B1148" s="11" t="s">
        <v>140</v>
      </c>
      <c r="C1148" s="12" t="str">
        <f>B1148&amp;"_"&amp;A1148</f>
        <v>Tiquipaya_Cochabamba</v>
      </c>
      <c r="E1148" s="22">
        <v>4121</v>
      </c>
      <c r="F1148" s="14">
        <f t="shared" ref="F1148:H1148" si="112">SUM(F1149:F1161)</f>
        <v>3482.2449296279374</v>
      </c>
      <c r="G1148" s="14">
        <f t="shared" si="112"/>
        <v>432.69994995944097</v>
      </c>
      <c r="H1148" s="14">
        <f t="shared" si="112"/>
        <v>205.69797340246424</v>
      </c>
    </row>
    <row r="1149" spans="1:8" ht="15.75" hidden="1" customHeight="1" x14ac:dyDescent="0.25">
      <c r="A1149" s="15" t="s">
        <v>105</v>
      </c>
      <c r="B1149" s="11" t="s">
        <v>140</v>
      </c>
      <c r="C1149" s="15"/>
      <c r="D1149" s="16" t="s">
        <v>14</v>
      </c>
      <c r="E1149" s="17">
        <v>0</v>
      </c>
      <c r="F1149" s="20">
        <v>0</v>
      </c>
      <c r="G1149" s="20">
        <f>E1149</f>
        <v>0</v>
      </c>
      <c r="H1149" s="20">
        <v>0</v>
      </c>
    </row>
    <row r="1150" spans="1:8" ht="15.75" hidden="1" customHeight="1" x14ac:dyDescent="0.25">
      <c r="A1150" s="15" t="s">
        <v>105</v>
      </c>
      <c r="B1150" s="11" t="s">
        <v>140</v>
      </c>
      <c r="C1150" s="15"/>
      <c r="D1150" s="16" t="s">
        <v>15</v>
      </c>
      <c r="E1150" s="17">
        <v>674</v>
      </c>
      <c r="F1150" s="18">
        <f>E1150* 0.932775698199239</f>
        <v>628.69082058628703</v>
      </c>
      <c r="G1150" s="18">
        <f>E1150* 0.00808724987291465</f>
        <v>5.4508064143444743</v>
      </c>
      <c r="H1150" s="18">
        <f>E1150*0.0590600305004852</f>
        <v>39.806460557327028</v>
      </c>
    </row>
    <row r="1151" spans="1:8" ht="15.75" hidden="1" customHeight="1" x14ac:dyDescent="0.25">
      <c r="A1151" s="15" t="s">
        <v>105</v>
      </c>
      <c r="B1151" s="11" t="s">
        <v>140</v>
      </c>
      <c r="C1151" s="15"/>
      <c r="D1151" s="16" t="s">
        <v>16</v>
      </c>
      <c r="E1151" s="17">
        <v>8</v>
      </c>
      <c r="F1151" s="18">
        <f>E1151* 0.0803212851405623</f>
        <v>0.64257028112449843</v>
      </c>
      <c r="G1151" s="18">
        <f>E1151* 0.913367756741251</f>
        <v>7.3069420539300083</v>
      </c>
      <c r="H1151" s="18">
        <f>E1151* 0.0057372346528973</f>
        <v>4.5897877223178403E-2</v>
      </c>
    </row>
    <row r="1152" spans="1:8" ht="15.75" hidden="1" customHeight="1" x14ac:dyDescent="0.25">
      <c r="A1152" s="15" t="s">
        <v>105</v>
      </c>
      <c r="B1152" s="11" t="s">
        <v>140</v>
      </c>
      <c r="C1152" s="15"/>
      <c r="D1152" s="16" t="s">
        <v>11</v>
      </c>
      <c r="E1152" s="17">
        <v>218</v>
      </c>
      <c r="F1152" s="18">
        <f>E1152* 0.150611071171819</f>
        <v>32.833213515456542</v>
      </c>
      <c r="G1152" s="18">
        <f>E1152* 0.847699496764917</f>
        <v>184.7984902947519</v>
      </c>
      <c r="H1152" s="18">
        <f>E1152* 0.00136592379583034</f>
        <v>0.29777138749101412</v>
      </c>
    </row>
    <row r="1153" spans="1:8" ht="15.75" hidden="1" customHeight="1" x14ac:dyDescent="0.25">
      <c r="A1153" s="15" t="s">
        <v>105</v>
      </c>
      <c r="B1153" s="11" t="s">
        <v>140</v>
      </c>
      <c r="C1153" s="15"/>
      <c r="D1153" s="16" t="s">
        <v>17</v>
      </c>
      <c r="E1153" s="17">
        <v>392</v>
      </c>
      <c r="F1153" s="18">
        <f>E1153* 0.840430229624022</f>
        <v>329.44865001261661</v>
      </c>
      <c r="G1153" s="18">
        <f>E1153* 0.0777504415846581</f>
        <v>30.478173101185977</v>
      </c>
      <c r="H1153" s="18">
        <f>E1153* 0.0817877870300278</f>
        <v>32.060812515770898</v>
      </c>
    </row>
    <row r="1154" spans="1:8" ht="15.75" hidden="1" customHeight="1" x14ac:dyDescent="0.25">
      <c r="A1154" s="15" t="s">
        <v>105</v>
      </c>
      <c r="B1154" s="11" t="s">
        <v>140</v>
      </c>
      <c r="C1154" s="15"/>
      <c r="D1154" s="16" t="s">
        <v>31</v>
      </c>
      <c r="E1154" s="17">
        <v>22</v>
      </c>
      <c r="F1154" s="18">
        <f>E1154* 0.901975683890578</f>
        <v>19.843465045592716</v>
      </c>
      <c r="G1154" s="18">
        <f>E1154* 0.0364741641337386</f>
        <v>0.80243161094224924</v>
      </c>
      <c r="H1154" s="18">
        <f>E1154* 0.0615501519756839</f>
        <v>1.3541033434650458</v>
      </c>
    </row>
    <row r="1155" spans="1:8" ht="15.75" hidden="1" customHeight="1" x14ac:dyDescent="0.25">
      <c r="A1155" s="15" t="s">
        <v>105</v>
      </c>
      <c r="B1155" s="11" t="s">
        <v>140</v>
      </c>
      <c r="C1155" s="15"/>
      <c r="D1155" s="16" t="s">
        <v>18</v>
      </c>
      <c r="E1155" s="17">
        <v>74</v>
      </c>
      <c r="F1155" s="18">
        <f>E1155* 0.932934264493959</f>
        <v>69.03713557255297</v>
      </c>
      <c r="G1155" s="18">
        <f>E1155* 0.0585300964416362</f>
        <v>4.3312271366810782</v>
      </c>
      <c r="H1155" s="18">
        <f>E1155* 0.00853563906440528</f>
        <v>0.63163729076599073</v>
      </c>
    </row>
    <row r="1156" spans="1:8" ht="15.75" hidden="1" customHeight="1" x14ac:dyDescent="0.25">
      <c r="A1156" s="15" t="s">
        <v>105</v>
      </c>
      <c r="B1156" s="11" t="s">
        <v>140</v>
      </c>
      <c r="C1156" s="15"/>
      <c r="D1156" s="16" t="s">
        <v>19</v>
      </c>
      <c r="E1156" s="17">
        <v>36</v>
      </c>
      <c r="F1156" s="18">
        <f>E1156* 0.290681971640783</f>
        <v>10.464550979068189</v>
      </c>
      <c r="G1156" s="18">
        <f>E1156* 0.694125590817016</f>
        <v>24.988521269412576</v>
      </c>
      <c r="H1156" s="18">
        <f>E1156* 0.0151924375422012</f>
        <v>0.54692775151924322</v>
      </c>
    </row>
    <row r="1157" spans="1:8" ht="15.75" hidden="1" customHeight="1" x14ac:dyDescent="0.25">
      <c r="A1157" s="15" t="s">
        <v>105</v>
      </c>
      <c r="B1157" s="11" t="s">
        <v>140</v>
      </c>
      <c r="C1157" s="15"/>
      <c r="D1157" s="16" t="s">
        <v>20</v>
      </c>
      <c r="E1157" s="17">
        <v>139</v>
      </c>
      <c r="F1157" s="18">
        <f>E1157* 0.686268801552644</f>
        <v>95.391363415817523</v>
      </c>
      <c r="G1157" s="18">
        <f>E1157* 0.196991751576904</f>
        <v>27.381853469189654</v>
      </c>
      <c r="H1157" s="18">
        <f>E1157* 0.116642406598738</f>
        <v>16.213294517224583</v>
      </c>
    </row>
    <row r="1158" spans="1:8" ht="15.75" hidden="1" customHeight="1" x14ac:dyDescent="0.25">
      <c r="A1158" s="15" t="s">
        <v>105</v>
      </c>
      <c r="B1158" s="11" t="s">
        <v>140</v>
      </c>
      <c r="C1158" s="15"/>
      <c r="D1158" s="16" t="s">
        <v>21</v>
      </c>
      <c r="E1158" s="23">
        <v>1118</v>
      </c>
      <c r="F1158" s="18">
        <f>E1158* 0.999513766486355</f>
        <v>1117.4563909317449</v>
      </c>
      <c r="G1158" s="18">
        <f>E1158* 0.0000243116756822464</f>
        <v>2.7180453412751472E-2</v>
      </c>
      <c r="H1158" s="18">
        <f>E1158* 0.00034036345955145</f>
        <v>0.38052634777852112</v>
      </c>
    </row>
    <row r="1159" spans="1:8" ht="15.75" hidden="1" customHeight="1" x14ac:dyDescent="0.25">
      <c r="A1159" s="15" t="s">
        <v>105</v>
      </c>
      <c r="B1159" s="11" t="s">
        <v>140</v>
      </c>
      <c r="C1159" s="15"/>
      <c r="D1159" s="16" t="s">
        <v>36</v>
      </c>
      <c r="E1159" s="17">
        <v>3</v>
      </c>
      <c r="F1159" s="20">
        <f>E1159</f>
        <v>3</v>
      </c>
      <c r="G1159" s="20">
        <v>0</v>
      </c>
      <c r="H1159" s="20">
        <v>0</v>
      </c>
    </row>
    <row r="1160" spans="1:8" ht="15.75" hidden="1" customHeight="1" x14ac:dyDescent="0.25">
      <c r="A1160" s="15" t="s">
        <v>105</v>
      </c>
      <c r="B1160" s="11" t="s">
        <v>140</v>
      </c>
      <c r="C1160" s="15"/>
      <c r="D1160" s="16" t="s">
        <v>28</v>
      </c>
      <c r="E1160" s="17">
        <v>44</v>
      </c>
      <c r="F1160" s="18">
        <f>E1160* 0.00094876660341556</f>
        <v>4.1745730550284639E-2</v>
      </c>
      <c r="G1160" s="18">
        <f>E1160* 0.999051233396584</f>
        <v>43.958254269449696</v>
      </c>
      <c r="H1160" s="18">
        <v>0</v>
      </c>
    </row>
    <row r="1161" spans="1:8" ht="15.75" hidden="1" customHeight="1" x14ac:dyDescent="0.25">
      <c r="A1161" s="15" t="s">
        <v>105</v>
      </c>
      <c r="B1161" s="11" t="s">
        <v>140</v>
      </c>
      <c r="C1161" s="15"/>
      <c r="D1161" s="16" t="s">
        <v>12</v>
      </c>
      <c r="E1161" s="23">
        <v>1393</v>
      </c>
      <c r="F1161" s="18">
        <f>E1161* 0.843786808009423</f>
        <v>1175.3950235571263</v>
      </c>
      <c r="G1161" s="18">
        <f>E1161* 0.0740675304279545</f>
        <v>103.17606988614061</v>
      </c>
      <c r="H1161" s="18">
        <f>E1161* 0.0820965842167256</f>
        <v>114.36054181389875</v>
      </c>
    </row>
    <row r="1162" spans="1:8" ht="15.75" hidden="1" customHeight="1" x14ac:dyDescent="0.25">
      <c r="A1162" s="15" t="s">
        <v>105</v>
      </c>
      <c r="B1162" s="8"/>
      <c r="C1162" s="8"/>
      <c r="D1162" s="9"/>
      <c r="E1162" s="19"/>
    </row>
    <row r="1163" spans="1:8" ht="15.75" hidden="1" customHeight="1" x14ac:dyDescent="0.25">
      <c r="A1163" s="15" t="s">
        <v>105</v>
      </c>
      <c r="B1163" s="11" t="s">
        <v>141</v>
      </c>
      <c r="C1163" s="12" t="str">
        <f>B1163&amp;"_"&amp;A1163</f>
        <v>Tiraque_Cochabamba</v>
      </c>
      <c r="E1163" s="13">
        <v>413</v>
      </c>
      <c r="F1163" s="14">
        <f t="shared" ref="F1163:H1163" si="113">SUM(F1164:F1175)</f>
        <v>283.26617482881909</v>
      </c>
      <c r="G1163" s="14">
        <f t="shared" si="113"/>
        <v>109.01675345019413</v>
      </c>
      <c r="H1163" s="14">
        <f t="shared" si="113"/>
        <v>20.666989574621645</v>
      </c>
    </row>
    <row r="1164" spans="1:8" ht="15.75" hidden="1" customHeight="1" x14ac:dyDescent="0.25">
      <c r="A1164" s="15" t="s">
        <v>105</v>
      </c>
      <c r="B1164" s="11" t="s">
        <v>141</v>
      </c>
      <c r="C1164" s="15"/>
      <c r="D1164" s="16" t="s">
        <v>14</v>
      </c>
      <c r="E1164" s="17">
        <v>0</v>
      </c>
      <c r="F1164" s="20">
        <v>0</v>
      </c>
      <c r="G1164" s="20">
        <f>E1164</f>
        <v>0</v>
      </c>
      <c r="H1164" s="20">
        <v>0</v>
      </c>
    </row>
    <row r="1165" spans="1:8" ht="15.75" hidden="1" customHeight="1" x14ac:dyDescent="0.25">
      <c r="A1165" s="15" t="s">
        <v>105</v>
      </c>
      <c r="B1165" s="11" t="s">
        <v>141</v>
      </c>
      <c r="C1165" s="15"/>
      <c r="D1165" s="16" t="s">
        <v>15</v>
      </c>
      <c r="E1165" s="17">
        <v>18</v>
      </c>
      <c r="F1165" s="18">
        <f>E1165* 0.932775698199239</f>
        <v>16.789962567586301</v>
      </c>
      <c r="G1165" s="18">
        <f>E1165* 0.00808724987291465</f>
        <v>0.14557049771246369</v>
      </c>
      <c r="H1165" s="18">
        <f>E1165*0.0590600305004852</f>
        <v>1.0630805490087336</v>
      </c>
    </row>
    <row r="1166" spans="1:8" ht="15.75" hidden="1" customHeight="1" x14ac:dyDescent="0.25">
      <c r="A1166" s="15" t="s">
        <v>105</v>
      </c>
      <c r="B1166" s="11" t="s">
        <v>141</v>
      </c>
      <c r="C1166" s="15"/>
      <c r="D1166" s="16" t="s">
        <v>16</v>
      </c>
      <c r="E1166" s="17">
        <v>2</v>
      </c>
      <c r="F1166" s="18">
        <f>E1166* 0.0803212851405623</f>
        <v>0.16064257028112461</v>
      </c>
      <c r="G1166" s="18">
        <f>E1166* 0.913367756741251</f>
        <v>1.8267355134825021</v>
      </c>
      <c r="H1166" s="18">
        <f>E1166* 0.0057372346528973</f>
        <v>1.1474469305794601E-2</v>
      </c>
    </row>
    <row r="1167" spans="1:8" ht="15.75" hidden="1" customHeight="1" x14ac:dyDescent="0.25">
      <c r="A1167" s="15" t="s">
        <v>105</v>
      </c>
      <c r="B1167" s="11" t="s">
        <v>141</v>
      </c>
      <c r="C1167" s="15"/>
      <c r="D1167" s="16" t="s">
        <v>11</v>
      </c>
      <c r="E1167" s="17">
        <v>92</v>
      </c>
      <c r="F1167" s="18">
        <f>E1167* 0.150611071171819</f>
        <v>13.856218547807346</v>
      </c>
      <c r="G1167" s="18">
        <f>E1167* 0.847699496764917</f>
        <v>77.988353702372365</v>
      </c>
      <c r="H1167" s="18">
        <f>E1167* 0.00136592379583034</f>
        <v>0.12566498921639127</v>
      </c>
    </row>
    <row r="1168" spans="1:8" ht="15.75" hidden="1" customHeight="1" x14ac:dyDescent="0.25">
      <c r="A1168" s="15" t="s">
        <v>105</v>
      </c>
      <c r="B1168" s="11" t="s">
        <v>141</v>
      </c>
      <c r="C1168" s="15"/>
      <c r="D1168" s="16" t="s">
        <v>17</v>
      </c>
      <c r="E1168" s="17">
        <v>34</v>
      </c>
      <c r="F1168" s="18">
        <f>E1168* 0.840430229624022</f>
        <v>28.57462780721675</v>
      </c>
      <c r="G1168" s="18">
        <f>E1168* 0.0777504415846581</f>
        <v>2.6435150138783756</v>
      </c>
      <c r="H1168" s="18">
        <f>E1168* 0.0817877870300278</f>
        <v>2.7807847590209454</v>
      </c>
    </row>
    <row r="1169" spans="1:8" ht="15.75" hidden="1" customHeight="1" x14ac:dyDescent="0.25">
      <c r="A1169" s="15" t="s">
        <v>105</v>
      </c>
      <c r="B1169" s="11" t="s">
        <v>141</v>
      </c>
      <c r="C1169" s="15"/>
      <c r="D1169" s="16" t="s">
        <v>31</v>
      </c>
      <c r="E1169" s="17">
        <v>0</v>
      </c>
      <c r="F1169" s="18">
        <f>E1169* 0.901975683890578</f>
        <v>0</v>
      </c>
      <c r="G1169" s="18">
        <f>E1169* 0.0364741641337386</f>
        <v>0</v>
      </c>
      <c r="H1169" s="18">
        <f>E1169* 0.0615501519756839</f>
        <v>0</v>
      </c>
    </row>
    <row r="1170" spans="1:8" ht="15.75" hidden="1" customHeight="1" x14ac:dyDescent="0.25">
      <c r="A1170" s="15" t="s">
        <v>105</v>
      </c>
      <c r="B1170" s="11" t="s">
        <v>141</v>
      </c>
      <c r="C1170" s="15"/>
      <c r="D1170" s="16" t="s">
        <v>18</v>
      </c>
      <c r="E1170" s="17">
        <v>3</v>
      </c>
      <c r="F1170" s="18">
        <f>E1170* 0.932934264493959</f>
        <v>2.7988027934818769</v>
      </c>
      <c r="G1170" s="18">
        <f>E1170* 0.0585300964416362</f>
        <v>0.17559028932490858</v>
      </c>
      <c r="H1170" s="18">
        <f>E1170* 0.00853563906440528</f>
        <v>2.5606917193215843E-2</v>
      </c>
    </row>
    <row r="1171" spans="1:8" ht="15.75" hidden="1" customHeight="1" x14ac:dyDescent="0.25">
      <c r="A1171" s="15" t="s">
        <v>105</v>
      </c>
      <c r="B1171" s="11" t="s">
        <v>141</v>
      </c>
      <c r="C1171" s="15"/>
      <c r="D1171" s="16" t="s">
        <v>19</v>
      </c>
      <c r="E1171" s="17">
        <v>5</v>
      </c>
      <c r="F1171" s="18">
        <f>E1171* 0.290681971640783</f>
        <v>1.4534098582039152</v>
      </c>
      <c r="G1171" s="18">
        <f>E1171* 0.694125590817016</f>
        <v>3.4706279540850797</v>
      </c>
      <c r="H1171" s="18">
        <f>E1171* 0.0151924375422012</f>
        <v>7.5962187711006005E-2</v>
      </c>
    </row>
    <row r="1172" spans="1:8" ht="15.75" hidden="1" customHeight="1" x14ac:dyDescent="0.25">
      <c r="A1172" s="15" t="s">
        <v>105</v>
      </c>
      <c r="B1172" s="11" t="s">
        <v>141</v>
      </c>
      <c r="C1172" s="15"/>
      <c r="D1172" s="16" t="s">
        <v>20</v>
      </c>
      <c r="E1172" s="17">
        <v>9</v>
      </c>
      <c r="F1172" s="18">
        <f>E1172* 0.686268801552644</f>
        <v>6.1764192139737961</v>
      </c>
      <c r="G1172" s="18">
        <f>E1172* 0.196991751576904</f>
        <v>1.7729257641921359</v>
      </c>
      <c r="H1172" s="18">
        <f>E1172* 0.116642406598738</f>
        <v>1.049781659388642</v>
      </c>
    </row>
    <row r="1173" spans="1:8" ht="15.75" hidden="1" customHeight="1" x14ac:dyDescent="0.25">
      <c r="A1173" s="15" t="s">
        <v>105</v>
      </c>
      <c r="B1173" s="11" t="s">
        <v>141</v>
      </c>
      <c r="C1173" s="15"/>
      <c r="D1173" s="16" t="s">
        <v>21</v>
      </c>
      <c r="E1173" s="17">
        <v>54</v>
      </c>
      <c r="F1173" s="18">
        <f>E1173* 0.999513766486355</f>
        <v>53.973743390263174</v>
      </c>
      <c r="G1173" s="18">
        <f>E1173* 0.0000243116756822464</f>
        <v>1.3128304868413056E-3</v>
      </c>
      <c r="H1173" s="18">
        <f>E1173* 0.00034036345955145</f>
        <v>1.8379626815778299E-2</v>
      </c>
    </row>
    <row r="1174" spans="1:8" ht="15.75" hidden="1" customHeight="1" x14ac:dyDescent="0.25">
      <c r="A1174" s="15" t="s">
        <v>105</v>
      </c>
      <c r="B1174" s="11" t="s">
        <v>141</v>
      </c>
      <c r="C1174" s="15"/>
      <c r="D1174" s="16" t="s">
        <v>28</v>
      </c>
      <c r="E1174" s="17">
        <v>7</v>
      </c>
      <c r="F1174" s="18">
        <f>E1174* 0.00094876660341556</f>
        <v>6.6413662239089202E-3</v>
      </c>
      <c r="G1174" s="18">
        <f>E1174* 0.999051233396584</f>
        <v>6.9933586337760882</v>
      </c>
      <c r="H1174" s="18">
        <v>0</v>
      </c>
    </row>
    <row r="1175" spans="1:8" ht="15.75" hidden="1" customHeight="1" x14ac:dyDescent="0.25">
      <c r="A1175" s="15" t="s">
        <v>105</v>
      </c>
      <c r="B1175" s="11" t="s">
        <v>141</v>
      </c>
      <c r="C1175" s="15"/>
      <c r="D1175" s="16" t="s">
        <v>12</v>
      </c>
      <c r="E1175" s="17">
        <v>189</v>
      </c>
      <c r="F1175" s="18">
        <f>E1175* 0.843786808009423</f>
        <v>159.47570671378094</v>
      </c>
      <c r="G1175" s="18">
        <f>E1175* 0.0740675304279545</f>
        <v>13.9987632508834</v>
      </c>
      <c r="H1175" s="18">
        <f>E1175* 0.0820965842167256</f>
        <v>15.516254416961138</v>
      </c>
    </row>
    <row r="1176" spans="1:8" ht="15.75" hidden="1" customHeight="1" x14ac:dyDescent="0.25">
      <c r="A1176" s="15" t="s">
        <v>105</v>
      </c>
      <c r="B1176" s="8"/>
      <c r="C1176" s="8"/>
      <c r="D1176" s="9"/>
      <c r="E1176" s="19"/>
    </row>
    <row r="1177" spans="1:8" ht="15.75" hidden="1" customHeight="1" x14ac:dyDescent="0.25">
      <c r="A1177" s="15" t="s">
        <v>105</v>
      </c>
      <c r="B1177" s="11" t="s">
        <v>142</v>
      </c>
      <c r="C1177" s="12" t="str">
        <f>B1177&amp;"_"&amp;A1177</f>
        <v>Toco_Cochabamba</v>
      </c>
      <c r="E1177" s="13">
        <v>18</v>
      </c>
      <c r="F1177" s="14">
        <f t="shared" ref="F1177:H1177" si="114">SUM(F1178:F1185)</f>
        <v>13.839426301271644</v>
      </c>
      <c r="G1177" s="14">
        <f t="shared" si="114"/>
        <v>3.237723859948836</v>
      </c>
      <c r="H1177" s="14">
        <f t="shared" si="114"/>
        <v>0.92085941403143345</v>
      </c>
    </row>
    <row r="1178" spans="1:8" ht="15.75" hidden="1" customHeight="1" x14ac:dyDescent="0.25">
      <c r="A1178" s="15" t="s">
        <v>105</v>
      </c>
      <c r="B1178" s="11" t="s">
        <v>142</v>
      </c>
      <c r="C1178" s="15"/>
      <c r="D1178" s="16" t="s">
        <v>15</v>
      </c>
      <c r="E1178" s="17">
        <v>3</v>
      </c>
      <c r="F1178" s="18">
        <f>E1178* 0.932775698199239</f>
        <v>2.7983270945977168</v>
      </c>
      <c r="G1178" s="18">
        <f>E1178* 0.00808724987291465</f>
        <v>2.4261749618743951E-2</v>
      </c>
      <c r="H1178" s="18">
        <f>E1178*0.0590600305004852</f>
        <v>0.17718009150145561</v>
      </c>
    </row>
    <row r="1179" spans="1:8" ht="15.75" hidden="1" customHeight="1" x14ac:dyDescent="0.25">
      <c r="A1179" s="15" t="s">
        <v>105</v>
      </c>
      <c r="B1179" s="11" t="s">
        <v>142</v>
      </c>
      <c r="C1179" s="15"/>
      <c r="D1179" s="16" t="s">
        <v>11</v>
      </c>
      <c r="E1179" s="17">
        <v>3</v>
      </c>
      <c r="F1179" s="18">
        <f>E1179* 0.150611071171819</f>
        <v>0.45183321351545697</v>
      </c>
      <c r="G1179" s="18">
        <f>E1179* 0.847699496764917</f>
        <v>2.5430984902947511</v>
      </c>
      <c r="H1179" s="18">
        <f>E1179* 0.00136592379583034</f>
        <v>4.0977713874910202E-3</v>
      </c>
    </row>
    <row r="1180" spans="1:8" ht="15.75" hidden="1" customHeight="1" x14ac:dyDescent="0.25">
      <c r="A1180" s="15" t="s">
        <v>105</v>
      </c>
      <c r="B1180" s="11" t="s">
        <v>142</v>
      </c>
      <c r="C1180" s="15"/>
      <c r="D1180" s="16" t="s">
        <v>17</v>
      </c>
      <c r="E1180" s="17">
        <v>1</v>
      </c>
      <c r="F1180" s="18">
        <f>E1180* 0.840430229624022</f>
        <v>0.84043022962402203</v>
      </c>
      <c r="G1180" s="18">
        <f>E1180* 0.0777504415846581</f>
        <v>7.7750441584658103E-2</v>
      </c>
      <c r="H1180" s="18">
        <f>E1180* 0.0817877870300278</f>
        <v>8.17877870300278E-2</v>
      </c>
    </row>
    <row r="1181" spans="1:8" ht="15.75" hidden="1" customHeight="1" x14ac:dyDescent="0.25">
      <c r="A1181" s="15" t="s">
        <v>105</v>
      </c>
      <c r="B1181" s="11" t="s">
        <v>142</v>
      </c>
      <c r="C1181" s="15"/>
      <c r="D1181" s="16" t="s">
        <v>18</v>
      </c>
      <c r="E1181" s="17">
        <v>0</v>
      </c>
      <c r="F1181" s="18">
        <f>E1181* 0.932934264493959</f>
        <v>0</v>
      </c>
      <c r="G1181" s="18">
        <f>E1181* 0.0585300964416362</f>
        <v>0</v>
      </c>
      <c r="H1181" s="18">
        <f>E1181* 0.00853563906440528</f>
        <v>0</v>
      </c>
    </row>
    <row r="1182" spans="1:8" ht="15.75" hidden="1" customHeight="1" x14ac:dyDescent="0.25">
      <c r="A1182" s="15" t="s">
        <v>105</v>
      </c>
      <c r="B1182" s="11" t="s">
        <v>142</v>
      </c>
      <c r="C1182" s="15"/>
      <c r="D1182" s="16" t="s">
        <v>20</v>
      </c>
      <c r="E1182" s="17">
        <v>0</v>
      </c>
      <c r="F1182" s="18">
        <f>E1182* 0.686268801552644</f>
        <v>0</v>
      </c>
      <c r="G1182" s="18">
        <f>E1182* 0.196991751576904</f>
        <v>0</v>
      </c>
      <c r="H1182" s="18">
        <f>E1182* 0.116642406598738</f>
        <v>0</v>
      </c>
    </row>
    <row r="1183" spans="1:8" ht="15.75" hidden="1" customHeight="1" x14ac:dyDescent="0.25">
      <c r="A1183" s="15" t="s">
        <v>105</v>
      </c>
      <c r="B1183" s="11" t="s">
        <v>142</v>
      </c>
      <c r="C1183" s="15"/>
      <c r="D1183" s="16" t="s">
        <v>21</v>
      </c>
      <c r="E1183" s="17">
        <v>3</v>
      </c>
      <c r="F1183" s="18">
        <f>E1183* 0.999513766486355</f>
        <v>2.998541299459065</v>
      </c>
      <c r="G1183" s="18">
        <f>E1183* 0.0000243116756822464</f>
        <v>7.2935027046739189E-5</v>
      </c>
      <c r="H1183" s="18">
        <f>E1183* 0.00034036345955145</f>
        <v>1.02109037865435E-3</v>
      </c>
    </row>
    <row r="1184" spans="1:8" ht="15.75" hidden="1" customHeight="1" x14ac:dyDescent="0.25">
      <c r="A1184" s="15" t="s">
        <v>105</v>
      </c>
      <c r="B1184" s="11" t="s">
        <v>142</v>
      </c>
      <c r="C1184" s="15"/>
      <c r="D1184" s="16" t="s">
        <v>28</v>
      </c>
      <c r="E1184" s="17">
        <v>0</v>
      </c>
      <c r="F1184" s="18">
        <f>E1184* 0.00094876660341556</f>
        <v>0</v>
      </c>
      <c r="G1184" s="18">
        <f>E1184* 0.999051233396584</f>
        <v>0</v>
      </c>
      <c r="H1184" s="18">
        <v>0</v>
      </c>
    </row>
    <row r="1185" spans="1:8" ht="15.75" hidden="1" customHeight="1" x14ac:dyDescent="0.25">
      <c r="A1185" s="15" t="s">
        <v>105</v>
      </c>
      <c r="B1185" s="11" t="s">
        <v>142</v>
      </c>
      <c r="C1185" s="15"/>
      <c r="D1185" s="16" t="s">
        <v>12</v>
      </c>
      <c r="E1185" s="17">
        <v>8</v>
      </c>
      <c r="F1185" s="18">
        <f>E1185* 0.843786808009423</f>
        <v>6.7502944640753837</v>
      </c>
      <c r="G1185" s="18">
        <f>E1185* 0.0740675304279545</f>
        <v>0.59254024342363598</v>
      </c>
      <c r="H1185" s="18">
        <f>E1185* 0.0820965842167256</f>
        <v>0.65677267373380477</v>
      </c>
    </row>
    <row r="1186" spans="1:8" ht="15.75" hidden="1" customHeight="1" x14ac:dyDescent="0.25">
      <c r="A1186" s="15" t="s">
        <v>105</v>
      </c>
      <c r="B1186" s="8"/>
      <c r="C1186" s="8"/>
      <c r="D1186" s="9"/>
      <c r="E1186" s="19"/>
    </row>
    <row r="1187" spans="1:8" ht="15.75" hidden="1" customHeight="1" x14ac:dyDescent="0.25">
      <c r="A1187" s="15" t="s">
        <v>105</v>
      </c>
      <c r="B1187" s="11" t="s">
        <v>143</v>
      </c>
      <c r="C1187" s="12" t="str">
        <f>B1187&amp;"_"&amp;A1187</f>
        <v>Tolata_Cochabamba</v>
      </c>
      <c r="E1187" s="13">
        <v>29</v>
      </c>
      <c r="F1187" s="14">
        <f t="shared" ref="F1187:H1187" si="115">SUM(F1188:F1198)</f>
        <v>19.670938910032547</v>
      </c>
      <c r="G1187" s="14">
        <f t="shared" si="115"/>
        <v>7.8408784921941619</v>
      </c>
      <c r="H1187" s="14">
        <f t="shared" si="115"/>
        <v>1.4849335278449196</v>
      </c>
    </row>
    <row r="1188" spans="1:8" ht="15.75" hidden="1" customHeight="1" x14ac:dyDescent="0.25">
      <c r="A1188" s="15" t="s">
        <v>105</v>
      </c>
      <c r="B1188" s="11" t="s">
        <v>143</v>
      </c>
      <c r="C1188" s="15"/>
      <c r="D1188" s="16" t="s">
        <v>14</v>
      </c>
      <c r="E1188" s="17">
        <v>0</v>
      </c>
      <c r="F1188" s="20">
        <v>0</v>
      </c>
      <c r="G1188" s="20">
        <f>E1188</f>
        <v>0</v>
      </c>
      <c r="H1188" s="20">
        <v>0</v>
      </c>
    </row>
    <row r="1189" spans="1:8" ht="15.75" hidden="1" customHeight="1" x14ac:dyDescent="0.25">
      <c r="A1189" s="15" t="s">
        <v>105</v>
      </c>
      <c r="B1189" s="11" t="s">
        <v>143</v>
      </c>
      <c r="C1189" s="15"/>
      <c r="D1189" s="16" t="s">
        <v>15</v>
      </c>
      <c r="E1189" s="17">
        <v>5</v>
      </c>
      <c r="F1189" s="18">
        <f>E1189* 0.932775698199239</f>
        <v>4.6638784909961952</v>
      </c>
      <c r="G1189" s="18">
        <f>E1189* 0.00808724987291465</f>
        <v>4.0436249364573247E-2</v>
      </c>
      <c r="H1189" s="18">
        <f>E1189*0.0590600305004852</f>
        <v>0.29530015250242603</v>
      </c>
    </row>
    <row r="1190" spans="1:8" ht="15.75" hidden="1" customHeight="1" x14ac:dyDescent="0.25">
      <c r="A1190" s="15" t="s">
        <v>105</v>
      </c>
      <c r="B1190" s="11" t="s">
        <v>143</v>
      </c>
      <c r="C1190" s="15"/>
      <c r="D1190" s="16" t="s">
        <v>16</v>
      </c>
      <c r="E1190" s="17">
        <v>0</v>
      </c>
      <c r="F1190" s="18">
        <f>E1190* 0.0803212851405623</f>
        <v>0</v>
      </c>
      <c r="G1190" s="18">
        <f>E1190* 0.913367756741251</f>
        <v>0</v>
      </c>
      <c r="H1190" s="18">
        <f>E1190* 0.0057372346528973</f>
        <v>0</v>
      </c>
    </row>
    <row r="1191" spans="1:8" ht="15.75" hidden="1" customHeight="1" x14ac:dyDescent="0.25">
      <c r="A1191" s="15" t="s">
        <v>105</v>
      </c>
      <c r="B1191" s="11" t="s">
        <v>143</v>
      </c>
      <c r="C1191" s="15"/>
      <c r="D1191" s="16" t="s">
        <v>11</v>
      </c>
      <c r="E1191" s="17">
        <v>7</v>
      </c>
      <c r="F1191" s="18">
        <f>E1191* 0.150611071171819</f>
        <v>1.054277498202733</v>
      </c>
      <c r="G1191" s="18">
        <f>E1191* 0.847699496764917</f>
        <v>5.9338964773544189</v>
      </c>
      <c r="H1191" s="18">
        <f>E1191* 0.00136592379583034</f>
        <v>9.5614665708123794E-3</v>
      </c>
    </row>
    <row r="1192" spans="1:8" ht="15.75" hidden="1" customHeight="1" x14ac:dyDescent="0.25">
      <c r="A1192" s="15" t="s">
        <v>105</v>
      </c>
      <c r="B1192" s="11" t="s">
        <v>143</v>
      </c>
      <c r="C1192" s="15"/>
      <c r="D1192" s="16" t="s">
        <v>17</v>
      </c>
      <c r="E1192" s="17">
        <v>5</v>
      </c>
      <c r="F1192" s="18">
        <f>E1192* 0.840430229624022</f>
        <v>4.2021511481201106</v>
      </c>
      <c r="G1192" s="18">
        <f>E1192* 0.0777504415846581</f>
        <v>0.38875220792329052</v>
      </c>
      <c r="H1192" s="18">
        <f>E1192* 0.0817877870300278</f>
        <v>0.40893893515013902</v>
      </c>
    </row>
    <row r="1193" spans="1:8" ht="15.75" hidden="1" customHeight="1" x14ac:dyDescent="0.25">
      <c r="A1193" s="15" t="s">
        <v>105</v>
      </c>
      <c r="B1193" s="11" t="s">
        <v>143</v>
      </c>
      <c r="C1193" s="15"/>
      <c r="D1193" s="16" t="s">
        <v>18</v>
      </c>
      <c r="E1193" s="17">
        <v>2</v>
      </c>
      <c r="F1193" s="18">
        <f>E1193* 0.932934264493959</f>
        <v>1.865868528987918</v>
      </c>
      <c r="G1193" s="18">
        <f>E1193* 0.0585300964416362</f>
        <v>0.11706019288327239</v>
      </c>
      <c r="H1193" s="18">
        <f>E1193* 0.00853563906440528</f>
        <v>1.7071278128810562E-2</v>
      </c>
    </row>
    <row r="1194" spans="1:8" ht="15.75" hidden="1" customHeight="1" x14ac:dyDescent="0.25">
      <c r="A1194" s="15" t="s">
        <v>105</v>
      </c>
      <c r="B1194" s="11" t="s">
        <v>143</v>
      </c>
      <c r="C1194" s="15"/>
      <c r="D1194" s="16" t="s">
        <v>20</v>
      </c>
      <c r="E1194" s="17">
        <v>0</v>
      </c>
      <c r="F1194" s="18">
        <f>E1194* 0.686268801552644</f>
        <v>0</v>
      </c>
      <c r="G1194" s="18">
        <f>E1194* 0.196991751576904</f>
        <v>0</v>
      </c>
      <c r="H1194" s="18">
        <f>E1194* 0.116642406598738</f>
        <v>0</v>
      </c>
    </row>
    <row r="1195" spans="1:8" ht="15.75" hidden="1" customHeight="1" x14ac:dyDescent="0.25">
      <c r="A1195" s="15" t="s">
        <v>105</v>
      </c>
      <c r="B1195" s="11" t="s">
        <v>143</v>
      </c>
      <c r="C1195" s="15"/>
      <c r="D1195" s="16" t="s">
        <v>21</v>
      </c>
      <c r="E1195" s="17">
        <v>0</v>
      </c>
      <c r="F1195" s="18">
        <f>E1195* 0.999513766486355</f>
        <v>0</v>
      </c>
      <c r="G1195" s="18">
        <f>E1195* 0.0000243116756822464</f>
        <v>0</v>
      </c>
      <c r="H1195" s="18">
        <f>E1195* 0.00034036345955145</f>
        <v>0</v>
      </c>
    </row>
    <row r="1196" spans="1:8" ht="15.75" hidden="1" customHeight="1" x14ac:dyDescent="0.25">
      <c r="A1196" s="15" t="s">
        <v>105</v>
      </c>
      <c r="B1196" s="11" t="s">
        <v>143</v>
      </c>
      <c r="C1196" s="15"/>
      <c r="D1196" s="16" t="s">
        <v>19</v>
      </c>
      <c r="E1196" s="17">
        <v>1</v>
      </c>
      <c r="F1196" s="18">
        <f>E1196* 0.290681971640783</f>
        <v>0.29068197164078302</v>
      </c>
      <c r="G1196" s="18">
        <f>E1196* 0.694125590817016</f>
        <v>0.69412559081701597</v>
      </c>
      <c r="H1196" s="18">
        <f>E1196* 0.0151924375422012</f>
        <v>1.51924375422012E-2</v>
      </c>
    </row>
    <row r="1197" spans="1:8" ht="15.75" hidden="1" customHeight="1" x14ac:dyDescent="0.25">
      <c r="A1197" s="15" t="s">
        <v>105</v>
      </c>
      <c r="B1197" s="11" t="s">
        <v>143</v>
      </c>
      <c r="C1197" s="15"/>
      <c r="D1197" s="16" t="s">
        <v>28</v>
      </c>
      <c r="E1197" s="17">
        <v>0</v>
      </c>
      <c r="F1197" s="18">
        <f>E1197* 0.00094876660341556</f>
        <v>0</v>
      </c>
      <c r="G1197" s="18">
        <f>E1197* 0.999051233396584</f>
        <v>0</v>
      </c>
      <c r="H1197" s="18">
        <v>0</v>
      </c>
    </row>
    <row r="1198" spans="1:8" ht="15.75" hidden="1" customHeight="1" x14ac:dyDescent="0.25">
      <c r="A1198" s="15" t="s">
        <v>105</v>
      </c>
      <c r="B1198" s="11" t="s">
        <v>143</v>
      </c>
      <c r="C1198" s="15"/>
      <c r="D1198" s="16" t="s">
        <v>12</v>
      </c>
      <c r="E1198" s="17">
        <v>9</v>
      </c>
      <c r="F1198" s="18">
        <f>E1198* 0.843786808009423</f>
        <v>7.5940812720848063</v>
      </c>
      <c r="G1198" s="18">
        <f>E1198* 0.0740675304279545</f>
        <v>0.66660777385159053</v>
      </c>
      <c r="H1198" s="18">
        <f>E1198* 0.0820965842167256</f>
        <v>0.73886925795053038</v>
      </c>
    </row>
    <row r="1199" spans="1:8" ht="15.75" hidden="1" customHeight="1" x14ac:dyDescent="0.25">
      <c r="A1199" s="15" t="s">
        <v>105</v>
      </c>
      <c r="B1199" s="8"/>
      <c r="C1199" s="8"/>
      <c r="D1199" s="9"/>
      <c r="E1199" s="19"/>
    </row>
    <row r="1200" spans="1:8" ht="15.75" hidden="1" customHeight="1" x14ac:dyDescent="0.25">
      <c r="A1200" s="15" t="s">
        <v>105</v>
      </c>
      <c r="B1200" s="11" t="s">
        <v>144</v>
      </c>
      <c r="C1200" s="12" t="str">
        <f>B1200&amp;"_"&amp;A1200</f>
        <v>Totora_Cochabamba</v>
      </c>
      <c r="E1200" s="13">
        <v>59</v>
      </c>
      <c r="F1200" s="14">
        <f t="shared" ref="F1200:H1200" si="116">SUM(F1201:F1209)</f>
        <v>27.222017677014797</v>
      </c>
      <c r="G1200" s="14">
        <f t="shared" si="116"/>
        <v>30.556839009607163</v>
      </c>
      <c r="H1200" s="14">
        <f t="shared" si="116"/>
        <v>1.2083762641442173</v>
      </c>
    </row>
    <row r="1201" spans="1:8" ht="15.75" hidden="1" customHeight="1" x14ac:dyDescent="0.25">
      <c r="A1201" s="15" t="s">
        <v>105</v>
      </c>
      <c r="B1201" s="11" t="s">
        <v>144</v>
      </c>
      <c r="C1201" s="15"/>
      <c r="D1201" s="16" t="s">
        <v>14</v>
      </c>
      <c r="E1201" s="17">
        <v>0</v>
      </c>
      <c r="F1201" s="20">
        <v>0</v>
      </c>
      <c r="G1201" s="20">
        <f>E1201</f>
        <v>0</v>
      </c>
      <c r="H1201" s="20">
        <v>0</v>
      </c>
    </row>
    <row r="1202" spans="1:8" ht="15.75" hidden="1" customHeight="1" x14ac:dyDescent="0.25">
      <c r="A1202" s="15" t="s">
        <v>105</v>
      </c>
      <c r="B1202" s="11" t="s">
        <v>144</v>
      </c>
      <c r="C1202" s="15"/>
      <c r="D1202" s="16" t="s">
        <v>15</v>
      </c>
      <c r="E1202" s="17">
        <v>5</v>
      </c>
      <c r="F1202" s="18">
        <f>E1202* 0.932775698199239</f>
        <v>4.6638784909961952</v>
      </c>
      <c r="G1202" s="18">
        <f>E1202* 0.00808724987291465</f>
        <v>4.0436249364573247E-2</v>
      </c>
      <c r="H1202" s="18">
        <f>E1202*0.0590600305004852</f>
        <v>0.29530015250242603</v>
      </c>
    </row>
    <row r="1203" spans="1:8" ht="15.75" hidden="1" customHeight="1" x14ac:dyDescent="0.25">
      <c r="A1203" s="15" t="s">
        <v>105</v>
      </c>
      <c r="B1203" s="11" t="s">
        <v>144</v>
      </c>
      <c r="C1203" s="15"/>
      <c r="D1203" s="16" t="s">
        <v>16</v>
      </c>
      <c r="E1203" s="17">
        <v>1</v>
      </c>
      <c r="F1203" s="18">
        <f>E1203* 0.0803212851405623</f>
        <v>8.0321285140562304E-2</v>
      </c>
      <c r="G1203" s="18">
        <f>E1203* 0.913367756741251</f>
        <v>0.91336775674125104</v>
      </c>
      <c r="H1203" s="18">
        <f>E1203* 0.0057372346528973</f>
        <v>5.7372346528973004E-3</v>
      </c>
    </row>
    <row r="1204" spans="1:8" ht="15.75" hidden="1" customHeight="1" x14ac:dyDescent="0.25">
      <c r="A1204" s="15" t="s">
        <v>105</v>
      </c>
      <c r="B1204" s="11" t="s">
        <v>144</v>
      </c>
      <c r="C1204" s="15"/>
      <c r="D1204" s="16" t="s">
        <v>11</v>
      </c>
      <c r="E1204" s="17">
        <v>33</v>
      </c>
      <c r="F1204" s="18">
        <f>E1204* 0.150611071171819</f>
        <v>4.9701653486700268</v>
      </c>
      <c r="G1204" s="18">
        <f>E1204* 0.847699496764917</f>
        <v>27.97408339324226</v>
      </c>
      <c r="H1204" s="18">
        <f>E1204* 0.00136592379583034</f>
        <v>4.5075485262401217E-2</v>
      </c>
    </row>
    <row r="1205" spans="1:8" ht="15.75" hidden="1" customHeight="1" x14ac:dyDescent="0.25">
      <c r="A1205" s="15" t="s">
        <v>105</v>
      </c>
      <c r="B1205" s="11" t="s">
        <v>144</v>
      </c>
      <c r="C1205" s="15"/>
      <c r="D1205" s="16" t="s">
        <v>17</v>
      </c>
      <c r="E1205" s="17">
        <v>5</v>
      </c>
      <c r="F1205" s="18">
        <f>E1205* 0.840430229624022</f>
        <v>4.2021511481201106</v>
      </c>
      <c r="G1205" s="18">
        <f>E1205* 0.0777504415846581</f>
        <v>0.38875220792329052</v>
      </c>
      <c r="H1205" s="18">
        <f>E1205* 0.0817877870300278</f>
        <v>0.40893893515013902</v>
      </c>
    </row>
    <row r="1206" spans="1:8" ht="15.75" hidden="1" customHeight="1" x14ac:dyDescent="0.25">
      <c r="A1206" s="15" t="s">
        <v>105</v>
      </c>
      <c r="B1206" s="11" t="s">
        <v>144</v>
      </c>
      <c r="C1206" s="15"/>
      <c r="D1206" s="16" t="s">
        <v>18</v>
      </c>
      <c r="E1206" s="17">
        <v>3</v>
      </c>
      <c r="F1206" s="18">
        <f>E1206* 0.932934264493959</f>
        <v>2.7988027934818769</v>
      </c>
      <c r="G1206" s="18">
        <f>E1206* 0.0585300964416362</f>
        <v>0.17559028932490858</v>
      </c>
      <c r="H1206" s="18">
        <f>E1206* 0.00853563906440528</f>
        <v>2.5606917193215843E-2</v>
      </c>
    </row>
    <row r="1207" spans="1:8" ht="15.75" hidden="1" customHeight="1" x14ac:dyDescent="0.25">
      <c r="A1207" s="15" t="s">
        <v>105</v>
      </c>
      <c r="B1207" s="11" t="s">
        <v>144</v>
      </c>
      <c r="C1207" s="15"/>
      <c r="D1207" s="16" t="s">
        <v>19</v>
      </c>
      <c r="E1207" s="17">
        <v>1</v>
      </c>
      <c r="F1207" s="18">
        <f>E1207* 0.290681971640783</f>
        <v>0.29068197164078302</v>
      </c>
      <c r="G1207" s="18">
        <f>E1207* 0.694125590817016</f>
        <v>0.69412559081701597</v>
      </c>
      <c r="H1207" s="18">
        <f>E1207* 0.0151924375422012</f>
        <v>1.51924375422012E-2</v>
      </c>
    </row>
    <row r="1208" spans="1:8" ht="15.75" hidden="1" customHeight="1" x14ac:dyDescent="0.25">
      <c r="A1208" s="15" t="s">
        <v>105</v>
      </c>
      <c r="B1208" s="11" t="s">
        <v>144</v>
      </c>
      <c r="C1208" s="15"/>
      <c r="D1208" s="16" t="s">
        <v>21</v>
      </c>
      <c r="E1208" s="17">
        <v>6</v>
      </c>
      <c r="F1208" s="18">
        <f>E1208* 0.999513766486355</f>
        <v>5.99708259891813</v>
      </c>
      <c r="G1208" s="18">
        <f>E1208* 0.0000243116756822464</f>
        <v>1.4587005409347838E-4</v>
      </c>
      <c r="H1208" s="18">
        <f>E1208* 0.00034036345955145</f>
        <v>2.0421807573086999E-3</v>
      </c>
    </row>
    <row r="1209" spans="1:8" ht="15.75" hidden="1" customHeight="1" x14ac:dyDescent="0.25">
      <c r="A1209" s="15" t="s">
        <v>105</v>
      </c>
      <c r="B1209" s="11" t="s">
        <v>144</v>
      </c>
      <c r="C1209" s="15"/>
      <c r="D1209" s="16" t="s">
        <v>12</v>
      </c>
      <c r="E1209" s="17">
        <v>5</v>
      </c>
      <c r="F1209" s="18">
        <f>E1209* 0.843786808009423</f>
        <v>4.2189340400471149</v>
      </c>
      <c r="G1209" s="18">
        <f>E1209* 0.0740675304279545</f>
        <v>0.37033765213977249</v>
      </c>
      <c r="H1209" s="18">
        <f>E1209* 0.0820965842167256</f>
        <v>0.41048292108362799</v>
      </c>
    </row>
    <row r="1210" spans="1:8" ht="15.75" hidden="1" customHeight="1" x14ac:dyDescent="0.25">
      <c r="A1210" s="15" t="s">
        <v>105</v>
      </c>
      <c r="B1210" s="8"/>
      <c r="C1210" s="8"/>
      <c r="D1210" s="9"/>
      <c r="E1210" s="19"/>
    </row>
    <row r="1211" spans="1:8" ht="15.75" hidden="1" customHeight="1" x14ac:dyDescent="0.25">
      <c r="A1211" s="15" t="s">
        <v>105</v>
      </c>
      <c r="B1211" s="11" t="s">
        <v>145</v>
      </c>
      <c r="C1211" s="12" t="str">
        <f>B1211&amp;"_"&amp;A1211</f>
        <v>Vacas_Cochabamba</v>
      </c>
      <c r="E1211" s="13">
        <v>25</v>
      </c>
      <c r="F1211" s="14">
        <f t="shared" ref="F1211:H1211" si="117">SUM(F1212:F1219)</f>
        <v>14.707026674985357</v>
      </c>
      <c r="G1211" s="14">
        <f t="shared" si="117"/>
        <v>9.4137501337458165</v>
      </c>
      <c r="H1211" s="14">
        <f t="shared" si="117"/>
        <v>0.87462643628900039</v>
      </c>
    </row>
    <row r="1212" spans="1:8" ht="15.75" hidden="1" customHeight="1" x14ac:dyDescent="0.25">
      <c r="A1212" s="15" t="s">
        <v>105</v>
      </c>
      <c r="B1212" s="11" t="s">
        <v>145</v>
      </c>
      <c r="C1212" s="15"/>
      <c r="D1212" s="16" t="s">
        <v>14</v>
      </c>
      <c r="E1212" s="17">
        <v>0</v>
      </c>
      <c r="F1212" s="20">
        <v>0</v>
      </c>
      <c r="G1212" s="20">
        <f>E1212</f>
        <v>0</v>
      </c>
      <c r="H1212" s="20">
        <v>0</v>
      </c>
    </row>
    <row r="1213" spans="1:8" ht="15.75" hidden="1" customHeight="1" x14ac:dyDescent="0.25">
      <c r="A1213" s="15" t="s">
        <v>105</v>
      </c>
      <c r="B1213" s="11" t="s">
        <v>145</v>
      </c>
      <c r="C1213" s="15"/>
      <c r="D1213" s="16" t="s">
        <v>15</v>
      </c>
      <c r="E1213" s="17">
        <v>0</v>
      </c>
      <c r="F1213" s="18">
        <f>E1213* 0.932775698199239</f>
        <v>0</v>
      </c>
      <c r="G1213" s="18">
        <f>E1213* 0.00808724987291465</f>
        <v>0</v>
      </c>
      <c r="H1213" s="18">
        <f>E1213*0.0590600305004852</f>
        <v>0</v>
      </c>
    </row>
    <row r="1214" spans="1:8" ht="15.75" hidden="1" customHeight="1" x14ac:dyDescent="0.25">
      <c r="A1214" s="15" t="s">
        <v>105</v>
      </c>
      <c r="B1214" s="11" t="s">
        <v>145</v>
      </c>
      <c r="C1214" s="15"/>
      <c r="D1214" s="16" t="s">
        <v>16</v>
      </c>
      <c r="E1214" s="17">
        <v>1</v>
      </c>
      <c r="F1214" s="18">
        <f>E1214* 0.0803212851405623</f>
        <v>8.0321285140562304E-2</v>
      </c>
      <c r="G1214" s="18">
        <f>E1214* 0.913367756741251</f>
        <v>0.91336775674125104</v>
      </c>
      <c r="H1214" s="18">
        <f>E1214* 0.0057372346528973</f>
        <v>5.7372346528973004E-3</v>
      </c>
    </row>
    <row r="1215" spans="1:8" ht="15.75" hidden="1" customHeight="1" x14ac:dyDescent="0.25">
      <c r="A1215" s="15" t="s">
        <v>105</v>
      </c>
      <c r="B1215" s="11" t="s">
        <v>145</v>
      </c>
      <c r="C1215" s="15"/>
      <c r="D1215" s="16" t="s">
        <v>11</v>
      </c>
      <c r="E1215" s="17">
        <v>9</v>
      </c>
      <c r="F1215" s="18">
        <f>E1215* 0.150611071171819</f>
        <v>1.3554996405463708</v>
      </c>
      <c r="G1215" s="18">
        <f>E1215* 0.847699496764917</f>
        <v>7.6292954708842524</v>
      </c>
      <c r="H1215" s="18">
        <f>E1215* 0.00136592379583034</f>
        <v>1.2293314162473061E-2</v>
      </c>
    </row>
    <row r="1216" spans="1:8" ht="15.75" hidden="1" customHeight="1" x14ac:dyDescent="0.25">
      <c r="A1216" s="15" t="s">
        <v>105</v>
      </c>
      <c r="B1216" s="11" t="s">
        <v>145</v>
      </c>
      <c r="C1216" s="15"/>
      <c r="D1216" s="16" t="s">
        <v>17</v>
      </c>
      <c r="E1216" s="17">
        <v>2</v>
      </c>
      <c r="F1216" s="18">
        <f>E1216* 0.840430229624022</f>
        <v>1.6808604592480441</v>
      </c>
      <c r="G1216" s="18">
        <f>E1216* 0.0777504415846581</f>
        <v>0.15550088316931621</v>
      </c>
      <c r="H1216" s="18">
        <f>E1216* 0.0817877870300278</f>
        <v>0.1635755740600556</v>
      </c>
    </row>
    <row r="1217" spans="1:8" ht="15.75" hidden="1" customHeight="1" x14ac:dyDescent="0.25">
      <c r="A1217" s="15" t="s">
        <v>105</v>
      </c>
      <c r="B1217" s="11" t="s">
        <v>145</v>
      </c>
      <c r="C1217" s="15"/>
      <c r="D1217" s="16" t="s">
        <v>20</v>
      </c>
      <c r="E1217" s="17">
        <v>1</v>
      </c>
      <c r="F1217" s="18">
        <f>E1217* 0.686268801552644</f>
        <v>0.68626880155264403</v>
      </c>
      <c r="G1217" s="18">
        <f>E1217* 0.196991751576904</f>
        <v>0.19699175157690399</v>
      </c>
      <c r="H1217" s="18">
        <f>E1217* 0.116642406598738</f>
        <v>0.11664240659873799</v>
      </c>
    </row>
    <row r="1218" spans="1:8" ht="15.75" hidden="1" customHeight="1" x14ac:dyDescent="0.25">
      <c r="A1218" s="15" t="s">
        <v>105</v>
      </c>
      <c r="B1218" s="11" t="s">
        <v>145</v>
      </c>
      <c r="C1218" s="15"/>
      <c r="D1218" s="16" t="s">
        <v>21</v>
      </c>
      <c r="E1218" s="17">
        <v>5</v>
      </c>
      <c r="F1218" s="18">
        <f>E1218* 0.999513766486355</f>
        <v>4.9975688324317753</v>
      </c>
      <c r="G1218" s="18">
        <f>E1218* 0.0000243116756822464</f>
        <v>1.21558378411232E-4</v>
      </c>
      <c r="H1218" s="18">
        <f>E1218* 0.00034036345955145</f>
        <v>1.7018172977572501E-3</v>
      </c>
    </row>
    <row r="1219" spans="1:8" ht="15.75" hidden="1" customHeight="1" x14ac:dyDescent="0.25">
      <c r="A1219" s="15" t="s">
        <v>105</v>
      </c>
      <c r="B1219" s="11" t="s">
        <v>145</v>
      </c>
      <c r="C1219" s="15"/>
      <c r="D1219" s="16" t="s">
        <v>12</v>
      </c>
      <c r="E1219" s="17">
        <v>7</v>
      </c>
      <c r="F1219" s="18">
        <f>E1219* 0.843786808009423</f>
        <v>5.9065076560659611</v>
      </c>
      <c r="G1219" s="18">
        <f>E1219* 0.0740675304279545</f>
        <v>0.51847271299568143</v>
      </c>
      <c r="H1219" s="18">
        <f>E1219* 0.0820965842167256</f>
        <v>0.57467608951707916</v>
      </c>
    </row>
    <row r="1220" spans="1:8" ht="15.75" hidden="1" customHeight="1" x14ac:dyDescent="0.25">
      <c r="A1220" s="15" t="s">
        <v>105</v>
      </c>
      <c r="B1220" s="8"/>
      <c r="C1220" s="8"/>
      <c r="D1220" s="9"/>
      <c r="E1220" s="19"/>
    </row>
    <row r="1221" spans="1:8" ht="15.75" hidden="1" customHeight="1" x14ac:dyDescent="0.25">
      <c r="A1221" s="15" t="s">
        <v>105</v>
      </c>
      <c r="B1221" s="11" t="s">
        <v>146</v>
      </c>
      <c r="C1221" s="12" t="str">
        <f>B1221&amp;"_"&amp;A1221</f>
        <v>Vila Vila_Cochabamba</v>
      </c>
      <c r="E1221" s="13">
        <v>1</v>
      </c>
      <c r="F1221" s="14">
        <f t="shared" ref="F1221:H1221" si="118">SUM(F1222:F1223)</f>
        <v>0.99951376648635504</v>
      </c>
      <c r="G1221" s="14">
        <f t="shared" si="118"/>
        <v>2.4311675682246399E-5</v>
      </c>
      <c r="H1221" s="14">
        <f t="shared" si="118"/>
        <v>3.4036345955145E-4</v>
      </c>
    </row>
    <row r="1222" spans="1:8" ht="15.75" hidden="1" customHeight="1" x14ac:dyDescent="0.25">
      <c r="A1222" s="15" t="s">
        <v>105</v>
      </c>
      <c r="B1222" s="11" t="s">
        <v>146</v>
      </c>
      <c r="C1222" s="15"/>
      <c r="D1222" s="16" t="s">
        <v>21</v>
      </c>
      <c r="E1222" s="17">
        <v>1</v>
      </c>
      <c r="F1222" s="18">
        <f>E1222* 0.999513766486355</f>
        <v>0.99951376648635504</v>
      </c>
      <c r="G1222" s="18">
        <f>E1222* 0.0000243116756822464</f>
        <v>2.4311675682246399E-5</v>
      </c>
      <c r="H1222" s="18">
        <f>E1222* 0.00034036345955145</f>
        <v>3.4036345955145E-4</v>
      </c>
    </row>
    <row r="1223" spans="1:8" ht="15.75" hidden="1" customHeight="1" x14ac:dyDescent="0.25">
      <c r="A1223" s="15" t="s">
        <v>105</v>
      </c>
      <c r="B1223" s="11" t="s">
        <v>146</v>
      </c>
      <c r="C1223" s="15"/>
      <c r="D1223" s="16" t="s">
        <v>12</v>
      </c>
      <c r="E1223" s="17">
        <v>0</v>
      </c>
      <c r="F1223" s="18">
        <f>E1223* 0.843786808009423</f>
        <v>0</v>
      </c>
      <c r="G1223" s="18">
        <f>E1223* 0.0740675304279545</f>
        <v>0</v>
      </c>
      <c r="H1223" s="18">
        <f>E1223* 0.0820965842167256</f>
        <v>0</v>
      </c>
    </row>
    <row r="1224" spans="1:8" ht="15.75" hidden="1" customHeight="1" x14ac:dyDescent="0.25">
      <c r="A1224" s="15" t="s">
        <v>105</v>
      </c>
      <c r="B1224" s="8"/>
      <c r="C1224" s="8"/>
      <c r="D1224" s="9"/>
      <c r="E1224" s="19"/>
    </row>
    <row r="1225" spans="1:8" ht="15.75" hidden="1" customHeight="1" x14ac:dyDescent="0.25">
      <c r="A1225" s="15" t="s">
        <v>105</v>
      </c>
      <c r="B1225" s="11" t="s">
        <v>147</v>
      </c>
      <c r="C1225" s="12" t="str">
        <f>B1225&amp;"_"&amp;A1225</f>
        <v>Villa Rivero_Cochabamba</v>
      </c>
      <c r="E1225" s="13">
        <v>189</v>
      </c>
      <c r="F1225" s="14">
        <f t="shared" ref="F1225:H1225" si="119">SUM(F1226:F1236)</f>
        <v>157.95939405534992</v>
      </c>
      <c r="G1225" s="14">
        <f t="shared" si="119"/>
        <v>19.149134972141688</v>
      </c>
      <c r="H1225" s="14">
        <f t="shared" si="119"/>
        <v>11.876395857768461</v>
      </c>
    </row>
    <row r="1226" spans="1:8" ht="15.75" hidden="1" customHeight="1" x14ac:dyDescent="0.25">
      <c r="A1226" s="15" t="s">
        <v>105</v>
      </c>
      <c r="B1226" s="11" t="s">
        <v>147</v>
      </c>
      <c r="C1226" s="15"/>
      <c r="D1226" s="16" t="s">
        <v>14</v>
      </c>
      <c r="E1226" s="17">
        <v>0</v>
      </c>
      <c r="F1226" s="20">
        <v>0</v>
      </c>
      <c r="G1226" s="20">
        <f>E1226</f>
        <v>0</v>
      </c>
      <c r="H1226" s="20">
        <v>0</v>
      </c>
    </row>
    <row r="1227" spans="1:8" ht="15.75" hidden="1" customHeight="1" x14ac:dyDescent="0.25">
      <c r="A1227" s="15" t="s">
        <v>105</v>
      </c>
      <c r="B1227" s="11" t="s">
        <v>147</v>
      </c>
      <c r="C1227" s="15"/>
      <c r="D1227" s="16" t="s">
        <v>15</v>
      </c>
      <c r="E1227" s="17">
        <v>16</v>
      </c>
      <c r="F1227" s="18">
        <f>E1227* 0.932775698199239</f>
        <v>14.924411171187824</v>
      </c>
      <c r="G1227" s="18">
        <f>E1227* 0.00808724987291465</f>
        <v>0.1293959979666344</v>
      </c>
      <c r="H1227" s="18">
        <f>E1227*0.0590600305004852</f>
        <v>0.94496048800776322</v>
      </c>
    </row>
    <row r="1228" spans="1:8" ht="15.75" hidden="1" customHeight="1" x14ac:dyDescent="0.25">
      <c r="A1228" s="15" t="s">
        <v>105</v>
      </c>
      <c r="B1228" s="11" t="s">
        <v>147</v>
      </c>
      <c r="C1228" s="15"/>
      <c r="D1228" s="16" t="s">
        <v>11</v>
      </c>
      <c r="E1228" s="17">
        <v>6</v>
      </c>
      <c r="F1228" s="18">
        <f>E1228* 0.150611071171819</f>
        <v>0.90366642703091393</v>
      </c>
      <c r="G1228" s="18">
        <f>E1228* 0.847699496764917</f>
        <v>5.0861969805895022</v>
      </c>
      <c r="H1228" s="18">
        <f>E1228* 0.00136592379583034</f>
        <v>8.1955427749820405E-3</v>
      </c>
    </row>
    <row r="1229" spans="1:8" ht="15.75" hidden="1" customHeight="1" x14ac:dyDescent="0.25">
      <c r="A1229" s="15" t="s">
        <v>105</v>
      </c>
      <c r="B1229" s="11" t="s">
        <v>147</v>
      </c>
      <c r="C1229" s="15"/>
      <c r="D1229" s="16" t="s">
        <v>17</v>
      </c>
      <c r="E1229" s="17">
        <v>4</v>
      </c>
      <c r="F1229" s="18">
        <f>E1229* 0.840430229624022</f>
        <v>3.3617209184960881</v>
      </c>
      <c r="G1229" s="18">
        <f>E1229* 0.0777504415846581</f>
        <v>0.31100176633863241</v>
      </c>
      <c r="H1229" s="18">
        <f>E1229* 0.0817877870300278</f>
        <v>0.3271511481201112</v>
      </c>
    </row>
    <row r="1230" spans="1:8" ht="15.75" hidden="1" customHeight="1" x14ac:dyDescent="0.25">
      <c r="A1230" s="15" t="s">
        <v>105</v>
      </c>
      <c r="B1230" s="11" t="s">
        <v>147</v>
      </c>
      <c r="C1230" s="15"/>
      <c r="D1230" s="16" t="s">
        <v>31</v>
      </c>
      <c r="E1230" s="17">
        <v>7</v>
      </c>
      <c r="F1230" s="18">
        <f>E1230* 0.901975683890578</f>
        <v>6.3138297872340461</v>
      </c>
      <c r="G1230" s="18">
        <f>E1230* 0.0364741641337386</f>
        <v>0.25531914893617019</v>
      </c>
      <c r="H1230" s="18">
        <f>E1230* 0.0615501519756839</f>
        <v>0.43085106382978727</v>
      </c>
    </row>
    <row r="1231" spans="1:8" ht="15.75" hidden="1" customHeight="1" x14ac:dyDescent="0.25">
      <c r="A1231" s="15" t="s">
        <v>105</v>
      </c>
      <c r="B1231" s="11" t="s">
        <v>147</v>
      </c>
      <c r="C1231" s="15"/>
      <c r="D1231" s="16" t="s">
        <v>18</v>
      </c>
      <c r="E1231" s="17">
        <v>1</v>
      </c>
      <c r="F1231" s="18">
        <f>E1231* 0.932934264493959</f>
        <v>0.932934264493959</v>
      </c>
      <c r="G1231" s="18">
        <f>E1231* 0.0585300964416362</f>
        <v>5.8530096441636197E-2</v>
      </c>
      <c r="H1231" s="18">
        <f>E1231* 0.00853563906440528</f>
        <v>8.5356390644052808E-3</v>
      </c>
    </row>
    <row r="1232" spans="1:8" ht="15.75" hidden="1" customHeight="1" x14ac:dyDescent="0.25">
      <c r="A1232" s="15" t="s">
        <v>105</v>
      </c>
      <c r="B1232" s="11" t="s">
        <v>147</v>
      </c>
      <c r="C1232" s="15"/>
      <c r="D1232" s="16" t="s">
        <v>19</v>
      </c>
      <c r="E1232" s="17">
        <v>1</v>
      </c>
      <c r="F1232" s="18">
        <f>E1232* 0.290681971640783</f>
        <v>0.29068197164078302</v>
      </c>
      <c r="G1232" s="18">
        <f>E1232* 0.694125590817016</f>
        <v>0.69412559081701597</v>
      </c>
      <c r="H1232" s="18">
        <f>E1232* 0.0151924375422012</f>
        <v>1.51924375422012E-2</v>
      </c>
    </row>
    <row r="1233" spans="1:8" ht="15.75" hidden="1" customHeight="1" x14ac:dyDescent="0.25">
      <c r="A1233" s="15" t="s">
        <v>105</v>
      </c>
      <c r="B1233" s="11" t="s">
        <v>147</v>
      </c>
      <c r="C1233" s="15"/>
      <c r="D1233" s="16" t="s">
        <v>20</v>
      </c>
      <c r="E1233" s="17">
        <v>27</v>
      </c>
      <c r="F1233" s="18">
        <f>E1233* 0.686268801552644</f>
        <v>18.52925764192139</v>
      </c>
      <c r="G1233" s="18">
        <f>E1233* 0.196991751576904</f>
        <v>5.3187772925764074</v>
      </c>
      <c r="H1233" s="18">
        <f>E1233* 0.116642406598738</f>
        <v>3.1493449781659257</v>
      </c>
    </row>
    <row r="1234" spans="1:8" ht="15.75" hidden="1" customHeight="1" x14ac:dyDescent="0.25">
      <c r="A1234" s="15" t="s">
        <v>105</v>
      </c>
      <c r="B1234" s="11" t="s">
        <v>147</v>
      </c>
      <c r="C1234" s="15"/>
      <c r="D1234" s="16" t="s">
        <v>21</v>
      </c>
      <c r="E1234" s="17">
        <v>41</v>
      </c>
      <c r="F1234" s="18">
        <f>E1234* 0.999513766486355</f>
        <v>40.980064425940554</v>
      </c>
      <c r="G1234" s="18">
        <f>E1234* 0.0000243116756822464</f>
        <v>9.9677870297210243E-4</v>
      </c>
      <c r="H1234" s="18">
        <f>E1234* 0.00034036345955145</f>
        <v>1.3954901841609449E-2</v>
      </c>
    </row>
    <row r="1235" spans="1:8" ht="15.75" hidden="1" customHeight="1" x14ac:dyDescent="0.25">
      <c r="A1235" s="15" t="s">
        <v>105</v>
      </c>
      <c r="B1235" s="11" t="s">
        <v>147</v>
      </c>
      <c r="C1235" s="15"/>
      <c r="D1235" s="16" t="s">
        <v>148</v>
      </c>
      <c r="E1235" s="17">
        <v>1</v>
      </c>
      <c r="F1235" s="18">
        <f>E1235* 0.00094876660341556</f>
        <v>9.4876660341556001E-4</v>
      </c>
      <c r="G1235" s="18">
        <f>E1235* 0.999051233396584</f>
        <v>0.99905123339658397</v>
      </c>
      <c r="H1235" s="18">
        <v>0</v>
      </c>
    </row>
    <row r="1236" spans="1:8" ht="15.75" hidden="1" customHeight="1" x14ac:dyDescent="0.25">
      <c r="A1236" s="15" t="s">
        <v>105</v>
      </c>
      <c r="B1236" s="11" t="s">
        <v>147</v>
      </c>
      <c r="C1236" s="15"/>
      <c r="D1236" s="16" t="s">
        <v>12</v>
      </c>
      <c r="E1236" s="17">
        <v>85</v>
      </c>
      <c r="F1236" s="18">
        <f>E1236* 0.843786808009423</f>
        <v>71.721878680800955</v>
      </c>
      <c r="G1236" s="18">
        <f>E1236* 0.0740675304279545</f>
        <v>6.2957400863761324</v>
      </c>
      <c r="H1236" s="18">
        <f>E1236* 0.0820965842167256</f>
        <v>6.978209658421676</v>
      </c>
    </row>
    <row r="1237" spans="1:8" ht="15.75" hidden="1" customHeight="1" x14ac:dyDescent="0.25">
      <c r="A1237" s="15" t="s">
        <v>105</v>
      </c>
      <c r="B1237" s="8"/>
      <c r="C1237" s="8"/>
      <c r="D1237" s="9"/>
      <c r="E1237" s="19"/>
    </row>
    <row r="1238" spans="1:8" ht="15.75" hidden="1" customHeight="1" x14ac:dyDescent="0.25">
      <c r="A1238" s="15" t="s">
        <v>105</v>
      </c>
      <c r="B1238" s="11" t="s">
        <v>149</v>
      </c>
      <c r="C1238" s="12" t="str">
        <f>B1238&amp;"_"&amp;A1238</f>
        <v>Villa Tunari_Cochabamba</v>
      </c>
      <c r="E1238" s="22">
        <v>4981</v>
      </c>
      <c r="F1238" s="14">
        <f t="shared" ref="F1238:H1238" si="120">SUM(F1239:F1252)</f>
        <v>4354.1049621706115</v>
      </c>
      <c r="G1238" s="14">
        <f t="shared" si="120"/>
        <v>402.59026938157132</v>
      </c>
      <c r="H1238" s="14">
        <f t="shared" si="120"/>
        <v>223.84117984463302</v>
      </c>
    </row>
    <row r="1239" spans="1:8" ht="15.75" hidden="1" customHeight="1" x14ac:dyDescent="0.25">
      <c r="A1239" s="15" t="s">
        <v>105</v>
      </c>
      <c r="B1239" s="11" t="s">
        <v>149</v>
      </c>
      <c r="C1239" s="15"/>
      <c r="D1239" s="16" t="s">
        <v>14</v>
      </c>
      <c r="E1239" s="17">
        <v>0</v>
      </c>
      <c r="F1239" s="20">
        <v>0</v>
      </c>
      <c r="G1239" s="20">
        <f>E1239</f>
        <v>0</v>
      </c>
      <c r="H1239" s="20">
        <v>0</v>
      </c>
    </row>
    <row r="1240" spans="1:8" ht="15.75" hidden="1" customHeight="1" x14ac:dyDescent="0.25">
      <c r="A1240" s="15" t="s">
        <v>105</v>
      </c>
      <c r="B1240" s="11" t="s">
        <v>149</v>
      </c>
      <c r="C1240" s="15"/>
      <c r="D1240" s="16" t="s">
        <v>15</v>
      </c>
      <c r="E1240" s="17">
        <v>65</v>
      </c>
      <c r="F1240" s="18">
        <f>E1240* 0.932775698199239</f>
        <v>60.630420382950533</v>
      </c>
      <c r="G1240" s="18">
        <f>E1240* 0.00808724987291465</f>
        <v>0.52567124173945223</v>
      </c>
      <c r="H1240" s="18">
        <f>E1240*0.0590600305004852</f>
        <v>3.8389019825315382</v>
      </c>
    </row>
    <row r="1241" spans="1:8" ht="15.75" hidden="1" customHeight="1" x14ac:dyDescent="0.25">
      <c r="A1241" s="15" t="s">
        <v>105</v>
      </c>
      <c r="B1241" s="11" t="s">
        <v>149</v>
      </c>
      <c r="C1241" s="15"/>
      <c r="D1241" s="16" t="s">
        <v>16</v>
      </c>
      <c r="E1241" s="17">
        <v>1</v>
      </c>
      <c r="F1241" s="18">
        <f>E1241* 0.0803212851405623</f>
        <v>8.0321285140562304E-2</v>
      </c>
      <c r="G1241" s="18">
        <f>E1241* 0.913367756741251</f>
        <v>0.91336775674125104</v>
      </c>
      <c r="H1241" s="18">
        <f>E1241* 0.0057372346528973</f>
        <v>5.7372346528973004E-3</v>
      </c>
    </row>
    <row r="1242" spans="1:8" ht="15.75" hidden="1" customHeight="1" x14ac:dyDescent="0.25">
      <c r="A1242" s="15" t="s">
        <v>105</v>
      </c>
      <c r="B1242" s="11" t="s">
        <v>149</v>
      </c>
      <c r="C1242" s="15"/>
      <c r="D1242" s="16" t="s">
        <v>11</v>
      </c>
      <c r="E1242" s="17">
        <v>201</v>
      </c>
      <c r="F1242" s="18">
        <f>E1242* 0.150611071171819</f>
        <v>30.272825305535616</v>
      </c>
      <c r="G1242" s="18">
        <f>E1242* 0.847699496764917</f>
        <v>170.38759884974831</v>
      </c>
      <c r="H1242" s="18">
        <f>E1242* 0.00136592379583034</f>
        <v>0.27455068296189833</v>
      </c>
    </row>
    <row r="1243" spans="1:8" ht="15.75" hidden="1" customHeight="1" x14ac:dyDescent="0.25">
      <c r="A1243" s="15" t="s">
        <v>105</v>
      </c>
      <c r="B1243" s="11" t="s">
        <v>149</v>
      </c>
      <c r="C1243" s="15"/>
      <c r="D1243" s="16" t="s">
        <v>17</v>
      </c>
      <c r="E1243" s="17">
        <v>100</v>
      </c>
      <c r="F1243" s="18">
        <f>E1243* 0.840430229624022</f>
        <v>84.043022962402205</v>
      </c>
      <c r="G1243" s="18">
        <f>E1243* 0.0777504415846581</f>
        <v>7.7750441584658105</v>
      </c>
      <c r="H1243" s="18">
        <f>E1243* 0.0817877870300278</f>
        <v>8.1787787030027808</v>
      </c>
    </row>
    <row r="1244" spans="1:8" ht="15.75" hidden="1" customHeight="1" x14ac:dyDescent="0.25">
      <c r="A1244" s="15" t="s">
        <v>105</v>
      </c>
      <c r="B1244" s="11" t="s">
        <v>149</v>
      </c>
      <c r="C1244" s="15"/>
      <c r="D1244" s="16" t="s">
        <v>31</v>
      </c>
      <c r="E1244" s="17">
        <v>2</v>
      </c>
      <c r="F1244" s="18">
        <f>E1244* 0.901975683890578</f>
        <v>1.8039513677811561</v>
      </c>
      <c r="G1244" s="18">
        <f>E1244* 0.0364741641337386</f>
        <v>7.29483282674772E-2</v>
      </c>
      <c r="H1244" s="18">
        <f>E1244* 0.0615501519756839</f>
        <v>0.1231003039513678</v>
      </c>
    </row>
    <row r="1245" spans="1:8" ht="15.75" hidden="1" customHeight="1" x14ac:dyDescent="0.25">
      <c r="A1245" s="15" t="s">
        <v>105</v>
      </c>
      <c r="B1245" s="11" t="s">
        <v>149</v>
      </c>
      <c r="C1245" s="15"/>
      <c r="D1245" s="16" t="s">
        <v>18</v>
      </c>
      <c r="E1245" s="17">
        <v>16</v>
      </c>
      <c r="F1245" s="18">
        <f>E1245* 0.932934264493959</f>
        <v>14.926948231903344</v>
      </c>
      <c r="G1245" s="18">
        <f>E1245* 0.0585300964416362</f>
        <v>0.93648154306617915</v>
      </c>
      <c r="H1245" s="18">
        <f>E1245* 0.00853563906440528</f>
        <v>0.13657022503048449</v>
      </c>
    </row>
    <row r="1246" spans="1:8" ht="15.75" hidden="1" customHeight="1" x14ac:dyDescent="0.25">
      <c r="A1246" s="15" t="s">
        <v>105</v>
      </c>
      <c r="B1246" s="11" t="s">
        <v>149</v>
      </c>
      <c r="C1246" s="15"/>
      <c r="D1246" s="16" t="s">
        <v>19</v>
      </c>
      <c r="E1246" s="17">
        <v>5</v>
      </c>
      <c r="F1246" s="18">
        <f>E1246* 0.290681971640783</f>
        <v>1.4534098582039152</v>
      </c>
      <c r="G1246" s="18">
        <f>E1246* 0.694125590817016</f>
        <v>3.4706279540850797</v>
      </c>
      <c r="H1246" s="18">
        <f>E1246* 0.0151924375422012</f>
        <v>7.5962187711006005E-2</v>
      </c>
    </row>
    <row r="1247" spans="1:8" ht="15.75" hidden="1" customHeight="1" x14ac:dyDescent="0.25">
      <c r="A1247" s="15" t="s">
        <v>105</v>
      </c>
      <c r="B1247" s="11" t="s">
        <v>149</v>
      </c>
      <c r="C1247" s="15"/>
      <c r="D1247" s="16" t="s">
        <v>20</v>
      </c>
      <c r="E1247" s="17">
        <v>235</v>
      </c>
      <c r="F1247" s="18">
        <f>E1247* 0.686268801552644</f>
        <v>161.27316836487134</v>
      </c>
      <c r="G1247" s="18">
        <f>E1247* 0.196991751576904</f>
        <v>46.293061620572438</v>
      </c>
      <c r="H1247" s="18">
        <f>E1247* 0.116642406598738</f>
        <v>27.410965550703427</v>
      </c>
    </row>
    <row r="1248" spans="1:8" ht="15.75" hidden="1" customHeight="1" x14ac:dyDescent="0.25">
      <c r="A1248" s="15" t="s">
        <v>105</v>
      </c>
      <c r="B1248" s="11" t="s">
        <v>149</v>
      </c>
      <c r="C1248" s="15"/>
      <c r="D1248" s="16" t="s">
        <v>21</v>
      </c>
      <c r="E1248" s="23">
        <v>2119</v>
      </c>
      <c r="F1248" s="18">
        <f>E1248* 0.999513766486355</f>
        <v>2117.9696711845863</v>
      </c>
      <c r="G1248" s="18">
        <f>E1248* 0.0000243116756822464</f>
        <v>5.1516440770680121E-2</v>
      </c>
      <c r="H1248" s="18">
        <f>E1248* 0.00034036345955145</f>
        <v>0.72123017078952256</v>
      </c>
    </row>
    <row r="1249" spans="1:8" ht="15.75" hidden="1" customHeight="1" x14ac:dyDescent="0.25">
      <c r="A1249" s="15" t="s">
        <v>105</v>
      </c>
      <c r="B1249" s="11" t="s">
        <v>149</v>
      </c>
      <c r="C1249" s="15"/>
      <c r="D1249" s="16" t="s">
        <v>36</v>
      </c>
      <c r="E1249" s="17">
        <v>0</v>
      </c>
      <c r="F1249" s="20">
        <f>E1249</f>
        <v>0</v>
      </c>
      <c r="G1249" s="20">
        <v>0</v>
      </c>
      <c r="H1249" s="20">
        <v>0</v>
      </c>
    </row>
    <row r="1250" spans="1:8" ht="15.75" hidden="1" customHeight="1" x14ac:dyDescent="0.25">
      <c r="A1250" s="15" t="s">
        <v>105</v>
      </c>
      <c r="B1250" s="11" t="s">
        <v>149</v>
      </c>
      <c r="C1250" s="15"/>
      <c r="D1250" s="16" t="s">
        <v>148</v>
      </c>
      <c r="E1250" s="17">
        <v>7</v>
      </c>
      <c r="F1250" s="18">
        <f>E1250* 0.00094876660341556</f>
        <v>6.6413662239089202E-3</v>
      </c>
      <c r="G1250" s="18">
        <f>E1250* 0.999051233396584</f>
        <v>6.9933586337760882</v>
      </c>
      <c r="H1250" s="18">
        <v>0</v>
      </c>
    </row>
    <row r="1251" spans="1:8" ht="15.75" hidden="1" customHeight="1" x14ac:dyDescent="0.25">
      <c r="A1251" s="15" t="s">
        <v>105</v>
      </c>
      <c r="B1251" s="11" t="s">
        <v>149</v>
      </c>
      <c r="C1251" s="15"/>
      <c r="D1251" s="16" t="s">
        <v>84</v>
      </c>
      <c r="E1251" s="17">
        <v>0</v>
      </c>
      <c r="F1251" s="20">
        <v>0</v>
      </c>
      <c r="G1251" s="20">
        <f>E1251</f>
        <v>0</v>
      </c>
      <c r="H1251" s="20">
        <v>0</v>
      </c>
    </row>
    <row r="1252" spans="1:8" ht="15.75" hidden="1" customHeight="1" x14ac:dyDescent="0.25">
      <c r="A1252" s="15" t="s">
        <v>105</v>
      </c>
      <c r="B1252" s="11" t="s">
        <v>149</v>
      </c>
      <c r="C1252" s="15"/>
      <c r="D1252" s="16" t="s">
        <v>12</v>
      </c>
      <c r="E1252" s="23">
        <v>2230</v>
      </c>
      <c r="F1252" s="18">
        <f>E1252* 0.843786808009423</f>
        <v>1881.6445818610132</v>
      </c>
      <c r="G1252" s="18">
        <f>E1252* 0.0740675304279545</f>
        <v>165.17059285433854</v>
      </c>
      <c r="H1252" s="18">
        <f>E1252* 0.0820965842167256</f>
        <v>183.07538280329808</v>
      </c>
    </row>
    <row r="1253" spans="1:8" ht="15.75" hidden="1" customHeight="1" x14ac:dyDescent="0.25">
      <c r="A1253" s="15" t="s">
        <v>105</v>
      </c>
      <c r="B1253" s="8"/>
      <c r="C1253" s="8"/>
      <c r="D1253" s="9"/>
      <c r="E1253" s="19"/>
    </row>
    <row r="1254" spans="1:8" ht="15.75" hidden="1" customHeight="1" x14ac:dyDescent="0.25">
      <c r="A1254" s="15" t="s">
        <v>105</v>
      </c>
      <c r="B1254" s="11" t="s">
        <v>150</v>
      </c>
      <c r="C1254" s="12" t="str">
        <f>B1254&amp;"_"&amp;A1254</f>
        <v>Vinto_Cochabamba</v>
      </c>
      <c r="E1254" s="22">
        <v>4045</v>
      </c>
      <c r="F1254" s="14">
        <f t="shared" ref="F1254:H1254" si="121">SUM(F1255:F1268)</f>
        <v>2945.9911204684449</v>
      </c>
      <c r="G1254" s="14">
        <f t="shared" si="121"/>
        <v>899.71510138797385</v>
      </c>
      <c r="H1254" s="14">
        <f t="shared" si="121"/>
        <v>198.87400581850352</v>
      </c>
    </row>
    <row r="1255" spans="1:8" ht="15.75" hidden="1" customHeight="1" x14ac:dyDescent="0.25">
      <c r="A1255" s="15" t="s">
        <v>105</v>
      </c>
      <c r="B1255" s="11" t="s">
        <v>150</v>
      </c>
      <c r="C1255" s="15"/>
      <c r="D1255" s="16" t="s">
        <v>14</v>
      </c>
      <c r="E1255" s="17">
        <v>0</v>
      </c>
      <c r="F1255" s="20">
        <v>0</v>
      </c>
      <c r="G1255" s="20">
        <f>E1255</f>
        <v>0</v>
      </c>
      <c r="H1255" s="20">
        <v>0</v>
      </c>
    </row>
    <row r="1256" spans="1:8" ht="15.75" hidden="1" customHeight="1" x14ac:dyDescent="0.25">
      <c r="A1256" s="15" t="s">
        <v>105</v>
      </c>
      <c r="B1256" s="11" t="s">
        <v>150</v>
      </c>
      <c r="C1256" s="15"/>
      <c r="D1256" s="16" t="s">
        <v>15</v>
      </c>
      <c r="E1256" s="17">
        <v>460</v>
      </c>
      <c r="F1256" s="18">
        <f>E1256* 0.932775698199239</f>
        <v>429.07682117164995</v>
      </c>
      <c r="G1256" s="18">
        <f>E1256* 0.00808724987291465</f>
        <v>3.720134941540739</v>
      </c>
      <c r="H1256" s="18">
        <f>E1256*0.0590600305004852</f>
        <v>27.167614030223191</v>
      </c>
    </row>
    <row r="1257" spans="1:8" ht="15.75" hidden="1" customHeight="1" x14ac:dyDescent="0.25">
      <c r="A1257" s="15" t="s">
        <v>105</v>
      </c>
      <c r="B1257" s="11" t="s">
        <v>150</v>
      </c>
      <c r="C1257" s="15"/>
      <c r="D1257" s="16" t="s">
        <v>16</v>
      </c>
      <c r="E1257" s="17">
        <v>68</v>
      </c>
      <c r="F1257" s="18">
        <f>E1257* 0.0803212851405623</f>
        <v>5.4618473895582369</v>
      </c>
      <c r="G1257" s="18">
        <f>E1257* 0.913367756741251</f>
        <v>62.109007458405074</v>
      </c>
      <c r="H1257" s="18">
        <f>E1257* 0.0057372346528973</f>
        <v>0.39013195639701642</v>
      </c>
    </row>
    <row r="1258" spans="1:8" ht="15.75" hidden="1" customHeight="1" x14ac:dyDescent="0.25">
      <c r="A1258" s="15" t="s">
        <v>105</v>
      </c>
      <c r="B1258" s="11" t="s">
        <v>150</v>
      </c>
      <c r="C1258" s="15"/>
      <c r="D1258" s="16" t="s">
        <v>11</v>
      </c>
      <c r="E1258" s="17">
        <v>466</v>
      </c>
      <c r="F1258" s="18">
        <f>E1258* 0.150611071171819</f>
        <v>70.18475916606765</v>
      </c>
      <c r="G1258" s="18">
        <f>E1258* 0.847699496764917</f>
        <v>395.0279654924513</v>
      </c>
      <c r="H1258" s="18">
        <f>E1258* 0.00136592379583034</f>
        <v>0.63652048885693846</v>
      </c>
    </row>
    <row r="1259" spans="1:8" ht="15.75" hidden="1" customHeight="1" x14ac:dyDescent="0.25">
      <c r="A1259" s="15" t="s">
        <v>105</v>
      </c>
      <c r="B1259" s="11" t="s">
        <v>150</v>
      </c>
      <c r="C1259" s="15"/>
      <c r="D1259" s="16" t="s">
        <v>17</v>
      </c>
      <c r="E1259" s="17">
        <v>412</v>
      </c>
      <c r="F1259" s="18">
        <f>E1259* 0.840430229624022</f>
        <v>346.2572546050971</v>
      </c>
      <c r="G1259" s="18">
        <f>E1259* 0.0777504415846581</f>
        <v>32.033181932879138</v>
      </c>
      <c r="H1259" s="18">
        <f>E1259* 0.0817877870300278</f>
        <v>33.696568256371457</v>
      </c>
    </row>
    <row r="1260" spans="1:8" ht="15.75" hidden="1" customHeight="1" x14ac:dyDescent="0.25">
      <c r="A1260" s="15" t="s">
        <v>105</v>
      </c>
      <c r="B1260" s="11" t="s">
        <v>150</v>
      </c>
      <c r="C1260" s="15"/>
      <c r="D1260" s="16" t="s">
        <v>31</v>
      </c>
      <c r="E1260" s="17">
        <v>15</v>
      </c>
      <c r="F1260" s="18">
        <f>E1260* 0.901975683890578</f>
        <v>13.52963525835867</v>
      </c>
      <c r="G1260" s="18">
        <f>E1260* 0.0364741641337386</f>
        <v>0.54711246200607899</v>
      </c>
      <c r="H1260" s="18">
        <f>E1260* 0.0615501519756839</f>
        <v>0.92325227963525847</v>
      </c>
    </row>
    <row r="1261" spans="1:8" ht="15.75" hidden="1" customHeight="1" x14ac:dyDescent="0.25">
      <c r="A1261" s="15" t="s">
        <v>105</v>
      </c>
      <c r="B1261" s="11" t="s">
        <v>150</v>
      </c>
      <c r="C1261" s="15"/>
      <c r="D1261" s="16" t="s">
        <v>18</v>
      </c>
      <c r="E1261" s="17">
        <v>67</v>
      </c>
      <c r="F1261" s="18">
        <f>E1261* 0.932934264493959</f>
        <v>62.506595721095252</v>
      </c>
      <c r="G1261" s="18">
        <f>E1261* 0.0585300964416362</f>
        <v>3.9215164615896252</v>
      </c>
      <c r="H1261" s="18">
        <f>E1261* 0.00853563906440528</f>
        <v>0.57188781731515381</v>
      </c>
    </row>
    <row r="1262" spans="1:8" ht="15.75" hidden="1" customHeight="1" x14ac:dyDescent="0.25">
      <c r="A1262" s="15" t="s">
        <v>105</v>
      </c>
      <c r="B1262" s="11" t="s">
        <v>150</v>
      </c>
      <c r="C1262" s="15"/>
      <c r="D1262" s="16" t="s">
        <v>19</v>
      </c>
      <c r="E1262" s="17">
        <v>32</v>
      </c>
      <c r="F1262" s="18">
        <f>E1262* 0.290681971640783</f>
        <v>9.3018230925050567</v>
      </c>
      <c r="G1262" s="18">
        <f>E1262* 0.694125590817016</f>
        <v>22.212018906144511</v>
      </c>
      <c r="H1262" s="18">
        <f>E1262* 0.0151924375422012</f>
        <v>0.48615800135043841</v>
      </c>
    </row>
    <row r="1263" spans="1:8" ht="15.75" hidden="1" customHeight="1" x14ac:dyDescent="0.25">
      <c r="A1263" s="15" t="s">
        <v>105</v>
      </c>
      <c r="B1263" s="11" t="s">
        <v>150</v>
      </c>
      <c r="C1263" s="15"/>
      <c r="D1263" s="16" t="s">
        <v>20</v>
      </c>
      <c r="E1263" s="17">
        <v>281</v>
      </c>
      <c r="F1263" s="18">
        <f>E1263* 0.686268801552644</f>
        <v>192.84153323629297</v>
      </c>
      <c r="G1263" s="18">
        <f>E1263* 0.196991751576904</f>
        <v>55.354682193110023</v>
      </c>
      <c r="H1263" s="18">
        <f>E1263* 0.116642406598738</f>
        <v>32.776516254245379</v>
      </c>
    </row>
    <row r="1264" spans="1:8" ht="15.75" hidden="1" customHeight="1" x14ac:dyDescent="0.25">
      <c r="A1264" s="15" t="s">
        <v>105</v>
      </c>
      <c r="B1264" s="11" t="s">
        <v>150</v>
      </c>
      <c r="C1264" s="15"/>
      <c r="D1264" s="16" t="s">
        <v>21</v>
      </c>
      <c r="E1264" s="17">
        <v>768</v>
      </c>
      <c r="F1264" s="18">
        <f>E1264* 0.999513766486355</f>
        <v>767.62657266152064</v>
      </c>
      <c r="G1264" s="18">
        <f>E1264* 0.0000243116756822464</f>
        <v>1.8671366923965232E-2</v>
      </c>
      <c r="H1264" s="18">
        <f>E1264* 0.00034036345955145</f>
        <v>0.26139913693551359</v>
      </c>
    </row>
    <row r="1265" spans="1:8" ht="15.75" hidden="1" customHeight="1" x14ac:dyDescent="0.25">
      <c r="A1265" s="15" t="s">
        <v>105</v>
      </c>
      <c r="B1265" s="11" t="s">
        <v>150</v>
      </c>
      <c r="C1265" s="15"/>
      <c r="D1265" s="16" t="s">
        <v>36</v>
      </c>
      <c r="E1265" s="17">
        <v>1</v>
      </c>
      <c r="F1265" s="20">
        <f>E1265</f>
        <v>1</v>
      </c>
      <c r="G1265" s="20">
        <v>0</v>
      </c>
      <c r="H1265" s="20">
        <v>0</v>
      </c>
    </row>
    <row r="1266" spans="1:8" ht="15.75" hidden="1" customHeight="1" x14ac:dyDescent="0.25">
      <c r="A1266" s="15" t="s">
        <v>105</v>
      </c>
      <c r="B1266" s="11" t="s">
        <v>150</v>
      </c>
      <c r="C1266" s="15"/>
      <c r="D1266" s="16" t="s">
        <v>37</v>
      </c>
      <c r="E1266" s="19"/>
      <c r="F1266" s="20">
        <v>0</v>
      </c>
      <c r="G1266" s="20">
        <v>0</v>
      </c>
      <c r="H1266" s="20">
        <v>0</v>
      </c>
    </row>
    <row r="1267" spans="1:8" ht="15.75" hidden="1" customHeight="1" x14ac:dyDescent="0.25">
      <c r="A1267" s="15" t="s">
        <v>105</v>
      </c>
      <c r="B1267" s="11" t="s">
        <v>150</v>
      </c>
      <c r="C1267" s="15"/>
      <c r="D1267" s="16" t="s">
        <v>148</v>
      </c>
      <c r="E1267" s="17">
        <v>233</v>
      </c>
      <c r="F1267" s="18">
        <f>E1267* 0.00094876660341556</f>
        <v>0.22106261859582549</v>
      </c>
      <c r="G1267" s="18">
        <f>E1267* 0.999051233396584</f>
        <v>232.77893738140406</v>
      </c>
      <c r="H1267" s="18">
        <v>0</v>
      </c>
    </row>
    <row r="1268" spans="1:8" ht="15.75" hidden="1" customHeight="1" x14ac:dyDescent="0.25">
      <c r="A1268" s="15" t="s">
        <v>105</v>
      </c>
      <c r="B1268" s="11" t="s">
        <v>150</v>
      </c>
      <c r="C1268" s="15"/>
      <c r="D1268" s="25" t="s">
        <v>12</v>
      </c>
      <c r="E1268" s="27">
        <v>1242</v>
      </c>
      <c r="F1268" s="18">
        <f>E1268* 0.843786808009423</f>
        <v>1047.9832155477034</v>
      </c>
      <c r="G1268" s="18">
        <f>E1268* 0.0740675304279545</f>
        <v>91.991872791519484</v>
      </c>
      <c r="H1268" s="18">
        <f>E1268* 0.0820965842167256</f>
        <v>101.96395759717319</v>
      </c>
    </row>
    <row r="1269" spans="1:8" ht="15.75" customHeight="1" x14ac:dyDescent="0.25">
      <c r="A1269" s="15" t="s">
        <v>151</v>
      </c>
      <c r="B1269" s="11" t="s">
        <v>152</v>
      </c>
      <c r="C1269" s="12" t="str">
        <f>B1269&amp;"_"&amp;A1269</f>
        <v>Andamarca_Oruro</v>
      </c>
      <c r="E1269" s="22">
        <v>1</v>
      </c>
      <c r="F1269" s="14">
        <f t="shared" ref="F1269:H1269" si="122">SUM(F1270:F1272)</f>
        <v>0.84940040492135205</v>
      </c>
      <c r="G1269" s="14">
        <f t="shared" si="122"/>
        <v>6.5472667808752494E-2</v>
      </c>
      <c r="H1269" s="14">
        <f t="shared" si="122"/>
        <v>8.5126927269895694E-2</v>
      </c>
    </row>
    <row r="1270" spans="1:8" ht="15.75" hidden="1" customHeight="1" x14ac:dyDescent="0.25">
      <c r="A1270" s="15" t="s">
        <v>151</v>
      </c>
      <c r="B1270" s="11" t="s">
        <v>152</v>
      </c>
      <c r="C1270" s="15"/>
      <c r="D1270" s="16" t="s">
        <v>11</v>
      </c>
      <c r="E1270" s="23">
        <v>0</v>
      </c>
      <c r="F1270" s="18">
        <f>E1270* 0.080360592401803</f>
        <v>0</v>
      </c>
      <c r="G1270" s="18">
        <f>E1270* 0.917192530585963</f>
        <v>0</v>
      </c>
      <c r="H1270" s="18">
        <f>E1270* 0.00218931101094656</f>
        <v>0</v>
      </c>
    </row>
    <row r="1271" spans="1:8" ht="15.75" hidden="1" customHeight="1" x14ac:dyDescent="0.25">
      <c r="A1271" s="15" t="s">
        <v>151</v>
      </c>
      <c r="B1271" s="11" t="s">
        <v>152</v>
      </c>
      <c r="C1271" s="15"/>
      <c r="D1271" s="16" t="s">
        <v>21</v>
      </c>
      <c r="E1271" s="23">
        <v>0</v>
      </c>
      <c r="F1271" s="18">
        <f>E1271* 0.999801370543252</f>
        <v>0</v>
      </c>
      <c r="G1271" s="18">
        <f>E1271* 0.0000993147283742179</f>
        <v>0</v>
      </c>
      <c r="H1271" s="18">
        <f>E1271* 0.0000993147283742179</f>
        <v>0</v>
      </c>
    </row>
    <row r="1272" spans="1:8" ht="15.75" hidden="1" customHeight="1" x14ac:dyDescent="0.25">
      <c r="A1272" s="15" t="s">
        <v>151</v>
      </c>
      <c r="B1272" s="11" t="s">
        <v>152</v>
      </c>
      <c r="C1272" s="15"/>
      <c r="D1272" s="16" t="s">
        <v>12</v>
      </c>
      <c r="E1272" s="23">
        <v>1</v>
      </c>
      <c r="F1272" s="18">
        <f>E1272* 0.849400404921352</f>
        <v>0.84940040492135205</v>
      </c>
      <c r="G1272" s="18">
        <f>E1272* 0.0654726678087525</f>
        <v>6.5472667808752494E-2</v>
      </c>
      <c r="H1272" s="18">
        <f>E1272* 0.0851269272698957</f>
        <v>8.5126927269895694E-2</v>
      </c>
    </row>
    <row r="1273" spans="1:8" ht="15.75" hidden="1" customHeight="1" x14ac:dyDescent="0.25">
      <c r="A1273" s="15" t="s">
        <v>151</v>
      </c>
      <c r="B1273" s="8"/>
      <c r="C1273" s="8"/>
      <c r="D1273" s="9"/>
      <c r="E1273" s="29"/>
    </row>
    <row r="1274" spans="1:8" ht="15.75" customHeight="1" x14ac:dyDescent="0.25">
      <c r="A1274" s="15" t="s">
        <v>151</v>
      </c>
      <c r="B1274" s="11" t="s">
        <v>153</v>
      </c>
      <c r="C1274" s="12" t="str">
        <f>B1274&amp;"_"&amp;A1274</f>
        <v>Belén de Andamarca_Oruro</v>
      </c>
      <c r="E1274" s="22">
        <v>0</v>
      </c>
      <c r="F1274" s="14">
        <v>0</v>
      </c>
      <c r="G1274" s="14">
        <v>0</v>
      </c>
      <c r="H1274" s="14">
        <v>0</v>
      </c>
    </row>
    <row r="1275" spans="1:8" ht="15.75" hidden="1" customHeight="1" x14ac:dyDescent="0.25">
      <c r="A1275" s="15" t="s">
        <v>151</v>
      </c>
      <c r="B1275" s="11" t="s">
        <v>153</v>
      </c>
      <c r="C1275" s="15"/>
      <c r="D1275" s="16" t="s">
        <v>12</v>
      </c>
      <c r="E1275" s="23">
        <v>0</v>
      </c>
      <c r="F1275" s="18">
        <f>E1275* 0.849400404921352</f>
        <v>0</v>
      </c>
      <c r="G1275" s="18">
        <f>E1275* 0.0654726678087525</f>
        <v>0</v>
      </c>
      <c r="H1275" s="18">
        <f>E1275* 0.0851269272698957</f>
        <v>0</v>
      </c>
    </row>
    <row r="1276" spans="1:8" ht="15.75" hidden="1" customHeight="1" x14ac:dyDescent="0.25">
      <c r="A1276" s="15" t="s">
        <v>151</v>
      </c>
      <c r="B1276" s="8"/>
      <c r="C1276" s="8"/>
      <c r="D1276" s="9"/>
      <c r="E1276" s="29"/>
    </row>
    <row r="1277" spans="1:8" ht="15.75" customHeight="1" x14ac:dyDescent="0.25">
      <c r="A1277" s="15" t="s">
        <v>151</v>
      </c>
      <c r="B1277" s="11" t="s">
        <v>154</v>
      </c>
      <c r="C1277" s="12" t="str">
        <f>B1277&amp;"_"&amp;A1277</f>
        <v>Caracollo_Oruro</v>
      </c>
      <c r="E1277" s="22">
        <v>36</v>
      </c>
      <c r="F1277" s="14">
        <f t="shared" ref="F1277:H1277" si="123">SUM(F1278:F1290)</f>
        <v>24.860141063624333</v>
      </c>
      <c r="G1277" s="14">
        <f t="shared" si="123"/>
        <v>9.1516739330376726</v>
      </c>
      <c r="H1277" s="14">
        <f t="shared" si="123"/>
        <v>1.9858878700908864</v>
      </c>
    </row>
    <row r="1278" spans="1:8" ht="15.75" hidden="1" customHeight="1" x14ac:dyDescent="0.25">
      <c r="A1278" s="15" t="s">
        <v>151</v>
      </c>
      <c r="B1278" s="11" t="s">
        <v>154</v>
      </c>
      <c r="C1278" s="15"/>
      <c r="D1278" s="16" t="s">
        <v>53</v>
      </c>
      <c r="E1278" s="23">
        <v>0</v>
      </c>
      <c r="F1278" s="20">
        <v>0</v>
      </c>
      <c r="G1278" s="24">
        <f>E1278</f>
        <v>0</v>
      </c>
      <c r="H1278" s="20">
        <v>0</v>
      </c>
    </row>
    <row r="1279" spans="1:8" ht="15.75" hidden="1" customHeight="1" x14ac:dyDescent="0.25">
      <c r="A1279" s="15" t="s">
        <v>151</v>
      </c>
      <c r="B1279" s="11" t="s">
        <v>154</v>
      </c>
      <c r="C1279" s="15"/>
      <c r="D1279" s="16" t="s">
        <v>15</v>
      </c>
      <c r="E1279" s="23">
        <v>9</v>
      </c>
      <c r="F1279" s="18">
        <f>E1279* 0.929012779104059</f>
        <v>8.3611150119365316</v>
      </c>
      <c r="G1279" s="18">
        <f>E1279* 0.00947900575761831</f>
        <v>8.5311051818564798E-2</v>
      </c>
      <c r="H1279" s="18">
        <f>E1279* 0.0614380002808594</f>
        <v>0.55294200252773462</v>
      </c>
    </row>
    <row r="1280" spans="1:8" ht="15.75" hidden="1" customHeight="1" x14ac:dyDescent="0.25">
      <c r="A1280" s="15" t="s">
        <v>151</v>
      </c>
      <c r="B1280" s="11" t="s">
        <v>154</v>
      </c>
      <c r="C1280" s="15"/>
      <c r="D1280" s="16" t="s">
        <v>16</v>
      </c>
      <c r="E1280" s="23">
        <v>0</v>
      </c>
      <c r="F1280" s="18">
        <f>E1280* 0.0624390243902439</f>
        <v>0</v>
      </c>
      <c r="G1280" s="18">
        <f>E1280* 0.936585365853659</f>
        <v>0</v>
      </c>
      <c r="H1280" s="20">
        <v>0</v>
      </c>
    </row>
    <row r="1281" spans="1:8" ht="15.75" hidden="1" customHeight="1" x14ac:dyDescent="0.25">
      <c r="A1281" s="15" t="s">
        <v>151</v>
      </c>
      <c r="B1281" s="11" t="s">
        <v>154</v>
      </c>
      <c r="C1281" s="15"/>
      <c r="D1281" s="16" t="s">
        <v>11</v>
      </c>
      <c r="E1281" s="23">
        <v>6</v>
      </c>
      <c r="F1281" s="18">
        <f>E1281* 0.080360592401803</f>
        <v>0.48216355441081804</v>
      </c>
      <c r="G1281" s="18">
        <f>E1281* 0.917192530585963</f>
        <v>5.5031551835157781</v>
      </c>
      <c r="H1281" s="18">
        <f>E1281* 0.00218931101094656</f>
        <v>1.3135866065679359E-2</v>
      </c>
    </row>
    <row r="1282" spans="1:8" ht="15.75" hidden="1" customHeight="1" x14ac:dyDescent="0.25">
      <c r="A1282" s="15" t="s">
        <v>151</v>
      </c>
      <c r="B1282" s="11" t="s">
        <v>154</v>
      </c>
      <c r="C1282" s="15"/>
      <c r="D1282" s="16" t="s">
        <v>17</v>
      </c>
      <c r="E1282" s="23">
        <v>6</v>
      </c>
      <c r="F1282" s="18">
        <f>E1282* 0.836035451794207</f>
        <v>5.0162127107652417</v>
      </c>
      <c r="G1282" s="18">
        <f>E1282* 0.0583657587548638</f>
        <v>0.3501945525291828</v>
      </c>
      <c r="H1282" s="18">
        <f>E1282* 0.10559878945093</f>
        <v>0.63359273670558003</v>
      </c>
    </row>
    <row r="1283" spans="1:8" ht="15.75" hidden="1" customHeight="1" x14ac:dyDescent="0.25">
      <c r="A1283" s="15" t="s">
        <v>151</v>
      </c>
      <c r="B1283" s="11" t="s">
        <v>154</v>
      </c>
      <c r="C1283" s="15"/>
      <c r="D1283" s="16" t="s">
        <v>31</v>
      </c>
      <c r="E1283" s="23">
        <v>0</v>
      </c>
      <c r="F1283" s="18">
        <f>E1283* 0.872611464968153</f>
        <v>0</v>
      </c>
      <c r="G1283" s="18">
        <f>E1283* 0.0764331210191083</f>
        <v>0</v>
      </c>
      <c r="H1283" s="18">
        <f>E1283* 0.0509554140127389</f>
        <v>0</v>
      </c>
    </row>
    <row r="1284" spans="1:8" ht="15.75" hidden="1" customHeight="1" x14ac:dyDescent="0.25">
      <c r="A1284" s="15" t="s">
        <v>151</v>
      </c>
      <c r="B1284" s="11" t="s">
        <v>154</v>
      </c>
      <c r="C1284" s="15"/>
      <c r="D1284" s="16" t="s">
        <v>18</v>
      </c>
      <c r="E1284" s="23">
        <v>1</v>
      </c>
      <c r="F1284" s="18">
        <f>E1284* 0.920270974465868</f>
        <v>0.92027097446586803</v>
      </c>
      <c r="G1284" s="18">
        <f>E1284* 0.0703491401771756</f>
        <v>7.0349140177175598E-2</v>
      </c>
      <c r="H1284" s="18">
        <f>E1284* 0.00937988535695675</f>
        <v>9.3798853569567499E-3</v>
      </c>
    </row>
    <row r="1285" spans="1:8" ht="15.75" hidden="1" customHeight="1" x14ac:dyDescent="0.25">
      <c r="A1285" s="15" t="s">
        <v>151</v>
      </c>
      <c r="B1285" s="11" t="s">
        <v>154</v>
      </c>
      <c r="C1285" s="15"/>
      <c r="D1285" s="16" t="s">
        <v>19</v>
      </c>
      <c r="E1285" s="23">
        <v>3</v>
      </c>
      <c r="F1285" s="18">
        <f>E1285* 0.223420647149461</f>
        <v>0.67026194144838303</v>
      </c>
      <c r="G1285" s="18">
        <f>E1285* 0.773497688751926</f>
        <v>2.3204930662557781</v>
      </c>
      <c r="H1285" s="18">
        <f>E1285* 0.00308166409861325</f>
        <v>9.244992295839749E-3</v>
      </c>
    </row>
    <row r="1286" spans="1:8" ht="15.75" hidden="1" customHeight="1" x14ac:dyDescent="0.25">
      <c r="A1286" s="15" t="s">
        <v>151</v>
      </c>
      <c r="B1286" s="11" t="s">
        <v>154</v>
      </c>
      <c r="C1286" s="15"/>
      <c r="D1286" s="16" t="s">
        <v>20</v>
      </c>
      <c r="E1286" s="23">
        <v>1</v>
      </c>
      <c r="F1286" s="18">
        <f>E1286* 0.61531089014017</f>
        <v>0.61531089014017004</v>
      </c>
      <c r="G1286" s="18">
        <f>E1286* 0.298190966814424</f>
        <v>0.29819096681442397</v>
      </c>
      <c r="H1286" s="18">
        <f>E1286* 0.086378339523182</f>
        <v>8.6378339523181996E-2</v>
      </c>
    </row>
    <row r="1287" spans="1:8" ht="15.75" hidden="1" customHeight="1" x14ac:dyDescent="0.25">
      <c r="A1287" s="15" t="s">
        <v>151</v>
      </c>
      <c r="B1287" s="11" t="s">
        <v>154</v>
      </c>
      <c r="C1287" s="15"/>
      <c r="D1287" s="16" t="s">
        <v>21</v>
      </c>
      <c r="E1287" s="23">
        <v>2</v>
      </c>
      <c r="F1287" s="18">
        <f>E1287* 0.999801370543252</f>
        <v>1.999602741086504</v>
      </c>
      <c r="G1287" s="18">
        <f>E1287* 0.0000993147283742179</f>
        <v>1.9862945674843581E-4</v>
      </c>
      <c r="H1287" s="18">
        <f>E1287* 0.0000993147283742179</f>
        <v>1.9862945674843581E-4</v>
      </c>
    </row>
    <row r="1288" spans="1:8" ht="15.75" hidden="1" customHeight="1" x14ac:dyDescent="0.25">
      <c r="A1288" s="15" t="s">
        <v>151</v>
      </c>
      <c r="B1288" s="11" t="s">
        <v>154</v>
      </c>
      <c r="C1288" s="15"/>
      <c r="D1288" s="16" t="s">
        <v>36</v>
      </c>
      <c r="E1288" s="23">
        <v>0</v>
      </c>
      <c r="F1288" s="24">
        <f>E1288</f>
        <v>0</v>
      </c>
      <c r="G1288" s="20">
        <v>0</v>
      </c>
      <c r="H1288" s="20">
        <v>0</v>
      </c>
    </row>
    <row r="1289" spans="1:8" ht="15.75" hidden="1" customHeight="1" x14ac:dyDescent="0.25">
      <c r="A1289" s="15" t="s">
        <v>151</v>
      </c>
      <c r="B1289" s="11" t="s">
        <v>154</v>
      </c>
      <c r="C1289" s="15"/>
      <c r="D1289" s="16" t="s">
        <v>28</v>
      </c>
      <c r="E1289" s="23">
        <v>0</v>
      </c>
      <c r="F1289" s="20">
        <v>0</v>
      </c>
      <c r="G1289" s="18">
        <f>E1289* 0.99904671115348</f>
        <v>0</v>
      </c>
      <c r="H1289" s="18">
        <f>E1289* 0.000953288846520496</f>
        <v>0</v>
      </c>
    </row>
    <row r="1290" spans="1:8" ht="15.75" hidden="1" customHeight="1" x14ac:dyDescent="0.25">
      <c r="A1290" s="15" t="s">
        <v>151</v>
      </c>
      <c r="B1290" s="11" t="s">
        <v>154</v>
      </c>
      <c r="C1290" s="15"/>
      <c r="D1290" s="16" t="s">
        <v>12</v>
      </c>
      <c r="E1290" s="23">
        <v>8</v>
      </c>
      <c r="F1290" s="18">
        <f>E1290* 0.849400404921352</f>
        <v>6.7952032393708164</v>
      </c>
      <c r="G1290" s="18">
        <f>E1290* 0.0654726678087525</f>
        <v>0.52378134247001995</v>
      </c>
      <c r="H1290" s="18">
        <f>E1290* 0.0851269272698957</f>
        <v>0.68101541815916555</v>
      </c>
    </row>
    <row r="1291" spans="1:8" ht="15.75" hidden="1" customHeight="1" x14ac:dyDescent="0.25">
      <c r="A1291" s="15" t="s">
        <v>151</v>
      </c>
      <c r="B1291" s="8"/>
      <c r="C1291" s="8"/>
      <c r="D1291" s="9"/>
      <c r="E1291" s="29"/>
    </row>
    <row r="1292" spans="1:8" ht="15.75" customHeight="1" x14ac:dyDescent="0.25">
      <c r="A1292" s="15" t="s">
        <v>151</v>
      </c>
      <c r="B1292" s="11" t="s">
        <v>155</v>
      </c>
      <c r="C1292" s="12" t="str">
        <f>B1292&amp;"_"&amp;A1292</f>
        <v>Carangas_Oruro</v>
      </c>
      <c r="E1292" s="22">
        <v>108</v>
      </c>
      <c r="F1292" s="14">
        <f t="shared" ref="F1292:H1292" si="124">SUM(F1293:F1305)</f>
        <v>79.1758992251672</v>
      </c>
      <c r="G1292" s="14">
        <f t="shared" si="124"/>
        <v>20.886293663886754</v>
      </c>
      <c r="H1292" s="14">
        <f t="shared" si="124"/>
        <v>7.9332800575016886</v>
      </c>
    </row>
    <row r="1293" spans="1:8" ht="15.75" hidden="1" customHeight="1" x14ac:dyDescent="0.25">
      <c r="A1293" s="15" t="s">
        <v>151</v>
      </c>
      <c r="B1293" s="11" t="s">
        <v>155</v>
      </c>
      <c r="C1293" s="15"/>
      <c r="D1293" s="16" t="s">
        <v>53</v>
      </c>
      <c r="E1293" s="23">
        <v>0</v>
      </c>
      <c r="F1293" s="20">
        <v>0</v>
      </c>
      <c r="G1293" s="24">
        <f>E1293</f>
        <v>0</v>
      </c>
      <c r="H1293" s="20">
        <v>0</v>
      </c>
    </row>
    <row r="1294" spans="1:8" ht="15.75" hidden="1" customHeight="1" x14ac:dyDescent="0.25">
      <c r="A1294" s="15" t="s">
        <v>151</v>
      </c>
      <c r="B1294" s="11" t="s">
        <v>155</v>
      </c>
      <c r="C1294" s="15"/>
      <c r="D1294" s="16" t="s">
        <v>15</v>
      </c>
      <c r="E1294" s="23">
        <v>8</v>
      </c>
      <c r="F1294" s="18">
        <f>E1294* 0.929012779104059</f>
        <v>7.432102232832472</v>
      </c>
      <c r="G1294" s="18">
        <f>E1294* 0.00947900575761831</f>
        <v>7.5832046060946484E-2</v>
      </c>
      <c r="H1294" s="18">
        <f>E1294* 0.0614380002808594</f>
        <v>0.49150400224687518</v>
      </c>
    </row>
    <row r="1295" spans="1:8" ht="15.75" hidden="1" customHeight="1" x14ac:dyDescent="0.25">
      <c r="A1295" s="15" t="s">
        <v>151</v>
      </c>
      <c r="B1295" s="11" t="s">
        <v>155</v>
      </c>
      <c r="C1295" s="15"/>
      <c r="D1295" s="16" t="s">
        <v>16</v>
      </c>
      <c r="E1295" s="23">
        <v>0</v>
      </c>
      <c r="F1295" s="18">
        <f>E1295* 0.0624390243902439</f>
        <v>0</v>
      </c>
      <c r="G1295" s="18">
        <f>E1295* 0.936585365853659</f>
        <v>0</v>
      </c>
      <c r="H1295" s="20">
        <v>0</v>
      </c>
    </row>
    <row r="1296" spans="1:8" ht="15.75" hidden="1" customHeight="1" x14ac:dyDescent="0.25">
      <c r="A1296" s="15" t="s">
        <v>151</v>
      </c>
      <c r="B1296" s="11" t="s">
        <v>155</v>
      </c>
      <c r="C1296" s="15"/>
      <c r="D1296" s="16" t="s">
        <v>11</v>
      </c>
      <c r="E1296" s="23">
        <v>14</v>
      </c>
      <c r="F1296" s="18">
        <f>E1296* 0.080360592401803</f>
        <v>1.1250482936252419</v>
      </c>
      <c r="G1296" s="18">
        <f>E1296* 0.917192530585963</f>
        <v>12.840695428203482</v>
      </c>
      <c r="H1296" s="18">
        <f>E1296* 0.00218931101094656</f>
        <v>3.0650354153251839E-2</v>
      </c>
    </row>
    <row r="1297" spans="1:8" ht="15.75" hidden="1" customHeight="1" x14ac:dyDescent="0.25">
      <c r="A1297" s="15" t="s">
        <v>151</v>
      </c>
      <c r="B1297" s="11" t="s">
        <v>155</v>
      </c>
      <c r="C1297" s="15"/>
      <c r="D1297" s="16" t="s">
        <v>17</v>
      </c>
      <c r="E1297" s="23">
        <v>24</v>
      </c>
      <c r="F1297" s="18">
        <f>E1297* 0.836035451794207</f>
        <v>20.064850843060967</v>
      </c>
      <c r="G1297" s="18">
        <f>E1297* 0.0583657587548638</f>
        <v>1.4007782101167312</v>
      </c>
      <c r="H1297" s="18">
        <f>E1297* 0.10559878945093</f>
        <v>2.5343709468223201</v>
      </c>
    </row>
    <row r="1298" spans="1:8" ht="15.75" hidden="1" customHeight="1" x14ac:dyDescent="0.25">
      <c r="A1298" s="15" t="s">
        <v>151</v>
      </c>
      <c r="B1298" s="11" t="s">
        <v>155</v>
      </c>
      <c r="C1298" s="15"/>
      <c r="D1298" s="16" t="s">
        <v>31</v>
      </c>
      <c r="E1298" s="23">
        <v>0</v>
      </c>
      <c r="F1298" s="18">
        <f>E1298* 0.872611464968153</f>
        <v>0</v>
      </c>
      <c r="G1298" s="18">
        <f>E1298* 0.0764331210191083</f>
        <v>0</v>
      </c>
      <c r="H1298" s="18">
        <f>E1298* 0.0509554140127389</f>
        <v>0</v>
      </c>
    </row>
    <row r="1299" spans="1:8" ht="15.75" hidden="1" customHeight="1" x14ac:dyDescent="0.25">
      <c r="A1299" s="15" t="s">
        <v>151</v>
      </c>
      <c r="B1299" s="11" t="s">
        <v>155</v>
      </c>
      <c r="C1299" s="15"/>
      <c r="D1299" s="16" t="s">
        <v>18</v>
      </c>
      <c r="E1299" s="23">
        <v>2</v>
      </c>
      <c r="F1299" s="18">
        <f>E1299* 0.920270974465868</f>
        <v>1.8405419489317361</v>
      </c>
      <c r="G1299" s="18">
        <f>E1299* 0.0703491401771756</f>
        <v>0.1406982803543512</v>
      </c>
      <c r="H1299" s="18">
        <f>E1299* 0.00937988535695675</f>
        <v>1.87597707139135E-2</v>
      </c>
    </row>
    <row r="1300" spans="1:8" ht="15.75" hidden="1" customHeight="1" x14ac:dyDescent="0.25">
      <c r="A1300" s="15" t="s">
        <v>151</v>
      </c>
      <c r="B1300" s="11" t="s">
        <v>155</v>
      </c>
      <c r="C1300" s="15"/>
      <c r="D1300" s="16" t="s">
        <v>55</v>
      </c>
      <c r="E1300" s="23">
        <v>0</v>
      </c>
      <c r="F1300" s="20">
        <v>0</v>
      </c>
      <c r="G1300" s="24">
        <f>E1300</f>
        <v>0</v>
      </c>
      <c r="H1300" s="20">
        <v>0</v>
      </c>
    </row>
    <row r="1301" spans="1:8" ht="15.75" hidden="1" customHeight="1" x14ac:dyDescent="0.25">
      <c r="A1301" s="15" t="s">
        <v>151</v>
      </c>
      <c r="B1301" s="11" t="s">
        <v>155</v>
      </c>
      <c r="C1301" s="15"/>
      <c r="D1301" s="16" t="s">
        <v>19</v>
      </c>
      <c r="E1301" s="23">
        <v>0</v>
      </c>
      <c r="F1301" s="18">
        <f>E1301* 0.223420647149461</f>
        <v>0</v>
      </c>
      <c r="G1301" s="18">
        <f>E1301* 0.773497688751926</f>
        <v>0</v>
      </c>
      <c r="H1301" s="18">
        <f>E1301* 0.00308166409861325</f>
        <v>0</v>
      </c>
    </row>
    <row r="1302" spans="1:8" ht="15.75" hidden="1" customHeight="1" x14ac:dyDescent="0.25">
      <c r="A1302" s="15" t="s">
        <v>151</v>
      </c>
      <c r="B1302" s="11" t="s">
        <v>155</v>
      </c>
      <c r="C1302" s="15"/>
      <c r="D1302" s="16" t="s">
        <v>20</v>
      </c>
      <c r="E1302" s="23">
        <v>3</v>
      </c>
      <c r="F1302" s="18">
        <f>E1302* 0.61531089014017</f>
        <v>1.8459326704205101</v>
      </c>
      <c r="G1302" s="18">
        <f>E1302* 0.298190966814424</f>
        <v>0.89457290044327187</v>
      </c>
      <c r="H1302" s="18">
        <f>E1302* 0.086378339523182</f>
        <v>0.25913501856954602</v>
      </c>
    </row>
    <row r="1303" spans="1:8" ht="15.75" hidden="1" customHeight="1" x14ac:dyDescent="0.25">
      <c r="A1303" s="15" t="s">
        <v>151</v>
      </c>
      <c r="B1303" s="11" t="s">
        <v>155</v>
      </c>
      <c r="C1303" s="15"/>
      <c r="D1303" s="16" t="s">
        <v>21</v>
      </c>
      <c r="E1303" s="23">
        <v>1</v>
      </c>
      <c r="F1303" s="18">
        <f>E1303* 0.999801370543252</f>
        <v>0.99980137054325202</v>
      </c>
      <c r="G1303" s="18">
        <f>E1303* 0.0000993147283742179</f>
        <v>9.9314728374217905E-5</v>
      </c>
      <c r="H1303" s="18">
        <f>E1303* 0.0000993147283742179</f>
        <v>9.9314728374217905E-5</v>
      </c>
    </row>
    <row r="1304" spans="1:8" ht="15.75" hidden="1" customHeight="1" x14ac:dyDescent="0.25">
      <c r="A1304" s="15" t="s">
        <v>151</v>
      </c>
      <c r="B1304" s="11" t="s">
        <v>155</v>
      </c>
      <c r="C1304" s="15"/>
      <c r="D1304" s="16" t="s">
        <v>28</v>
      </c>
      <c r="E1304" s="23">
        <v>2</v>
      </c>
      <c r="F1304" s="20">
        <v>0</v>
      </c>
      <c r="G1304" s="18">
        <f>E1304* 0.99904671115348</f>
        <v>1.99809342230696</v>
      </c>
      <c r="H1304" s="18">
        <f>E1304* 0.000953288846520496</f>
        <v>1.906577693040992E-3</v>
      </c>
    </row>
    <row r="1305" spans="1:8" ht="15.75" hidden="1" customHeight="1" x14ac:dyDescent="0.25">
      <c r="A1305" s="15" t="s">
        <v>151</v>
      </c>
      <c r="B1305" s="11" t="s">
        <v>155</v>
      </c>
      <c r="C1305" s="15"/>
      <c r="D1305" s="16" t="s">
        <v>12</v>
      </c>
      <c r="E1305" s="23">
        <v>54</v>
      </c>
      <c r="F1305" s="18">
        <f>E1305* 0.849400404921352</f>
        <v>45.867621865753009</v>
      </c>
      <c r="G1305" s="18">
        <f>E1305* 0.0654726678087525</f>
        <v>3.5355240616726347</v>
      </c>
      <c r="H1305" s="18">
        <f>E1305* 0.0851269272698957</f>
        <v>4.5968540725743674</v>
      </c>
    </row>
    <row r="1306" spans="1:8" ht="15.75" hidden="1" customHeight="1" x14ac:dyDescent="0.25">
      <c r="A1306" s="15" t="s">
        <v>151</v>
      </c>
      <c r="B1306" s="8"/>
      <c r="C1306" s="8"/>
      <c r="D1306" s="9"/>
      <c r="E1306" s="29"/>
    </row>
    <row r="1307" spans="1:8" ht="15.75" customHeight="1" x14ac:dyDescent="0.25">
      <c r="A1307" s="15" t="s">
        <v>151</v>
      </c>
      <c r="B1307" s="11" t="s">
        <v>156</v>
      </c>
      <c r="C1307" s="12" t="str">
        <f>B1307&amp;"_"&amp;A1307</f>
        <v>Challapata_Oruro</v>
      </c>
      <c r="E1307" s="22">
        <v>2446</v>
      </c>
      <c r="F1307" s="14">
        <f t="shared" ref="F1307:H1307" si="125">SUM(F1308:F1321)</f>
        <v>1781.5122542411282</v>
      </c>
      <c r="G1307" s="14">
        <f t="shared" si="125"/>
        <v>514.71232836769173</v>
      </c>
      <c r="H1307" s="14">
        <f t="shared" si="125"/>
        <v>149.63499447698959</v>
      </c>
    </row>
    <row r="1308" spans="1:8" ht="15.75" hidden="1" customHeight="1" x14ac:dyDescent="0.25">
      <c r="A1308" s="15" t="s">
        <v>151</v>
      </c>
      <c r="B1308" s="11" t="s">
        <v>156</v>
      </c>
      <c r="C1308" s="15"/>
      <c r="D1308" s="16" t="s">
        <v>53</v>
      </c>
      <c r="E1308" s="23">
        <v>0</v>
      </c>
      <c r="F1308" s="20">
        <v>0</v>
      </c>
      <c r="G1308" s="24">
        <f>E1308</f>
        <v>0</v>
      </c>
      <c r="H1308" s="20">
        <v>0</v>
      </c>
    </row>
    <row r="1309" spans="1:8" ht="15.75" hidden="1" customHeight="1" x14ac:dyDescent="0.25">
      <c r="A1309" s="15" t="s">
        <v>151</v>
      </c>
      <c r="B1309" s="11" t="s">
        <v>156</v>
      </c>
      <c r="C1309" s="15"/>
      <c r="D1309" s="16" t="s">
        <v>15</v>
      </c>
      <c r="E1309" s="23">
        <v>124</v>
      </c>
      <c r="F1309" s="18">
        <f>E1309* 0.929012779104059</f>
        <v>115.19758460890331</v>
      </c>
      <c r="G1309" s="18">
        <f>E1309* 0.00947900575761831</f>
        <v>1.1753967139446706</v>
      </c>
      <c r="H1309" s="18">
        <f>E1309* 0.0614380002808594</f>
        <v>7.6183120348265652</v>
      </c>
    </row>
    <row r="1310" spans="1:8" ht="15.75" hidden="1" customHeight="1" x14ac:dyDescent="0.25">
      <c r="A1310" s="15" t="s">
        <v>151</v>
      </c>
      <c r="B1310" s="11" t="s">
        <v>156</v>
      </c>
      <c r="C1310" s="15"/>
      <c r="D1310" s="16" t="s">
        <v>16</v>
      </c>
      <c r="E1310" s="23">
        <v>12</v>
      </c>
      <c r="F1310" s="18">
        <f>E1310* 0.0624390243902439</f>
        <v>0.74926829268292683</v>
      </c>
      <c r="G1310" s="18">
        <f>E1310* 0.936585365853659</f>
        <v>11.239024390243909</v>
      </c>
      <c r="H1310" s="20">
        <v>0</v>
      </c>
    </row>
    <row r="1311" spans="1:8" ht="15.75" hidden="1" customHeight="1" x14ac:dyDescent="0.25">
      <c r="A1311" s="15" t="s">
        <v>151</v>
      </c>
      <c r="B1311" s="11" t="s">
        <v>156</v>
      </c>
      <c r="C1311" s="15"/>
      <c r="D1311" s="16" t="s">
        <v>11</v>
      </c>
      <c r="E1311" s="23">
        <v>365</v>
      </c>
      <c r="F1311" s="18">
        <f>E1311* 0.080360592401803</f>
        <v>29.331616226658095</v>
      </c>
      <c r="G1311" s="18">
        <f>E1311* 0.917192530585963</f>
        <v>334.77527366387648</v>
      </c>
      <c r="H1311" s="18">
        <f>E1311* 0.00218931101094656</f>
        <v>0.79909851899549433</v>
      </c>
    </row>
    <row r="1312" spans="1:8" ht="15.75" hidden="1" customHeight="1" x14ac:dyDescent="0.25">
      <c r="A1312" s="15" t="s">
        <v>151</v>
      </c>
      <c r="B1312" s="11" t="s">
        <v>156</v>
      </c>
      <c r="C1312" s="15"/>
      <c r="D1312" s="16" t="s">
        <v>17</v>
      </c>
      <c r="E1312" s="23">
        <v>330</v>
      </c>
      <c r="F1312" s="18">
        <f>E1312* 0.836035451794207</f>
        <v>275.89169909208829</v>
      </c>
      <c r="G1312" s="18">
        <f>E1312* 0.0583657587548638</f>
        <v>19.260700389105054</v>
      </c>
      <c r="H1312" s="18">
        <f>E1312* 0.10559878945093</f>
        <v>34.8476005188069</v>
      </c>
    </row>
    <row r="1313" spans="1:8" ht="15.75" hidden="1" customHeight="1" x14ac:dyDescent="0.25">
      <c r="A1313" s="15" t="s">
        <v>151</v>
      </c>
      <c r="B1313" s="11" t="s">
        <v>156</v>
      </c>
      <c r="C1313" s="15"/>
      <c r="D1313" s="16" t="s">
        <v>31</v>
      </c>
      <c r="E1313" s="23">
        <v>10</v>
      </c>
      <c r="F1313" s="18">
        <f>E1313* 0.872611464968153</f>
        <v>8.7261146496815307</v>
      </c>
      <c r="G1313" s="18">
        <f>E1313* 0.0764331210191083</f>
        <v>0.76433121019108308</v>
      </c>
      <c r="H1313" s="18">
        <f>E1313* 0.0509554140127389</f>
        <v>0.50955414012738898</v>
      </c>
    </row>
    <row r="1314" spans="1:8" ht="15.75" hidden="1" customHeight="1" x14ac:dyDescent="0.25">
      <c r="A1314" s="15" t="s">
        <v>151</v>
      </c>
      <c r="B1314" s="11" t="s">
        <v>156</v>
      </c>
      <c r="C1314" s="15"/>
      <c r="D1314" s="16" t="s">
        <v>18</v>
      </c>
      <c r="E1314" s="23">
        <v>71</v>
      </c>
      <c r="F1314" s="18">
        <f>E1314* 0.920270974465868</f>
        <v>65.339239187076629</v>
      </c>
      <c r="G1314" s="18">
        <f>E1314* 0.0703491401771756</f>
        <v>4.9947889525794675</v>
      </c>
      <c r="H1314" s="18">
        <f>E1314* 0.00937988535695675</f>
        <v>0.66597186034392919</v>
      </c>
    </row>
    <row r="1315" spans="1:8" ht="15.75" hidden="1" customHeight="1" x14ac:dyDescent="0.25">
      <c r="A1315" s="15" t="s">
        <v>151</v>
      </c>
      <c r="B1315" s="11" t="s">
        <v>156</v>
      </c>
      <c r="C1315" s="15"/>
      <c r="D1315" s="16" t="s">
        <v>19</v>
      </c>
      <c r="E1315" s="23">
        <v>3</v>
      </c>
      <c r="F1315" s="18">
        <f>E1315* 0.223420647149461</f>
        <v>0.67026194144838303</v>
      </c>
      <c r="G1315" s="18">
        <f>E1315* 0.773497688751926</f>
        <v>2.3204930662557781</v>
      </c>
      <c r="H1315" s="18">
        <f>E1315* 0.00308166409861325</f>
        <v>9.244992295839749E-3</v>
      </c>
    </row>
    <row r="1316" spans="1:8" ht="15.75" hidden="1" customHeight="1" x14ac:dyDescent="0.25">
      <c r="A1316" s="15" t="s">
        <v>151</v>
      </c>
      <c r="B1316" s="11" t="s">
        <v>156</v>
      </c>
      <c r="C1316" s="15"/>
      <c r="D1316" s="16" t="s">
        <v>20</v>
      </c>
      <c r="E1316" s="23">
        <v>217</v>
      </c>
      <c r="F1316" s="18">
        <f>E1316* 0.61531089014017</f>
        <v>133.52246316041689</v>
      </c>
      <c r="G1316" s="18">
        <f>E1316* 0.298190966814424</f>
        <v>64.707439798730007</v>
      </c>
      <c r="H1316" s="18">
        <f>E1316* 0.086378339523182</f>
        <v>18.744099676530492</v>
      </c>
    </row>
    <row r="1317" spans="1:8" ht="15.75" hidden="1" customHeight="1" x14ac:dyDescent="0.25">
      <c r="A1317" s="15" t="s">
        <v>151</v>
      </c>
      <c r="B1317" s="11" t="s">
        <v>156</v>
      </c>
      <c r="C1317" s="15"/>
      <c r="D1317" s="16" t="s">
        <v>21</v>
      </c>
      <c r="E1317" s="23">
        <v>289</v>
      </c>
      <c r="F1317" s="18">
        <f>E1317* 0.999801370543252</f>
        <v>288.94259608699986</v>
      </c>
      <c r="G1317" s="18">
        <f>E1317* 0.0000993147283742179</f>
        <v>2.8701956500148975E-2</v>
      </c>
      <c r="H1317" s="18">
        <f>E1317* 0.0000993147283742179</f>
        <v>2.8701956500148975E-2</v>
      </c>
    </row>
    <row r="1318" spans="1:8" ht="15.75" hidden="1" customHeight="1" x14ac:dyDescent="0.25">
      <c r="A1318" s="15" t="s">
        <v>151</v>
      </c>
      <c r="B1318" s="11" t="s">
        <v>156</v>
      </c>
      <c r="C1318" s="15"/>
      <c r="D1318" s="16" t="s">
        <v>36</v>
      </c>
      <c r="E1318" s="23">
        <v>1</v>
      </c>
      <c r="F1318" s="24">
        <f>E1318</f>
        <v>1</v>
      </c>
      <c r="G1318" s="20">
        <v>0</v>
      </c>
      <c r="H1318" s="20">
        <v>0</v>
      </c>
    </row>
    <row r="1319" spans="1:8" ht="15.75" hidden="1" customHeight="1" x14ac:dyDescent="0.25">
      <c r="A1319" s="15" t="s">
        <v>151</v>
      </c>
      <c r="B1319" s="11" t="s">
        <v>156</v>
      </c>
      <c r="C1319" s="15"/>
      <c r="D1319" s="16" t="s">
        <v>37</v>
      </c>
      <c r="E1319" s="23">
        <v>0</v>
      </c>
      <c r="F1319" s="20">
        <v>0</v>
      </c>
      <c r="G1319" s="24">
        <f>E1319</f>
        <v>0</v>
      </c>
      <c r="H1319" s="20">
        <v>0</v>
      </c>
    </row>
    <row r="1320" spans="1:8" ht="15.75" hidden="1" customHeight="1" x14ac:dyDescent="0.25">
      <c r="A1320" s="15" t="s">
        <v>151</v>
      </c>
      <c r="B1320" s="11" t="s">
        <v>156</v>
      </c>
      <c r="C1320" s="15"/>
      <c r="D1320" s="16" t="s">
        <v>28</v>
      </c>
      <c r="E1320" s="23">
        <v>9</v>
      </c>
      <c r="F1320" s="20">
        <v>0</v>
      </c>
      <c r="G1320" s="18">
        <f>E1320* 0.99904671115348</f>
        <v>8.991420400381319</v>
      </c>
      <c r="H1320" s="18">
        <f>E1320* 0.000953288846520496</f>
        <v>8.5795996186844633E-3</v>
      </c>
    </row>
    <row r="1321" spans="1:8" ht="15.75" hidden="1" customHeight="1" x14ac:dyDescent="0.25">
      <c r="A1321" s="15" t="s">
        <v>151</v>
      </c>
      <c r="B1321" s="11" t="s">
        <v>156</v>
      </c>
      <c r="C1321" s="15"/>
      <c r="D1321" s="16" t="s">
        <v>12</v>
      </c>
      <c r="E1321" s="23">
        <v>1015</v>
      </c>
      <c r="F1321" s="18">
        <f>E1321* 0.849400404921352</f>
        <v>862.14141099517235</v>
      </c>
      <c r="G1321" s="18">
        <f>E1321* 0.0654726678087525</f>
        <v>66.454757825883775</v>
      </c>
      <c r="H1321" s="18">
        <f>E1321* 0.0851269272698957</f>
        <v>86.403831178944131</v>
      </c>
    </row>
    <row r="1322" spans="1:8" ht="15.75" hidden="1" customHeight="1" x14ac:dyDescent="0.25">
      <c r="A1322" s="15" t="s">
        <v>151</v>
      </c>
      <c r="B1322" s="8"/>
      <c r="C1322" s="8"/>
      <c r="D1322" s="9"/>
      <c r="E1322" s="29"/>
    </row>
    <row r="1323" spans="1:8" ht="15.75" customHeight="1" x14ac:dyDescent="0.25">
      <c r="A1323" s="15" t="s">
        <v>151</v>
      </c>
      <c r="B1323" s="11" t="s">
        <v>157</v>
      </c>
      <c r="C1323" s="12" t="str">
        <f>B1323&amp;"_"&amp;A1323</f>
        <v>Chipaya_Oruro</v>
      </c>
      <c r="E1323" s="22">
        <v>1</v>
      </c>
      <c r="F1323" s="14">
        <f t="shared" ref="F1323:H1323" si="126">F1324</f>
        <v>8.0360592401803002E-2</v>
      </c>
      <c r="G1323" s="14">
        <f t="shared" si="126"/>
        <v>0.91719253058596295</v>
      </c>
      <c r="H1323" s="14">
        <f t="shared" si="126"/>
        <v>2.1893110109465598E-3</v>
      </c>
    </row>
    <row r="1324" spans="1:8" ht="15.75" hidden="1" customHeight="1" x14ac:dyDescent="0.25">
      <c r="A1324" s="15" t="s">
        <v>151</v>
      </c>
      <c r="B1324" s="11" t="s">
        <v>157</v>
      </c>
      <c r="C1324" s="15"/>
      <c r="D1324" s="16" t="s">
        <v>11</v>
      </c>
      <c r="E1324" s="23">
        <v>1</v>
      </c>
      <c r="F1324" s="18">
        <f>E1324* 0.080360592401803</f>
        <v>8.0360592401803002E-2</v>
      </c>
      <c r="G1324" s="18">
        <f>E1324* 0.917192530585963</f>
        <v>0.91719253058596295</v>
      </c>
      <c r="H1324" s="18">
        <f>E1324* 0.00218931101094656</f>
        <v>2.1893110109465598E-3</v>
      </c>
    </row>
    <row r="1325" spans="1:8" ht="15.75" hidden="1" customHeight="1" x14ac:dyDescent="0.25">
      <c r="A1325" s="15" t="s">
        <v>151</v>
      </c>
      <c r="B1325" s="8"/>
      <c r="C1325" s="8"/>
      <c r="D1325" s="9"/>
      <c r="E1325" s="29"/>
    </row>
    <row r="1326" spans="1:8" ht="15.75" customHeight="1" x14ac:dyDescent="0.25">
      <c r="A1326" s="15" t="s">
        <v>151</v>
      </c>
      <c r="B1326" s="11" t="s">
        <v>158</v>
      </c>
      <c r="C1326" s="12" t="str">
        <f>B1326&amp;"_"&amp;A1326</f>
        <v>Coipasa_Oruro</v>
      </c>
      <c r="E1326" s="22">
        <v>0</v>
      </c>
      <c r="F1326" s="14">
        <v>0</v>
      </c>
      <c r="G1326" s="14">
        <v>0</v>
      </c>
      <c r="H1326" s="14">
        <v>0</v>
      </c>
    </row>
    <row r="1327" spans="1:8" ht="15.75" hidden="1" customHeight="1" x14ac:dyDescent="0.25">
      <c r="A1327" s="15" t="s">
        <v>151</v>
      </c>
      <c r="B1327" s="11" t="s">
        <v>158</v>
      </c>
      <c r="C1327" s="15"/>
      <c r="D1327" s="16" t="s">
        <v>53</v>
      </c>
      <c r="E1327" s="23">
        <v>0</v>
      </c>
      <c r="F1327" s="20">
        <v>0</v>
      </c>
      <c r="G1327" s="24">
        <f>E1327</f>
        <v>0</v>
      </c>
      <c r="H1327" s="20">
        <v>0</v>
      </c>
    </row>
    <row r="1328" spans="1:8" ht="15.75" hidden="1" customHeight="1" x14ac:dyDescent="0.25">
      <c r="A1328" s="15" t="s">
        <v>151</v>
      </c>
      <c r="B1328" s="11" t="s">
        <v>158</v>
      </c>
      <c r="C1328" s="15"/>
      <c r="D1328" s="16" t="s">
        <v>15</v>
      </c>
      <c r="E1328" s="23">
        <v>0</v>
      </c>
      <c r="F1328" s="18">
        <f>E1328* 0.929012779104059</f>
        <v>0</v>
      </c>
      <c r="G1328" s="18">
        <f>E1328* 0.00947900575761831</f>
        <v>0</v>
      </c>
      <c r="H1328" s="18">
        <f>E1328* 0.0614380002808594</f>
        <v>0</v>
      </c>
    </row>
    <row r="1329" spans="1:8" ht="15.75" hidden="1" customHeight="1" x14ac:dyDescent="0.25">
      <c r="A1329" s="15" t="s">
        <v>151</v>
      </c>
      <c r="B1329" s="11" t="s">
        <v>158</v>
      </c>
      <c r="C1329" s="15"/>
      <c r="D1329" s="16" t="s">
        <v>16</v>
      </c>
      <c r="E1329" s="23">
        <v>0</v>
      </c>
      <c r="F1329" s="18">
        <f>E1329* 0.0624390243902439</f>
        <v>0</v>
      </c>
      <c r="G1329" s="18">
        <f>E1329* 0.936585365853659</f>
        <v>0</v>
      </c>
      <c r="H1329" s="20">
        <v>0</v>
      </c>
    </row>
    <row r="1330" spans="1:8" ht="15.75" hidden="1" customHeight="1" x14ac:dyDescent="0.25">
      <c r="A1330" s="15" t="s">
        <v>151</v>
      </c>
      <c r="B1330" s="11" t="s">
        <v>158</v>
      </c>
      <c r="C1330" s="15"/>
      <c r="D1330" s="16" t="s">
        <v>11</v>
      </c>
      <c r="E1330" s="23">
        <v>0</v>
      </c>
      <c r="F1330" s="18">
        <f>E1330* 0.080360592401803</f>
        <v>0</v>
      </c>
      <c r="G1330" s="18">
        <f>E1330* 0.917192530585963</f>
        <v>0</v>
      </c>
      <c r="H1330" s="18">
        <f>E1330* 0.00218931101094656</f>
        <v>0</v>
      </c>
    </row>
    <row r="1331" spans="1:8" ht="15.75" hidden="1" customHeight="1" x14ac:dyDescent="0.25">
      <c r="A1331" s="15" t="s">
        <v>151</v>
      </c>
      <c r="B1331" s="11" t="s">
        <v>158</v>
      </c>
      <c r="C1331" s="15"/>
      <c r="D1331" s="16" t="s">
        <v>17</v>
      </c>
      <c r="E1331" s="23">
        <v>0</v>
      </c>
      <c r="F1331" s="18">
        <f>E1331* 0.836035451794207</f>
        <v>0</v>
      </c>
      <c r="G1331" s="18">
        <f>E1331* 0.0583657587548638</f>
        <v>0</v>
      </c>
      <c r="H1331" s="18">
        <f>E1331* 0.10559878945093</f>
        <v>0</v>
      </c>
    </row>
    <row r="1332" spans="1:8" ht="15.75" hidden="1" customHeight="1" x14ac:dyDescent="0.25">
      <c r="A1332" s="15" t="s">
        <v>151</v>
      </c>
      <c r="B1332" s="11" t="s">
        <v>158</v>
      </c>
      <c r="C1332" s="15"/>
      <c r="D1332" s="16" t="s">
        <v>31</v>
      </c>
      <c r="E1332" s="23">
        <v>0</v>
      </c>
      <c r="F1332" s="18">
        <f>E1332* 0.872611464968153</f>
        <v>0</v>
      </c>
      <c r="G1332" s="18">
        <f>E1332* 0.0764331210191083</f>
        <v>0</v>
      </c>
      <c r="H1332" s="18">
        <f>E1332* 0.0509554140127389</f>
        <v>0</v>
      </c>
    </row>
    <row r="1333" spans="1:8" ht="15.75" hidden="1" customHeight="1" x14ac:dyDescent="0.25">
      <c r="A1333" s="15" t="s">
        <v>151</v>
      </c>
      <c r="B1333" s="11" t="s">
        <v>158</v>
      </c>
      <c r="C1333" s="15"/>
      <c r="D1333" s="16" t="s">
        <v>18</v>
      </c>
      <c r="E1333" s="23">
        <v>0</v>
      </c>
      <c r="F1333" s="18">
        <f>E1333* 0.920270974465868</f>
        <v>0</v>
      </c>
      <c r="G1333" s="18">
        <f>E1333* 0.0703491401771756</f>
        <v>0</v>
      </c>
      <c r="H1333" s="18">
        <f>E1333* 0.00937988535695675</f>
        <v>0</v>
      </c>
    </row>
    <row r="1334" spans="1:8" ht="15.75" hidden="1" customHeight="1" x14ac:dyDescent="0.25">
      <c r="A1334" s="15" t="s">
        <v>151</v>
      </c>
      <c r="B1334" s="11" t="s">
        <v>158</v>
      </c>
      <c r="C1334" s="15"/>
      <c r="D1334" s="16" t="s">
        <v>55</v>
      </c>
      <c r="E1334" s="23">
        <v>0</v>
      </c>
      <c r="F1334" s="20">
        <v>0</v>
      </c>
      <c r="G1334" s="24">
        <f>E1334</f>
        <v>0</v>
      </c>
      <c r="H1334" s="20">
        <v>0</v>
      </c>
    </row>
    <row r="1335" spans="1:8" ht="15.75" hidden="1" customHeight="1" x14ac:dyDescent="0.25">
      <c r="A1335" s="15" t="s">
        <v>151</v>
      </c>
      <c r="B1335" s="11" t="s">
        <v>158</v>
      </c>
      <c r="C1335" s="15"/>
      <c r="D1335" s="16" t="s">
        <v>19</v>
      </c>
      <c r="E1335" s="23">
        <v>0</v>
      </c>
      <c r="F1335" s="18">
        <f>E1335* 0.223420647149461</f>
        <v>0</v>
      </c>
      <c r="G1335" s="18">
        <f>E1335* 0.773497688751926</f>
        <v>0</v>
      </c>
      <c r="H1335" s="18">
        <f>E1335* 0.00308166409861325</f>
        <v>0</v>
      </c>
    </row>
    <row r="1336" spans="1:8" ht="15.75" hidden="1" customHeight="1" x14ac:dyDescent="0.25">
      <c r="A1336" s="15" t="s">
        <v>151</v>
      </c>
      <c r="B1336" s="11" t="s">
        <v>158</v>
      </c>
      <c r="C1336" s="15"/>
      <c r="D1336" s="16" t="s">
        <v>20</v>
      </c>
      <c r="E1336" s="23">
        <v>0</v>
      </c>
      <c r="F1336" s="18">
        <f>E1336* 0.61531089014017</f>
        <v>0</v>
      </c>
      <c r="G1336" s="18">
        <f>E1336* 0.298190966814424</f>
        <v>0</v>
      </c>
      <c r="H1336" s="18">
        <f>E1336* 0.086378339523182</f>
        <v>0</v>
      </c>
    </row>
    <row r="1337" spans="1:8" ht="15.75" hidden="1" customHeight="1" x14ac:dyDescent="0.25">
      <c r="A1337" s="15" t="s">
        <v>151</v>
      </c>
      <c r="B1337" s="11" t="s">
        <v>158</v>
      </c>
      <c r="C1337" s="15"/>
      <c r="D1337" s="16" t="s">
        <v>21</v>
      </c>
      <c r="E1337" s="23">
        <v>0</v>
      </c>
      <c r="F1337" s="18">
        <f>E1337* 0.999801370543252</f>
        <v>0</v>
      </c>
      <c r="G1337" s="18">
        <f>E1337* 0.0000993147283742179</f>
        <v>0</v>
      </c>
      <c r="H1337" s="18">
        <f>E1337* 0.0000993147283742179</f>
        <v>0</v>
      </c>
    </row>
    <row r="1338" spans="1:8" ht="15.75" hidden="1" customHeight="1" x14ac:dyDescent="0.25">
      <c r="A1338" s="15" t="s">
        <v>151</v>
      </c>
      <c r="B1338" s="11" t="s">
        <v>158</v>
      </c>
      <c r="C1338" s="15"/>
      <c r="D1338" s="16" t="s">
        <v>28</v>
      </c>
      <c r="E1338" s="23">
        <v>0</v>
      </c>
      <c r="F1338" s="20">
        <v>0</v>
      </c>
      <c r="G1338" s="18">
        <f>E1338* 0.99904671115348</f>
        <v>0</v>
      </c>
      <c r="H1338" s="18">
        <f>E1338* 0.000953288846520496</f>
        <v>0</v>
      </c>
    </row>
    <row r="1339" spans="1:8" ht="15.75" hidden="1" customHeight="1" x14ac:dyDescent="0.25">
      <c r="A1339" s="15" t="s">
        <v>151</v>
      </c>
      <c r="B1339" s="11" t="s">
        <v>158</v>
      </c>
      <c r="C1339" s="15"/>
      <c r="D1339" s="16" t="s">
        <v>12</v>
      </c>
      <c r="E1339" s="23">
        <v>0</v>
      </c>
      <c r="F1339" s="18">
        <f>E1339* 0.849400404921352</f>
        <v>0</v>
      </c>
      <c r="G1339" s="18">
        <f>E1339* 0.0654726678087525</f>
        <v>0</v>
      </c>
      <c r="H1339" s="18">
        <f>E1339* 0.0851269272698957</f>
        <v>0</v>
      </c>
    </row>
    <row r="1340" spans="1:8" ht="15.75" hidden="1" customHeight="1" x14ac:dyDescent="0.25">
      <c r="A1340" s="15" t="s">
        <v>151</v>
      </c>
      <c r="B1340" s="30"/>
      <c r="C1340" s="30"/>
      <c r="D1340" s="19"/>
      <c r="E1340" s="29"/>
    </row>
    <row r="1341" spans="1:8" ht="15.75" customHeight="1" x14ac:dyDescent="0.25">
      <c r="A1341" s="15" t="s">
        <v>151</v>
      </c>
      <c r="B1341" s="11" t="s">
        <v>159</v>
      </c>
      <c r="C1341" s="12" t="str">
        <f>B1341&amp;"_"&amp;A1341</f>
        <v>Corque_Oruro</v>
      </c>
      <c r="E1341" s="22">
        <v>1</v>
      </c>
      <c r="F1341" s="14">
        <f t="shared" ref="F1341:H1341" si="127">F1342</f>
        <v>0.83603545179420702</v>
      </c>
      <c r="G1341" s="14">
        <f t="shared" si="127"/>
        <v>5.83657587548638E-2</v>
      </c>
      <c r="H1341" s="14">
        <f t="shared" si="127"/>
        <v>0.10559878945093</v>
      </c>
    </row>
    <row r="1342" spans="1:8" ht="15.75" hidden="1" customHeight="1" x14ac:dyDescent="0.25">
      <c r="A1342" s="15" t="s">
        <v>151</v>
      </c>
      <c r="B1342" s="11" t="s">
        <v>159</v>
      </c>
      <c r="C1342" s="15"/>
      <c r="D1342" s="16" t="s">
        <v>17</v>
      </c>
      <c r="E1342" s="23">
        <v>1</v>
      </c>
      <c r="F1342" s="18">
        <f>E1342* 0.836035451794207</f>
        <v>0.83603545179420702</v>
      </c>
      <c r="G1342" s="18">
        <f>E1342* 0.0583657587548638</f>
        <v>5.83657587548638E-2</v>
      </c>
      <c r="H1342" s="18">
        <f>E1342* 0.10559878945093</f>
        <v>0.10559878945093</v>
      </c>
    </row>
    <row r="1343" spans="1:8" ht="15.75" hidden="1" customHeight="1" x14ac:dyDescent="0.25">
      <c r="A1343" s="15" t="s">
        <v>151</v>
      </c>
      <c r="B1343" s="21"/>
      <c r="C1343" s="21"/>
      <c r="D1343" s="16"/>
      <c r="E1343" s="29"/>
    </row>
    <row r="1344" spans="1:8" ht="15.75" customHeight="1" x14ac:dyDescent="0.25">
      <c r="A1344" s="15" t="s">
        <v>151</v>
      </c>
      <c r="B1344" s="11" t="s">
        <v>160</v>
      </c>
      <c r="C1344" s="12" t="str">
        <f>B1344&amp;"_"&amp;A1344</f>
        <v>Cruz de Machamarca_Oruro</v>
      </c>
      <c r="E1344" s="22">
        <v>0</v>
      </c>
      <c r="F1344" s="14">
        <v>0</v>
      </c>
      <c r="G1344" s="14">
        <v>0</v>
      </c>
      <c r="H1344" s="14">
        <v>0</v>
      </c>
    </row>
    <row r="1345" spans="1:8" ht="15.75" hidden="1" customHeight="1" x14ac:dyDescent="0.25">
      <c r="A1345" s="15" t="s">
        <v>151</v>
      </c>
      <c r="B1345" s="11" t="s">
        <v>160</v>
      </c>
      <c r="C1345" s="15"/>
      <c r="D1345" s="16" t="s">
        <v>53</v>
      </c>
      <c r="E1345" s="23">
        <v>0</v>
      </c>
      <c r="F1345" s="20">
        <v>0</v>
      </c>
      <c r="G1345" s="24">
        <f>E1345</f>
        <v>0</v>
      </c>
      <c r="H1345" s="20">
        <v>0</v>
      </c>
    </row>
    <row r="1346" spans="1:8" ht="15.75" hidden="1" customHeight="1" x14ac:dyDescent="0.25">
      <c r="A1346" s="15" t="s">
        <v>151</v>
      </c>
      <c r="B1346" s="11" t="s">
        <v>160</v>
      </c>
      <c r="C1346" s="15"/>
      <c r="D1346" s="16" t="s">
        <v>15</v>
      </c>
      <c r="E1346" s="23">
        <v>0</v>
      </c>
      <c r="F1346" s="18">
        <f>E1346* 0.929012779104059</f>
        <v>0</v>
      </c>
      <c r="G1346" s="18">
        <f>E1346* 0.00947900575761831</f>
        <v>0</v>
      </c>
      <c r="H1346" s="18">
        <f>E1346* 0.0614380002808594</f>
        <v>0</v>
      </c>
    </row>
    <row r="1347" spans="1:8" ht="15.75" hidden="1" customHeight="1" x14ac:dyDescent="0.25">
      <c r="A1347" s="15" t="s">
        <v>151</v>
      </c>
      <c r="B1347" s="11" t="s">
        <v>160</v>
      </c>
      <c r="C1347" s="15"/>
      <c r="D1347" s="16" t="s">
        <v>11</v>
      </c>
      <c r="E1347" s="23">
        <v>0</v>
      </c>
      <c r="F1347" s="18">
        <f>E1347* 0.080360592401803</f>
        <v>0</v>
      </c>
      <c r="G1347" s="18">
        <f>E1347* 0.917192530585963</f>
        <v>0</v>
      </c>
      <c r="H1347" s="18">
        <f>E1347* 0.00218931101094656</f>
        <v>0</v>
      </c>
    </row>
    <row r="1348" spans="1:8" ht="15.75" hidden="1" customHeight="1" x14ac:dyDescent="0.25">
      <c r="A1348" s="15" t="s">
        <v>151</v>
      </c>
      <c r="B1348" s="11" t="s">
        <v>160</v>
      </c>
      <c r="C1348" s="15"/>
      <c r="D1348" s="16" t="s">
        <v>17</v>
      </c>
      <c r="E1348" s="23">
        <v>0</v>
      </c>
      <c r="F1348" s="18">
        <f>E1348* 0.836035451794207</f>
        <v>0</v>
      </c>
      <c r="G1348" s="18">
        <f>E1348* 0.0583657587548638</f>
        <v>0</v>
      </c>
      <c r="H1348" s="18">
        <f>E1348* 0.10559878945093</f>
        <v>0</v>
      </c>
    </row>
    <row r="1349" spans="1:8" ht="15.75" hidden="1" customHeight="1" x14ac:dyDescent="0.25">
      <c r="A1349" s="15" t="s">
        <v>151</v>
      </c>
      <c r="B1349" s="11" t="s">
        <v>160</v>
      </c>
      <c r="C1349" s="15"/>
      <c r="D1349" s="16" t="s">
        <v>31</v>
      </c>
      <c r="E1349" s="23">
        <v>0</v>
      </c>
      <c r="F1349" s="18">
        <f>E1349* 0.872611464968153</f>
        <v>0</v>
      </c>
      <c r="G1349" s="18">
        <f>E1349* 0.0764331210191083</f>
        <v>0</v>
      </c>
      <c r="H1349" s="18">
        <f>E1349* 0.0509554140127389</f>
        <v>0</v>
      </c>
    </row>
    <row r="1350" spans="1:8" ht="15.75" hidden="1" customHeight="1" x14ac:dyDescent="0.25">
      <c r="A1350" s="15" t="s">
        <v>151</v>
      </c>
      <c r="B1350" s="11" t="s">
        <v>160</v>
      </c>
      <c r="C1350" s="15"/>
      <c r="D1350" s="16" t="s">
        <v>18</v>
      </c>
      <c r="E1350" s="23">
        <v>0</v>
      </c>
      <c r="F1350" s="18">
        <f>E1350* 0.920270974465868</f>
        <v>0</v>
      </c>
      <c r="G1350" s="18">
        <f>E1350* 0.0703491401771756</f>
        <v>0</v>
      </c>
      <c r="H1350" s="18">
        <f>E1350* 0.00937988535695675</f>
        <v>0</v>
      </c>
    </row>
    <row r="1351" spans="1:8" ht="15.75" hidden="1" customHeight="1" x14ac:dyDescent="0.25">
      <c r="A1351" s="15" t="s">
        <v>151</v>
      </c>
      <c r="B1351" s="11" t="s">
        <v>160</v>
      </c>
      <c r="C1351" s="15"/>
      <c r="D1351" s="16" t="s">
        <v>20</v>
      </c>
      <c r="E1351" s="23">
        <v>0</v>
      </c>
      <c r="F1351" s="18">
        <f>E1351* 0.61531089014017</f>
        <v>0</v>
      </c>
      <c r="G1351" s="18">
        <f>E1351* 0.298190966814424</f>
        <v>0</v>
      </c>
      <c r="H1351" s="18">
        <f>E1351* 0.086378339523182</f>
        <v>0</v>
      </c>
    </row>
    <row r="1352" spans="1:8" ht="15.75" hidden="1" customHeight="1" x14ac:dyDescent="0.25">
      <c r="A1352" s="15" t="s">
        <v>151</v>
      </c>
      <c r="B1352" s="11" t="s">
        <v>160</v>
      </c>
      <c r="C1352" s="15"/>
      <c r="D1352" s="16" t="s">
        <v>21</v>
      </c>
      <c r="E1352" s="23">
        <v>0</v>
      </c>
      <c r="F1352" s="18">
        <f>E1352* 0.999801370543252</f>
        <v>0</v>
      </c>
      <c r="G1352" s="18">
        <f>E1352* 0.0000993147283742179</f>
        <v>0</v>
      </c>
      <c r="H1352" s="18">
        <f>E1352* 0.0000993147283742179</f>
        <v>0</v>
      </c>
    </row>
    <row r="1353" spans="1:8" ht="15.75" hidden="1" customHeight="1" x14ac:dyDescent="0.25">
      <c r="A1353" s="15" t="s">
        <v>151</v>
      </c>
      <c r="B1353" s="11" t="s">
        <v>160</v>
      </c>
      <c r="C1353" s="15"/>
      <c r="D1353" s="16" t="s">
        <v>28</v>
      </c>
      <c r="E1353" s="23">
        <v>0</v>
      </c>
      <c r="F1353" s="20">
        <v>0</v>
      </c>
      <c r="G1353" s="18">
        <f>E1353* 0.99904671115348</f>
        <v>0</v>
      </c>
      <c r="H1353" s="18">
        <f>E1353* 0.000953288846520496</f>
        <v>0</v>
      </c>
    </row>
    <row r="1354" spans="1:8" ht="15.75" hidden="1" customHeight="1" x14ac:dyDescent="0.25">
      <c r="A1354" s="15" t="s">
        <v>151</v>
      </c>
      <c r="B1354" s="11" t="s">
        <v>160</v>
      </c>
      <c r="C1354" s="15"/>
      <c r="D1354" s="16" t="s">
        <v>12</v>
      </c>
      <c r="E1354" s="23">
        <v>0</v>
      </c>
      <c r="F1354" s="18">
        <f>E1354* 0.849400404921352</f>
        <v>0</v>
      </c>
      <c r="G1354" s="18">
        <f>E1354* 0.0654726678087525</f>
        <v>0</v>
      </c>
      <c r="H1354" s="18">
        <f>E1354* 0.0851269272698957</f>
        <v>0</v>
      </c>
    </row>
    <row r="1355" spans="1:8" ht="15.75" hidden="1" customHeight="1" x14ac:dyDescent="0.25">
      <c r="A1355" s="15" t="s">
        <v>151</v>
      </c>
      <c r="B1355" s="8"/>
      <c r="C1355" s="8"/>
      <c r="D1355" s="9"/>
      <c r="E1355" s="29"/>
    </row>
    <row r="1356" spans="1:8" ht="15.75" customHeight="1" x14ac:dyDescent="0.25">
      <c r="A1356" s="15" t="s">
        <v>151</v>
      </c>
      <c r="B1356" s="11" t="s">
        <v>161</v>
      </c>
      <c r="C1356" s="12" t="str">
        <f>B1356&amp;"_"&amp;A1356</f>
        <v>Curahuara de Carangas_Oruro</v>
      </c>
      <c r="E1356" s="22">
        <v>1</v>
      </c>
      <c r="F1356" s="14">
        <f t="shared" ref="F1356:H1356" si="128">F1357</f>
        <v>8.0360592401803002E-2</v>
      </c>
      <c r="G1356" s="14">
        <f t="shared" si="128"/>
        <v>0.91719253058596295</v>
      </c>
      <c r="H1356" s="14">
        <f t="shared" si="128"/>
        <v>2.1893110109465598E-3</v>
      </c>
    </row>
    <row r="1357" spans="1:8" ht="15.75" hidden="1" customHeight="1" x14ac:dyDescent="0.25">
      <c r="A1357" s="15" t="s">
        <v>151</v>
      </c>
      <c r="B1357" s="11" t="s">
        <v>161</v>
      </c>
      <c r="C1357" s="15"/>
      <c r="D1357" s="16" t="s">
        <v>11</v>
      </c>
      <c r="E1357" s="23">
        <v>1</v>
      </c>
      <c r="F1357" s="18">
        <f>E1357* 0.080360592401803</f>
        <v>8.0360592401803002E-2</v>
      </c>
      <c r="G1357" s="18">
        <f>E1357* 0.917192530585963</f>
        <v>0.91719253058596295</v>
      </c>
      <c r="H1357" s="18">
        <f>E1357* 0.00218931101094656</f>
        <v>2.1893110109465598E-3</v>
      </c>
    </row>
    <row r="1358" spans="1:8" ht="15.75" hidden="1" customHeight="1" x14ac:dyDescent="0.25">
      <c r="A1358" s="15" t="s">
        <v>151</v>
      </c>
      <c r="B1358" s="8"/>
      <c r="C1358" s="8"/>
      <c r="D1358" s="9"/>
      <c r="E1358" s="29"/>
    </row>
    <row r="1359" spans="1:8" ht="15.75" customHeight="1" x14ac:dyDescent="0.25">
      <c r="A1359" s="15" t="s">
        <v>151</v>
      </c>
      <c r="B1359" s="11" t="s">
        <v>162</v>
      </c>
      <c r="C1359" s="12" t="str">
        <f>B1359&amp;"_"&amp;A1359</f>
        <v>Escara_Oruro</v>
      </c>
      <c r="E1359" s="22">
        <v>3</v>
      </c>
      <c r="F1359" s="14">
        <f t="shared" ref="F1359:H1359" si="129">SUM(F1360:F1372)</f>
        <v>2.6718722741316663</v>
      </c>
      <c r="G1359" s="14">
        <f t="shared" si="129"/>
        <v>0.11683083223810181</v>
      </c>
      <c r="H1359" s="14">
        <f t="shared" si="129"/>
        <v>0.21129689363023421</v>
      </c>
    </row>
    <row r="1360" spans="1:8" ht="15.75" hidden="1" customHeight="1" x14ac:dyDescent="0.25">
      <c r="A1360" s="15" t="s">
        <v>151</v>
      </c>
      <c r="B1360" s="11" t="s">
        <v>162</v>
      </c>
      <c r="C1360" s="15"/>
      <c r="D1360" s="16" t="s">
        <v>53</v>
      </c>
      <c r="E1360" s="23">
        <v>0</v>
      </c>
      <c r="F1360" s="20">
        <v>0</v>
      </c>
      <c r="G1360" s="24">
        <f>E1360</f>
        <v>0</v>
      </c>
      <c r="H1360" s="20">
        <v>0</v>
      </c>
    </row>
    <row r="1361" spans="1:8" ht="15.75" hidden="1" customHeight="1" x14ac:dyDescent="0.25">
      <c r="A1361" s="15" t="s">
        <v>151</v>
      </c>
      <c r="B1361" s="11" t="s">
        <v>162</v>
      </c>
      <c r="C1361" s="15"/>
      <c r="D1361" s="16" t="s">
        <v>15</v>
      </c>
      <c r="E1361" s="23">
        <v>0</v>
      </c>
      <c r="F1361" s="18">
        <f>E1361* 0.929012779104059</f>
        <v>0</v>
      </c>
      <c r="G1361" s="18">
        <f>E1361* 0.00947900575761831</f>
        <v>0</v>
      </c>
      <c r="H1361" s="18">
        <f>E1361* 0.0614380002808594</f>
        <v>0</v>
      </c>
    </row>
    <row r="1362" spans="1:8" ht="15.75" hidden="1" customHeight="1" x14ac:dyDescent="0.25">
      <c r="A1362" s="15" t="s">
        <v>151</v>
      </c>
      <c r="B1362" s="11" t="s">
        <v>162</v>
      </c>
      <c r="C1362" s="15"/>
      <c r="D1362" s="16" t="s">
        <v>16</v>
      </c>
      <c r="E1362" s="23">
        <v>0</v>
      </c>
      <c r="F1362" s="18">
        <f>E1362* 0.0624390243902439</f>
        <v>0</v>
      </c>
      <c r="G1362" s="18">
        <f>E1362* 0.936585365853659</f>
        <v>0</v>
      </c>
      <c r="H1362" s="20">
        <v>0</v>
      </c>
    </row>
    <row r="1363" spans="1:8" ht="15.75" hidden="1" customHeight="1" x14ac:dyDescent="0.25">
      <c r="A1363" s="15" t="s">
        <v>151</v>
      </c>
      <c r="B1363" s="11" t="s">
        <v>162</v>
      </c>
      <c r="C1363" s="15"/>
      <c r="D1363" s="16" t="s">
        <v>11</v>
      </c>
      <c r="E1363" s="23">
        <v>0</v>
      </c>
      <c r="F1363" s="18">
        <f>E1363* 0.080360592401803</f>
        <v>0</v>
      </c>
      <c r="G1363" s="18">
        <f>E1363* 0.917192530585963</f>
        <v>0</v>
      </c>
      <c r="H1363" s="18">
        <f>E1363* 0.00218931101094656</f>
        <v>0</v>
      </c>
    </row>
    <row r="1364" spans="1:8" ht="15.75" hidden="1" customHeight="1" x14ac:dyDescent="0.25">
      <c r="A1364" s="15" t="s">
        <v>151</v>
      </c>
      <c r="B1364" s="11" t="s">
        <v>162</v>
      </c>
      <c r="C1364" s="15"/>
      <c r="D1364" s="16" t="s">
        <v>17</v>
      </c>
      <c r="E1364" s="23">
        <v>2</v>
      </c>
      <c r="F1364" s="18">
        <f>E1364* 0.836035451794207</f>
        <v>1.672070903588414</v>
      </c>
      <c r="G1364" s="18">
        <f>E1364* 0.0583657587548638</f>
        <v>0.1167315175097276</v>
      </c>
      <c r="H1364" s="18">
        <f>E1364* 0.10559878945093</f>
        <v>0.21119757890186</v>
      </c>
    </row>
    <row r="1365" spans="1:8" ht="15.75" hidden="1" customHeight="1" x14ac:dyDescent="0.25">
      <c r="A1365" s="15" t="s">
        <v>151</v>
      </c>
      <c r="B1365" s="11" t="s">
        <v>162</v>
      </c>
      <c r="C1365" s="15"/>
      <c r="D1365" s="16" t="s">
        <v>31</v>
      </c>
      <c r="E1365" s="23">
        <v>0</v>
      </c>
      <c r="F1365" s="18">
        <f>E1365* 0.872611464968153</f>
        <v>0</v>
      </c>
      <c r="G1365" s="18">
        <f>E1365* 0.0764331210191083</f>
        <v>0</v>
      </c>
      <c r="H1365" s="18">
        <f>E1365* 0.0509554140127389</f>
        <v>0</v>
      </c>
    </row>
    <row r="1366" spans="1:8" ht="15.75" hidden="1" customHeight="1" x14ac:dyDescent="0.25">
      <c r="A1366" s="15" t="s">
        <v>151</v>
      </c>
      <c r="B1366" s="11" t="s">
        <v>162</v>
      </c>
      <c r="C1366" s="15"/>
      <c r="D1366" s="16" t="s">
        <v>18</v>
      </c>
      <c r="E1366" s="23">
        <v>0</v>
      </c>
      <c r="F1366" s="18">
        <f>E1366* 0.920270974465868</f>
        <v>0</v>
      </c>
      <c r="G1366" s="18">
        <f>E1366* 0.0703491401771756</f>
        <v>0</v>
      </c>
      <c r="H1366" s="18">
        <f>E1366* 0.00937988535695675</f>
        <v>0</v>
      </c>
    </row>
    <row r="1367" spans="1:8" ht="15.75" hidden="1" customHeight="1" x14ac:dyDescent="0.25">
      <c r="A1367" s="15" t="s">
        <v>151</v>
      </c>
      <c r="B1367" s="11" t="s">
        <v>162</v>
      </c>
      <c r="C1367" s="15"/>
      <c r="D1367" s="16" t="s">
        <v>19</v>
      </c>
      <c r="E1367" s="23">
        <v>0</v>
      </c>
      <c r="F1367" s="18">
        <f>E1367* 0.223420647149461</f>
        <v>0</v>
      </c>
      <c r="G1367" s="18">
        <f>E1367* 0.773497688751926</f>
        <v>0</v>
      </c>
      <c r="H1367" s="18">
        <f>E1367* 0.00308166409861325</f>
        <v>0</v>
      </c>
    </row>
    <row r="1368" spans="1:8" ht="15.75" hidden="1" customHeight="1" x14ac:dyDescent="0.25">
      <c r="A1368" s="15" t="s">
        <v>151</v>
      </c>
      <c r="B1368" s="11" t="s">
        <v>162</v>
      </c>
      <c r="C1368" s="15"/>
      <c r="D1368" s="16" t="s">
        <v>20</v>
      </c>
      <c r="E1368" s="23">
        <v>0</v>
      </c>
      <c r="F1368" s="18">
        <f>E1368* 0.61531089014017</f>
        <v>0</v>
      </c>
      <c r="G1368" s="18">
        <f>E1368* 0.298190966814424</f>
        <v>0</v>
      </c>
      <c r="H1368" s="18">
        <f>E1368* 0.086378339523182</f>
        <v>0</v>
      </c>
    </row>
    <row r="1369" spans="1:8" ht="15.75" hidden="1" customHeight="1" x14ac:dyDescent="0.25">
      <c r="A1369" s="15" t="s">
        <v>151</v>
      </c>
      <c r="B1369" s="11" t="s">
        <v>162</v>
      </c>
      <c r="C1369" s="15"/>
      <c r="D1369" s="16" t="s">
        <v>21</v>
      </c>
      <c r="E1369" s="23">
        <v>1</v>
      </c>
      <c r="F1369" s="18">
        <f>E1369* 0.999801370543252</f>
        <v>0.99980137054325202</v>
      </c>
      <c r="G1369" s="18">
        <f>E1369* 0.0000993147283742179</f>
        <v>9.9314728374217905E-5</v>
      </c>
      <c r="H1369" s="18">
        <f>E1369* 0.0000993147283742179</f>
        <v>9.9314728374217905E-5</v>
      </c>
    </row>
    <row r="1370" spans="1:8" ht="15.75" hidden="1" customHeight="1" x14ac:dyDescent="0.25">
      <c r="A1370" s="15" t="s">
        <v>151</v>
      </c>
      <c r="B1370" s="11" t="s">
        <v>162</v>
      </c>
      <c r="C1370" s="15"/>
      <c r="D1370" s="16" t="s">
        <v>36</v>
      </c>
      <c r="E1370" s="23">
        <v>0</v>
      </c>
      <c r="F1370" s="24">
        <f>E1370</f>
        <v>0</v>
      </c>
      <c r="G1370" s="20">
        <v>0</v>
      </c>
      <c r="H1370" s="20">
        <v>0</v>
      </c>
    </row>
    <row r="1371" spans="1:8" ht="15.75" hidden="1" customHeight="1" x14ac:dyDescent="0.25">
      <c r="A1371" s="15" t="s">
        <v>151</v>
      </c>
      <c r="B1371" s="11" t="s">
        <v>162</v>
      </c>
      <c r="C1371" s="15"/>
      <c r="D1371" s="16" t="s">
        <v>28</v>
      </c>
      <c r="E1371" s="23">
        <v>0</v>
      </c>
      <c r="F1371" s="20">
        <v>0</v>
      </c>
      <c r="G1371" s="18">
        <f>E1371* 0.99904671115348</f>
        <v>0</v>
      </c>
      <c r="H1371" s="18">
        <f>E1371* 0.000953288846520496</f>
        <v>0</v>
      </c>
    </row>
    <row r="1372" spans="1:8" ht="15.75" hidden="1" customHeight="1" x14ac:dyDescent="0.25">
      <c r="A1372" s="15" t="s">
        <v>151</v>
      </c>
      <c r="B1372" s="11" t="s">
        <v>162</v>
      </c>
      <c r="C1372" s="15"/>
      <c r="D1372" s="16" t="s">
        <v>12</v>
      </c>
      <c r="E1372" s="23">
        <v>0</v>
      </c>
      <c r="F1372" s="18">
        <f>E1372* 0.849400404921352</f>
        <v>0</v>
      </c>
      <c r="G1372" s="18">
        <f>E1372* 0.0654726678087525</f>
        <v>0</v>
      </c>
      <c r="H1372" s="18">
        <f>E1372* 0.0851269272698957</f>
        <v>0</v>
      </c>
    </row>
    <row r="1373" spans="1:8" ht="15.75" hidden="1" customHeight="1" x14ac:dyDescent="0.25">
      <c r="A1373" s="15" t="s">
        <v>151</v>
      </c>
      <c r="B1373" s="8"/>
      <c r="C1373" s="8"/>
      <c r="D1373" s="9"/>
      <c r="E1373" s="29"/>
    </row>
    <row r="1374" spans="1:8" ht="15.75" customHeight="1" x14ac:dyDescent="0.25">
      <c r="A1374" s="15" t="s">
        <v>151</v>
      </c>
      <c r="B1374" s="11" t="s">
        <v>163</v>
      </c>
      <c r="C1374" s="12" t="str">
        <f>B1374&amp;"_"&amp;A1374</f>
        <v>Esmeralda_Oruro</v>
      </c>
      <c r="E1374" s="22">
        <v>715</v>
      </c>
      <c r="F1374" s="14">
        <f t="shared" ref="F1374:H1374" si="130">SUM(F1375:F1386)</f>
        <v>484.70206140675361</v>
      </c>
      <c r="G1374" s="14">
        <f t="shared" si="130"/>
        <v>187.82498689062268</v>
      </c>
      <c r="H1374" s="14">
        <f t="shared" si="130"/>
        <v>42.424527340335409</v>
      </c>
    </row>
    <row r="1375" spans="1:8" ht="15.75" hidden="1" customHeight="1" x14ac:dyDescent="0.25">
      <c r="A1375" s="15" t="s">
        <v>151</v>
      </c>
      <c r="B1375" s="11" t="s">
        <v>163</v>
      </c>
      <c r="C1375" s="15"/>
      <c r="D1375" s="16" t="s">
        <v>53</v>
      </c>
      <c r="E1375" s="23">
        <v>0</v>
      </c>
      <c r="F1375" s="20">
        <v>0</v>
      </c>
      <c r="G1375" s="24">
        <f>E1375</f>
        <v>0</v>
      </c>
      <c r="H1375" s="20">
        <v>0</v>
      </c>
    </row>
    <row r="1376" spans="1:8" ht="15.75" hidden="1" customHeight="1" x14ac:dyDescent="0.25">
      <c r="A1376" s="15" t="s">
        <v>151</v>
      </c>
      <c r="B1376" s="11" t="s">
        <v>163</v>
      </c>
      <c r="C1376" s="15"/>
      <c r="D1376" s="16" t="s">
        <v>15</v>
      </c>
      <c r="E1376" s="23">
        <v>66</v>
      </c>
      <c r="F1376" s="18">
        <f>E1376* 0.929012779104059</f>
        <v>61.314843420867895</v>
      </c>
      <c r="G1376" s="18">
        <f>E1376* 0.00947900575761831</f>
        <v>0.62561438000280845</v>
      </c>
      <c r="H1376" s="18">
        <f>E1376* 0.0614380002808594</f>
        <v>4.0549080185367199</v>
      </c>
    </row>
    <row r="1377" spans="1:8" ht="15.75" hidden="1" customHeight="1" x14ac:dyDescent="0.25">
      <c r="A1377" s="15" t="s">
        <v>151</v>
      </c>
      <c r="B1377" s="11" t="s">
        <v>163</v>
      </c>
      <c r="C1377" s="15"/>
      <c r="D1377" s="16" t="s">
        <v>16</v>
      </c>
      <c r="E1377" s="23">
        <v>11</v>
      </c>
      <c r="F1377" s="18">
        <f>E1377* 0.0624390243902439</f>
        <v>0.68682926829268287</v>
      </c>
      <c r="G1377" s="18">
        <f>E1377* 0.936585365853659</f>
        <v>10.30243902439025</v>
      </c>
      <c r="H1377" s="20">
        <v>0</v>
      </c>
    </row>
    <row r="1378" spans="1:8" ht="15.75" hidden="1" customHeight="1" x14ac:dyDescent="0.25">
      <c r="A1378" s="15" t="s">
        <v>151</v>
      </c>
      <c r="B1378" s="11" t="s">
        <v>163</v>
      </c>
      <c r="C1378" s="15"/>
      <c r="D1378" s="16" t="s">
        <v>11</v>
      </c>
      <c r="E1378" s="23">
        <v>113</v>
      </c>
      <c r="F1378" s="18">
        <f>E1378* 0.080360592401803</f>
        <v>9.0807469414037385</v>
      </c>
      <c r="G1378" s="18">
        <f>E1378* 0.917192530585963</f>
        <v>103.64275595621382</v>
      </c>
      <c r="H1378" s="18">
        <f>E1378* 0.00218931101094656</f>
        <v>0.24739214423696126</v>
      </c>
    </row>
    <row r="1379" spans="1:8" ht="15.75" hidden="1" customHeight="1" x14ac:dyDescent="0.25">
      <c r="A1379" s="15" t="s">
        <v>151</v>
      </c>
      <c r="B1379" s="11" t="s">
        <v>163</v>
      </c>
      <c r="C1379" s="15"/>
      <c r="D1379" s="16" t="s">
        <v>17</v>
      </c>
      <c r="E1379" s="23">
        <v>101</v>
      </c>
      <c r="F1379" s="18">
        <f>E1379* 0.836035451794207</f>
        <v>84.439580631214909</v>
      </c>
      <c r="G1379" s="18">
        <f>E1379* 0.0583657587548638</f>
        <v>5.8949416342412437</v>
      </c>
      <c r="H1379" s="18">
        <f>E1379* 0.10559878945093</f>
        <v>10.665477734543931</v>
      </c>
    </row>
    <row r="1380" spans="1:8" ht="15.75" hidden="1" customHeight="1" x14ac:dyDescent="0.25">
      <c r="A1380" s="15" t="s">
        <v>151</v>
      </c>
      <c r="B1380" s="11" t="s">
        <v>163</v>
      </c>
      <c r="C1380" s="15"/>
      <c r="D1380" s="16" t="s">
        <v>31</v>
      </c>
      <c r="E1380" s="23">
        <v>0</v>
      </c>
      <c r="F1380" s="18">
        <f>E1380* 0.872611464968153</f>
        <v>0</v>
      </c>
      <c r="G1380" s="18">
        <f>E1380* 0.0764331210191083</f>
        <v>0</v>
      </c>
      <c r="H1380" s="18">
        <f>E1380* 0.0509554140127389</f>
        <v>0</v>
      </c>
    </row>
    <row r="1381" spans="1:8" ht="15.75" hidden="1" customHeight="1" x14ac:dyDescent="0.25">
      <c r="A1381" s="15" t="s">
        <v>151</v>
      </c>
      <c r="B1381" s="11" t="s">
        <v>163</v>
      </c>
      <c r="C1381" s="15"/>
      <c r="D1381" s="16" t="s">
        <v>18</v>
      </c>
      <c r="E1381" s="23">
        <v>14</v>
      </c>
      <c r="F1381" s="18">
        <f>E1381* 0.920270974465868</f>
        <v>12.883793642522152</v>
      </c>
      <c r="G1381" s="18">
        <f>E1381* 0.0703491401771756</f>
        <v>0.9848879624804584</v>
      </c>
      <c r="H1381" s="18">
        <f>E1381* 0.00937988535695675</f>
        <v>0.13131839499739451</v>
      </c>
    </row>
    <row r="1382" spans="1:8" ht="15.75" hidden="1" customHeight="1" x14ac:dyDescent="0.25">
      <c r="A1382" s="15" t="s">
        <v>151</v>
      </c>
      <c r="B1382" s="11" t="s">
        <v>163</v>
      </c>
      <c r="C1382" s="15"/>
      <c r="D1382" s="16" t="s">
        <v>19</v>
      </c>
      <c r="E1382" s="23">
        <v>1</v>
      </c>
      <c r="F1382" s="18">
        <f>E1382* 0.223420647149461</f>
        <v>0.223420647149461</v>
      </c>
      <c r="G1382" s="18">
        <f>E1382* 0.773497688751926</f>
        <v>0.77349768875192604</v>
      </c>
      <c r="H1382" s="18">
        <f>E1382* 0.00308166409861325</f>
        <v>3.08166409861325E-3</v>
      </c>
    </row>
    <row r="1383" spans="1:8" ht="15.75" hidden="1" customHeight="1" x14ac:dyDescent="0.25">
      <c r="A1383" s="15" t="s">
        <v>151</v>
      </c>
      <c r="B1383" s="11" t="s">
        <v>163</v>
      </c>
      <c r="C1383" s="15"/>
      <c r="D1383" s="16" t="s">
        <v>20</v>
      </c>
      <c r="E1383" s="23">
        <v>33</v>
      </c>
      <c r="F1383" s="18">
        <f>E1383* 0.61531089014017</f>
        <v>20.30525937462561</v>
      </c>
      <c r="G1383" s="18">
        <f>E1383* 0.298190966814424</f>
        <v>9.8403019048759912</v>
      </c>
      <c r="H1383" s="18">
        <f>E1383* 0.086378339523182</f>
        <v>2.8504852042650057</v>
      </c>
    </row>
    <row r="1384" spans="1:8" ht="15.75" hidden="1" customHeight="1" x14ac:dyDescent="0.25">
      <c r="A1384" s="15" t="s">
        <v>151</v>
      </c>
      <c r="B1384" s="11" t="s">
        <v>163</v>
      </c>
      <c r="C1384" s="15"/>
      <c r="D1384" s="16" t="s">
        <v>21</v>
      </c>
      <c r="E1384" s="23">
        <v>52</v>
      </c>
      <c r="F1384" s="18">
        <f>E1384* 0.999801370543252</f>
        <v>51.989671268249104</v>
      </c>
      <c r="G1384" s="18">
        <f>E1384* 0.0000993147283742179</f>
        <v>5.1643658754593307E-3</v>
      </c>
      <c r="H1384" s="18">
        <f>E1384* 0.0000993147283742179</f>
        <v>5.1643658754593307E-3</v>
      </c>
    </row>
    <row r="1385" spans="1:8" ht="15.75" hidden="1" customHeight="1" x14ac:dyDescent="0.25">
      <c r="A1385" s="15" t="s">
        <v>151</v>
      </c>
      <c r="B1385" s="11" t="s">
        <v>163</v>
      </c>
      <c r="C1385" s="15"/>
      <c r="D1385" s="16" t="s">
        <v>28</v>
      </c>
      <c r="E1385" s="23">
        <v>37</v>
      </c>
      <c r="F1385" s="20">
        <v>0</v>
      </c>
      <c r="G1385" s="18">
        <f>E1385* 0.99904671115348</f>
        <v>36.964728312678758</v>
      </c>
      <c r="H1385" s="18">
        <f>E1385* 0.000953288846520496</f>
        <v>3.5271687321258349E-2</v>
      </c>
    </row>
    <row r="1386" spans="1:8" ht="15.75" hidden="1" customHeight="1" x14ac:dyDescent="0.25">
      <c r="A1386" s="15" t="s">
        <v>151</v>
      </c>
      <c r="B1386" s="11" t="s">
        <v>163</v>
      </c>
      <c r="C1386" s="15"/>
      <c r="D1386" s="16" t="s">
        <v>12</v>
      </c>
      <c r="E1386" s="23">
        <v>287</v>
      </c>
      <c r="F1386" s="18">
        <f>E1386* 0.849400404921352</f>
        <v>243.77791621242804</v>
      </c>
      <c r="G1386" s="18">
        <f>E1386* 0.0654726678087525</f>
        <v>18.790655661111966</v>
      </c>
      <c r="H1386" s="18">
        <f>E1386* 0.0851269272698957</f>
        <v>24.431428126460066</v>
      </c>
    </row>
    <row r="1387" spans="1:8" ht="15.75" hidden="1" customHeight="1" x14ac:dyDescent="0.25">
      <c r="A1387" s="15" t="s">
        <v>151</v>
      </c>
      <c r="B1387" s="8"/>
      <c r="C1387" s="8"/>
      <c r="D1387" s="9"/>
      <c r="E1387" s="29"/>
    </row>
    <row r="1388" spans="1:8" ht="15.75" customHeight="1" x14ac:dyDescent="0.25">
      <c r="A1388" s="15" t="s">
        <v>151</v>
      </c>
      <c r="B1388" s="11" t="s">
        <v>164</v>
      </c>
      <c r="C1388" s="12" t="str">
        <f>B1388&amp;"_"&amp;A1388</f>
        <v>Eucaliptus_Oruro</v>
      </c>
      <c r="E1388" s="22">
        <v>9</v>
      </c>
      <c r="F1388" s="14">
        <f t="shared" ref="F1388:H1388" si="131">SUM(F1389:F1393)</f>
        <v>5.3144286792573849</v>
      </c>
      <c r="G1388" s="14">
        <f t="shared" si="131"/>
        <v>3.0916710618252186</v>
      </c>
      <c r="H1388" s="14">
        <f t="shared" si="131"/>
        <v>0.59162125854645597</v>
      </c>
    </row>
    <row r="1389" spans="1:8" ht="15.75" hidden="1" customHeight="1" x14ac:dyDescent="0.25">
      <c r="A1389" s="15" t="s">
        <v>151</v>
      </c>
      <c r="B1389" s="11" t="s">
        <v>164</v>
      </c>
      <c r="C1389" s="15"/>
      <c r="D1389" s="16" t="s">
        <v>15</v>
      </c>
      <c r="E1389" s="23">
        <v>1</v>
      </c>
      <c r="F1389" s="18">
        <f>E1389* 0.929012779104059</f>
        <v>0.92901277910405899</v>
      </c>
      <c r="G1389" s="18">
        <f>E1389* 0.00947900575761831</f>
        <v>9.4790057576183105E-3</v>
      </c>
      <c r="H1389" s="18">
        <f>E1389* 0.0614380002808594</f>
        <v>6.1438000280859398E-2</v>
      </c>
    </row>
    <row r="1390" spans="1:8" ht="15.75" hidden="1" customHeight="1" x14ac:dyDescent="0.25">
      <c r="A1390" s="15" t="s">
        <v>151</v>
      </c>
      <c r="B1390" s="11" t="s">
        <v>164</v>
      </c>
      <c r="C1390" s="15"/>
      <c r="D1390" s="16" t="s">
        <v>11</v>
      </c>
      <c r="E1390" s="23">
        <v>1</v>
      </c>
      <c r="F1390" s="18">
        <f>E1390* 0.080360592401803</f>
        <v>8.0360592401803002E-2</v>
      </c>
      <c r="G1390" s="18">
        <f>E1390* 0.917192530585963</f>
        <v>0.91719253058596295</v>
      </c>
      <c r="H1390" s="18">
        <f>E1390* 0.00218931101094656</f>
        <v>2.1893110109465598E-3</v>
      </c>
    </row>
    <row r="1391" spans="1:8" ht="15.75" hidden="1" customHeight="1" x14ac:dyDescent="0.25">
      <c r="A1391" s="15" t="s">
        <v>151</v>
      </c>
      <c r="B1391" s="11" t="s">
        <v>164</v>
      </c>
      <c r="C1391" s="15"/>
      <c r="D1391" s="16" t="s">
        <v>17</v>
      </c>
      <c r="E1391" s="23">
        <v>5</v>
      </c>
      <c r="F1391" s="18">
        <f>E1391* 0.836035451794207</f>
        <v>4.1801772589710353</v>
      </c>
      <c r="G1391" s="18">
        <f>E1391* 0.0583657587548638</f>
        <v>0.29182879377431903</v>
      </c>
      <c r="H1391" s="18">
        <f>E1391* 0.10559878945093</f>
        <v>0.52799394725464999</v>
      </c>
    </row>
    <row r="1392" spans="1:8" ht="15.75" hidden="1" customHeight="1" x14ac:dyDescent="0.25">
      <c r="A1392" s="15" t="s">
        <v>151</v>
      </c>
      <c r="B1392" s="11" t="s">
        <v>164</v>
      </c>
      <c r="C1392" s="15"/>
      <c r="D1392" s="16" t="s">
        <v>165</v>
      </c>
      <c r="E1392" s="23">
        <v>2</v>
      </c>
      <c r="F1392" s="18">
        <f>E1392* 0.0624390243902439</f>
        <v>0.1248780487804878</v>
      </c>
      <c r="G1392" s="18">
        <f>E1392* 0.936585365853659</f>
        <v>1.8731707317073181</v>
      </c>
      <c r="H1392" s="20">
        <v>0</v>
      </c>
    </row>
    <row r="1393" spans="1:8" ht="15.75" hidden="1" customHeight="1" x14ac:dyDescent="0.25">
      <c r="A1393" s="15" t="s">
        <v>151</v>
      </c>
      <c r="B1393" s="11" t="s">
        <v>164</v>
      </c>
      <c r="C1393" s="15"/>
      <c r="D1393" s="16" t="s">
        <v>12</v>
      </c>
      <c r="E1393" s="23">
        <v>0</v>
      </c>
      <c r="F1393" s="18">
        <f>E1393* 0.849400404921352</f>
        <v>0</v>
      </c>
      <c r="G1393" s="18">
        <f>E1393* 0.0654726678087525</f>
        <v>0</v>
      </c>
      <c r="H1393" s="18">
        <f>E1393* 0.0851269272698957</f>
        <v>0</v>
      </c>
    </row>
    <row r="1394" spans="1:8" ht="15.75" hidden="1" customHeight="1" x14ac:dyDescent="0.25">
      <c r="A1394" s="15" t="s">
        <v>151</v>
      </c>
      <c r="B1394" s="8"/>
      <c r="C1394" s="8"/>
      <c r="D1394" s="9"/>
      <c r="E1394" s="29"/>
    </row>
    <row r="1395" spans="1:8" ht="15.75" customHeight="1" x14ac:dyDescent="0.25">
      <c r="A1395" s="15" t="s">
        <v>151</v>
      </c>
      <c r="B1395" s="11" t="s">
        <v>166</v>
      </c>
      <c r="C1395" s="12" t="str">
        <f>B1395&amp;"_"&amp;A1395</f>
        <v>Huachacalla_Oruro</v>
      </c>
      <c r="E1395" s="22">
        <v>33</v>
      </c>
      <c r="F1395" s="14">
        <f t="shared" ref="F1395:H1395" si="132">SUM(F1396:F1404)</f>
        <v>20.419397240324052</v>
      </c>
      <c r="G1395" s="14">
        <f t="shared" si="132"/>
        <v>10.70249621438294</v>
      </c>
      <c r="H1395" s="14">
        <f t="shared" si="132"/>
        <v>1.8752706520429911</v>
      </c>
    </row>
    <row r="1396" spans="1:8" ht="15.75" hidden="1" customHeight="1" x14ac:dyDescent="0.25">
      <c r="A1396" s="15" t="s">
        <v>151</v>
      </c>
      <c r="B1396" s="11" t="s">
        <v>166</v>
      </c>
      <c r="C1396" s="15"/>
      <c r="D1396" s="16" t="s">
        <v>15</v>
      </c>
      <c r="E1396" s="23">
        <v>2</v>
      </c>
      <c r="F1396" s="18">
        <f>E1396* 0.929012779104059</f>
        <v>1.858025558208118</v>
      </c>
      <c r="G1396" s="18">
        <f>E1396* 0.00947900575761831</f>
        <v>1.8958011515236621E-2</v>
      </c>
      <c r="H1396" s="18">
        <f>E1396* 0.0614380002808594</f>
        <v>0.1228760005617188</v>
      </c>
    </row>
    <row r="1397" spans="1:8" ht="15.75" hidden="1" customHeight="1" x14ac:dyDescent="0.25">
      <c r="A1397" s="15" t="s">
        <v>151</v>
      </c>
      <c r="B1397" s="11" t="s">
        <v>166</v>
      </c>
      <c r="C1397" s="15"/>
      <c r="D1397" s="16" t="s">
        <v>16</v>
      </c>
      <c r="E1397" s="23">
        <v>0</v>
      </c>
      <c r="F1397" s="18">
        <f>E1397* 0.0624390243902439</f>
        <v>0</v>
      </c>
      <c r="G1397" s="18">
        <f>E1397* 0.936585365853659</f>
        <v>0</v>
      </c>
      <c r="H1397" s="20">
        <v>0</v>
      </c>
    </row>
    <row r="1398" spans="1:8" ht="15.75" hidden="1" customHeight="1" x14ac:dyDescent="0.25">
      <c r="A1398" s="15" t="s">
        <v>151</v>
      </c>
      <c r="B1398" s="11" t="s">
        <v>166</v>
      </c>
      <c r="C1398" s="15"/>
      <c r="D1398" s="16" t="s">
        <v>11</v>
      </c>
      <c r="E1398" s="23">
        <v>10</v>
      </c>
      <c r="F1398" s="18">
        <f>E1398* 0.080360592401803</f>
        <v>0.80360592401802999</v>
      </c>
      <c r="G1398" s="18">
        <f>E1398* 0.917192530585963</f>
        <v>9.1719253058596291</v>
      </c>
      <c r="H1398" s="18">
        <f>E1398* 0.00218931101094656</f>
        <v>2.1893110109465597E-2</v>
      </c>
    </row>
    <row r="1399" spans="1:8" ht="15.75" hidden="1" customHeight="1" x14ac:dyDescent="0.25">
      <c r="A1399" s="15" t="s">
        <v>151</v>
      </c>
      <c r="B1399" s="11" t="s">
        <v>166</v>
      </c>
      <c r="C1399" s="15"/>
      <c r="D1399" s="16" t="s">
        <v>17</v>
      </c>
      <c r="E1399" s="23">
        <v>5</v>
      </c>
      <c r="F1399" s="18">
        <f>E1399* 0.836035451794207</f>
        <v>4.1801772589710353</v>
      </c>
      <c r="G1399" s="18">
        <f>E1399* 0.0583657587548638</f>
        <v>0.29182879377431903</v>
      </c>
      <c r="H1399" s="18">
        <f>E1399* 0.10559878945093</f>
        <v>0.52799394725464999</v>
      </c>
    </row>
    <row r="1400" spans="1:8" ht="15.75" hidden="1" customHeight="1" x14ac:dyDescent="0.25">
      <c r="A1400" s="15" t="s">
        <v>151</v>
      </c>
      <c r="B1400" s="11" t="s">
        <v>166</v>
      </c>
      <c r="C1400" s="15"/>
      <c r="D1400" s="16" t="s">
        <v>18</v>
      </c>
      <c r="E1400" s="23">
        <v>1</v>
      </c>
      <c r="F1400" s="18">
        <f>E1400* 0.920270974465868</f>
        <v>0.92027097446586803</v>
      </c>
      <c r="G1400" s="18">
        <f>E1400* 0.0703491401771756</f>
        <v>7.0349140177175598E-2</v>
      </c>
      <c r="H1400" s="18">
        <f>E1400* 0.00937988535695675</f>
        <v>9.3798853569567499E-3</v>
      </c>
    </row>
    <row r="1401" spans="1:8" ht="15.75" hidden="1" customHeight="1" x14ac:dyDescent="0.25">
      <c r="A1401" s="15" t="s">
        <v>151</v>
      </c>
      <c r="B1401" s="11" t="s">
        <v>166</v>
      </c>
      <c r="C1401" s="15"/>
      <c r="D1401" s="16" t="s">
        <v>20</v>
      </c>
      <c r="E1401" s="23">
        <v>1</v>
      </c>
      <c r="F1401" s="18">
        <f>E1401* 0.61531089014017</f>
        <v>0.61531089014017004</v>
      </c>
      <c r="G1401" s="18">
        <f>E1401* 0.298190966814424</f>
        <v>0.29819096681442397</v>
      </c>
      <c r="H1401" s="18">
        <f>E1401* 0.086378339523182</f>
        <v>8.6378339523181996E-2</v>
      </c>
    </row>
    <row r="1402" spans="1:8" ht="15.75" hidden="1" customHeight="1" x14ac:dyDescent="0.25">
      <c r="A1402" s="15" t="s">
        <v>151</v>
      </c>
      <c r="B1402" s="11" t="s">
        <v>166</v>
      </c>
      <c r="C1402" s="15"/>
      <c r="D1402" s="16" t="s">
        <v>21</v>
      </c>
      <c r="E1402" s="23">
        <v>1</v>
      </c>
      <c r="F1402" s="18">
        <f>E1402* 0.999801370543252</f>
        <v>0.99980137054325202</v>
      </c>
      <c r="G1402" s="18">
        <f>E1402* 0.0000993147283742179</f>
        <v>9.9314728374217905E-5</v>
      </c>
      <c r="H1402" s="18">
        <f>E1402* 0.0000993147283742179</f>
        <v>9.9314728374217905E-5</v>
      </c>
    </row>
    <row r="1403" spans="1:8" ht="15.75" hidden="1" customHeight="1" x14ac:dyDescent="0.25">
      <c r="A1403" s="15" t="s">
        <v>151</v>
      </c>
      <c r="B1403" s="11" t="s">
        <v>166</v>
      </c>
      <c r="C1403" s="15"/>
      <c r="D1403" s="16" t="s">
        <v>28</v>
      </c>
      <c r="E1403" s="23">
        <v>0</v>
      </c>
      <c r="F1403" s="20">
        <v>0</v>
      </c>
      <c r="G1403" s="18">
        <f>E1403* 0.99904671115348</f>
        <v>0</v>
      </c>
      <c r="H1403" s="18">
        <f>E1403* 0.000953288846520496</f>
        <v>0</v>
      </c>
    </row>
    <row r="1404" spans="1:8" ht="15.75" hidden="1" customHeight="1" x14ac:dyDescent="0.25">
      <c r="A1404" s="15" t="s">
        <v>151</v>
      </c>
      <c r="B1404" s="11" t="s">
        <v>166</v>
      </c>
      <c r="C1404" s="15"/>
      <c r="D1404" s="16" t="s">
        <v>12</v>
      </c>
      <c r="E1404" s="23">
        <v>13</v>
      </c>
      <c r="F1404" s="18">
        <f>E1404* 0.849400404921352</f>
        <v>11.042205263977577</v>
      </c>
      <c r="G1404" s="18">
        <f>E1404* 0.0654726678087525</f>
        <v>0.85114468151378242</v>
      </c>
      <c r="H1404" s="18">
        <f>E1404* 0.0851269272698957</f>
        <v>1.106650054508644</v>
      </c>
    </row>
    <row r="1405" spans="1:8" ht="15.75" hidden="1" customHeight="1" x14ac:dyDescent="0.25">
      <c r="A1405" s="15" t="s">
        <v>151</v>
      </c>
      <c r="B1405" s="8"/>
      <c r="C1405" s="8"/>
      <c r="D1405" s="9"/>
      <c r="E1405" s="29"/>
    </row>
    <row r="1406" spans="1:8" ht="15.75" customHeight="1" x14ac:dyDescent="0.25">
      <c r="A1406" s="15" t="s">
        <v>151</v>
      </c>
      <c r="B1406" s="11" t="s">
        <v>167</v>
      </c>
      <c r="C1406" s="12" t="str">
        <f>B1406&amp;"_"&amp;A1406</f>
        <v>La Riviera_Oruro</v>
      </c>
      <c r="E1406" s="22">
        <v>0</v>
      </c>
      <c r="F1406" s="14">
        <v>0</v>
      </c>
      <c r="G1406" s="14">
        <v>0</v>
      </c>
      <c r="H1406" s="14">
        <v>0</v>
      </c>
    </row>
    <row r="1407" spans="1:8" ht="15.75" hidden="1" customHeight="1" x14ac:dyDescent="0.25">
      <c r="A1407" s="15" t="s">
        <v>151</v>
      </c>
      <c r="B1407" s="11" t="s">
        <v>167</v>
      </c>
      <c r="C1407" s="15"/>
      <c r="D1407" s="16" t="s">
        <v>53</v>
      </c>
      <c r="E1407" s="23">
        <v>0</v>
      </c>
      <c r="F1407" s="20">
        <v>0</v>
      </c>
      <c r="G1407" s="24">
        <f>E1407</f>
        <v>0</v>
      </c>
      <c r="H1407" s="20">
        <v>0</v>
      </c>
    </row>
    <row r="1408" spans="1:8" ht="15.75" hidden="1" customHeight="1" x14ac:dyDescent="0.25">
      <c r="A1408" s="15" t="s">
        <v>151</v>
      </c>
      <c r="B1408" s="11" t="s">
        <v>167</v>
      </c>
      <c r="C1408" s="15"/>
      <c r="D1408" s="16" t="s">
        <v>15</v>
      </c>
      <c r="E1408" s="23">
        <v>0</v>
      </c>
      <c r="F1408" s="18">
        <f>E1408* 0.929012779104059</f>
        <v>0</v>
      </c>
      <c r="G1408" s="18">
        <f>E1408* 0.00947900575761831</f>
        <v>0</v>
      </c>
      <c r="H1408" s="18">
        <f>E1408* 0.0614380002808594</f>
        <v>0</v>
      </c>
    </row>
    <row r="1409" spans="1:8" ht="15.75" hidden="1" customHeight="1" x14ac:dyDescent="0.25">
      <c r="A1409" s="15" t="s">
        <v>151</v>
      </c>
      <c r="B1409" s="11" t="s">
        <v>167</v>
      </c>
      <c r="C1409" s="15"/>
      <c r="D1409" s="16" t="s">
        <v>16</v>
      </c>
      <c r="E1409" s="23">
        <v>0</v>
      </c>
      <c r="F1409" s="18">
        <f>E1409* 0.0624390243902439</f>
        <v>0</v>
      </c>
      <c r="G1409" s="18">
        <f>E1409* 0.936585365853659</f>
        <v>0</v>
      </c>
      <c r="H1409" s="20">
        <v>0</v>
      </c>
    </row>
    <row r="1410" spans="1:8" ht="15.75" hidden="1" customHeight="1" x14ac:dyDescent="0.25">
      <c r="A1410" s="15" t="s">
        <v>151</v>
      </c>
      <c r="B1410" s="11" t="s">
        <v>167</v>
      </c>
      <c r="C1410" s="15"/>
      <c r="D1410" s="16" t="s">
        <v>11</v>
      </c>
      <c r="E1410" s="23">
        <v>0</v>
      </c>
      <c r="F1410" s="18">
        <f>E1410* 0.080360592401803</f>
        <v>0</v>
      </c>
      <c r="G1410" s="18">
        <f>E1410* 0.917192530585963</f>
        <v>0</v>
      </c>
      <c r="H1410" s="18">
        <f>E1410* 0.00218931101094656</f>
        <v>0</v>
      </c>
    </row>
    <row r="1411" spans="1:8" ht="15.75" hidden="1" customHeight="1" x14ac:dyDescent="0.25">
      <c r="A1411" s="15" t="s">
        <v>151</v>
      </c>
      <c r="B1411" s="11" t="s">
        <v>167</v>
      </c>
      <c r="C1411" s="15"/>
      <c r="D1411" s="16" t="s">
        <v>17</v>
      </c>
      <c r="E1411" s="23">
        <v>0</v>
      </c>
      <c r="F1411" s="18">
        <f>E1411* 0.836035451794207</f>
        <v>0</v>
      </c>
      <c r="G1411" s="18">
        <f>E1411* 0.0583657587548638</f>
        <v>0</v>
      </c>
      <c r="H1411" s="18">
        <f>E1411* 0.10559878945093</f>
        <v>0</v>
      </c>
    </row>
    <row r="1412" spans="1:8" ht="15.75" hidden="1" customHeight="1" x14ac:dyDescent="0.25">
      <c r="A1412" s="15" t="s">
        <v>151</v>
      </c>
      <c r="B1412" s="11" t="s">
        <v>167</v>
      </c>
      <c r="C1412" s="15"/>
      <c r="D1412" s="16" t="s">
        <v>31</v>
      </c>
      <c r="E1412" s="23">
        <v>0</v>
      </c>
      <c r="F1412" s="18">
        <f>E1412* 0.872611464968153</f>
        <v>0</v>
      </c>
      <c r="G1412" s="18">
        <f>E1412* 0.0764331210191083</f>
        <v>0</v>
      </c>
      <c r="H1412" s="18">
        <f>E1412* 0.0509554140127389</f>
        <v>0</v>
      </c>
    </row>
    <row r="1413" spans="1:8" ht="15.75" hidden="1" customHeight="1" x14ac:dyDescent="0.25">
      <c r="A1413" s="15" t="s">
        <v>151</v>
      </c>
      <c r="B1413" s="11" t="s">
        <v>167</v>
      </c>
      <c r="C1413" s="15"/>
      <c r="D1413" s="16" t="s">
        <v>18</v>
      </c>
      <c r="E1413" s="23">
        <v>0</v>
      </c>
      <c r="F1413" s="18">
        <f>E1413* 0.920270974465868</f>
        <v>0</v>
      </c>
      <c r="G1413" s="18">
        <f>E1413* 0.0703491401771756</f>
        <v>0</v>
      </c>
      <c r="H1413" s="18">
        <f>E1413* 0.00937988535695675</f>
        <v>0</v>
      </c>
    </row>
    <row r="1414" spans="1:8" ht="15.75" hidden="1" customHeight="1" x14ac:dyDescent="0.25">
      <c r="A1414" s="15" t="s">
        <v>151</v>
      </c>
      <c r="B1414" s="11" t="s">
        <v>167</v>
      </c>
      <c r="C1414" s="15"/>
      <c r="D1414" s="16" t="s">
        <v>55</v>
      </c>
      <c r="E1414" s="23">
        <v>0</v>
      </c>
      <c r="F1414" s="20">
        <v>0</v>
      </c>
      <c r="G1414" s="24">
        <f>E1414</f>
        <v>0</v>
      </c>
      <c r="H1414" s="20">
        <v>0</v>
      </c>
    </row>
    <row r="1415" spans="1:8" ht="15.75" hidden="1" customHeight="1" x14ac:dyDescent="0.25">
      <c r="A1415" s="15" t="s">
        <v>151</v>
      </c>
      <c r="B1415" s="11" t="s">
        <v>167</v>
      </c>
      <c r="C1415" s="15"/>
      <c r="D1415" s="16" t="s">
        <v>19</v>
      </c>
      <c r="E1415" s="23">
        <v>0</v>
      </c>
      <c r="F1415" s="18">
        <f>E1415* 0.223420647149461</f>
        <v>0</v>
      </c>
      <c r="G1415" s="18">
        <f>E1415* 0.773497688751926</f>
        <v>0</v>
      </c>
      <c r="H1415" s="18">
        <f>E1415* 0.00308166409861325</f>
        <v>0</v>
      </c>
    </row>
    <row r="1416" spans="1:8" ht="15.75" hidden="1" customHeight="1" x14ac:dyDescent="0.25">
      <c r="A1416" s="15" t="s">
        <v>151</v>
      </c>
      <c r="B1416" s="11" t="s">
        <v>167</v>
      </c>
      <c r="C1416" s="15"/>
      <c r="D1416" s="16" t="s">
        <v>20</v>
      </c>
      <c r="E1416" s="23">
        <v>0</v>
      </c>
      <c r="F1416" s="18">
        <f>E1416* 0.61531089014017</f>
        <v>0</v>
      </c>
      <c r="G1416" s="18">
        <f>E1416* 0.298190966814424</f>
        <v>0</v>
      </c>
      <c r="H1416" s="18">
        <f>E1416* 0.086378339523182</f>
        <v>0</v>
      </c>
    </row>
    <row r="1417" spans="1:8" ht="15.75" hidden="1" customHeight="1" x14ac:dyDescent="0.25">
      <c r="A1417" s="15" t="s">
        <v>151</v>
      </c>
      <c r="B1417" s="11" t="s">
        <v>167</v>
      </c>
      <c r="C1417" s="15"/>
      <c r="D1417" s="16" t="s">
        <v>21</v>
      </c>
      <c r="E1417" s="23">
        <v>0</v>
      </c>
      <c r="F1417" s="18">
        <f>E1417* 0.999801370543252</f>
        <v>0</v>
      </c>
      <c r="G1417" s="18">
        <f>E1417* 0.0000993147283742179</f>
        <v>0</v>
      </c>
      <c r="H1417" s="18">
        <f>E1417* 0.0000993147283742179</f>
        <v>0</v>
      </c>
    </row>
    <row r="1418" spans="1:8" ht="15.75" hidden="1" customHeight="1" x14ac:dyDescent="0.25">
      <c r="A1418" s="15" t="s">
        <v>151</v>
      </c>
      <c r="B1418" s="11" t="s">
        <v>167</v>
      </c>
      <c r="C1418" s="15"/>
      <c r="D1418" s="16" t="s">
        <v>28</v>
      </c>
      <c r="E1418" s="23">
        <v>0</v>
      </c>
      <c r="F1418" s="20">
        <v>0</v>
      </c>
      <c r="G1418" s="18">
        <f>E1418* 0.99904671115348</f>
        <v>0</v>
      </c>
      <c r="H1418" s="18">
        <f>E1418* 0.000953288846520496</f>
        <v>0</v>
      </c>
    </row>
    <row r="1419" spans="1:8" ht="15.75" hidden="1" customHeight="1" x14ac:dyDescent="0.25">
      <c r="A1419" s="15" t="s">
        <v>151</v>
      </c>
      <c r="B1419" s="11" t="s">
        <v>167</v>
      </c>
      <c r="C1419" s="15"/>
      <c r="D1419" s="16" t="s">
        <v>12</v>
      </c>
      <c r="E1419" s="23">
        <v>0</v>
      </c>
      <c r="F1419" s="18">
        <f>E1419* 0.849400404921352</f>
        <v>0</v>
      </c>
      <c r="G1419" s="18">
        <f>E1419* 0.0654726678087525</f>
        <v>0</v>
      </c>
      <c r="H1419" s="18">
        <f>E1419* 0.0851269272698957</f>
        <v>0</v>
      </c>
    </row>
    <row r="1420" spans="1:8" ht="15.75" hidden="1" customHeight="1" x14ac:dyDescent="0.25">
      <c r="A1420" s="15" t="s">
        <v>151</v>
      </c>
      <c r="B1420" s="8"/>
      <c r="C1420" s="8"/>
      <c r="D1420" s="9"/>
      <c r="E1420" s="29"/>
    </row>
    <row r="1421" spans="1:8" ht="15.75" customHeight="1" x14ac:dyDescent="0.25">
      <c r="A1421" s="15" t="s">
        <v>151</v>
      </c>
      <c r="B1421" s="11" t="s">
        <v>168</v>
      </c>
      <c r="C1421" s="12" t="str">
        <f>B1421&amp;"_"&amp;A1421</f>
        <v>Machacamarca_Oruro</v>
      </c>
      <c r="E1421" s="22">
        <v>8</v>
      </c>
      <c r="F1421" s="14">
        <f t="shared" ref="F1421:H1421" si="133">SUM(F1422:F1426)</f>
        <v>3.2881548809825212</v>
      </c>
      <c r="G1421" s="14">
        <f t="shared" si="133"/>
        <v>4.4403195880255959</v>
      </c>
      <c r="H1421" s="14">
        <f t="shared" si="133"/>
        <v>0.27114816146837295</v>
      </c>
    </row>
    <row r="1422" spans="1:8" ht="15.75" hidden="1" customHeight="1" x14ac:dyDescent="0.25">
      <c r="A1422" s="15" t="s">
        <v>151</v>
      </c>
      <c r="B1422" s="11" t="s">
        <v>168</v>
      </c>
      <c r="C1422" s="15"/>
      <c r="D1422" s="16" t="s">
        <v>16</v>
      </c>
      <c r="E1422" s="23">
        <v>0</v>
      </c>
      <c r="F1422" s="18">
        <f>E1422* 0.0624390243902439</f>
        <v>0</v>
      </c>
      <c r="G1422" s="18">
        <f>E1422* 0.936585365853659</f>
        <v>0</v>
      </c>
      <c r="H1422" s="20">
        <v>0</v>
      </c>
    </row>
    <row r="1423" spans="1:8" ht="15.75" hidden="1" customHeight="1" x14ac:dyDescent="0.25">
      <c r="A1423" s="15" t="s">
        <v>151</v>
      </c>
      <c r="B1423" s="11" t="s">
        <v>168</v>
      </c>
      <c r="C1423" s="15"/>
      <c r="D1423" s="16" t="s">
        <v>11</v>
      </c>
      <c r="E1423" s="23">
        <v>1</v>
      </c>
      <c r="F1423" s="18">
        <f>E1423* 0.080360592401803</f>
        <v>8.0360592401803002E-2</v>
      </c>
      <c r="G1423" s="18">
        <f>E1423* 0.917192530585963</f>
        <v>0.91719253058596295</v>
      </c>
      <c r="H1423" s="18">
        <f>E1423* 0.00218931101094656</f>
        <v>2.1893110109465598E-3</v>
      </c>
    </row>
    <row r="1424" spans="1:8" ht="15.75" hidden="1" customHeight="1" x14ac:dyDescent="0.25">
      <c r="A1424" s="15" t="s">
        <v>151</v>
      </c>
      <c r="B1424" s="11" t="s">
        <v>168</v>
      </c>
      <c r="C1424" s="15"/>
      <c r="D1424" s="16" t="s">
        <v>19</v>
      </c>
      <c r="E1424" s="23">
        <v>4</v>
      </c>
      <c r="F1424" s="18">
        <f>E1424* 0.223420647149461</f>
        <v>0.893682588597844</v>
      </c>
      <c r="G1424" s="18">
        <f>E1424* 0.773497688751926</f>
        <v>3.0939907550077042</v>
      </c>
      <c r="H1424" s="18">
        <f>E1424* 0.00308166409861325</f>
        <v>1.2326656394453E-2</v>
      </c>
    </row>
    <row r="1425" spans="1:9" ht="15.75" hidden="1" customHeight="1" x14ac:dyDescent="0.25">
      <c r="A1425" s="15" t="s">
        <v>151</v>
      </c>
      <c r="B1425" s="11" t="s">
        <v>168</v>
      </c>
      <c r="C1425" s="15"/>
      <c r="D1425" s="16" t="s">
        <v>20</v>
      </c>
      <c r="E1425" s="23">
        <v>1</v>
      </c>
      <c r="F1425" s="18">
        <f>E1425* 0.61531089014017</f>
        <v>0.61531089014017004</v>
      </c>
      <c r="G1425" s="18">
        <f>E1425* 0.298190966814424</f>
        <v>0.29819096681442397</v>
      </c>
      <c r="H1425" s="18">
        <f>E1425* 0.086378339523182</f>
        <v>8.6378339523181996E-2</v>
      </c>
    </row>
    <row r="1426" spans="1:9" ht="15.75" hidden="1" customHeight="1" x14ac:dyDescent="0.25">
      <c r="A1426" s="15" t="s">
        <v>151</v>
      </c>
      <c r="B1426" s="11" t="s">
        <v>168</v>
      </c>
      <c r="C1426" s="15"/>
      <c r="D1426" s="16" t="s">
        <v>12</v>
      </c>
      <c r="E1426" s="23">
        <v>2</v>
      </c>
      <c r="F1426" s="18">
        <f>E1426* 0.849400404921352</f>
        <v>1.6988008098427041</v>
      </c>
      <c r="G1426" s="18">
        <f>E1426* 0.0654726678087525</f>
        <v>0.13094533561750499</v>
      </c>
      <c r="H1426" s="18">
        <f>E1426* 0.0851269272698957</f>
        <v>0.17025385453979139</v>
      </c>
    </row>
    <row r="1427" spans="1:9" ht="15.75" hidden="1" customHeight="1" x14ac:dyDescent="0.25">
      <c r="A1427" s="15" t="s">
        <v>151</v>
      </c>
      <c r="B1427" s="8"/>
      <c r="C1427" s="8"/>
      <c r="D1427" s="9"/>
      <c r="E1427" s="29"/>
    </row>
    <row r="1428" spans="1:9" ht="15.75" customHeight="1" x14ac:dyDescent="0.25">
      <c r="A1428" s="15" t="s">
        <v>151</v>
      </c>
      <c r="B1428" s="11" t="s">
        <v>151</v>
      </c>
      <c r="C1428" s="12" t="str">
        <f>B1428&amp;"_"&amp;A1428</f>
        <v>Oruro_Oruro</v>
      </c>
      <c r="E1428" s="22">
        <v>82992</v>
      </c>
      <c r="F1428" s="14">
        <f t="shared" ref="F1428:H1428" si="134">SUM(F1429:F1442)</f>
        <v>63636.746029539769</v>
      </c>
      <c r="G1428" s="14">
        <f t="shared" si="134"/>
        <v>14217.940726130217</v>
      </c>
      <c r="H1428" s="14">
        <f t="shared" si="134"/>
        <v>5132.5383944290215</v>
      </c>
      <c r="I1428" s="14"/>
    </row>
    <row r="1429" spans="1:9" ht="15.75" hidden="1" customHeight="1" x14ac:dyDescent="0.25">
      <c r="A1429" s="15" t="s">
        <v>151</v>
      </c>
      <c r="B1429" s="11" t="s">
        <v>151</v>
      </c>
      <c r="C1429" s="15"/>
      <c r="D1429" s="16" t="s">
        <v>53</v>
      </c>
      <c r="E1429" s="23">
        <v>0</v>
      </c>
      <c r="F1429" s="20">
        <v>0</v>
      </c>
      <c r="G1429" s="24">
        <f>E1429</f>
        <v>0</v>
      </c>
      <c r="H1429" s="20">
        <v>0</v>
      </c>
    </row>
    <row r="1430" spans="1:9" ht="15.75" hidden="1" customHeight="1" x14ac:dyDescent="0.25">
      <c r="A1430" s="15" t="s">
        <v>151</v>
      </c>
      <c r="B1430" s="11" t="s">
        <v>151</v>
      </c>
      <c r="C1430" s="15"/>
      <c r="D1430" s="16" t="s">
        <v>15</v>
      </c>
      <c r="E1430" s="23">
        <v>14012</v>
      </c>
      <c r="F1430" s="18">
        <f>E1430* 0.929012779104059</f>
        <v>13017.327060806074</v>
      </c>
      <c r="G1430" s="18">
        <f>E1430* 0.00947900575761831</f>
        <v>132.81982867574777</v>
      </c>
      <c r="H1430" s="18">
        <f>E1430* 0.0614380002808594</f>
        <v>860.86925993540183</v>
      </c>
    </row>
    <row r="1431" spans="1:9" ht="15.75" hidden="1" customHeight="1" x14ac:dyDescent="0.25">
      <c r="A1431" s="15" t="s">
        <v>151</v>
      </c>
      <c r="B1431" s="11" t="s">
        <v>151</v>
      </c>
      <c r="C1431" s="15"/>
      <c r="D1431" s="16" t="s">
        <v>16</v>
      </c>
      <c r="E1431" s="23">
        <v>992</v>
      </c>
      <c r="F1431" s="18">
        <f>E1431* 0.0624390243902439</f>
        <v>61.939512195121949</v>
      </c>
      <c r="G1431" s="18">
        <f>E1431* 0.936585365853659</f>
        <v>929.09268292682975</v>
      </c>
      <c r="H1431" s="20">
        <v>0</v>
      </c>
    </row>
    <row r="1432" spans="1:9" ht="15.75" hidden="1" customHeight="1" x14ac:dyDescent="0.25">
      <c r="A1432" s="15" t="s">
        <v>151</v>
      </c>
      <c r="B1432" s="11" t="s">
        <v>151</v>
      </c>
      <c r="C1432" s="15"/>
      <c r="D1432" s="16" t="s">
        <v>11</v>
      </c>
      <c r="E1432" s="23">
        <v>7206</v>
      </c>
      <c r="F1432" s="18">
        <f>E1432* 0.080360592401803</f>
        <v>579.07842884739239</v>
      </c>
      <c r="G1432" s="18">
        <f>E1432* 0.917192530585963</f>
        <v>6609.289375402449</v>
      </c>
      <c r="H1432" s="18">
        <f>E1432* 0.00218931101094656</f>
        <v>15.776175144880909</v>
      </c>
    </row>
    <row r="1433" spans="1:9" ht="15.75" hidden="1" customHeight="1" x14ac:dyDescent="0.25">
      <c r="A1433" s="15" t="s">
        <v>151</v>
      </c>
      <c r="B1433" s="11" t="s">
        <v>151</v>
      </c>
      <c r="C1433" s="15"/>
      <c r="D1433" s="16" t="s">
        <v>17</v>
      </c>
      <c r="E1433" s="23">
        <v>8735</v>
      </c>
      <c r="F1433" s="18">
        <f>E1433* 0.836035451794207</f>
        <v>7302.7696714223985</v>
      </c>
      <c r="G1433" s="18">
        <f>E1433* 0.0583657587548638</f>
        <v>509.82490272373531</v>
      </c>
      <c r="H1433" s="18">
        <f>E1433* 0.10559878945093</f>
        <v>922.40542585387357</v>
      </c>
    </row>
    <row r="1434" spans="1:9" ht="15.75" hidden="1" customHeight="1" x14ac:dyDescent="0.25">
      <c r="A1434" s="15" t="s">
        <v>151</v>
      </c>
      <c r="B1434" s="11" t="s">
        <v>151</v>
      </c>
      <c r="C1434" s="15"/>
      <c r="D1434" s="16" t="s">
        <v>31</v>
      </c>
      <c r="E1434" s="23">
        <v>147</v>
      </c>
      <c r="F1434" s="18">
        <f>E1434* 0.872611464968153</f>
        <v>128.27388535031849</v>
      </c>
      <c r="G1434" s="18">
        <f>E1434* 0.0764331210191083</f>
        <v>11.235668789808921</v>
      </c>
      <c r="H1434" s="18">
        <f>E1434* 0.0509554140127389</f>
        <v>7.4904458598726178</v>
      </c>
    </row>
    <row r="1435" spans="1:9" ht="15.75" hidden="1" customHeight="1" x14ac:dyDescent="0.25">
      <c r="A1435" s="15" t="s">
        <v>151</v>
      </c>
      <c r="B1435" s="11" t="s">
        <v>151</v>
      </c>
      <c r="C1435" s="15"/>
      <c r="D1435" s="16" t="s">
        <v>18</v>
      </c>
      <c r="E1435" s="23">
        <v>1823</v>
      </c>
      <c r="F1435" s="18">
        <f>E1435* 0.920270974465868</f>
        <v>1677.6539864512774</v>
      </c>
      <c r="G1435" s="18">
        <f>E1435* 0.0703491401771756</f>
        <v>128.24648254299112</v>
      </c>
      <c r="H1435" s="18">
        <f>E1435* 0.00937988535695675</f>
        <v>17.099531005732157</v>
      </c>
    </row>
    <row r="1436" spans="1:9" ht="15.75" hidden="1" customHeight="1" x14ac:dyDescent="0.25">
      <c r="A1436" s="15" t="s">
        <v>151</v>
      </c>
      <c r="B1436" s="11" t="s">
        <v>151</v>
      </c>
      <c r="C1436" s="15"/>
      <c r="D1436" s="16" t="s">
        <v>19</v>
      </c>
      <c r="E1436" s="23">
        <v>638</v>
      </c>
      <c r="F1436" s="18">
        <f>E1436* 0.223420647149461</f>
        <v>142.54237288135613</v>
      </c>
      <c r="G1436" s="18">
        <f>E1436* 0.773497688751926</f>
        <v>493.49152542372883</v>
      </c>
      <c r="H1436" s="18">
        <f>E1436* 0.00308166409861325</f>
        <v>1.9661016949152534</v>
      </c>
    </row>
    <row r="1437" spans="1:9" ht="15.75" hidden="1" customHeight="1" x14ac:dyDescent="0.25">
      <c r="A1437" s="15" t="s">
        <v>151</v>
      </c>
      <c r="B1437" s="11" t="s">
        <v>151</v>
      </c>
      <c r="C1437" s="15"/>
      <c r="D1437" s="16" t="s">
        <v>20</v>
      </c>
      <c r="E1437" s="23">
        <v>8073</v>
      </c>
      <c r="F1437" s="18">
        <f>E1437* 0.61531089014017</f>
        <v>4967.4048161015926</v>
      </c>
      <c r="G1437" s="18">
        <f>E1437* 0.298190966814424</f>
        <v>2407.2956750928447</v>
      </c>
      <c r="H1437" s="18">
        <f>E1437* 0.086378339523182</f>
        <v>697.33233497064828</v>
      </c>
    </row>
    <row r="1438" spans="1:9" ht="15.75" hidden="1" customHeight="1" x14ac:dyDescent="0.25">
      <c r="A1438" s="15" t="s">
        <v>151</v>
      </c>
      <c r="B1438" s="11" t="s">
        <v>151</v>
      </c>
      <c r="C1438" s="15"/>
      <c r="D1438" s="16" t="s">
        <v>21</v>
      </c>
      <c r="E1438" s="23">
        <v>9698</v>
      </c>
      <c r="F1438" s="18">
        <f>E1438* 0.999801370543252</f>
        <v>9696.0736915284579</v>
      </c>
      <c r="G1438" s="18">
        <f>E1438* 0.0000993147283742179</f>
        <v>0.96315423577316528</v>
      </c>
      <c r="H1438" s="18">
        <f>E1438* 0.0000993147283742179</f>
        <v>0.96315423577316528</v>
      </c>
    </row>
    <row r="1439" spans="1:9" ht="15.75" hidden="1" customHeight="1" x14ac:dyDescent="0.25">
      <c r="A1439" s="15" t="s">
        <v>151</v>
      </c>
      <c r="B1439" s="11" t="s">
        <v>151</v>
      </c>
      <c r="C1439" s="15"/>
      <c r="D1439" s="16" t="s">
        <v>36</v>
      </c>
      <c r="E1439" s="23">
        <v>44</v>
      </c>
      <c r="F1439" s="24">
        <f>E1439</f>
        <v>44</v>
      </c>
      <c r="G1439" s="20">
        <v>0</v>
      </c>
      <c r="H1439" s="20">
        <v>0</v>
      </c>
    </row>
    <row r="1440" spans="1:9" ht="15.75" hidden="1" customHeight="1" x14ac:dyDescent="0.25">
      <c r="A1440" s="15" t="s">
        <v>151</v>
      </c>
      <c r="B1440" s="11" t="s">
        <v>151</v>
      </c>
      <c r="C1440" s="15"/>
      <c r="D1440" s="16" t="s">
        <v>37</v>
      </c>
      <c r="E1440" s="23">
        <v>2</v>
      </c>
      <c r="F1440" s="20">
        <v>0</v>
      </c>
      <c r="G1440" s="24">
        <f>E1440</f>
        <v>2</v>
      </c>
      <c r="H1440" s="20">
        <v>0</v>
      </c>
    </row>
    <row r="1441" spans="1:8" ht="15.75" hidden="1" customHeight="1" x14ac:dyDescent="0.25">
      <c r="A1441" s="15" t="s">
        <v>151</v>
      </c>
      <c r="B1441" s="11" t="s">
        <v>151</v>
      </c>
      <c r="C1441" s="15"/>
      <c r="D1441" s="16" t="s">
        <v>28</v>
      </c>
      <c r="E1441" s="23">
        <v>989</v>
      </c>
      <c r="F1441" s="20">
        <v>0</v>
      </c>
      <c r="G1441" s="18">
        <f>E1441* 0.99904671115348</f>
        <v>988.05719733079172</v>
      </c>
      <c r="H1441" s="18">
        <f>E1441* 0.000953288846520496</f>
        <v>0.94280266920877054</v>
      </c>
    </row>
    <row r="1442" spans="1:8" ht="15.75" hidden="1" customHeight="1" x14ac:dyDescent="0.25">
      <c r="A1442" s="15" t="s">
        <v>151</v>
      </c>
      <c r="B1442" s="11" t="s">
        <v>151</v>
      </c>
      <c r="C1442" s="15"/>
      <c r="D1442" s="16" t="s">
        <v>12</v>
      </c>
      <c r="E1442" s="23">
        <v>30633</v>
      </c>
      <c r="F1442" s="18">
        <f>E1442* 0.849400404921352</f>
        <v>26019.682603955778</v>
      </c>
      <c r="G1442" s="18">
        <f>E1442* 0.0654726678087525</f>
        <v>2005.6242329855152</v>
      </c>
      <c r="H1442" s="18">
        <f>E1442* 0.0851269272698957</f>
        <v>2607.6931630587146</v>
      </c>
    </row>
    <row r="1443" spans="1:8" ht="15.75" hidden="1" customHeight="1" x14ac:dyDescent="0.25">
      <c r="A1443" s="15" t="s">
        <v>151</v>
      </c>
      <c r="B1443" s="8"/>
      <c r="C1443" s="8"/>
      <c r="D1443" s="9"/>
      <c r="E1443" s="29"/>
    </row>
    <row r="1444" spans="1:8" ht="15.75" customHeight="1" x14ac:dyDescent="0.25">
      <c r="A1444" s="15" t="s">
        <v>151</v>
      </c>
      <c r="B1444" s="11" t="s">
        <v>169</v>
      </c>
      <c r="C1444" s="12" t="str">
        <f>B1444&amp;"_"&amp;A1444</f>
        <v>Pampa Aullagas_Oruro</v>
      </c>
      <c r="E1444" s="22">
        <v>1</v>
      </c>
      <c r="F1444" s="14">
        <f t="shared" ref="F1444:H1444" si="135">F1445</f>
        <v>8.0360592401803002E-2</v>
      </c>
      <c r="G1444" s="14">
        <f t="shared" si="135"/>
        <v>0.91719253058596295</v>
      </c>
      <c r="H1444" s="14">
        <f t="shared" si="135"/>
        <v>2.1893110109465598E-3</v>
      </c>
    </row>
    <row r="1445" spans="1:8" ht="15.75" hidden="1" customHeight="1" x14ac:dyDescent="0.25">
      <c r="A1445" s="15" t="s">
        <v>151</v>
      </c>
      <c r="B1445" s="11" t="s">
        <v>169</v>
      </c>
      <c r="C1445" s="15"/>
      <c r="D1445" s="16" t="s">
        <v>11</v>
      </c>
      <c r="E1445" s="23">
        <v>1</v>
      </c>
      <c r="F1445" s="18">
        <f>E1445* 0.080360592401803</f>
        <v>8.0360592401803002E-2</v>
      </c>
      <c r="G1445" s="18">
        <f>E1445* 0.917192530585963</f>
        <v>0.91719253058596295</v>
      </c>
      <c r="H1445" s="18">
        <f>E1445* 0.00218931101094656</f>
        <v>2.1893110109465598E-3</v>
      </c>
    </row>
    <row r="1446" spans="1:8" ht="15.75" hidden="1" customHeight="1" x14ac:dyDescent="0.25">
      <c r="A1446" s="15" t="s">
        <v>151</v>
      </c>
      <c r="B1446" s="8"/>
      <c r="C1446" s="8"/>
      <c r="D1446" s="9"/>
      <c r="E1446" s="29"/>
    </row>
    <row r="1447" spans="1:8" ht="15.75" customHeight="1" x14ac:dyDescent="0.25">
      <c r="A1447" s="15" t="s">
        <v>151</v>
      </c>
      <c r="B1447" s="11" t="s">
        <v>170</v>
      </c>
      <c r="C1447" s="12" t="str">
        <f>B1447&amp;"_"&amp;A1447</f>
        <v>Pazña_Oruro</v>
      </c>
      <c r="E1447" s="22">
        <v>4</v>
      </c>
      <c r="F1447" s="14">
        <f t="shared" ref="F1447:H1447" si="136">SUM(F1448:F1449)</f>
        <v>3.3708717134311179</v>
      </c>
      <c r="G1447" s="14">
        <f t="shared" si="136"/>
        <v>0.24767685312723259</v>
      </c>
      <c r="H1447" s="14">
        <f t="shared" si="136"/>
        <v>0.38145143344165139</v>
      </c>
    </row>
    <row r="1448" spans="1:8" ht="15.75" hidden="1" customHeight="1" x14ac:dyDescent="0.25">
      <c r="A1448" s="15" t="s">
        <v>151</v>
      </c>
      <c r="B1448" s="11" t="s">
        <v>170</v>
      </c>
      <c r="C1448" s="15"/>
      <c r="D1448" s="16" t="s">
        <v>17</v>
      </c>
      <c r="E1448" s="23">
        <v>2</v>
      </c>
      <c r="F1448" s="18">
        <f>E1448* 0.836035451794207</f>
        <v>1.672070903588414</v>
      </c>
      <c r="G1448" s="18">
        <f>E1448* 0.0583657587548638</f>
        <v>0.1167315175097276</v>
      </c>
      <c r="H1448" s="18">
        <f>E1448* 0.10559878945093</f>
        <v>0.21119757890186</v>
      </c>
    </row>
    <row r="1449" spans="1:8" ht="15.75" hidden="1" customHeight="1" x14ac:dyDescent="0.25">
      <c r="A1449" s="15" t="s">
        <v>151</v>
      </c>
      <c r="B1449" s="11" t="s">
        <v>170</v>
      </c>
      <c r="C1449" s="15"/>
      <c r="D1449" s="16" t="s">
        <v>12</v>
      </c>
      <c r="E1449" s="23">
        <v>2</v>
      </c>
      <c r="F1449" s="18">
        <f>E1449* 0.849400404921352</f>
        <v>1.6988008098427041</v>
      </c>
      <c r="G1449" s="18">
        <f>E1449* 0.0654726678087525</f>
        <v>0.13094533561750499</v>
      </c>
      <c r="H1449" s="18">
        <f>E1449* 0.0851269272698957</f>
        <v>0.17025385453979139</v>
      </c>
    </row>
    <row r="1450" spans="1:8" ht="15.75" hidden="1" customHeight="1" x14ac:dyDescent="0.25">
      <c r="A1450" s="15" t="s">
        <v>151</v>
      </c>
      <c r="B1450" s="8"/>
      <c r="C1450" s="8"/>
      <c r="D1450" s="9"/>
      <c r="E1450" s="29"/>
    </row>
    <row r="1451" spans="1:8" ht="15.75" customHeight="1" x14ac:dyDescent="0.25">
      <c r="A1451" s="15" t="s">
        <v>151</v>
      </c>
      <c r="B1451" s="11" t="s">
        <v>171</v>
      </c>
      <c r="C1451" s="12" t="str">
        <f>B1451&amp;"_"&amp;A1451</f>
        <v>Poopo_Oruro</v>
      </c>
      <c r="E1451" s="22">
        <v>3</v>
      </c>
      <c r="F1451" s="14">
        <f t="shared" ref="F1451:H1451" si="137">SUM(F1452:F1454)</f>
        <v>0.99675663659781299</v>
      </c>
      <c r="G1451" s="14">
        <f t="shared" si="137"/>
        <v>1.8927508199267897</v>
      </c>
      <c r="H1451" s="14">
        <f t="shared" si="137"/>
        <v>0.10997741147282313</v>
      </c>
    </row>
    <row r="1452" spans="1:8" ht="15.75" hidden="1" customHeight="1" x14ac:dyDescent="0.25">
      <c r="A1452" s="15" t="s">
        <v>151</v>
      </c>
      <c r="B1452" s="11" t="s">
        <v>171</v>
      </c>
      <c r="C1452" s="15"/>
      <c r="D1452" s="16" t="s">
        <v>11</v>
      </c>
      <c r="E1452" s="23">
        <v>2</v>
      </c>
      <c r="F1452" s="18">
        <f>E1452* 0.080360592401803</f>
        <v>0.160721184803606</v>
      </c>
      <c r="G1452" s="18">
        <f>E1452* 0.917192530585963</f>
        <v>1.8343850611719259</v>
      </c>
      <c r="H1452" s="18">
        <f>E1452* 0.00218931101094656</f>
        <v>4.3786220218931197E-3</v>
      </c>
    </row>
    <row r="1453" spans="1:8" ht="15.75" hidden="1" customHeight="1" x14ac:dyDescent="0.25">
      <c r="A1453" s="15" t="s">
        <v>151</v>
      </c>
      <c r="B1453" s="11" t="s">
        <v>171</v>
      </c>
      <c r="C1453" s="15"/>
      <c r="D1453" s="16" t="s">
        <v>17</v>
      </c>
      <c r="E1453" s="23">
        <v>1</v>
      </c>
      <c r="F1453" s="18">
        <f>E1453* 0.836035451794207</f>
        <v>0.83603545179420702</v>
      </c>
      <c r="G1453" s="18">
        <f>E1453* 0.0583657587548638</f>
        <v>5.83657587548638E-2</v>
      </c>
      <c r="H1453" s="18">
        <f>E1453* 0.10559878945093</f>
        <v>0.10559878945093</v>
      </c>
    </row>
    <row r="1454" spans="1:8" ht="15.75" hidden="1" customHeight="1" x14ac:dyDescent="0.25">
      <c r="A1454" s="15" t="s">
        <v>151</v>
      </c>
      <c r="B1454" s="11" t="s">
        <v>171</v>
      </c>
      <c r="C1454" s="15"/>
      <c r="D1454" s="16" t="s">
        <v>21</v>
      </c>
      <c r="E1454" s="23">
        <v>0</v>
      </c>
      <c r="F1454" s="18">
        <f>E1454* 0.999801370543252</f>
        <v>0</v>
      </c>
      <c r="G1454" s="18">
        <f>E1454* 0.0000993147283742179</f>
        <v>0</v>
      </c>
      <c r="H1454" s="18">
        <f>E1454* 0.0000993147283742179</f>
        <v>0</v>
      </c>
    </row>
    <row r="1455" spans="1:8" ht="15.75" hidden="1" customHeight="1" x14ac:dyDescent="0.25">
      <c r="A1455" s="15" t="s">
        <v>151</v>
      </c>
      <c r="B1455" s="8"/>
      <c r="C1455" s="8"/>
      <c r="D1455" s="9"/>
      <c r="E1455" s="29"/>
    </row>
    <row r="1456" spans="1:8" ht="15.75" customHeight="1" x14ac:dyDescent="0.25">
      <c r="A1456" s="15" t="s">
        <v>151</v>
      </c>
      <c r="B1456" s="11" t="s">
        <v>172</v>
      </c>
      <c r="C1456" s="12" t="str">
        <f>B1456&amp;"_"&amp;A1456</f>
        <v>Quillacas_Oruro</v>
      </c>
      <c r="E1456" s="22">
        <v>0</v>
      </c>
      <c r="F1456" s="14">
        <v>0</v>
      </c>
      <c r="G1456" s="14">
        <v>0</v>
      </c>
      <c r="H1456" s="14">
        <v>0</v>
      </c>
    </row>
    <row r="1457" spans="1:8" ht="15.75" hidden="1" customHeight="1" x14ac:dyDescent="0.25">
      <c r="A1457" s="15" t="s">
        <v>151</v>
      </c>
      <c r="B1457" s="11" t="s">
        <v>172</v>
      </c>
      <c r="C1457" s="15"/>
      <c r="D1457" s="16" t="s">
        <v>20</v>
      </c>
      <c r="E1457" s="23">
        <v>0</v>
      </c>
      <c r="F1457" s="18">
        <f>E1457* 0.61531089014017</f>
        <v>0</v>
      </c>
      <c r="G1457" s="18">
        <f>E1457* 0.298190966814424</f>
        <v>0</v>
      </c>
      <c r="H1457" s="18">
        <f>E1457* 0.086378339523182</f>
        <v>0</v>
      </c>
    </row>
    <row r="1458" spans="1:8" ht="15.75" hidden="1" customHeight="1" x14ac:dyDescent="0.25">
      <c r="A1458" s="15" t="s">
        <v>151</v>
      </c>
      <c r="B1458" s="8"/>
      <c r="C1458" s="8"/>
      <c r="D1458" s="9"/>
      <c r="E1458" s="29"/>
    </row>
    <row r="1459" spans="1:8" ht="15.75" customHeight="1" x14ac:dyDescent="0.25">
      <c r="A1459" s="15" t="s">
        <v>151</v>
      </c>
      <c r="B1459" s="11" t="s">
        <v>173</v>
      </c>
      <c r="C1459" s="12" t="str">
        <f>B1459&amp;"_"&amp;A1459</f>
        <v>Sabaya_Oruro</v>
      </c>
      <c r="E1459" s="22">
        <v>125</v>
      </c>
      <c r="F1459" s="14">
        <f t="shared" ref="F1459:H1459" si="138">SUM(F1460:F1470)</f>
        <v>70.85757858884979</v>
      </c>
      <c r="G1459" s="14">
        <f t="shared" si="138"/>
        <v>46.899638271164363</v>
      </c>
      <c r="H1459" s="14">
        <f t="shared" si="138"/>
        <v>7.2308881532139901</v>
      </c>
    </row>
    <row r="1460" spans="1:8" ht="15.75" hidden="1" customHeight="1" x14ac:dyDescent="0.25">
      <c r="A1460" s="15" t="s">
        <v>151</v>
      </c>
      <c r="B1460" s="11" t="s">
        <v>173</v>
      </c>
      <c r="C1460" s="15"/>
      <c r="D1460" s="16" t="s">
        <v>53</v>
      </c>
      <c r="E1460" s="23">
        <v>0</v>
      </c>
      <c r="F1460" s="20">
        <v>0</v>
      </c>
      <c r="G1460" s="24">
        <f>E1460</f>
        <v>0</v>
      </c>
      <c r="H1460" s="20">
        <v>0</v>
      </c>
    </row>
    <row r="1461" spans="1:8" ht="15.75" hidden="1" customHeight="1" x14ac:dyDescent="0.25">
      <c r="A1461" s="15" t="s">
        <v>151</v>
      </c>
      <c r="B1461" s="11" t="s">
        <v>173</v>
      </c>
      <c r="C1461" s="15"/>
      <c r="D1461" s="16" t="s">
        <v>15</v>
      </c>
      <c r="E1461" s="23">
        <v>6</v>
      </c>
      <c r="F1461" s="18">
        <f>E1461* 0.929012779104059</f>
        <v>5.5740766746243544</v>
      </c>
      <c r="G1461" s="18">
        <f>E1461* 0.00947900575761831</f>
        <v>5.6874034545709863E-2</v>
      </c>
      <c r="H1461" s="18">
        <f>E1461* 0.0614380002808594</f>
        <v>0.36862800168515641</v>
      </c>
    </row>
    <row r="1462" spans="1:8" ht="15.75" hidden="1" customHeight="1" x14ac:dyDescent="0.25">
      <c r="A1462" s="15" t="s">
        <v>151</v>
      </c>
      <c r="B1462" s="11" t="s">
        <v>173</v>
      </c>
      <c r="C1462" s="15"/>
      <c r="D1462" s="16" t="s">
        <v>16</v>
      </c>
      <c r="E1462" s="23">
        <v>4</v>
      </c>
      <c r="F1462" s="18">
        <f>E1462* 0.0624390243902439</f>
        <v>0.24975609756097561</v>
      </c>
      <c r="G1462" s="18">
        <f>E1462* 0.936585365853659</f>
        <v>3.7463414634146361</v>
      </c>
      <c r="H1462" s="20">
        <v>0</v>
      </c>
    </row>
    <row r="1463" spans="1:8" ht="15.75" hidden="1" customHeight="1" x14ac:dyDescent="0.25">
      <c r="A1463" s="15" t="s">
        <v>151</v>
      </c>
      <c r="B1463" s="11" t="s">
        <v>173</v>
      </c>
      <c r="C1463" s="15"/>
      <c r="D1463" s="16" t="s">
        <v>11</v>
      </c>
      <c r="E1463" s="23">
        <v>28</v>
      </c>
      <c r="F1463" s="18">
        <f>E1463* 0.080360592401803</f>
        <v>2.2500965872504839</v>
      </c>
      <c r="G1463" s="18">
        <f>E1463* 0.917192530585963</f>
        <v>25.681390856406964</v>
      </c>
      <c r="H1463" s="18">
        <f>E1463* 0.00218931101094656</f>
        <v>6.1300708306503679E-2</v>
      </c>
    </row>
    <row r="1464" spans="1:8" ht="15.75" hidden="1" customHeight="1" x14ac:dyDescent="0.25">
      <c r="A1464" s="15" t="s">
        <v>151</v>
      </c>
      <c r="B1464" s="11" t="s">
        <v>173</v>
      </c>
      <c r="C1464" s="15"/>
      <c r="D1464" s="16" t="s">
        <v>17</v>
      </c>
      <c r="E1464" s="23">
        <v>27</v>
      </c>
      <c r="F1464" s="18">
        <f>E1464* 0.836035451794207</f>
        <v>22.572957198443589</v>
      </c>
      <c r="G1464" s="18">
        <f>E1464* 0.0583657587548638</f>
        <v>1.5758754863813227</v>
      </c>
      <c r="H1464" s="18">
        <f>E1464* 0.10559878945093</f>
        <v>2.8511673151751098</v>
      </c>
    </row>
    <row r="1465" spans="1:8" ht="15.75" hidden="1" customHeight="1" x14ac:dyDescent="0.25">
      <c r="A1465" s="15" t="s">
        <v>151</v>
      </c>
      <c r="B1465" s="11" t="s">
        <v>173</v>
      </c>
      <c r="C1465" s="15"/>
      <c r="D1465" s="16" t="s">
        <v>31</v>
      </c>
      <c r="E1465" s="23">
        <v>0</v>
      </c>
      <c r="F1465" s="18">
        <f>E1465* 0.872611464968153</f>
        <v>0</v>
      </c>
      <c r="G1465" s="18">
        <f>E1465* 0.0764331210191083</f>
        <v>0</v>
      </c>
      <c r="H1465" s="18">
        <f>E1465* 0.0509554140127389</f>
        <v>0</v>
      </c>
    </row>
    <row r="1466" spans="1:8" ht="15.75" hidden="1" customHeight="1" x14ac:dyDescent="0.25">
      <c r="A1466" s="15" t="s">
        <v>151</v>
      </c>
      <c r="B1466" s="11" t="s">
        <v>173</v>
      </c>
      <c r="C1466" s="15"/>
      <c r="D1466" s="16" t="s">
        <v>18</v>
      </c>
      <c r="E1466" s="23">
        <v>2</v>
      </c>
      <c r="F1466" s="18">
        <f>E1466* 0.920270974465868</f>
        <v>1.8405419489317361</v>
      </c>
      <c r="G1466" s="18">
        <f>E1466* 0.0703491401771756</f>
        <v>0.1406982803543512</v>
      </c>
      <c r="H1466" s="18">
        <f>E1466* 0.00937988535695675</f>
        <v>1.87597707139135E-2</v>
      </c>
    </row>
    <row r="1467" spans="1:8" ht="15.75" hidden="1" customHeight="1" x14ac:dyDescent="0.25">
      <c r="A1467" s="15" t="s">
        <v>151</v>
      </c>
      <c r="B1467" s="11" t="s">
        <v>173</v>
      </c>
      <c r="C1467" s="15"/>
      <c r="D1467" s="16" t="s">
        <v>20</v>
      </c>
      <c r="E1467" s="23">
        <v>3</v>
      </c>
      <c r="F1467" s="18">
        <f>E1467* 0.61531089014017</f>
        <v>1.8459326704205101</v>
      </c>
      <c r="G1467" s="18">
        <f>E1467* 0.298190966814424</f>
        <v>0.89457290044327187</v>
      </c>
      <c r="H1467" s="18">
        <f>E1467* 0.086378339523182</f>
        <v>0.25913501856954602</v>
      </c>
    </row>
    <row r="1468" spans="1:8" ht="15.75" hidden="1" customHeight="1" x14ac:dyDescent="0.25">
      <c r="A1468" s="15" t="s">
        <v>151</v>
      </c>
      <c r="B1468" s="11" t="s">
        <v>173</v>
      </c>
      <c r="C1468" s="15"/>
      <c r="D1468" s="16" t="s">
        <v>21</v>
      </c>
      <c r="E1468" s="23">
        <v>0</v>
      </c>
      <c r="F1468" s="18">
        <f>E1468* 0.999801370543252</f>
        <v>0</v>
      </c>
      <c r="G1468" s="18">
        <f>E1468* 0.0000993147283742179</f>
        <v>0</v>
      </c>
      <c r="H1468" s="18">
        <f>E1468* 0.0000993147283742179</f>
        <v>0</v>
      </c>
    </row>
    <row r="1469" spans="1:8" ht="15.75" hidden="1" customHeight="1" x14ac:dyDescent="0.25">
      <c r="A1469" s="15" t="s">
        <v>151</v>
      </c>
      <c r="B1469" s="11" t="s">
        <v>173</v>
      </c>
      <c r="C1469" s="15"/>
      <c r="D1469" s="16" t="s">
        <v>28</v>
      </c>
      <c r="E1469" s="23">
        <v>12</v>
      </c>
      <c r="F1469" s="20">
        <v>0</v>
      </c>
      <c r="G1469" s="18">
        <f>E1469* 0.99904671115348</f>
        <v>11.98856053384176</v>
      </c>
      <c r="H1469" s="18">
        <f>E1469* 0.000953288846520496</f>
        <v>1.1439466158245952E-2</v>
      </c>
    </row>
    <row r="1470" spans="1:8" ht="15.75" hidden="1" customHeight="1" x14ac:dyDescent="0.25">
      <c r="A1470" s="15" t="s">
        <v>151</v>
      </c>
      <c r="B1470" s="11" t="s">
        <v>173</v>
      </c>
      <c r="C1470" s="15"/>
      <c r="D1470" s="16" t="s">
        <v>12</v>
      </c>
      <c r="E1470" s="23">
        <v>43</v>
      </c>
      <c r="F1470" s="18">
        <f>E1470* 0.849400404921352</f>
        <v>36.524217411618139</v>
      </c>
      <c r="G1470" s="18">
        <f>E1470* 0.0654726678087525</f>
        <v>2.8153247157763572</v>
      </c>
      <c r="H1470" s="18">
        <f>E1470* 0.0851269272698957</f>
        <v>3.660457872605515</v>
      </c>
    </row>
    <row r="1471" spans="1:8" ht="15.75" hidden="1" customHeight="1" x14ac:dyDescent="0.25">
      <c r="A1471" s="15" t="s">
        <v>151</v>
      </c>
      <c r="B1471" s="8"/>
      <c r="C1471" s="8"/>
      <c r="D1471" s="9"/>
      <c r="E1471" s="29"/>
    </row>
    <row r="1472" spans="1:8" ht="15.75" customHeight="1" x14ac:dyDescent="0.25">
      <c r="A1472" s="15" t="s">
        <v>151</v>
      </c>
      <c r="B1472" s="11" t="s">
        <v>174</v>
      </c>
      <c r="C1472" s="12" t="str">
        <f>B1472&amp;"_"&amp;A1472</f>
        <v>Salinas de Garci Mendoza_Oruro</v>
      </c>
      <c r="E1472" s="22">
        <v>6</v>
      </c>
      <c r="F1472" s="14">
        <f t="shared" ref="F1472:H1472" si="139">SUM(F1473:F1478)</f>
        <v>2.0068782263227711</v>
      </c>
      <c r="G1472" s="14">
        <f t="shared" si="139"/>
        <v>3.7926085489074679</v>
      </c>
      <c r="H1472" s="14">
        <f t="shared" si="139"/>
        <v>0.19948296076461192</v>
      </c>
    </row>
    <row r="1473" spans="1:8" ht="15.75" hidden="1" customHeight="1" x14ac:dyDescent="0.25">
      <c r="A1473" s="15" t="s">
        <v>151</v>
      </c>
      <c r="B1473" s="11" t="s">
        <v>174</v>
      </c>
      <c r="C1473" s="15"/>
      <c r="D1473" s="16" t="s">
        <v>15</v>
      </c>
      <c r="E1473" s="23">
        <v>0</v>
      </c>
      <c r="F1473" s="18">
        <f>E1473* 0.929012779104059</f>
        <v>0</v>
      </c>
      <c r="G1473" s="18">
        <f>E1473* 0.00947900575761831</f>
        <v>0</v>
      </c>
      <c r="H1473" s="18">
        <f>E1473* 0.0614380002808594</f>
        <v>0</v>
      </c>
    </row>
    <row r="1474" spans="1:8" ht="15.75" hidden="1" customHeight="1" x14ac:dyDescent="0.25">
      <c r="A1474" s="15" t="s">
        <v>151</v>
      </c>
      <c r="B1474" s="11" t="s">
        <v>174</v>
      </c>
      <c r="C1474" s="15"/>
      <c r="D1474" s="16" t="s">
        <v>11</v>
      </c>
      <c r="E1474" s="23">
        <v>4</v>
      </c>
      <c r="F1474" s="18">
        <f>E1474* 0.080360592401803</f>
        <v>0.32144236960721201</v>
      </c>
      <c r="G1474" s="18">
        <f>E1474* 0.917192530585963</f>
        <v>3.6687701223438518</v>
      </c>
      <c r="H1474" s="18">
        <f>E1474* 0.00218931101094656</f>
        <v>8.7572440437862394E-3</v>
      </c>
    </row>
    <row r="1475" spans="1:8" ht="15.75" hidden="1" customHeight="1" x14ac:dyDescent="0.25">
      <c r="A1475" s="15" t="s">
        <v>151</v>
      </c>
      <c r="B1475" s="11" t="s">
        <v>174</v>
      </c>
      <c r="C1475" s="15"/>
      <c r="D1475" s="16" t="s">
        <v>17</v>
      </c>
      <c r="E1475" s="23">
        <v>1</v>
      </c>
      <c r="F1475" s="18">
        <f>E1475* 0.836035451794207</f>
        <v>0.83603545179420702</v>
      </c>
      <c r="G1475" s="18">
        <f>E1475* 0.0583657587548638</f>
        <v>5.83657587548638E-2</v>
      </c>
      <c r="H1475" s="18">
        <f>E1475* 0.10559878945093</f>
        <v>0.10559878945093</v>
      </c>
    </row>
    <row r="1476" spans="1:8" ht="15.75" hidden="1" customHeight="1" x14ac:dyDescent="0.25">
      <c r="A1476" s="15" t="s">
        <v>151</v>
      </c>
      <c r="B1476" s="11" t="s">
        <v>174</v>
      </c>
      <c r="C1476" s="15"/>
      <c r="D1476" s="16" t="s">
        <v>18</v>
      </c>
      <c r="E1476" s="23">
        <v>0</v>
      </c>
      <c r="F1476" s="18">
        <f>E1476* 0.920270974465868</f>
        <v>0</v>
      </c>
      <c r="G1476" s="18">
        <f>E1476* 0.0703491401771756</f>
        <v>0</v>
      </c>
      <c r="H1476" s="18">
        <f>E1476* 0.00937988535695675</f>
        <v>0</v>
      </c>
    </row>
    <row r="1477" spans="1:8" ht="15.75" hidden="1" customHeight="1" x14ac:dyDescent="0.25">
      <c r="A1477" s="15" t="s">
        <v>151</v>
      </c>
      <c r="B1477" s="11" t="s">
        <v>174</v>
      </c>
      <c r="C1477" s="15"/>
      <c r="D1477" s="16" t="s">
        <v>21</v>
      </c>
      <c r="E1477" s="23">
        <v>0</v>
      </c>
      <c r="F1477" s="18">
        <f>E1477* 0.999801370543252</f>
        <v>0</v>
      </c>
      <c r="G1477" s="18">
        <f>E1477* 0.0000993147283742179</f>
        <v>0</v>
      </c>
      <c r="H1477" s="18">
        <f>E1477* 0.0000993147283742179</f>
        <v>0</v>
      </c>
    </row>
    <row r="1478" spans="1:8" ht="15.75" hidden="1" customHeight="1" x14ac:dyDescent="0.25">
      <c r="A1478" s="15" t="s">
        <v>151</v>
      </c>
      <c r="B1478" s="11" t="s">
        <v>174</v>
      </c>
      <c r="C1478" s="15"/>
      <c r="D1478" s="16" t="s">
        <v>12</v>
      </c>
      <c r="E1478" s="23">
        <v>1</v>
      </c>
      <c r="F1478" s="18">
        <f>E1478* 0.849400404921352</f>
        <v>0.84940040492135205</v>
      </c>
      <c r="G1478" s="18">
        <f>E1478* 0.0654726678087525</f>
        <v>6.5472667808752494E-2</v>
      </c>
      <c r="H1478" s="18">
        <f>E1478* 0.0851269272698957</f>
        <v>8.5126927269895694E-2</v>
      </c>
    </row>
    <row r="1479" spans="1:8" ht="15.75" hidden="1" customHeight="1" x14ac:dyDescent="0.25">
      <c r="A1479" s="15" t="s">
        <v>151</v>
      </c>
      <c r="B1479" s="8"/>
      <c r="C1479" s="8"/>
      <c r="D1479" s="9"/>
      <c r="E1479" s="29"/>
    </row>
    <row r="1480" spans="1:8" ht="15.75" customHeight="1" x14ac:dyDescent="0.25">
      <c r="A1480" s="15" t="s">
        <v>151</v>
      </c>
      <c r="B1480" s="11" t="s">
        <v>175</v>
      </c>
      <c r="C1480" s="12" t="str">
        <f>B1480&amp;"_"&amp;A1480</f>
        <v>San Pedro de Totora_Oruro</v>
      </c>
      <c r="E1480" s="22">
        <v>2</v>
      </c>
      <c r="F1480" s="14">
        <f t="shared" ref="F1480:H1480" si="140">SUM(F1481:F1482)</f>
        <v>0.91639604419601006</v>
      </c>
      <c r="G1480" s="14">
        <f t="shared" si="140"/>
        <v>0.97555828934082678</v>
      </c>
      <c r="H1480" s="14">
        <f t="shared" si="140"/>
        <v>0.10778810046187656</v>
      </c>
    </row>
    <row r="1481" spans="1:8" ht="15.75" hidden="1" customHeight="1" x14ac:dyDescent="0.25">
      <c r="A1481" s="15" t="s">
        <v>151</v>
      </c>
      <c r="B1481" s="11" t="s">
        <v>175</v>
      </c>
      <c r="C1481" s="15"/>
      <c r="D1481" s="16" t="s">
        <v>11</v>
      </c>
      <c r="E1481" s="23">
        <v>1</v>
      </c>
      <c r="F1481" s="18">
        <f>E1481* 0.080360592401803</f>
        <v>8.0360592401803002E-2</v>
      </c>
      <c r="G1481" s="18">
        <f>E1481* 0.917192530585963</f>
        <v>0.91719253058596295</v>
      </c>
      <c r="H1481" s="18">
        <f>E1481* 0.00218931101094656</f>
        <v>2.1893110109465598E-3</v>
      </c>
    </row>
    <row r="1482" spans="1:8" ht="15.75" hidden="1" customHeight="1" x14ac:dyDescent="0.25">
      <c r="A1482" s="15" t="s">
        <v>151</v>
      </c>
      <c r="B1482" s="11" t="s">
        <v>175</v>
      </c>
      <c r="C1482" s="15"/>
      <c r="D1482" s="16" t="s">
        <v>17</v>
      </c>
      <c r="E1482" s="23">
        <v>1</v>
      </c>
      <c r="F1482" s="18">
        <f>E1482* 0.836035451794207</f>
        <v>0.83603545179420702</v>
      </c>
      <c r="G1482" s="18">
        <f>E1482* 0.0583657587548638</f>
        <v>5.83657587548638E-2</v>
      </c>
      <c r="H1482" s="18">
        <f>E1482* 0.10559878945093</f>
        <v>0.10559878945093</v>
      </c>
    </row>
    <row r="1483" spans="1:8" ht="15.75" hidden="1" customHeight="1" x14ac:dyDescent="0.25">
      <c r="A1483" s="15" t="s">
        <v>151</v>
      </c>
      <c r="B1483" s="8"/>
      <c r="C1483" s="8"/>
      <c r="D1483" s="9"/>
      <c r="E1483" s="29"/>
    </row>
    <row r="1484" spans="1:8" ht="15.75" customHeight="1" x14ac:dyDescent="0.25">
      <c r="A1484" s="15" t="s">
        <v>151</v>
      </c>
      <c r="B1484" s="11" t="s">
        <v>176</v>
      </c>
      <c r="C1484" s="12" t="str">
        <f>B1484&amp;"_"&amp;A1484</f>
        <v>Santiago de Andamarca_Oruro</v>
      </c>
      <c r="E1484" s="22">
        <v>0</v>
      </c>
      <c r="F1484" s="14">
        <v>0</v>
      </c>
      <c r="G1484" s="14">
        <v>0</v>
      </c>
      <c r="H1484" s="14">
        <v>0</v>
      </c>
    </row>
    <row r="1485" spans="1:8" ht="15.75" hidden="1" customHeight="1" x14ac:dyDescent="0.25">
      <c r="A1485" s="15" t="s">
        <v>151</v>
      </c>
      <c r="B1485" s="11" t="s">
        <v>176</v>
      </c>
      <c r="C1485" s="15"/>
      <c r="D1485" s="16" t="s">
        <v>53</v>
      </c>
      <c r="E1485" s="23">
        <v>0</v>
      </c>
      <c r="F1485" s="20">
        <v>0</v>
      </c>
      <c r="G1485" s="24">
        <f>E1485</f>
        <v>0</v>
      </c>
      <c r="H1485" s="20">
        <v>0</v>
      </c>
    </row>
    <row r="1486" spans="1:8" ht="15.75" hidden="1" customHeight="1" x14ac:dyDescent="0.25">
      <c r="A1486" s="15" t="s">
        <v>151</v>
      </c>
      <c r="B1486" s="11" t="s">
        <v>176</v>
      </c>
      <c r="C1486" s="15"/>
      <c r="D1486" s="16" t="s">
        <v>15</v>
      </c>
      <c r="E1486" s="23">
        <v>0</v>
      </c>
      <c r="F1486" s="18">
        <f>E1486* 0.929012779104059</f>
        <v>0</v>
      </c>
      <c r="G1486" s="18">
        <f>E1486* 0.00947900575761831</f>
        <v>0</v>
      </c>
      <c r="H1486" s="18">
        <f>E1486* 0.0614380002808594</f>
        <v>0</v>
      </c>
    </row>
    <row r="1487" spans="1:8" ht="15.75" hidden="1" customHeight="1" x14ac:dyDescent="0.25">
      <c r="A1487" s="15" t="s">
        <v>151</v>
      </c>
      <c r="B1487" s="11" t="s">
        <v>176</v>
      </c>
      <c r="C1487" s="15"/>
      <c r="D1487" s="16" t="s">
        <v>11</v>
      </c>
      <c r="E1487" s="23">
        <v>0</v>
      </c>
      <c r="F1487" s="18">
        <f>E1487* 0.080360592401803</f>
        <v>0</v>
      </c>
      <c r="G1487" s="18">
        <f>E1487* 0.917192530585963</f>
        <v>0</v>
      </c>
      <c r="H1487" s="18">
        <f>E1487* 0.00218931101094656</f>
        <v>0</v>
      </c>
    </row>
    <row r="1488" spans="1:8" ht="15.75" hidden="1" customHeight="1" x14ac:dyDescent="0.25">
      <c r="A1488" s="15" t="s">
        <v>151</v>
      </c>
      <c r="B1488" s="11" t="s">
        <v>176</v>
      </c>
      <c r="C1488" s="15"/>
      <c r="D1488" s="16" t="s">
        <v>17</v>
      </c>
      <c r="E1488" s="23">
        <v>0</v>
      </c>
      <c r="F1488" s="18">
        <f>E1488* 0.836035451794207</f>
        <v>0</v>
      </c>
      <c r="G1488" s="18">
        <f>E1488* 0.0583657587548638</f>
        <v>0</v>
      </c>
      <c r="H1488" s="18">
        <f>E1488* 0.10559878945093</f>
        <v>0</v>
      </c>
    </row>
    <row r="1489" spans="1:8" ht="15.75" hidden="1" customHeight="1" x14ac:dyDescent="0.25">
      <c r="A1489" s="15" t="s">
        <v>151</v>
      </c>
      <c r="B1489" s="11" t="s">
        <v>176</v>
      </c>
      <c r="C1489" s="15"/>
      <c r="D1489" s="16" t="s">
        <v>31</v>
      </c>
      <c r="E1489" s="23">
        <v>0</v>
      </c>
      <c r="F1489" s="18">
        <f>E1489* 0.872611464968153</f>
        <v>0</v>
      </c>
      <c r="G1489" s="18">
        <f>E1489* 0.0764331210191083</f>
        <v>0</v>
      </c>
      <c r="H1489" s="18">
        <f>E1489* 0.0509554140127389</f>
        <v>0</v>
      </c>
    </row>
    <row r="1490" spans="1:8" ht="15.75" hidden="1" customHeight="1" x14ac:dyDescent="0.25">
      <c r="A1490" s="15" t="s">
        <v>151</v>
      </c>
      <c r="B1490" s="11" t="s">
        <v>176</v>
      </c>
      <c r="C1490" s="15"/>
      <c r="D1490" s="16" t="s">
        <v>55</v>
      </c>
      <c r="E1490" s="23">
        <v>0</v>
      </c>
      <c r="F1490" s="20">
        <v>0</v>
      </c>
      <c r="G1490" s="24">
        <f>E1490</f>
        <v>0</v>
      </c>
      <c r="H1490" s="20">
        <v>0</v>
      </c>
    </row>
    <row r="1491" spans="1:8" ht="15.75" hidden="1" customHeight="1" x14ac:dyDescent="0.25">
      <c r="A1491" s="15" t="s">
        <v>151</v>
      </c>
      <c r="B1491" s="11" t="s">
        <v>176</v>
      </c>
      <c r="C1491" s="15"/>
      <c r="D1491" s="16" t="s">
        <v>19</v>
      </c>
      <c r="E1491" s="23">
        <v>0</v>
      </c>
      <c r="F1491" s="18">
        <f>E1491* 0.223420647149461</f>
        <v>0</v>
      </c>
      <c r="G1491" s="18">
        <f>E1491* 0.773497688751926</f>
        <v>0</v>
      </c>
      <c r="H1491" s="18">
        <f>E1491* 0.00308166409861325</f>
        <v>0</v>
      </c>
    </row>
    <row r="1492" spans="1:8" ht="15.75" hidden="1" customHeight="1" x14ac:dyDescent="0.25">
      <c r="A1492" s="15" t="s">
        <v>151</v>
      </c>
      <c r="B1492" s="11" t="s">
        <v>176</v>
      </c>
      <c r="C1492" s="15"/>
      <c r="D1492" s="16" t="s">
        <v>20</v>
      </c>
      <c r="E1492" s="23">
        <v>0</v>
      </c>
      <c r="F1492" s="18">
        <f>E1492* 0.61531089014017</f>
        <v>0</v>
      </c>
      <c r="G1492" s="18">
        <f>E1492* 0.298190966814424</f>
        <v>0</v>
      </c>
      <c r="H1492" s="18">
        <f>E1492* 0.086378339523182</f>
        <v>0</v>
      </c>
    </row>
    <row r="1493" spans="1:8" ht="15.75" hidden="1" customHeight="1" x14ac:dyDescent="0.25">
      <c r="A1493" s="15" t="s">
        <v>151</v>
      </c>
      <c r="B1493" s="11" t="s">
        <v>176</v>
      </c>
      <c r="C1493" s="15"/>
      <c r="D1493" s="16" t="s">
        <v>21</v>
      </c>
      <c r="E1493" s="23">
        <v>0</v>
      </c>
      <c r="F1493" s="18">
        <f>E1493* 0.999801370543252</f>
        <v>0</v>
      </c>
      <c r="G1493" s="18">
        <f>E1493* 0.0000993147283742179</f>
        <v>0</v>
      </c>
      <c r="H1493" s="18">
        <f>E1493* 0.0000993147283742179</f>
        <v>0</v>
      </c>
    </row>
    <row r="1494" spans="1:8" ht="15.75" hidden="1" customHeight="1" x14ac:dyDescent="0.25">
      <c r="A1494" s="15" t="s">
        <v>151</v>
      </c>
      <c r="B1494" s="11" t="s">
        <v>176</v>
      </c>
      <c r="C1494" s="15"/>
      <c r="D1494" s="16" t="s">
        <v>12</v>
      </c>
      <c r="E1494" s="23">
        <v>0</v>
      </c>
      <c r="F1494" s="18">
        <f>E1494* 0.849400404921352</f>
        <v>0</v>
      </c>
      <c r="G1494" s="18">
        <f>E1494* 0.0654726678087525</f>
        <v>0</v>
      </c>
      <c r="H1494" s="18">
        <f>E1494* 0.0851269272698957</f>
        <v>0</v>
      </c>
    </row>
    <row r="1495" spans="1:8" ht="15.75" hidden="1" customHeight="1" x14ac:dyDescent="0.25">
      <c r="A1495" s="15" t="s">
        <v>151</v>
      </c>
      <c r="B1495" s="8"/>
      <c r="C1495" s="8"/>
      <c r="D1495" s="9"/>
      <c r="E1495" s="29"/>
    </row>
    <row r="1496" spans="1:8" ht="15.75" customHeight="1" x14ac:dyDescent="0.25">
      <c r="A1496" s="15" t="s">
        <v>151</v>
      </c>
      <c r="B1496" s="11" t="s">
        <v>177</v>
      </c>
      <c r="C1496" s="12" t="str">
        <f>B1496&amp;"_"&amp;A1496</f>
        <v>Santiago de Huallamarca_Oruro</v>
      </c>
      <c r="E1496" s="22">
        <v>1</v>
      </c>
      <c r="F1496" s="14">
        <f t="shared" ref="F1496:H1496" si="141">F1497</f>
        <v>0.83603545179420702</v>
      </c>
      <c r="G1496" s="14">
        <f t="shared" si="141"/>
        <v>5.83657587548638E-2</v>
      </c>
      <c r="H1496" s="14">
        <f t="shared" si="141"/>
        <v>0.10559878945093</v>
      </c>
    </row>
    <row r="1497" spans="1:8" ht="15.75" hidden="1" customHeight="1" x14ac:dyDescent="0.25">
      <c r="A1497" s="15" t="s">
        <v>151</v>
      </c>
      <c r="B1497" s="11" t="s">
        <v>177</v>
      </c>
      <c r="C1497" s="15"/>
      <c r="D1497" s="16" t="s">
        <v>17</v>
      </c>
      <c r="E1497" s="23">
        <v>1</v>
      </c>
      <c r="F1497" s="18">
        <f>E1497* 0.836035451794207</f>
        <v>0.83603545179420702</v>
      </c>
      <c r="G1497" s="18">
        <f>E1497* 0.0583657587548638</f>
        <v>5.83657587548638E-2</v>
      </c>
      <c r="H1497" s="18">
        <f>E1497* 0.10559878945093</f>
        <v>0.10559878945093</v>
      </c>
    </row>
    <row r="1498" spans="1:8" ht="15.75" hidden="1" customHeight="1" x14ac:dyDescent="0.25">
      <c r="A1498" s="15" t="s">
        <v>151</v>
      </c>
      <c r="B1498" s="8"/>
      <c r="C1498" s="8"/>
      <c r="D1498" s="9"/>
      <c r="E1498" s="29"/>
    </row>
    <row r="1499" spans="1:8" ht="15.75" customHeight="1" x14ac:dyDescent="0.25">
      <c r="A1499" s="15" t="s">
        <v>151</v>
      </c>
      <c r="B1499" s="11" t="s">
        <v>178</v>
      </c>
      <c r="C1499" s="12" t="str">
        <f>B1499&amp;"_"&amp;A1499</f>
        <v>Santiago de Huari_Oruro</v>
      </c>
      <c r="E1499" s="22">
        <v>14</v>
      </c>
      <c r="F1499" s="14">
        <f t="shared" ref="F1499:H1499" si="142">SUM(F1500:F1509)</f>
        <v>7.7461212775019774</v>
      </c>
      <c r="G1499" s="14">
        <f t="shared" si="142"/>
        <v>5.5659849076900869</v>
      </c>
      <c r="H1499" s="14">
        <f t="shared" si="142"/>
        <v>0.68629616289958961</v>
      </c>
    </row>
    <row r="1500" spans="1:8" ht="15.75" hidden="1" customHeight="1" x14ac:dyDescent="0.25">
      <c r="A1500" s="15" t="s">
        <v>151</v>
      </c>
      <c r="B1500" s="11" t="s">
        <v>178</v>
      </c>
      <c r="C1500" s="15"/>
      <c r="D1500" s="16" t="s">
        <v>15</v>
      </c>
      <c r="E1500" s="23">
        <v>1</v>
      </c>
      <c r="F1500" s="18">
        <f>E1500* 0.929012779104059</f>
        <v>0.92901277910405899</v>
      </c>
      <c r="G1500" s="18">
        <f>E1500* 0.00947900575761831</f>
        <v>9.4790057576183105E-3</v>
      </c>
      <c r="H1500" s="18">
        <f>E1500* 0.0614380002808594</f>
        <v>6.1438000280859398E-2</v>
      </c>
    </row>
    <row r="1501" spans="1:8" ht="15.75" hidden="1" customHeight="1" x14ac:dyDescent="0.25">
      <c r="A1501" s="15" t="s">
        <v>151</v>
      </c>
      <c r="B1501" s="11" t="s">
        <v>178</v>
      </c>
      <c r="C1501" s="15"/>
      <c r="D1501" s="16" t="s">
        <v>16</v>
      </c>
      <c r="E1501" s="23">
        <v>0</v>
      </c>
      <c r="F1501" s="18">
        <f>E1501* 0.0624390243902439</f>
        <v>0</v>
      </c>
      <c r="G1501" s="18">
        <f>E1501* 0.936585365853659</f>
        <v>0</v>
      </c>
      <c r="H1501" s="20">
        <v>0</v>
      </c>
    </row>
    <row r="1502" spans="1:8" ht="15.75" hidden="1" customHeight="1" x14ac:dyDescent="0.25">
      <c r="A1502" s="15" t="s">
        <v>151</v>
      </c>
      <c r="B1502" s="11" t="s">
        <v>178</v>
      </c>
      <c r="C1502" s="15"/>
      <c r="D1502" s="16" t="s">
        <v>11</v>
      </c>
      <c r="E1502" s="23">
        <v>5</v>
      </c>
      <c r="F1502" s="18">
        <f>E1502* 0.080360592401803</f>
        <v>0.401802962009015</v>
      </c>
      <c r="G1502" s="18">
        <f>E1502* 0.917192530585963</f>
        <v>4.5859626529298145</v>
      </c>
      <c r="H1502" s="18">
        <f>E1502* 0.00218931101094656</f>
        <v>1.0946555054732798E-2</v>
      </c>
    </row>
    <row r="1503" spans="1:8" ht="15.75" hidden="1" customHeight="1" x14ac:dyDescent="0.25">
      <c r="A1503" s="15" t="s">
        <v>151</v>
      </c>
      <c r="B1503" s="11" t="s">
        <v>178</v>
      </c>
      <c r="C1503" s="15"/>
      <c r="D1503" s="16" t="s">
        <v>17</v>
      </c>
      <c r="E1503" s="23">
        <v>4</v>
      </c>
      <c r="F1503" s="18">
        <f>E1503* 0.836035451794207</f>
        <v>3.3441418071768281</v>
      </c>
      <c r="G1503" s="18">
        <f>E1503* 0.0583657587548638</f>
        <v>0.2334630350194552</v>
      </c>
      <c r="H1503" s="18">
        <f>E1503* 0.10559878945093</f>
        <v>0.42239515780372</v>
      </c>
    </row>
    <row r="1504" spans="1:8" ht="15.75" hidden="1" customHeight="1" x14ac:dyDescent="0.25">
      <c r="A1504" s="15" t="s">
        <v>151</v>
      </c>
      <c r="B1504" s="11" t="s">
        <v>178</v>
      </c>
      <c r="C1504" s="15"/>
      <c r="D1504" s="16" t="s">
        <v>18</v>
      </c>
      <c r="E1504" s="23">
        <v>2</v>
      </c>
      <c r="F1504" s="18">
        <f>E1504* 0.920270974465868</f>
        <v>1.8405419489317361</v>
      </c>
      <c r="G1504" s="18">
        <f>E1504* 0.0703491401771756</f>
        <v>0.1406982803543512</v>
      </c>
      <c r="H1504" s="18">
        <f>E1504* 0.00937988535695675</f>
        <v>1.87597707139135E-2</v>
      </c>
    </row>
    <row r="1505" spans="1:8" ht="15.75" hidden="1" customHeight="1" x14ac:dyDescent="0.25">
      <c r="A1505" s="15" t="s">
        <v>151</v>
      </c>
      <c r="B1505" s="11" t="s">
        <v>178</v>
      </c>
      <c r="C1505" s="15"/>
      <c r="D1505" s="16" t="s">
        <v>19</v>
      </c>
      <c r="E1505" s="23">
        <v>0</v>
      </c>
      <c r="F1505" s="18">
        <f>E1505* 0.223420647149461</f>
        <v>0</v>
      </c>
      <c r="G1505" s="18">
        <f>E1505* 0.773497688751926</f>
        <v>0</v>
      </c>
      <c r="H1505" s="18">
        <f>E1505* 0.00308166409861325</f>
        <v>0</v>
      </c>
    </row>
    <row r="1506" spans="1:8" ht="15.75" hidden="1" customHeight="1" x14ac:dyDescent="0.25">
      <c r="A1506" s="15" t="s">
        <v>151</v>
      </c>
      <c r="B1506" s="11" t="s">
        <v>178</v>
      </c>
      <c r="C1506" s="15"/>
      <c r="D1506" s="16" t="s">
        <v>20</v>
      </c>
      <c r="E1506" s="23">
        <v>2</v>
      </c>
      <c r="F1506" s="18">
        <f>E1506* 0.61531089014017</f>
        <v>1.2306217802803401</v>
      </c>
      <c r="G1506" s="18">
        <f>E1506* 0.298190966814424</f>
        <v>0.59638193362884795</v>
      </c>
      <c r="H1506" s="18">
        <f>E1506* 0.086378339523182</f>
        <v>0.17275667904636399</v>
      </c>
    </row>
    <row r="1507" spans="1:8" ht="15.75" hidden="1" customHeight="1" x14ac:dyDescent="0.25">
      <c r="A1507" s="15" t="s">
        <v>151</v>
      </c>
      <c r="B1507" s="11" t="s">
        <v>178</v>
      </c>
      <c r="C1507" s="15"/>
      <c r="D1507" s="16" t="s">
        <v>21</v>
      </c>
      <c r="E1507" s="23">
        <v>0</v>
      </c>
      <c r="F1507" s="18">
        <f>E1507* 0.999801370543252</f>
        <v>0</v>
      </c>
      <c r="G1507" s="18">
        <f>E1507* 0.0000993147283742179</f>
        <v>0</v>
      </c>
      <c r="H1507" s="18">
        <f>E1507* 0.0000993147283742179</f>
        <v>0</v>
      </c>
    </row>
    <row r="1508" spans="1:8" ht="15.75" hidden="1" customHeight="1" x14ac:dyDescent="0.25">
      <c r="A1508" s="15" t="s">
        <v>151</v>
      </c>
      <c r="B1508" s="11" t="s">
        <v>178</v>
      </c>
      <c r="C1508" s="15"/>
      <c r="D1508" s="16" t="s">
        <v>28</v>
      </c>
      <c r="E1508" s="23">
        <v>0</v>
      </c>
      <c r="F1508" s="20">
        <v>0</v>
      </c>
      <c r="G1508" s="18">
        <f>E1508* 0.99904671115348</f>
        <v>0</v>
      </c>
      <c r="H1508" s="18">
        <f>E1508* 0.000953288846520496</f>
        <v>0</v>
      </c>
    </row>
    <row r="1509" spans="1:8" ht="15.75" hidden="1" customHeight="1" x14ac:dyDescent="0.25">
      <c r="A1509" s="15" t="s">
        <v>151</v>
      </c>
      <c r="B1509" s="11" t="s">
        <v>178</v>
      </c>
      <c r="C1509" s="15"/>
      <c r="D1509" s="16" t="s">
        <v>12</v>
      </c>
      <c r="E1509" s="23">
        <v>0</v>
      </c>
      <c r="F1509" s="18">
        <f>E1509* 0.849400404921352</f>
        <v>0</v>
      </c>
      <c r="G1509" s="18">
        <f>E1509* 0.0654726678087525</f>
        <v>0</v>
      </c>
      <c r="H1509" s="18">
        <f>E1509* 0.0851269272698957</f>
        <v>0</v>
      </c>
    </row>
    <row r="1510" spans="1:8" ht="15.75" hidden="1" customHeight="1" x14ac:dyDescent="0.25">
      <c r="A1510" s="15" t="s">
        <v>151</v>
      </c>
      <c r="B1510" s="8"/>
      <c r="C1510" s="8"/>
      <c r="D1510" s="9"/>
      <c r="E1510" s="29"/>
    </row>
    <row r="1511" spans="1:8" ht="15.75" customHeight="1" x14ac:dyDescent="0.25">
      <c r="A1511" s="15" t="s">
        <v>151</v>
      </c>
      <c r="B1511" s="11" t="s">
        <v>179</v>
      </c>
      <c r="C1511" s="12" t="str">
        <f>B1511&amp;"_"&amp;A1511</f>
        <v>Soracachi_Oruro</v>
      </c>
      <c r="E1511" s="22">
        <v>8</v>
      </c>
      <c r="F1511" s="14">
        <f t="shared" ref="F1511:H1511" si="143">SUM(F1512:F1522)</f>
        <v>6.0618725449872208</v>
      </c>
      <c r="G1511" s="14">
        <f t="shared" si="143"/>
        <v>2.2978727529931122</v>
      </c>
      <c r="H1511" s="14">
        <f t="shared" si="143"/>
        <v>0.63902152626228503</v>
      </c>
    </row>
    <row r="1512" spans="1:8" ht="15.75" hidden="1" customHeight="1" x14ac:dyDescent="0.25">
      <c r="A1512" s="15" t="s">
        <v>151</v>
      </c>
      <c r="B1512" s="11" t="s">
        <v>179</v>
      </c>
      <c r="C1512" s="15"/>
      <c r="D1512" s="16" t="s">
        <v>53</v>
      </c>
      <c r="E1512" s="23">
        <v>0</v>
      </c>
      <c r="F1512" s="20">
        <v>0</v>
      </c>
      <c r="G1512" s="24">
        <f>E1512</f>
        <v>0</v>
      </c>
      <c r="H1512" s="20">
        <v>0</v>
      </c>
    </row>
    <row r="1513" spans="1:8" ht="15.75" hidden="1" customHeight="1" x14ac:dyDescent="0.25">
      <c r="A1513" s="15" t="s">
        <v>151</v>
      </c>
      <c r="B1513" s="11" t="s">
        <v>179</v>
      </c>
      <c r="C1513" s="15"/>
      <c r="D1513" s="16" t="s">
        <v>15</v>
      </c>
      <c r="E1513" s="23">
        <v>0</v>
      </c>
      <c r="F1513" s="18">
        <f>E1513* 0.929012779104059</f>
        <v>0</v>
      </c>
      <c r="G1513" s="18">
        <f>E1513* 0.00947900575761831</f>
        <v>0</v>
      </c>
      <c r="H1513" s="18">
        <f>E1513* 0.0614380002808594</f>
        <v>0</v>
      </c>
    </row>
    <row r="1514" spans="1:8" ht="15.75" hidden="1" customHeight="1" x14ac:dyDescent="0.25">
      <c r="A1514" s="15" t="s">
        <v>151</v>
      </c>
      <c r="B1514" s="11" t="s">
        <v>179</v>
      </c>
      <c r="C1514" s="15"/>
      <c r="D1514" s="16" t="s">
        <v>16</v>
      </c>
      <c r="E1514" s="23">
        <v>1</v>
      </c>
      <c r="F1514" s="18">
        <f>E1514* 0.0624390243902439</f>
        <v>6.2439024390243902E-2</v>
      </c>
      <c r="G1514" s="18">
        <f>E1514* 0.936585365853659</f>
        <v>0.93658536585365904</v>
      </c>
      <c r="H1514" s="20">
        <v>0</v>
      </c>
    </row>
    <row r="1515" spans="1:8" ht="15.75" hidden="1" customHeight="1" x14ac:dyDescent="0.25">
      <c r="A1515" s="15" t="s">
        <v>151</v>
      </c>
      <c r="B1515" s="11" t="s">
        <v>179</v>
      </c>
      <c r="C1515" s="15"/>
      <c r="D1515" s="16" t="s">
        <v>11</v>
      </c>
      <c r="E1515" s="23">
        <v>1</v>
      </c>
      <c r="F1515" s="18">
        <f>E1515* 0.080360592401803</f>
        <v>8.0360592401803002E-2</v>
      </c>
      <c r="G1515" s="18">
        <f>E1515* 0.917192530585963</f>
        <v>0.91719253058596295</v>
      </c>
      <c r="H1515" s="18">
        <f>E1515* 0.00218931101094656</f>
        <v>2.1893110109465598E-3</v>
      </c>
    </row>
    <row r="1516" spans="1:8" ht="15.75" hidden="1" customHeight="1" x14ac:dyDescent="0.25">
      <c r="A1516" s="15" t="s">
        <v>151</v>
      </c>
      <c r="B1516" s="11" t="s">
        <v>179</v>
      </c>
      <c r="C1516" s="15"/>
      <c r="D1516" s="16" t="s">
        <v>17</v>
      </c>
      <c r="E1516" s="23">
        <v>2</v>
      </c>
      <c r="F1516" s="18">
        <f>E1516* 0.836035451794207</f>
        <v>1.672070903588414</v>
      </c>
      <c r="G1516" s="18">
        <f>E1516* 0.0583657587548638</f>
        <v>0.1167315175097276</v>
      </c>
      <c r="H1516" s="18">
        <f>E1516* 0.10559878945093</f>
        <v>0.21119757890186</v>
      </c>
    </row>
    <row r="1517" spans="1:8" ht="15.75" hidden="1" customHeight="1" x14ac:dyDescent="0.25">
      <c r="A1517" s="15" t="s">
        <v>151</v>
      </c>
      <c r="B1517" s="11" t="s">
        <v>179</v>
      </c>
      <c r="C1517" s="15"/>
      <c r="D1517" s="16" t="s">
        <v>18</v>
      </c>
      <c r="E1517" s="23">
        <v>0</v>
      </c>
      <c r="F1517" s="18">
        <f>E1517* 0.920270974465868</f>
        <v>0</v>
      </c>
      <c r="G1517" s="18">
        <f>E1517* 0.0703491401771756</f>
        <v>0</v>
      </c>
      <c r="H1517" s="18">
        <f>E1517* 0.00937988535695675</f>
        <v>0</v>
      </c>
    </row>
    <row r="1518" spans="1:8" ht="15.75" hidden="1" customHeight="1" x14ac:dyDescent="0.25">
      <c r="A1518" s="15" t="s">
        <v>151</v>
      </c>
      <c r="B1518" s="11" t="s">
        <v>179</v>
      </c>
      <c r="C1518" s="15"/>
      <c r="D1518" s="16" t="s">
        <v>19</v>
      </c>
      <c r="E1518" s="23">
        <v>0</v>
      </c>
      <c r="F1518" s="18">
        <f>E1518* 0.223420647149461</f>
        <v>0</v>
      </c>
      <c r="G1518" s="18">
        <f>E1518* 0.773497688751926</f>
        <v>0</v>
      </c>
      <c r="H1518" s="18">
        <f>E1518* 0.00308166409861325</f>
        <v>0</v>
      </c>
    </row>
    <row r="1519" spans="1:8" ht="15.75" hidden="1" customHeight="1" x14ac:dyDescent="0.25">
      <c r="A1519" s="15" t="s">
        <v>151</v>
      </c>
      <c r="B1519" s="11" t="s">
        <v>179</v>
      </c>
      <c r="C1519" s="15"/>
      <c r="D1519" s="16" t="s">
        <v>20</v>
      </c>
      <c r="E1519" s="23">
        <v>0</v>
      </c>
      <c r="F1519" s="18">
        <f>E1519* 0.61531089014017</f>
        <v>0</v>
      </c>
      <c r="G1519" s="18">
        <f>E1519* 0.298190966814424</f>
        <v>0</v>
      </c>
      <c r="H1519" s="18">
        <f>E1519* 0.086378339523182</f>
        <v>0</v>
      </c>
    </row>
    <row r="1520" spans="1:8" ht="15.75" hidden="1" customHeight="1" x14ac:dyDescent="0.25">
      <c r="A1520" s="15" t="s">
        <v>151</v>
      </c>
      <c r="B1520" s="11" t="s">
        <v>179</v>
      </c>
      <c r="C1520" s="15"/>
      <c r="D1520" s="16" t="s">
        <v>21</v>
      </c>
      <c r="E1520" s="23">
        <v>0</v>
      </c>
      <c r="F1520" s="18">
        <f>E1520* 0.999801370543252</f>
        <v>0</v>
      </c>
      <c r="G1520" s="18">
        <f>E1520* 0.0000993147283742179</f>
        <v>0</v>
      </c>
      <c r="H1520" s="18">
        <f>E1520* 0.0000993147283742179</f>
        <v>0</v>
      </c>
    </row>
    <row r="1521" spans="1:8" ht="15.75" hidden="1" customHeight="1" x14ac:dyDescent="0.25">
      <c r="A1521" s="15" t="s">
        <v>151</v>
      </c>
      <c r="B1521" s="11" t="s">
        <v>179</v>
      </c>
      <c r="C1521" s="15"/>
      <c r="D1521" s="16" t="s">
        <v>28</v>
      </c>
      <c r="E1521" s="23">
        <v>0</v>
      </c>
      <c r="F1521" s="20">
        <v>0</v>
      </c>
      <c r="G1521" s="18">
        <f>E1521* 0.99904671115348</f>
        <v>0</v>
      </c>
      <c r="H1521" s="18">
        <f>E1521* 0.000953288846520496</f>
        <v>0</v>
      </c>
    </row>
    <row r="1522" spans="1:8" ht="15.75" hidden="1" customHeight="1" x14ac:dyDescent="0.25">
      <c r="A1522" s="15" t="s">
        <v>151</v>
      </c>
      <c r="B1522" s="11" t="s">
        <v>179</v>
      </c>
      <c r="C1522" s="15"/>
      <c r="D1522" s="16" t="s">
        <v>12</v>
      </c>
      <c r="E1522" s="23">
        <v>5</v>
      </c>
      <c r="F1522" s="18">
        <f>E1522* 0.849400404921352</f>
        <v>4.2470020246067604</v>
      </c>
      <c r="G1522" s="18">
        <f>E1522* 0.0654726678087525</f>
        <v>0.32736333904376247</v>
      </c>
      <c r="H1522" s="18">
        <f>E1522* 0.0851269272698957</f>
        <v>0.42563463634947846</v>
      </c>
    </row>
    <row r="1523" spans="1:8" ht="15.75" hidden="1" customHeight="1" x14ac:dyDescent="0.25">
      <c r="A1523" s="15" t="s">
        <v>151</v>
      </c>
      <c r="B1523" s="8"/>
      <c r="C1523" s="8"/>
      <c r="D1523" s="9"/>
      <c r="E1523" s="29"/>
    </row>
    <row r="1524" spans="1:8" ht="15.75" customHeight="1" x14ac:dyDescent="0.25">
      <c r="A1524" s="15" t="s">
        <v>151</v>
      </c>
      <c r="B1524" s="11" t="s">
        <v>180</v>
      </c>
      <c r="C1524" s="12" t="str">
        <f>B1524&amp;"_"&amp;A1524</f>
        <v>Toledo_Oruro</v>
      </c>
      <c r="E1524" s="22">
        <v>26</v>
      </c>
      <c r="F1524" s="14">
        <f t="shared" ref="F1524:H1524" si="144">SUM(F1525:F1529)</f>
        <v>22.926134150038937</v>
      </c>
      <c r="G1524" s="14">
        <f t="shared" si="144"/>
        <v>1.834468503977934</v>
      </c>
      <c r="H1524" s="14">
        <f t="shared" si="144"/>
        <v>1.2389181318942442</v>
      </c>
    </row>
    <row r="1525" spans="1:8" ht="15.75" hidden="1" customHeight="1" x14ac:dyDescent="0.25">
      <c r="A1525" s="15" t="s">
        <v>151</v>
      </c>
      <c r="B1525" s="11" t="s">
        <v>180</v>
      </c>
      <c r="C1525" s="15"/>
      <c r="D1525" s="16" t="s">
        <v>53</v>
      </c>
      <c r="E1525" s="23">
        <v>0</v>
      </c>
      <c r="F1525" s="20">
        <v>0</v>
      </c>
      <c r="G1525" s="24">
        <f>E1525</f>
        <v>0</v>
      </c>
      <c r="H1525" s="20">
        <v>0</v>
      </c>
    </row>
    <row r="1526" spans="1:8" ht="15.75" hidden="1" customHeight="1" x14ac:dyDescent="0.25">
      <c r="A1526" s="15" t="s">
        <v>151</v>
      </c>
      <c r="B1526" s="11" t="s">
        <v>180</v>
      </c>
      <c r="C1526" s="15"/>
      <c r="D1526" s="16" t="s">
        <v>17</v>
      </c>
      <c r="E1526" s="23">
        <v>2</v>
      </c>
      <c r="F1526" s="18">
        <f>E1526* 0.836035451794207</f>
        <v>1.672070903588414</v>
      </c>
      <c r="G1526" s="18">
        <f>E1526* 0.0583657587548638</f>
        <v>0.1167315175097276</v>
      </c>
      <c r="H1526" s="18">
        <f>E1526* 0.10559878945093</f>
        <v>0.21119757890186</v>
      </c>
    </row>
    <row r="1527" spans="1:8" ht="15.75" hidden="1" customHeight="1" x14ac:dyDescent="0.25">
      <c r="A1527" s="15" t="s">
        <v>151</v>
      </c>
      <c r="B1527" s="11" t="s">
        <v>180</v>
      </c>
      <c r="C1527" s="15"/>
      <c r="D1527" s="16" t="s">
        <v>20</v>
      </c>
      <c r="E1527" s="23">
        <v>4</v>
      </c>
      <c r="F1527" s="18">
        <f>E1527* 0.61531089014017</f>
        <v>2.4612435605606802</v>
      </c>
      <c r="G1527" s="18">
        <f>E1527* 0.298190966814424</f>
        <v>1.1927638672576959</v>
      </c>
      <c r="H1527" s="18">
        <f>E1527* 0.086378339523182</f>
        <v>0.34551335809272798</v>
      </c>
    </row>
    <row r="1528" spans="1:8" ht="15.75" hidden="1" customHeight="1" x14ac:dyDescent="0.25">
      <c r="A1528" s="15" t="s">
        <v>151</v>
      </c>
      <c r="B1528" s="11" t="s">
        <v>180</v>
      </c>
      <c r="C1528" s="15"/>
      <c r="D1528" s="16" t="s">
        <v>21</v>
      </c>
      <c r="E1528" s="23">
        <v>12</v>
      </c>
      <c r="F1528" s="18">
        <f>E1528* 0.999801370543252</f>
        <v>11.997616446519025</v>
      </c>
      <c r="G1528" s="18">
        <f>E1528* 0.0000993147283742179</f>
        <v>1.1917767404906149E-3</v>
      </c>
      <c r="H1528" s="18">
        <f>E1528* 0.0000993147283742179</f>
        <v>1.1917767404906149E-3</v>
      </c>
    </row>
    <row r="1529" spans="1:8" ht="15.75" hidden="1" customHeight="1" x14ac:dyDescent="0.25">
      <c r="A1529" s="15" t="s">
        <v>151</v>
      </c>
      <c r="B1529" s="11" t="s">
        <v>180</v>
      </c>
      <c r="C1529" s="15"/>
      <c r="D1529" s="16" t="s">
        <v>12</v>
      </c>
      <c r="E1529" s="23">
        <v>8</v>
      </c>
      <c r="F1529" s="18">
        <f>E1529* 0.849400404921352</f>
        <v>6.7952032393708164</v>
      </c>
      <c r="G1529" s="18">
        <f>E1529* 0.0654726678087525</f>
        <v>0.52378134247001995</v>
      </c>
      <c r="H1529" s="18">
        <f>E1529* 0.0851269272698957</f>
        <v>0.68101541815916555</v>
      </c>
    </row>
    <row r="1530" spans="1:8" ht="15.75" hidden="1" customHeight="1" x14ac:dyDescent="0.25">
      <c r="A1530" s="15" t="s">
        <v>151</v>
      </c>
      <c r="B1530" s="8"/>
      <c r="C1530" s="8"/>
      <c r="D1530" s="9"/>
      <c r="E1530" s="29"/>
    </row>
    <row r="1531" spans="1:8" ht="15.75" customHeight="1" x14ac:dyDescent="0.25">
      <c r="A1531" s="15" t="s">
        <v>151</v>
      </c>
      <c r="B1531" s="11" t="s">
        <v>181</v>
      </c>
      <c r="C1531" s="12" t="str">
        <f>B1531&amp;"_"&amp;A1531</f>
        <v>Turco_Oruro</v>
      </c>
      <c r="E1531" s="22">
        <v>0</v>
      </c>
      <c r="F1531" s="14">
        <v>0</v>
      </c>
      <c r="G1531" s="14">
        <v>0</v>
      </c>
      <c r="H1531" s="14">
        <v>0</v>
      </c>
    </row>
    <row r="1532" spans="1:8" ht="15.75" hidden="1" customHeight="1" x14ac:dyDescent="0.25">
      <c r="A1532" s="15" t="s">
        <v>151</v>
      </c>
      <c r="B1532" s="11" t="s">
        <v>181</v>
      </c>
      <c r="C1532" s="15"/>
      <c r="D1532" s="16" t="s">
        <v>21</v>
      </c>
      <c r="E1532" s="23">
        <v>0</v>
      </c>
      <c r="F1532" s="18">
        <f>E1532* 0.999801370543252</f>
        <v>0</v>
      </c>
      <c r="G1532" s="18">
        <f>E1532* 0.0000993147283742179</f>
        <v>0</v>
      </c>
      <c r="H1532" s="18">
        <f>E1532* 0.0000993147283742179</f>
        <v>0</v>
      </c>
    </row>
    <row r="1533" spans="1:8" ht="15.75" hidden="1" customHeight="1" x14ac:dyDescent="0.25">
      <c r="A1533" s="15" t="s">
        <v>151</v>
      </c>
      <c r="B1533" s="8"/>
      <c r="C1533" s="8"/>
      <c r="D1533" s="9"/>
      <c r="E1533" s="29"/>
    </row>
    <row r="1534" spans="1:8" ht="15.75" customHeight="1" x14ac:dyDescent="0.25">
      <c r="A1534" s="15" t="s">
        <v>151</v>
      </c>
      <c r="B1534" s="11" t="s">
        <v>182</v>
      </c>
      <c r="C1534" s="12" t="str">
        <f>B1534&amp;"_"&amp;A1534</f>
        <v>Villa Huanuni_Oruro</v>
      </c>
      <c r="E1534" s="22">
        <v>82</v>
      </c>
      <c r="F1534" s="14">
        <f t="shared" ref="F1534:H1534" si="145">SUM(F1535:F1546)</f>
        <v>64.120700767522493</v>
      </c>
      <c r="G1534" s="14">
        <f t="shared" si="145"/>
        <v>13.022290260387926</v>
      </c>
      <c r="H1534" s="14">
        <f t="shared" si="145"/>
        <v>4.8514015282004141</v>
      </c>
    </row>
    <row r="1535" spans="1:8" ht="15.75" hidden="1" customHeight="1" x14ac:dyDescent="0.25">
      <c r="A1535" s="15" t="s">
        <v>151</v>
      </c>
      <c r="B1535" s="11" t="s">
        <v>182</v>
      </c>
      <c r="C1535" s="15"/>
      <c r="D1535" s="16" t="s">
        <v>53</v>
      </c>
      <c r="E1535" s="23">
        <v>0</v>
      </c>
      <c r="F1535" s="20">
        <v>0</v>
      </c>
      <c r="G1535" s="24">
        <f>E1535</f>
        <v>0</v>
      </c>
      <c r="H1535" s="20">
        <v>0</v>
      </c>
    </row>
    <row r="1536" spans="1:8" ht="15.75" hidden="1" customHeight="1" x14ac:dyDescent="0.25">
      <c r="A1536" s="15" t="s">
        <v>151</v>
      </c>
      <c r="B1536" s="11" t="s">
        <v>182</v>
      </c>
      <c r="C1536" s="15"/>
      <c r="D1536" s="16" t="s">
        <v>15</v>
      </c>
      <c r="E1536" s="23">
        <v>13</v>
      </c>
      <c r="F1536" s="18">
        <f>E1536* 0.929012779104059</f>
        <v>12.077166128352767</v>
      </c>
      <c r="G1536" s="18">
        <f>E1536* 0.00947900575761831</f>
        <v>0.12322707484903804</v>
      </c>
      <c r="H1536" s="18">
        <f>E1536* 0.0614380002808594</f>
        <v>0.79869400365117216</v>
      </c>
    </row>
    <row r="1537" spans="1:8" ht="15.75" hidden="1" customHeight="1" x14ac:dyDescent="0.25">
      <c r="A1537" s="15" t="s">
        <v>151</v>
      </c>
      <c r="B1537" s="11" t="s">
        <v>182</v>
      </c>
      <c r="C1537" s="15"/>
      <c r="D1537" s="16" t="s">
        <v>16</v>
      </c>
      <c r="E1537" s="23">
        <v>2</v>
      </c>
      <c r="F1537" s="18">
        <f>E1537* 0.0624390243902439</f>
        <v>0.1248780487804878</v>
      </c>
      <c r="G1537" s="18">
        <f>E1537* 0.936585365853659</f>
        <v>1.8731707317073181</v>
      </c>
      <c r="H1537" s="20">
        <v>0</v>
      </c>
    </row>
    <row r="1538" spans="1:8" ht="15.75" hidden="1" customHeight="1" x14ac:dyDescent="0.25">
      <c r="A1538" s="15" t="s">
        <v>151</v>
      </c>
      <c r="B1538" s="11" t="s">
        <v>182</v>
      </c>
      <c r="C1538" s="15"/>
      <c r="D1538" s="16" t="s">
        <v>11</v>
      </c>
      <c r="E1538" s="23">
        <v>6</v>
      </c>
      <c r="F1538" s="18">
        <f>E1538* 0.080360592401803</f>
        <v>0.48216355441081804</v>
      </c>
      <c r="G1538" s="18">
        <f>E1538* 0.917192530585963</f>
        <v>5.5031551835157781</v>
      </c>
      <c r="H1538" s="18">
        <f>E1538* 0.00218931101094656</f>
        <v>1.3135866065679359E-2</v>
      </c>
    </row>
    <row r="1539" spans="1:8" ht="15.75" hidden="1" customHeight="1" x14ac:dyDescent="0.25">
      <c r="A1539" s="15" t="s">
        <v>151</v>
      </c>
      <c r="B1539" s="11" t="s">
        <v>182</v>
      </c>
      <c r="C1539" s="15"/>
      <c r="D1539" s="16" t="s">
        <v>17</v>
      </c>
      <c r="E1539" s="23">
        <v>4</v>
      </c>
      <c r="F1539" s="18">
        <f>E1539* 0.836035451794207</f>
        <v>3.3441418071768281</v>
      </c>
      <c r="G1539" s="18">
        <f>E1539* 0.0583657587548638</f>
        <v>0.2334630350194552</v>
      </c>
      <c r="H1539" s="18">
        <f>E1539* 0.10559878945093</f>
        <v>0.42239515780372</v>
      </c>
    </row>
    <row r="1540" spans="1:8" ht="15.75" hidden="1" customHeight="1" x14ac:dyDescent="0.25">
      <c r="A1540" s="15" t="s">
        <v>151</v>
      </c>
      <c r="B1540" s="11" t="s">
        <v>182</v>
      </c>
      <c r="C1540" s="15"/>
      <c r="D1540" s="16" t="s">
        <v>31</v>
      </c>
      <c r="E1540" s="29"/>
      <c r="F1540" s="20">
        <v>0</v>
      </c>
      <c r="G1540" s="20">
        <v>0</v>
      </c>
      <c r="H1540" s="20">
        <v>0</v>
      </c>
    </row>
    <row r="1541" spans="1:8" ht="15.75" hidden="1" customHeight="1" x14ac:dyDescent="0.25">
      <c r="A1541" s="15" t="s">
        <v>151</v>
      </c>
      <c r="B1541" s="11" t="s">
        <v>182</v>
      </c>
      <c r="C1541" s="15"/>
      <c r="D1541" s="16" t="s">
        <v>18</v>
      </c>
      <c r="E1541" s="23">
        <v>3</v>
      </c>
      <c r="F1541" s="18">
        <f>E1541* 0.920270974465868</f>
        <v>2.7608129233976042</v>
      </c>
      <c r="G1541" s="18">
        <f>E1541* 0.0703491401771756</f>
        <v>0.21104742053152681</v>
      </c>
      <c r="H1541" s="18">
        <f>E1541* 0.00937988535695675</f>
        <v>2.813965607087025E-2</v>
      </c>
    </row>
    <row r="1542" spans="1:8" ht="15.75" hidden="1" customHeight="1" x14ac:dyDescent="0.25">
      <c r="A1542" s="15" t="s">
        <v>151</v>
      </c>
      <c r="B1542" s="11" t="s">
        <v>182</v>
      </c>
      <c r="C1542" s="15"/>
      <c r="D1542" s="16" t="s">
        <v>19</v>
      </c>
      <c r="E1542" s="29"/>
      <c r="F1542" s="20">
        <v>0</v>
      </c>
      <c r="G1542" s="20">
        <v>0</v>
      </c>
      <c r="H1542" s="20">
        <v>0</v>
      </c>
    </row>
    <row r="1543" spans="1:8" ht="15.75" hidden="1" customHeight="1" x14ac:dyDescent="0.25">
      <c r="A1543" s="15" t="s">
        <v>151</v>
      </c>
      <c r="B1543" s="11" t="s">
        <v>182</v>
      </c>
      <c r="C1543" s="15"/>
      <c r="D1543" s="16" t="s">
        <v>20</v>
      </c>
      <c r="E1543" s="23">
        <v>10</v>
      </c>
      <c r="F1543" s="18">
        <f>E1543* 0.61531089014017</f>
        <v>6.1531089014017004</v>
      </c>
      <c r="G1543" s="18">
        <f>E1543* 0.298190966814424</f>
        <v>2.9819096681442399</v>
      </c>
      <c r="H1543" s="18">
        <f>E1543* 0.086378339523182</f>
        <v>0.86378339523181991</v>
      </c>
    </row>
    <row r="1544" spans="1:8" ht="15.75" hidden="1" customHeight="1" x14ac:dyDescent="0.25">
      <c r="A1544" s="15" t="s">
        <v>151</v>
      </c>
      <c r="B1544" s="11" t="s">
        <v>182</v>
      </c>
      <c r="C1544" s="15"/>
      <c r="D1544" s="16" t="s">
        <v>21</v>
      </c>
      <c r="E1544" s="23">
        <v>12</v>
      </c>
      <c r="F1544" s="18">
        <f>E1544* 0.999801370543252</f>
        <v>11.997616446519025</v>
      </c>
      <c r="G1544" s="18">
        <f>E1544* 0.0000993147283742179</f>
        <v>1.1917767404906149E-3</v>
      </c>
      <c r="H1544" s="18">
        <f>E1544* 0.0000993147283742179</f>
        <v>1.1917767404906149E-3</v>
      </c>
    </row>
    <row r="1545" spans="1:8" ht="15.75" hidden="1" customHeight="1" x14ac:dyDescent="0.25">
      <c r="A1545" s="15" t="s">
        <v>151</v>
      </c>
      <c r="B1545" s="11" t="s">
        <v>182</v>
      </c>
      <c r="C1545" s="15"/>
      <c r="D1545" s="16" t="s">
        <v>28</v>
      </c>
      <c r="E1545" s="23">
        <v>0</v>
      </c>
      <c r="F1545" s="20">
        <v>0</v>
      </c>
      <c r="G1545" s="18">
        <f>E1545* 0.99904671115348</f>
        <v>0</v>
      </c>
      <c r="H1545" s="18">
        <f>E1545* 0.000953288846520496</f>
        <v>0</v>
      </c>
    </row>
    <row r="1546" spans="1:8" ht="15.75" hidden="1" customHeight="1" x14ac:dyDescent="0.25">
      <c r="A1546" s="15" t="s">
        <v>151</v>
      </c>
      <c r="B1546" s="11" t="s">
        <v>182</v>
      </c>
      <c r="C1546" s="15"/>
      <c r="D1546" s="25" t="s">
        <v>12</v>
      </c>
      <c r="E1546" s="27">
        <v>32</v>
      </c>
      <c r="F1546" s="18">
        <f>E1546* 0.849400404921352</f>
        <v>27.180812957483266</v>
      </c>
      <c r="G1546" s="18">
        <f>E1546* 0.0654726678087525</f>
        <v>2.0951253698800798</v>
      </c>
      <c r="H1546" s="18">
        <f>E1546* 0.0851269272698957</f>
        <v>2.7240616726366622</v>
      </c>
    </row>
    <row r="1547" spans="1:8" ht="15.75" hidden="1" customHeight="1" x14ac:dyDescent="0.25">
      <c r="A1547" s="15" t="s">
        <v>183</v>
      </c>
      <c r="B1547" s="11" t="s">
        <v>184</v>
      </c>
      <c r="C1547" s="12" t="str">
        <f>B1547&amp;"_"&amp;A1547</f>
        <v>Acasio_Potosí</v>
      </c>
      <c r="E1547" s="22">
        <v>0</v>
      </c>
      <c r="F1547" s="14">
        <v>0</v>
      </c>
      <c r="G1547" s="14">
        <v>0</v>
      </c>
      <c r="H1547" s="14">
        <v>0</v>
      </c>
    </row>
    <row r="1548" spans="1:8" ht="15.75" hidden="1" customHeight="1" x14ac:dyDescent="0.25">
      <c r="A1548" s="15" t="s">
        <v>183</v>
      </c>
      <c r="B1548" s="11" t="s">
        <v>184</v>
      </c>
      <c r="C1548" s="15"/>
      <c r="D1548" s="31" t="s">
        <v>18</v>
      </c>
      <c r="E1548" s="32">
        <v>0</v>
      </c>
      <c r="F1548" s="18">
        <f>E1548* 0.941463414634146</f>
        <v>0</v>
      </c>
      <c r="G1548" s="18">
        <f>E1548* 0.0532833020637899</f>
        <v>0</v>
      </c>
      <c r="H1548" s="18">
        <f>E1548* 0.00487804878048781</f>
        <v>0</v>
      </c>
    </row>
    <row r="1549" spans="1:8" ht="15.75" hidden="1" customHeight="1" x14ac:dyDescent="0.25">
      <c r="A1549" s="15" t="s">
        <v>183</v>
      </c>
      <c r="B1549" s="33"/>
      <c r="C1549" s="33"/>
      <c r="D1549" s="34"/>
      <c r="E1549" s="35"/>
    </row>
    <row r="1550" spans="1:8" ht="15.75" hidden="1" customHeight="1" x14ac:dyDescent="0.25">
      <c r="A1550" s="15" t="s">
        <v>183</v>
      </c>
      <c r="B1550" s="11" t="s">
        <v>185</v>
      </c>
      <c r="C1550" s="12" t="str">
        <f>B1550&amp;"_"&amp;A1550</f>
        <v>Atocha_Potosí</v>
      </c>
      <c r="E1550" s="22">
        <v>57</v>
      </c>
      <c r="F1550" s="14">
        <f t="shared" ref="F1550:H1550" si="146">SUM(F1551:F1560)</f>
        <v>38.241567572525419</v>
      </c>
      <c r="G1550" s="14">
        <f t="shared" si="146"/>
        <v>17.176968414147986</v>
      </c>
      <c r="H1550" s="14">
        <f t="shared" si="146"/>
        <v>1.5761976935196034</v>
      </c>
    </row>
    <row r="1551" spans="1:8" ht="15.75" hidden="1" customHeight="1" x14ac:dyDescent="0.25">
      <c r="A1551" s="15" t="s">
        <v>183</v>
      </c>
      <c r="B1551" s="11" t="s">
        <v>185</v>
      </c>
      <c r="C1551" s="15"/>
      <c r="D1551" s="31" t="s">
        <v>15</v>
      </c>
      <c r="E1551" s="32">
        <v>3</v>
      </c>
      <c r="F1551" s="18">
        <f>E1551* 0.975464549882735</f>
        <v>2.926393649648205</v>
      </c>
      <c r="G1551" s="18">
        <f>E1551* 0.00487100847916291</f>
        <v>1.4613025437488731E-2</v>
      </c>
      <c r="H1551" s="18">
        <f>E1551* 0.0195742377773769</f>
        <v>5.8722713332130701E-2</v>
      </c>
    </row>
    <row r="1552" spans="1:8" ht="15.75" hidden="1" customHeight="1" x14ac:dyDescent="0.25">
      <c r="A1552" s="15" t="s">
        <v>183</v>
      </c>
      <c r="B1552" s="11" t="s">
        <v>185</v>
      </c>
      <c r="C1552" s="15"/>
      <c r="D1552" s="31" t="s">
        <v>16</v>
      </c>
      <c r="E1552" s="32">
        <v>0</v>
      </c>
      <c r="F1552" s="18">
        <f>E1552* 0.0607843137254902</f>
        <v>0</v>
      </c>
      <c r="G1552" s="18">
        <f>E1552* 0.93921568627451</f>
        <v>0</v>
      </c>
      <c r="H1552" s="20">
        <v>0</v>
      </c>
    </row>
    <row r="1553" spans="1:8" ht="15.75" hidden="1" customHeight="1" x14ac:dyDescent="0.25">
      <c r="A1553" s="15" t="s">
        <v>183</v>
      </c>
      <c r="B1553" s="11" t="s">
        <v>185</v>
      </c>
      <c r="C1553" s="15"/>
      <c r="D1553" s="31" t="s">
        <v>11</v>
      </c>
      <c r="E1553" s="32">
        <v>10</v>
      </c>
      <c r="F1553" s="18">
        <f>E1553* 0.175725756639901</f>
        <v>1.75725756639901</v>
      </c>
      <c r="G1553" s="18">
        <f>E1553* 0.823656578134651</f>
        <v>8.2365657813465099</v>
      </c>
      <c r="H1553" s="18">
        <f>E1553* 0.000617665225447807</f>
        <v>6.1766522544780701E-3</v>
      </c>
    </row>
    <row r="1554" spans="1:8" ht="15.75" hidden="1" customHeight="1" x14ac:dyDescent="0.25">
      <c r="A1554" s="15" t="s">
        <v>183</v>
      </c>
      <c r="B1554" s="11" t="s">
        <v>185</v>
      </c>
      <c r="C1554" s="15"/>
      <c r="D1554" s="31" t="s">
        <v>17</v>
      </c>
      <c r="E1554" s="32">
        <v>14</v>
      </c>
      <c r="F1554" s="18">
        <f>E1554* 0.869679539852095</f>
        <v>12.17551355792933</v>
      </c>
      <c r="G1554" s="18">
        <f>E1554* 0.0695152013147083</f>
        <v>0.97321281840591622</v>
      </c>
      <c r="H1554" s="18">
        <f>E1554* 0.0608052588331964</f>
        <v>0.85127362366474957</v>
      </c>
    </row>
    <row r="1555" spans="1:8" ht="15.75" hidden="1" customHeight="1" x14ac:dyDescent="0.25">
      <c r="A1555" s="15" t="s">
        <v>183</v>
      </c>
      <c r="B1555" s="11" t="s">
        <v>185</v>
      </c>
      <c r="C1555" s="15"/>
      <c r="D1555" s="31" t="s">
        <v>18</v>
      </c>
      <c r="E1555" s="32">
        <v>6</v>
      </c>
      <c r="F1555" s="18">
        <f>E1555* 0.941463414634146</f>
        <v>5.648780487804876</v>
      </c>
      <c r="G1555" s="18">
        <f>E1555* 0.0532833020637899</f>
        <v>0.31969981238273942</v>
      </c>
      <c r="H1555" s="18">
        <f>E1555* 0.00487804878048781</f>
        <v>2.9268292682926862E-2</v>
      </c>
    </row>
    <row r="1556" spans="1:8" ht="15.75" hidden="1" customHeight="1" x14ac:dyDescent="0.25">
      <c r="A1556" s="15" t="s">
        <v>183</v>
      </c>
      <c r="B1556" s="11" t="s">
        <v>185</v>
      </c>
      <c r="C1556" s="15"/>
      <c r="D1556" s="31" t="s">
        <v>35</v>
      </c>
      <c r="E1556" s="32">
        <v>0</v>
      </c>
      <c r="F1556" s="20">
        <v>0</v>
      </c>
      <c r="G1556" s="24">
        <f>E1556</f>
        <v>0</v>
      </c>
      <c r="H1556" s="20">
        <v>0</v>
      </c>
    </row>
    <row r="1557" spans="1:8" ht="15.75" hidden="1" customHeight="1" x14ac:dyDescent="0.25">
      <c r="A1557" s="15" t="s">
        <v>183</v>
      </c>
      <c r="B1557" s="11" t="s">
        <v>185</v>
      </c>
      <c r="C1557" s="15"/>
      <c r="D1557" s="31" t="s">
        <v>19</v>
      </c>
      <c r="E1557" s="32">
        <v>7</v>
      </c>
      <c r="F1557" s="18">
        <f>E1557* 0.0748299319727891</f>
        <v>0.52380952380952372</v>
      </c>
      <c r="G1557" s="18">
        <f>E1557* 0.924036281179138</f>
        <v>6.4682539682539666</v>
      </c>
      <c r="H1557" s="18">
        <f>E1557* 0.00113378684807256</f>
        <v>7.9365079365079205E-3</v>
      </c>
    </row>
    <row r="1558" spans="1:8" ht="15.75" hidden="1" customHeight="1" x14ac:dyDescent="0.25">
      <c r="A1558" s="15" t="s">
        <v>183</v>
      </c>
      <c r="B1558" s="11" t="s">
        <v>185</v>
      </c>
      <c r="C1558" s="15"/>
      <c r="D1558" s="31" t="s">
        <v>20</v>
      </c>
      <c r="E1558" s="32">
        <v>1</v>
      </c>
      <c r="F1558" s="18">
        <f>E1558* 0.799709724238026</f>
        <v>0.799709724238026</v>
      </c>
      <c r="G1558" s="18">
        <f>E1558* 0.150580551523948</f>
        <v>0.150580551523948</v>
      </c>
      <c r="H1558" s="18">
        <f>E1558* 0.0493468795355588</f>
        <v>4.9346879535558802E-2</v>
      </c>
    </row>
    <row r="1559" spans="1:8" ht="15.75" hidden="1" customHeight="1" x14ac:dyDescent="0.25">
      <c r="A1559" s="15" t="s">
        <v>183</v>
      </c>
      <c r="B1559" s="11" t="s">
        <v>185</v>
      </c>
      <c r="C1559" s="15"/>
      <c r="D1559" s="31" t="s">
        <v>21</v>
      </c>
      <c r="E1559" s="32">
        <v>1</v>
      </c>
      <c r="F1559" s="18">
        <f>E1559* 0.999328295549958</f>
        <v>0.99932829554995795</v>
      </c>
      <c r="G1559" s="18">
        <f>E1559* 0.000335852225020991</f>
        <v>3.3585222502099103E-4</v>
      </c>
      <c r="H1559" s="18">
        <f>E1559* 0.000335852225020991</f>
        <v>3.3585222502099103E-4</v>
      </c>
    </row>
    <row r="1560" spans="1:8" ht="15.75" hidden="1" customHeight="1" x14ac:dyDescent="0.25">
      <c r="A1560" s="15" t="s">
        <v>183</v>
      </c>
      <c r="B1560" s="11" t="s">
        <v>185</v>
      </c>
      <c r="C1560" s="15"/>
      <c r="D1560" s="31" t="s">
        <v>12</v>
      </c>
      <c r="E1560" s="32">
        <v>15</v>
      </c>
      <c r="F1560" s="18">
        <f>E1560* 0.894051651143099</f>
        <v>13.410774767146485</v>
      </c>
      <c r="G1560" s="18">
        <f>E1560* 0.0675804403048264</f>
        <v>1.0137066045723961</v>
      </c>
      <c r="H1560" s="18">
        <f>E1560* 0.0382091447925487</f>
        <v>0.57313717188823055</v>
      </c>
    </row>
    <row r="1561" spans="1:8" ht="15.75" hidden="1" customHeight="1" x14ac:dyDescent="0.25">
      <c r="A1561" s="15" t="s">
        <v>183</v>
      </c>
      <c r="B1561" s="33"/>
      <c r="C1561" s="33"/>
      <c r="D1561" s="34"/>
      <c r="E1561" s="35"/>
    </row>
    <row r="1562" spans="1:8" ht="15.75" hidden="1" customHeight="1" x14ac:dyDescent="0.25">
      <c r="A1562" s="15" t="s">
        <v>183</v>
      </c>
      <c r="B1562" s="11" t="s">
        <v>186</v>
      </c>
      <c r="C1562" s="12" t="str">
        <f>B1562&amp;"_"&amp;A1562</f>
        <v>Belen de Urmiri_Potosí</v>
      </c>
      <c r="E1562" s="22">
        <v>0</v>
      </c>
      <c r="F1562" s="14">
        <v>0</v>
      </c>
      <c r="G1562" s="14">
        <v>0</v>
      </c>
      <c r="H1562" s="14">
        <v>0</v>
      </c>
    </row>
    <row r="1563" spans="1:8" ht="15.75" hidden="1" customHeight="1" x14ac:dyDescent="0.25">
      <c r="A1563" s="15" t="s">
        <v>183</v>
      </c>
      <c r="B1563" s="11" t="s">
        <v>186</v>
      </c>
      <c r="C1563" s="15"/>
      <c r="D1563" s="31" t="s">
        <v>17</v>
      </c>
      <c r="E1563" s="32">
        <v>0</v>
      </c>
      <c r="F1563" s="18">
        <f>E1563* 0.869679539852095</f>
        <v>0</v>
      </c>
      <c r="G1563" s="18">
        <f>E1563* 0.0695152013147083</f>
        <v>0</v>
      </c>
      <c r="H1563" s="18">
        <f>E1563* 0.0608052588331964</f>
        <v>0</v>
      </c>
    </row>
    <row r="1564" spans="1:8" ht="15.75" hidden="1" customHeight="1" x14ac:dyDescent="0.25">
      <c r="A1564" s="15" t="s">
        <v>183</v>
      </c>
      <c r="B1564" s="11" t="s">
        <v>186</v>
      </c>
      <c r="C1564" s="15"/>
      <c r="D1564" s="31" t="s">
        <v>18</v>
      </c>
      <c r="E1564" s="32">
        <v>0</v>
      </c>
      <c r="F1564" s="18">
        <f>E1564* 0.941463414634146</f>
        <v>0</v>
      </c>
      <c r="G1564" s="18">
        <f>E1564* 0.0532833020637899</f>
        <v>0</v>
      </c>
      <c r="H1564" s="18">
        <f>E1564* 0.00487804878048781</f>
        <v>0</v>
      </c>
    </row>
    <row r="1565" spans="1:8" ht="15.75" hidden="1" customHeight="1" x14ac:dyDescent="0.25">
      <c r="A1565" s="15" t="s">
        <v>183</v>
      </c>
      <c r="B1565" s="33"/>
      <c r="C1565" s="33"/>
      <c r="D1565" s="34"/>
      <c r="E1565" s="35"/>
    </row>
    <row r="1566" spans="1:8" ht="15.75" hidden="1" customHeight="1" x14ac:dyDescent="0.25">
      <c r="A1566" s="15" t="s">
        <v>183</v>
      </c>
      <c r="B1566" s="11" t="s">
        <v>187</v>
      </c>
      <c r="C1566" s="12" t="str">
        <f>B1566&amp;"_"&amp;A1566</f>
        <v>Betanzos_Potosí</v>
      </c>
      <c r="E1566" s="22">
        <v>130</v>
      </c>
      <c r="F1566" s="14">
        <f t="shared" ref="F1566:H1566" si="147">SUM(F1567:F1577)</f>
        <v>87.036366404821166</v>
      </c>
      <c r="G1566" s="14">
        <f t="shared" si="147"/>
        <v>40.132851533252641</v>
      </c>
      <c r="H1566" s="14">
        <f t="shared" si="147"/>
        <v>2.824650380632534</v>
      </c>
    </row>
    <row r="1567" spans="1:8" ht="15.75" hidden="1" customHeight="1" x14ac:dyDescent="0.25">
      <c r="A1567" s="15" t="s">
        <v>183</v>
      </c>
      <c r="B1567" s="11" t="s">
        <v>187</v>
      </c>
      <c r="C1567" s="15"/>
      <c r="D1567" s="31" t="s">
        <v>14</v>
      </c>
      <c r="E1567" s="32">
        <v>0</v>
      </c>
      <c r="F1567" s="20">
        <v>0</v>
      </c>
      <c r="G1567" s="24">
        <f>E1567</f>
        <v>0</v>
      </c>
      <c r="H1567" s="20">
        <v>0</v>
      </c>
    </row>
    <row r="1568" spans="1:8" ht="15.75" hidden="1" customHeight="1" x14ac:dyDescent="0.25">
      <c r="A1568" s="15" t="s">
        <v>183</v>
      </c>
      <c r="B1568" s="11" t="s">
        <v>187</v>
      </c>
      <c r="C1568" s="15"/>
      <c r="D1568" s="31" t="s">
        <v>15</v>
      </c>
      <c r="E1568" s="32">
        <v>8</v>
      </c>
      <c r="F1568" s="18">
        <f>E1568* 0.975464549882735</f>
        <v>7.8037163990618801</v>
      </c>
      <c r="G1568" s="18">
        <f>E1568* 0.00487100847916291</f>
        <v>3.8968067833303283E-2</v>
      </c>
      <c r="H1568" s="18">
        <f>E1568* 0.0195742377773769</f>
        <v>0.1565939022190152</v>
      </c>
    </row>
    <row r="1569" spans="1:8" ht="15.75" hidden="1" customHeight="1" x14ac:dyDescent="0.25">
      <c r="A1569" s="15" t="s">
        <v>183</v>
      </c>
      <c r="B1569" s="11" t="s">
        <v>187</v>
      </c>
      <c r="C1569" s="15"/>
      <c r="D1569" s="31" t="s">
        <v>16</v>
      </c>
      <c r="E1569" s="32">
        <v>1</v>
      </c>
      <c r="F1569" s="18">
        <f>E1569* 0.0607843137254902</f>
        <v>6.0784313725490202E-2</v>
      </c>
      <c r="G1569" s="18">
        <f>E1569* 0.93921568627451</f>
        <v>0.93921568627451002</v>
      </c>
      <c r="H1569" s="20">
        <v>0</v>
      </c>
    </row>
    <row r="1570" spans="1:8" ht="15.75" hidden="1" customHeight="1" x14ac:dyDescent="0.25">
      <c r="A1570" s="15" t="s">
        <v>183</v>
      </c>
      <c r="B1570" s="11" t="s">
        <v>187</v>
      </c>
      <c r="C1570" s="15"/>
      <c r="D1570" s="31" t="s">
        <v>11</v>
      </c>
      <c r="E1570" s="32">
        <v>37</v>
      </c>
      <c r="F1570" s="18">
        <f>E1570* 0.175725756639901</f>
        <v>6.5018529956763373</v>
      </c>
      <c r="G1570" s="18">
        <f>E1570* 0.823656578134651</f>
        <v>30.475293390982088</v>
      </c>
      <c r="H1570" s="18">
        <f>E1570* 0.000617665225447807</f>
        <v>2.2853613341568858E-2</v>
      </c>
    </row>
    <row r="1571" spans="1:8" ht="15.75" hidden="1" customHeight="1" x14ac:dyDescent="0.25">
      <c r="A1571" s="15" t="s">
        <v>183</v>
      </c>
      <c r="B1571" s="11" t="s">
        <v>187</v>
      </c>
      <c r="C1571" s="15"/>
      <c r="D1571" s="31" t="s">
        <v>17</v>
      </c>
      <c r="E1571" s="32">
        <v>27</v>
      </c>
      <c r="F1571" s="18">
        <f>E1571* 0.869679539852095</f>
        <v>23.481347576006566</v>
      </c>
      <c r="G1571" s="18">
        <f>E1571* 0.0695152013147083</f>
        <v>1.876910435497124</v>
      </c>
      <c r="H1571" s="18">
        <f>E1571* 0.0608052588331964</f>
        <v>1.6417419884963029</v>
      </c>
    </row>
    <row r="1572" spans="1:8" ht="15.75" hidden="1" customHeight="1" x14ac:dyDescent="0.25">
      <c r="A1572" s="15" t="s">
        <v>183</v>
      </c>
      <c r="B1572" s="11" t="s">
        <v>187</v>
      </c>
      <c r="C1572" s="15"/>
      <c r="D1572" s="31" t="s">
        <v>18</v>
      </c>
      <c r="E1572" s="32">
        <v>1</v>
      </c>
      <c r="F1572" s="18">
        <f>E1572* 0.941463414634146</f>
        <v>0.94146341463414596</v>
      </c>
      <c r="G1572" s="18">
        <f>E1572* 0.0532833020637899</f>
        <v>5.3283302063789902E-2</v>
      </c>
      <c r="H1572" s="18">
        <f>E1572* 0.00487804878048781</f>
        <v>4.8780487804878101E-3</v>
      </c>
    </row>
    <row r="1573" spans="1:8" ht="15.75" hidden="1" customHeight="1" x14ac:dyDescent="0.25">
      <c r="A1573" s="15" t="s">
        <v>183</v>
      </c>
      <c r="B1573" s="11" t="s">
        <v>187</v>
      </c>
      <c r="C1573" s="15"/>
      <c r="D1573" s="31" t="s">
        <v>19</v>
      </c>
      <c r="E1573" s="32">
        <v>5</v>
      </c>
      <c r="F1573" s="18">
        <f>E1573* 0.0748299319727891</f>
        <v>0.37414965986394549</v>
      </c>
      <c r="G1573" s="18">
        <f>E1573* 0.924036281179138</f>
        <v>4.62018140589569</v>
      </c>
      <c r="H1573" s="18">
        <f>E1573* 0.00113378684807256</f>
        <v>5.6689342403627996E-3</v>
      </c>
    </row>
    <row r="1574" spans="1:8" ht="15.75" hidden="1" customHeight="1" x14ac:dyDescent="0.25">
      <c r="A1574" s="15" t="s">
        <v>183</v>
      </c>
      <c r="B1574" s="11" t="s">
        <v>187</v>
      </c>
      <c r="C1574" s="15"/>
      <c r="D1574" s="31" t="s">
        <v>20</v>
      </c>
      <c r="E1574" s="32">
        <v>6</v>
      </c>
      <c r="F1574" s="18">
        <f>E1574* 0.799709724238026</f>
        <v>4.798258345428156</v>
      </c>
      <c r="G1574" s="18">
        <f>E1574* 0.150580551523948</f>
        <v>0.90348330914368802</v>
      </c>
      <c r="H1574" s="18">
        <f>E1574* 0.0493468795355588</f>
        <v>0.29608127721335281</v>
      </c>
    </row>
    <row r="1575" spans="1:8" ht="15.75" hidden="1" customHeight="1" x14ac:dyDescent="0.25">
      <c r="A1575" s="15" t="s">
        <v>183</v>
      </c>
      <c r="B1575" s="11" t="s">
        <v>187</v>
      </c>
      <c r="C1575" s="15"/>
      <c r="D1575" s="31" t="s">
        <v>21</v>
      </c>
      <c r="E1575" s="32">
        <v>27</v>
      </c>
      <c r="F1575" s="18">
        <f>E1575* 0.999328295549958</f>
        <v>26.981863979848864</v>
      </c>
      <c r="G1575" s="18">
        <f>E1575* 0.000335852225020991</f>
        <v>9.0680100755667573E-3</v>
      </c>
      <c r="H1575" s="18">
        <f>E1575* 0.000335852225020991</f>
        <v>9.0680100755667573E-3</v>
      </c>
    </row>
    <row r="1576" spans="1:8" ht="15.75" hidden="1" customHeight="1" x14ac:dyDescent="0.25">
      <c r="A1576" s="15" t="s">
        <v>183</v>
      </c>
      <c r="B1576" s="11" t="s">
        <v>187</v>
      </c>
      <c r="C1576" s="15"/>
      <c r="D1576" s="31" t="s">
        <v>28</v>
      </c>
      <c r="E1576" s="32">
        <v>0</v>
      </c>
      <c r="F1576" s="18">
        <f>E1576* 0.00116550116550117</f>
        <v>0</v>
      </c>
      <c r="G1576" s="18">
        <f>E1576* 0.998834498834499</f>
        <v>0</v>
      </c>
      <c r="H1576" s="20">
        <v>0</v>
      </c>
    </row>
    <row r="1577" spans="1:8" ht="15.75" hidden="1" customHeight="1" x14ac:dyDescent="0.25">
      <c r="A1577" s="15" t="s">
        <v>183</v>
      </c>
      <c r="B1577" s="11" t="s">
        <v>187</v>
      </c>
      <c r="C1577" s="15"/>
      <c r="D1577" s="31" t="s">
        <v>12</v>
      </c>
      <c r="E1577" s="32">
        <v>18</v>
      </c>
      <c r="F1577" s="18">
        <f>E1577* 0.894051651143099</f>
        <v>16.092929720575782</v>
      </c>
      <c r="G1577" s="18">
        <f>E1577* 0.0675804403048264</f>
        <v>1.2164479254868752</v>
      </c>
      <c r="H1577" s="18">
        <f>E1577* 0.0382091447925487</f>
        <v>0.68776460626587665</v>
      </c>
    </row>
    <row r="1578" spans="1:8" ht="15.75" hidden="1" customHeight="1" x14ac:dyDescent="0.25">
      <c r="A1578" s="15" t="s">
        <v>183</v>
      </c>
      <c r="B1578" s="36"/>
      <c r="C1578" s="36"/>
      <c r="D1578" s="31"/>
      <c r="E1578" s="35"/>
    </row>
    <row r="1579" spans="1:8" ht="15.75" hidden="1" customHeight="1" x14ac:dyDescent="0.25">
      <c r="A1579" s="15" t="s">
        <v>183</v>
      </c>
      <c r="B1579" s="11" t="s">
        <v>188</v>
      </c>
      <c r="C1579" s="12" t="str">
        <f>B1579&amp;"_"&amp;A1579</f>
        <v>Caiza_Potosí</v>
      </c>
      <c r="E1579" s="22">
        <v>6</v>
      </c>
      <c r="F1579" s="14">
        <f t="shared" ref="F1579:H1579" si="148">SUM(F1580:F1587)</f>
        <v>3.0261636319251055</v>
      </c>
      <c r="G1579" s="14">
        <f t="shared" si="148"/>
        <v>2.8308099566968785</v>
      </c>
      <c r="H1579" s="14">
        <f t="shared" si="148"/>
        <v>0.14293620751729005</v>
      </c>
    </row>
    <row r="1580" spans="1:8" ht="15.75" hidden="1" customHeight="1" x14ac:dyDescent="0.25">
      <c r="A1580" s="15" t="s">
        <v>183</v>
      </c>
      <c r="B1580" s="11" t="s">
        <v>188</v>
      </c>
      <c r="C1580" s="15"/>
      <c r="D1580" s="31" t="s">
        <v>15</v>
      </c>
      <c r="E1580" s="32">
        <v>1</v>
      </c>
      <c r="F1580" s="18">
        <f>E1580* 0.975464549882735</f>
        <v>0.97546454988273501</v>
      </c>
      <c r="G1580" s="18">
        <f>E1580* 0.00487100847916291</f>
        <v>4.8710084791629103E-3</v>
      </c>
      <c r="H1580" s="18">
        <f>E1580* 0.0195742377773769</f>
        <v>1.95742377773769E-2</v>
      </c>
    </row>
    <row r="1581" spans="1:8" ht="15.75" hidden="1" customHeight="1" x14ac:dyDescent="0.25">
      <c r="A1581" s="15" t="s">
        <v>183</v>
      </c>
      <c r="B1581" s="11" t="s">
        <v>188</v>
      </c>
      <c r="C1581" s="15"/>
      <c r="D1581" s="31" t="s">
        <v>16</v>
      </c>
      <c r="E1581" s="32">
        <v>1</v>
      </c>
      <c r="F1581" s="18">
        <f>E1581* 0.0607843137254902</f>
        <v>6.0784313725490202E-2</v>
      </c>
      <c r="G1581" s="18">
        <f>E1581* 0.93921568627451</f>
        <v>0.93921568627451002</v>
      </c>
      <c r="H1581" s="20">
        <v>0</v>
      </c>
    </row>
    <row r="1582" spans="1:8" ht="15.75" hidden="1" customHeight="1" x14ac:dyDescent="0.25">
      <c r="A1582" s="15" t="s">
        <v>183</v>
      </c>
      <c r="B1582" s="11" t="s">
        <v>188</v>
      </c>
      <c r="C1582" s="15"/>
      <c r="D1582" s="31" t="s">
        <v>11</v>
      </c>
      <c r="E1582" s="32">
        <v>1</v>
      </c>
      <c r="F1582" s="18">
        <f>E1582* 0.175725756639901</f>
        <v>0.175725756639901</v>
      </c>
      <c r="G1582" s="18">
        <f>E1582* 0.823656578134651</f>
        <v>0.82365657813465099</v>
      </c>
      <c r="H1582" s="18">
        <f>E1582* 0.000617665225447807</f>
        <v>6.1766522544780701E-4</v>
      </c>
    </row>
    <row r="1583" spans="1:8" ht="15.75" hidden="1" customHeight="1" x14ac:dyDescent="0.25">
      <c r="A1583" s="15" t="s">
        <v>183</v>
      </c>
      <c r="B1583" s="11" t="s">
        <v>188</v>
      </c>
      <c r="C1583" s="15"/>
      <c r="D1583" s="31" t="s">
        <v>17</v>
      </c>
      <c r="E1583" s="32">
        <v>2</v>
      </c>
      <c r="F1583" s="18">
        <f>E1583* 0.869679539852095</f>
        <v>1.73935907970419</v>
      </c>
      <c r="G1583" s="18">
        <f>E1583* 0.0695152013147083</f>
        <v>0.1390304026294166</v>
      </c>
      <c r="H1583" s="18">
        <f>E1583* 0.0608052588331964</f>
        <v>0.1216105176663928</v>
      </c>
    </row>
    <row r="1584" spans="1:8" ht="15.75" hidden="1" customHeight="1" x14ac:dyDescent="0.25">
      <c r="A1584" s="15" t="s">
        <v>183</v>
      </c>
      <c r="B1584" s="11" t="s">
        <v>188</v>
      </c>
      <c r="C1584" s="15"/>
      <c r="D1584" s="31" t="s">
        <v>18</v>
      </c>
      <c r="E1584" s="32">
        <v>0</v>
      </c>
      <c r="F1584" s="18">
        <f>E1584* 0.941463414634146</f>
        <v>0</v>
      </c>
      <c r="G1584" s="18">
        <f>E1584* 0.0532833020637899</f>
        <v>0</v>
      </c>
      <c r="H1584" s="18">
        <f>E1584* 0.00487804878048781</f>
        <v>0</v>
      </c>
    </row>
    <row r="1585" spans="1:8" ht="15.75" hidden="1" customHeight="1" x14ac:dyDescent="0.25">
      <c r="A1585" s="15" t="s">
        <v>183</v>
      </c>
      <c r="B1585" s="11" t="s">
        <v>188</v>
      </c>
      <c r="C1585" s="15"/>
      <c r="D1585" s="31" t="s">
        <v>19</v>
      </c>
      <c r="E1585" s="32">
        <v>1</v>
      </c>
      <c r="F1585" s="18">
        <f>E1585* 0.0748299319727891</f>
        <v>7.4829931972789102E-2</v>
      </c>
      <c r="G1585" s="18">
        <f>E1585* 0.924036281179138</f>
        <v>0.92403628117913805</v>
      </c>
      <c r="H1585" s="18">
        <f>E1585* 0.00113378684807256</f>
        <v>1.13378684807256E-3</v>
      </c>
    </row>
    <row r="1586" spans="1:8" ht="15.75" hidden="1" customHeight="1" x14ac:dyDescent="0.25">
      <c r="A1586" s="15" t="s">
        <v>183</v>
      </c>
      <c r="B1586" s="11" t="s">
        <v>188</v>
      </c>
      <c r="C1586" s="15"/>
      <c r="D1586" s="31" t="s">
        <v>20</v>
      </c>
      <c r="E1586" s="32">
        <v>0</v>
      </c>
      <c r="F1586" s="18">
        <f>E1586* 0.799709724238026</f>
        <v>0</v>
      </c>
      <c r="G1586" s="18">
        <f>E1586* 0.150580551523948</f>
        <v>0</v>
      </c>
      <c r="H1586" s="18">
        <f>E1586* 0.0493468795355588</f>
        <v>0</v>
      </c>
    </row>
    <row r="1587" spans="1:8" ht="15.75" hidden="1" customHeight="1" x14ac:dyDescent="0.25">
      <c r="A1587" s="15" t="s">
        <v>183</v>
      </c>
      <c r="B1587" s="11" t="s">
        <v>188</v>
      </c>
      <c r="C1587" s="15"/>
      <c r="D1587" s="31" t="s">
        <v>12</v>
      </c>
      <c r="E1587" s="32">
        <v>0</v>
      </c>
      <c r="F1587" s="18">
        <f>E1587* 0.894051651143099</f>
        <v>0</v>
      </c>
      <c r="G1587" s="18">
        <f>E1587* 0.0675804403048264</f>
        <v>0</v>
      </c>
      <c r="H1587" s="18">
        <f>E1587* 0.0382091447925487</f>
        <v>0</v>
      </c>
    </row>
    <row r="1588" spans="1:8" ht="15.75" hidden="1" customHeight="1" x14ac:dyDescent="0.25">
      <c r="A1588" s="15" t="s">
        <v>183</v>
      </c>
      <c r="B1588" s="33"/>
      <c r="C1588" s="33"/>
      <c r="D1588" s="34"/>
      <c r="E1588" s="35"/>
    </row>
    <row r="1589" spans="1:8" ht="15.75" hidden="1" customHeight="1" x14ac:dyDescent="0.25">
      <c r="A1589" s="15" t="s">
        <v>183</v>
      </c>
      <c r="B1589" s="11" t="s">
        <v>189</v>
      </c>
      <c r="C1589" s="12" t="str">
        <f>B1589&amp;"_"&amp;A1589</f>
        <v>Caripuyo_Potosí</v>
      </c>
      <c r="E1589" s="22">
        <v>2</v>
      </c>
      <c r="F1589" s="14">
        <f t="shared" ref="F1589:H1589" si="149">SUM(F1590:F1591)</f>
        <v>1.869007835402053</v>
      </c>
      <c r="G1589" s="14">
        <f t="shared" si="149"/>
        <v>6.9851053539729285E-2</v>
      </c>
      <c r="H1589" s="14">
        <f t="shared" si="149"/>
        <v>6.1141111058217394E-2</v>
      </c>
    </row>
    <row r="1590" spans="1:8" ht="15.75" hidden="1" customHeight="1" x14ac:dyDescent="0.25">
      <c r="A1590" s="15" t="s">
        <v>183</v>
      </c>
      <c r="B1590" s="11" t="s">
        <v>189</v>
      </c>
      <c r="C1590" s="15"/>
      <c r="D1590" s="31" t="s">
        <v>17</v>
      </c>
      <c r="E1590" s="32">
        <v>1</v>
      </c>
      <c r="F1590" s="18">
        <f>E1590* 0.869679539852095</f>
        <v>0.86967953985209501</v>
      </c>
      <c r="G1590" s="18">
        <f>E1590* 0.0695152013147083</f>
        <v>6.95152013147083E-2</v>
      </c>
      <c r="H1590" s="18">
        <f>E1590* 0.0608052588331964</f>
        <v>6.0805258833196402E-2</v>
      </c>
    </row>
    <row r="1591" spans="1:8" ht="15.75" hidden="1" customHeight="1" x14ac:dyDescent="0.25">
      <c r="A1591" s="15" t="s">
        <v>183</v>
      </c>
      <c r="B1591" s="11" t="s">
        <v>189</v>
      </c>
      <c r="C1591" s="15"/>
      <c r="D1591" s="31" t="s">
        <v>21</v>
      </c>
      <c r="E1591" s="32">
        <v>1</v>
      </c>
      <c r="F1591" s="18">
        <f>E1591* 0.999328295549958</f>
        <v>0.99932829554995795</v>
      </c>
      <c r="G1591" s="18">
        <f>E1591* 0.000335852225020991</f>
        <v>3.3585222502099103E-4</v>
      </c>
      <c r="H1591" s="18">
        <f>E1591* 0.000335852225020991</f>
        <v>3.3585222502099103E-4</v>
      </c>
    </row>
    <row r="1592" spans="1:8" ht="15.75" hidden="1" customHeight="1" x14ac:dyDescent="0.25">
      <c r="A1592" s="15" t="s">
        <v>183</v>
      </c>
      <c r="B1592" s="33"/>
      <c r="C1592" s="33"/>
      <c r="D1592" s="34"/>
      <c r="E1592" s="35"/>
    </row>
    <row r="1593" spans="1:8" ht="15.75" hidden="1" customHeight="1" x14ac:dyDescent="0.25">
      <c r="A1593" s="15" t="s">
        <v>183</v>
      </c>
      <c r="B1593" s="11" t="s">
        <v>190</v>
      </c>
      <c r="C1593" s="12" t="str">
        <f>B1593&amp;"_"&amp;A1593</f>
        <v>Chaqui_Potosí</v>
      </c>
      <c r="E1593" s="22">
        <v>13</v>
      </c>
      <c r="F1593" s="14">
        <f t="shared" ref="F1593:H1593" si="150">SUM(F1594:F1601)</f>
        <v>10.850856584076453</v>
      </c>
      <c r="G1593" s="14">
        <f t="shared" si="150"/>
        <v>1.9309909565819201</v>
      </c>
      <c r="H1593" s="14">
        <f t="shared" si="150"/>
        <v>0.2174957603415969</v>
      </c>
    </row>
    <row r="1594" spans="1:8" ht="15.75" hidden="1" customHeight="1" x14ac:dyDescent="0.25">
      <c r="A1594" s="15" t="s">
        <v>183</v>
      </c>
      <c r="B1594" s="11" t="s">
        <v>190</v>
      </c>
      <c r="C1594" s="15"/>
      <c r="D1594" s="31" t="s">
        <v>15</v>
      </c>
      <c r="E1594" s="32">
        <v>2</v>
      </c>
      <c r="F1594" s="18">
        <f>E1594* 0.975464549882735</f>
        <v>1.95092909976547</v>
      </c>
      <c r="G1594" s="18">
        <f>E1594* 0.00487100847916291</f>
        <v>9.7420169583258207E-3</v>
      </c>
      <c r="H1594" s="18">
        <f>E1594* 0.0195742377773769</f>
        <v>3.91484755547538E-2</v>
      </c>
    </row>
    <row r="1595" spans="1:8" ht="15.75" hidden="1" customHeight="1" x14ac:dyDescent="0.25">
      <c r="A1595" s="15" t="s">
        <v>183</v>
      </c>
      <c r="B1595" s="11" t="s">
        <v>190</v>
      </c>
      <c r="C1595" s="15"/>
      <c r="D1595" s="31" t="s">
        <v>16</v>
      </c>
      <c r="E1595" s="32">
        <v>0</v>
      </c>
      <c r="F1595" s="18">
        <f>E1595* 0.0607843137254902</f>
        <v>0</v>
      </c>
      <c r="G1595" s="18">
        <f>E1595* 0.93921568627451</f>
        <v>0</v>
      </c>
      <c r="H1595" s="20">
        <v>0</v>
      </c>
    </row>
    <row r="1596" spans="1:8" ht="15.75" hidden="1" customHeight="1" x14ac:dyDescent="0.25">
      <c r="A1596" s="15" t="s">
        <v>183</v>
      </c>
      <c r="B1596" s="11" t="s">
        <v>190</v>
      </c>
      <c r="C1596" s="15"/>
      <c r="D1596" s="31" t="s">
        <v>11</v>
      </c>
      <c r="E1596" s="32">
        <v>2</v>
      </c>
      <c r="F1596" s="18">
        <f>E1596* 0.175725756639901</f>
        <v>0.35145151327980201</v>
      </c>
      <c r="G1596" s="18">
        <f>E1596* 0.823656578134651</f>
        <v>1.647313156269302</v>
      </c>
      <c r="H1596" s="18">
        <f>E1596* 0.000617665225447807</f>
        <v>1.235330450895614E-3</v>
      </c>
    </row>
    <row r="1597" spans="1:8" ht="15.75" hidden="1" customHeight="1" x14ac:dyDescent="0.25">
      <c r="A1597" s="15" t="s">
        <v>183</v>
      </c>
      <c r="B1597" s="11" t="s">
        <v>190</v>
      </c>
      <c r="C1597" s="15"/>
      <c r="D1597" s="31" t="s">
        <v>17</v>
      </c>
      <c r="E1597" s="32">
        <v>1</v>
      </c>
      <c r="F1597" s="18">
        <f>E1597* 0.869679539852095</f>
        <v>0.86967953985209501</v>
      </c>
      <c r="G1597" s="18">
        <f>E1597* 0.0695152013147083</f>
        <v>6.95152013147083E-2</v>
      </c>
      <c r="H1597" s="18">
        <f>E1597* 0.0608052588331964</f>
        <v>6.0805258833196402E-2</v>
      </c>
    </row>
    <row r="1598" spans="1:8" ht="15.75" hidden="1" customHeight="1" x14ac:dyDescent="0.25">
      <c r="A1598" s="15" t="s">
        <v>183</v>
      </c>
      <c r="B1598" s="11" t="s">
        <v>190</v>
      </c>
      <c r="C1598" s="15"/>
      <c r="D1598" s="31" t="s">
        <v>19</v>
      </c>
      <c r="E1598" s="32">
        <v>0</v>
      </c>
      <c r="F1598" s="18">
        <f>E1598* 0.0748299319727891</f>
        <v>0</v>
      </c>
      <c r="G1598" s="18">
        <f>E1598* 0.924036281179138</f>
        <v>0</v>
      </c>
      <c r="H1598" s="18">
        <f>E1598* 0.00113378684807256</f>
        <v>0</v>
      </c>
    </row>
    <row r="1599" spans="1:8" ht="15.75" hidden="1" customHeight="1" x14ac:dyDescent="0.25">
      <c r="A1599" s="15" t="s">
        <v>183</v>
      </c>
      <c r="B1599" s="11" t="s">
        <v>190</v>
      </c>
      <c r="C1599" s="15"/>
      <c r="D1599" s="31" t="s">
        <v>20</v>
      </c>
      <c r="E1599" s="32">
        <v>0</v>
      </c>
      <c r="F1599" s="18">
        <f>E1599* 0.799709724238026</f>
        <v>0</v>
      </c>
      <c r="G1599" s="18">
        <f>E1599* 0.150580551523948</f>
        <v>0</v>
      </c>
      <c r="H1599" s="18">
        <f>E1599* 0.0493468795355588</f>
        <v>0</v>
      </c>
    </row>
    <row r="1600" spans="1:8" ht="15.75" hidden="1" customHeight="1" x14ac:dyDescent="0.25">
      <c r="A1600" s="15" t="s">
        <v>183</v>
      </c>
      <c r="B1600" s="11" t="s">
        <v>190</v>
      </c>
      <c r="C1600" s="15"/>
      <c r="D1600" s="31" t="s">
        <v>21</v>
      </c>
      <c r="E1600" s="32">
        <v>5</v>
      </c>
      <c r="F1600" s="18">
        <f>E1600* 0.999328295549958</f>
        <v>4.9966414777497894</v>
      </c>
      <c r="G1600" s="18">
        <f>E1600* 0.000335852225020991</f>
        <v>1.6792611251049551E-3</v>
      </c>
      <c r="H1600" s="18">
        <f>E1600* 0.000335852225020991</f>
        <v>1.6792611251049551E-3</v>
      </c>
    </row>
    <row r="1601" spans="1:8" ht="15.75" hidden="1" customHeight="1" x14ac:dyDescent="0.25">
      <c r="A1601" s="15" t="s">
        <v>183</v>
      </c>
      <c r="B1601" s="11" t="s">
        <v>190</v>
      </c>
      <c r="C1601" s="15"/>
      <c r="D1601" s="31" t="s">
        <v>12</v>
      </c>
      <c r="E1601" s="32">
        <v>3</v>
      </c>
      <c r="F1601" s="18">
        <f>E1601* 0.894051651143099</f>
        <v>2.682154953429297</v>
      </c>
      <c r="G1601" s="18">
        <f>E1601* 0.0675804403048264</f>
        <v>0.20274132091447922</v>
      </c>
      <c r="H1601" s="18">
        <f>E1601* 0.0382091447925487</f>
        <v>0.11462743437764611</v>
      </c>
    </row>
    <row r="1602" spans="1:8" ht="15.75" hidden="1" customHeight="1" x14ac:dyDescent="0.25">
      <c r="A1602" s="15" t="s">
        <v>183</v>
      </c>
      <c r="B1602" s="33"/>
      <c r="C1602" s="33"/>
      <c r="D1602" s="34"/>
      <c r="E1602" s="35"/>
    </row>
    <row r="1603" spans="1:8" ht="15.75" hidden="1" customHeight="1" x14ac:dyDescent="0.25">
      <c r="A1603" s="15" t="s">
        <v>183</v>
      </c>
      <c r="B1603" s="11" t="s">
        <v>191</v>
      </c>
      <c r="C1603" s="12" t="str">
        <f>B1603&amp;"_"&amp;A1603</f>
        <v>Chayanta_Potosí</v>
      </c>
      <c r="E1603" s="22">
        <v>32</v>
      </c>
      <c r="F1603" s="14">
        <f t="shared" ref="F1603:H1603" si="151">SUM(F1604:F1611)</f>
        <v>26.771216642885129</v>
      </c>
      <c r="G1603" s="14">
        <f t="shared" si="151"/>
        <v>4.334401054040721</v>
      </c>
      <c r="H1603" s="14">
        <f t="shared" si="151"/>
        <v>0.88954849428515592</v>
      </c>
    </row>
    <row r="1604" spans="1:8" ht="15.75" hidden="1" customHeight="1" x14ac:dyDescent="0.25">
      <c r="A1604" s="15" t="s">
        <v>183</v>
      </c>
      <c r="B1604" s="11" t="s">
        <v>191</v>
      </c>
      <c r="C1604" s="15"/>
      <c r="D1604" s="31" t="s">
        <v>15</v>
      </c>
      <c r="E1604" s="32">
        <v>2</v>
      </c>
      <c r="F1604" s="18">
        <f>E1604* 0.975464549882735</f>
        <v>1.95092909976547</v>
      </c>
      <c r="G1604" s="18">
        <f>E1604* 0.00487100847916291</f>
        <v>9.7420169583258207E-3</v>
      </c>
      <c r="H1604" s="18">
        <f>E1604* 0.0195742377773769</f>
        <v>3.91484755547538E-2</v>
      </c>
    </row>
    <row r="1605" spans="1:8" ht="15.75" hidden="1" customHeight="1" x14ac:dyDescent="0.25">
      <c r="A1605" s="15" t="s">
        <v>183</v>
      </c>
      <c r="B1605" s="11" t="s">
        <v>191</v>
      </c>
      <c r="C1605" s="15"/>
      <c r="D1605" s="31" t="s">
        <v>11</v>
      </c>
      <c r="E1605" s="32">
        <v>2</v>
      </c>
      <c r="F1605" s="18">
        <f>E1605* 0.175725756639901</f>
        <v>0.35145151327980201</v>
      </c>
      <c r="G1605" s="18">
        <f>E1605* 0.823656578134651</f>
        <v>1.647313156269302</v>
      </c>
      <c r="H1605" s="18">
        <f>E1605* 0.000617665225447807</f>
        <v>1.235330450895614E-3</v>
      </c>
    </row>
    <row r="1606" spans="1:8" ht="15.75" hidden="1" customHeight="1" x14ac:dyDescent="0.25">
      <c r="A1606" s="15" t="s">
        <v>183</v>
      </c>
      <c r="B1606" s="11" t="s">
        <v>191</v>
      </c>
      <c r="C1606" s="15"/>
      <c r="D1606" s="31" t="s">
        <v>17</v>
      </c>
      <c r="E1606" s="32">
        <v>3</v>
      </c>
      <c r="F1606" s="18">
        <f>E1606* 0.869679539852095</f>
        <v>2.6090386195562849</v>
      </c>
      <c r="G1606" s="18">
        <f>E1606* 0.0695152013147083</f>
        <v>0.20854560394412491</v>
      </c>
      <c r="H1606" s="18">
        <f>E1606* 0.0608052588331964</f>
        <v>0.18241577649958921</v>
      </c>
    </row>
    <row r="1607" spans="1:8" ht="15.75" hidden="1" customHeight="1" x14ac:dyDescent="0.25">
      <c r="A1607" s="15" t="s">
        <v>183</v>
      </c>
      <c r="B1607" s="11" t="s">
        <v>191</v>
      </c>
      <c r="C1607" s="15"/>
      <c r="D1607" s="31" t="s">
        <v>18</v>
      </c>
      <c r="E1607" s="32">
        <v>4</v>
      </c>
      <c r="F1607" s="18">
        <f>E1607* 0.941463414634146</f>
        <v>3.7658536585365838</v>
      </c>
      <c r="G1607" s="18">
        <f>E1607* 0.0532833020637899</f>
        <v>0.21313320825515961</v>
      </c>
      <c r="H1607" s="18">
        <f>E1607* 0.00487804878048781</f>
        <v>1.951219512195124E-2</v>
      </c>
    </row>
    <row r="1608" spans="1:8" ht="15.75" hidden="1" customHeight="1" x14ac:dyDescent="0.25">
      <c r="A1608" s="15" t="s">
        <v>183</v>
      </c>
      <c r="B1608" s="11" t="s">
        <v>191</v>
      </c>
      <c r="C1608" s="15"/>
      <c r="D1608" s="31" t="s">
        <v>19</v>
      </c>
      <c r="E1608" s="32">
        <v>1</v>
      </c>
      <c r="F1608" s="18">
        <f>E1608* 0.0748299319727891</f>
        <v>7.4829931972789102E-2</v>
      </c>
      <c r="G1608" s="18">
        <f>E1608* 0.924036281179138</f>
        <v>0.92403628117913805</v>
      </c>
      <c r="H1608" s="18">
        <f>E1608* 0.00113378684807256</f>
        <v>1.13378684807256E-3</v>
      </c>
    </row>
    <row r="1609" spans="1:8" ht="15.75" hidden="1" customHeight="1" x14ac:dyDescent="0.25">
      <c r="A1609" s="15" t="s">
        <v>183</v>
      </c>
      <c r="B1609" s="11" t="s">
        <v>191</v>
      </c>
      <c r="C1609" s="15"/>
      <c r="D1609" s="31" t="s">
        <v>20</v>
      </c>
      <c r="E1609" s="32">
        <v>3</v>
      </c>
      <c r="F1609" s="18">
        <f>E1609* 0.799709724238026</f>
        <v>2.399129172714078</v>
      </c>
      <c r="G1609" s="18">
        <f>E1609* 0.150580551523948</f>
        <v>0.45174165457184401</v>
      </c>
      <c r="H1609" s="18">
        <f>E1609* 0.0493468795355588</f>
        <v>0.14804063860667641</v>
      </c>
    </row>
    <row r="1610" spans="1:8" ht="15.75" hidden="1" customHeight="1" x14ac:dyDescent="0.25">
      <c r="A1610" s="15" t="s">
        <v>183</v>
      </c>
      <c r="B1610" s="11" t="s">
        <v>191</v>
      </c>
      <c r="C1610" s="15"/>
      <c r="D1610" s="31" t="s">
        <v>21</v>
      </c>
      <c r="E1610" s="32">
        <v>4</v>
      </c>
      <c r="F1610" s="18">
        <f>E1610* 0.999328295549958</f>
        <v>3.9973131821998318</v>
      </c>
      <c r="G1610" s="18">
        <f>E1610* 0.000335852225020991</f>
        <v>1.3434089000839641E-3</v>
      </c>
      <c r="H1610" s="18">
        <f>E1610* 0.000335852225020991</f>
        <v>1.3434089000839641E-3</v>
      </c>
    </row>
    <row r="1611" spans="1:8" ht="15.75" hidden="1" customHeight="1" x14ac:dyDescent="0.25">
      <c r="A1611" s="15" t="s">
        <v>183</v>
      </c>
      <c r="B1611" s="11" t="s">
        <v>191</v>
      </c>
      <c r="C1611" s="15"/>
      <c r="D1611" s="31" t="s">
        <v>12</v>
      </c>
      <c r="E1611" s="32">
        <v>13</v>
      </c>
      <c r="F1611" s="18">
        <f>E1611* 0.894051651143099</f>
        <v>11.622671464860288</v>
      </c>
      <c r="G1611" s="18">
        <f>E1611* 0.0675804403048264</f>
        <v>0.87854572396274322</v>
      </c>
      <c r="H1611" s="18">
        <f>E1611* 0.0382091447925487</f>
        <v>0.4967188823031331</v>
      </c>
    </row>
    <row r="1612" spans="1:8" ht="15.75" hidden="1" customHeight="1" x14ac:dyDescent="0.25">
      <c r="A1612" s="15" t="s">
        <v>183</v>
      </c>
      <c r="B1612" s="33"/>
      <c r="C1612" s="33"/>
      <c r="D1612" s="34"/>
      <c r="E1612" s="35"/>
    </row>
    <row r="1613" spans="1:8" ht="15.75" hidden="1" customHeight="1" x14ac:dyDescent="0.25">
      <c r="A1613" s="15" t="s">
        <v>183</v>
      </c>
      <c r="B1613" s="11" t="s">
        <v>192</v>
      </c>
      <c r="C1613" s="12" t="str">
        <f>B1613&amp;"_"&amp;A1613</f>
        <v>Colcha (Villa Martín)_Potosí</v>
      </c>
      <c r="E1613" s="22">
        <v>284</v>
      </c>
      <c r="F1613" s="14">
        <f t="shared" ref="F1613:H1613" si="152">SUM(F1614:F1623)</f>
        <v>164.89228939470186</v>
      </c>
      <c r="G1613" s="14">
        <f t="shared" si="152"/>
        <v>57.115292942904219</v>
      </c>
      <c r="H1613" s="14">
        <f t="shared" si="152"/>
        <v>9.9762484999859407</v>
      </c>
    </row>
    <row r="1614" spans="1:8" ht="15.75" hidden="1" customHeight="1" x14ac:dyDescent="0.25">
      <c r="A1614" s="15" t="s">
        <v>183</v>
      </c>
      <c r="B1614" s="11" t="s">
        <v>192</v>
      </c>
      <c r="C1614" s="15"/>
      <c r="D1614" s="31" t="s">
        <v>14</v>
      </c>
      <c r="E1614" s="37"/>
      <c r="F1614" s="20">
        <v>0</v>
      </c>
      <c r="G1614" s="20">
        <v>0</v>
      </c>
      <c r="H1614" s="20">
        <v>0</v>
      </c>
    </row>
    <row r="1615" spans="1:8" ht="15.75" hidden="1" customHeight="1" x14ac:dyDescent="0.25">
      <c r="A1615" s="15" t="s">
        <v>183</v>
      </c>
      <c r="B1615" s="11" t="s">
        <v>192</v>
      </c>
      <c r="C1615" s="15"/>
      <c r="D1615" s="31" t="s">
        <v>15</v>
      </c>
      <c r="E1615" s="32">
        <v>1</v>
      </c>
      <c r="F1615" s="18">
        <f>E1615* 0.975464549882735</f>
        <v>0.97546454988273501</v>
      </c>
      <c r="G1615" s="18">
        <f>E1615* 0.00487100847916291</f>
        <v>4.8710084791629103E-3</v>
      </c>
      <c r="H1615" s="18">
        <f>E1615* 0.0195742377773769</f>
        <v>1.95742377773769E-2</v>
      </c>
    </row>
    <row r="1616" spans="1:8" ht="15.75" hidden="1" customHeight="1" x14ac:dyDescent="0.25">
      <c r="A1616" s="15" t="s">
        <v>183</v>
      </c>
      <c r="B1616" s="11" t="s">
        <v>192</v>
      </c>
      <c r="C1616" s="15"/>
      <c r="D1616" s="31" t="s">
        <v>16</v>
      </c>
      <c r="E1616" s="32">
        <v>4</v>
      </c>
      <c r="F1616" s="18">
        <f>E1616* 0.0607843137254902</f>
        <v>0.24313725490196081</v>
      </c>
      <c r="G1616" s="18">
        <f>E1616* 0.93921568627451</f>
        <v>3.7568627450980401</v>
      </c>
      <c r="H1616" s="20">
        <v>0</v>
      </c>
    </row>
    <row r="1617" spans="1:8" ht="15.75" hidden="1" customHeight="1" x14ac:dyDescent="0.25">
      <c r="A1617" s="15" t="s">
        <v>183</v>
      </c>
      <c r="B1617" s="11" t="s">
        <v>192</v>
      </c>
      <c r="C1617" s="15"/>
      <c r="D1617" s="31" t="s">
        <v>11</v>
      </c>
      <c r="E1617" s="32">
        <v>33</v>
      </c>
      <c r="F1617" s="18">
        <f>E1617* 0.175725756639901</f>
        <v>5.798949969116733</v>
      </c>
      <c r="G1617" s="18">
        <f>E1617* 0.823656578134651</f>
        <v>27.180667078443484</v>
      </c>
      <c r="H1617" s="18">
        <f>E1617* 0.000617665225447807</f>
        <v>2.038295243977763E-2</v>
      </c>
    </row>
    <row r="1618" spans="1:8" ht="15.75" hidden="1" customHeight="1" x14ac:dyDescent="0.25">
      <c r="A1618" s="15" t="s">
        <v>183</v>
      </c>
      <c r="B1618" s="11" t="s">
        <v>192</v>
      </c>
      <c r="C1618" s="15"/>
      <c r="D1618" s="31" t="s">
        <v>17</v>
      </c>
      <c r="E1618" s="32">
        <v>158</v>
      </c>
      <c r="F1618" s="18">
        <f>E1618* 0.869679539852095</f>
        <v>137.40936729663102</v>
      </c>
      <c r="G1618" s="18">
        <f>E1618* 0.0695152013147083</f>
        <v>10.983401807723912</v>
      </c>
      <c r="H1618" s="18">
        <f>E1618* 0.0608052588331964</f>
        <v>9.6072308956450314</v>
      </c>
    </row>
    <row r="1619" spans="1:8" ht="15.75" hidden="1" customHeight="1" x14ac:dyDescent="0.25">
      <c r="A1619" s="15" t="s">
        <v>183</v>
      </c>
      <c r="B1619" s="11" t="s">
        <v>192</v>
      </c>
      <c r="C1619" s="15"/>
      <c r="D1619" s="31" t="s">
        <v>31</v>
      </c>
      <c r="E1619" s="32">
        <v>3</v>
      </c>
      <c r="F1619" s="18">
        <f>E1619* 0.93</f>
        <v>2.79</v>
      </c>
      <c r="G1619" s="18">
        <f>F1619* 0.05</f>
        <v>0.13950000000000001</v>
      </c>
      <c r="H1619" s="18">
        <f>E1619* 0.02</f>
        <v>0.06</v>
      </c>
    </row>
    <row r="1620" spans="1:8" ht="15.75" hidden="1" customHeight="1" x14ac:dyDescent="0.25">
      <c r="A1620" s="15" t="s">
        <v>183</v>
      </c>
      <c r="B1620" s="11" t="s">
        <v>192</v>
      </c>
      <c r="C1620" s="15"/>
      <c r="D1620" s="31" t="s">
        <v>18</v>
      </c>
      <c r="E1620" s="32">
        <v>11</v>
      </c>
      <c r="F1620" s="18">
        <f>E1620* 0.941463414634146</f>
        <v>10.356097560975606</v>
      </c>
      <c r="G1620" s="18">
        <f>E1620* 0.0532833020637899</f>
        <v>0.5861163227016889</v>
      </c>
      <c r="H1620" s="18">
        <f>E1620* 0.00487804878048781</f>
        <v>5.3658536585365908E-2</v>
      </c>
    </row>
    <row r="1621" spans="1:8" ht="15.75" hidden="1" customHeight="1" x14ac:dyDescent="0.25">
      <c r="A1621" s="15" t="s">
        <v>183</v>
      </c>
      <c r="B1621" s="11" t="s">
        <v>192</v>
      </c>
      <c r="C1621" s="15"/>
      <c r="D1621" s="31" t="s">
        <v>19</v>
      </c>
      <c r="E1621" s="32">
        <v>15</v>
      </c>
      <c r="F1621" s="18">
        <f>E1621* 0.0748299319727891</f>
        <v>1.1224489795918364</v>
      </c>
      <c r="G1621" s="18">
        <f>E1621* 0.924036281179138</f>
        <v>13.860544217687071</v>
      </c>
      <c r="H1621" s="18">
        <f>E1621* 0.00113378684807256</f>
        <v>1.7006802721088399E-2</v>
      </c>
    </row>
    <row r="1622" spans="1:8" ht="15.75" hidden="1" customHeight="1" x14ac:dyDescent="0.25">
      <c r="A1622" s="15" t="s">
        <v>183</v>
      </c>
      <c r="B1622" s="11" t="s">
        <v>192</v>
      </c>
      <c r="C1622" s="15"/>
      <c r="D1622" s="31" t="s">
        <v>20</v>
      </c>
      <c r="E1622" s="32">
        <v>4</v>
      </c>
      <c r="F1622" s="18">
        <f>E1622* 0.799709724238026</f>
        <v>3.198838896952104</v>
      </c>
      <c r="G1622" s="18">
        <f>E1622* 0.150580551523948</f>
        <v>0.60232220609579201</v>
      </c>
      <c r="H1622" s="18">
        <f>E1622* 0.0493468795355588</f>
        <v>0.19738751814223521</v>
      </c>
    </row>
    <row r="1623" spans="1:8" ht="15.75" hidden="1" customHeight="1" x14ac:dyDescent="0.25">
      <c r="A1623" s="15" t="s">
        <v>183</v>
      </c>
      <c r="B1623" s="11" t="s">
        <v>192</v>
      </c>
      <c r="C1623" s="15"/>
      <c r="D1623" s="31" t="s">
        <v>21</v>
      </c>
      <c r="E1623" s="32">
        <v>3</v>
      </c>
      <c r="F1623" s="18">
        <f>E1623* 0.999328295549958</f>
        <v>2.9979848866498737</v>
      </c>
      <c r="G1623" s="18">
        <f>E1623* 0.000335852225020991</f>
        <v>1.0075566750629731E-3</v>
      </c>
      <c r="H1623" s="18">
        <f>E1623* 0.000335852225020991</f>
        <v>1.0075566750629731E-3</v>
      </c>
    </row>
    <row r="1624" spans="1:8" ht="15.75" hidden="1" customHeight="1" x14ac:dyDescent="0.25">
      <c r="A1624" s="15" t="s">
        <v>183</v>
      </c>
      <c r="B1624" s="11" t="s">
        <v>192</v>
      </c>
      <c r="C1624" s="15"/>
      <c r="D1624" s="31" t="s">
        <v>36</v>
      </c>
      <c r="E1624" s="35"/>
      <c r="F1624" s="24">
        <f>E1624</f>
        <v>0</v>
      </c>
      <c r="G1624" s="20">
        <v>0</v>
      </c>
      <c r="H1624" s="20">
        <v>0</v>
      </c>
    </row>
    <row r="1625" spans="1:8" ht="15.75" hidden="1" customHeight="1" x14ac:dyDescent="0.25">
      <c r="A1625" s="15" t="s">
        <v>183</v>
      </c>
      <c r="B1625" s="11" t="s">
        <v>192</v>
      </c>
      <c r="C1625" s="15"/>
      <c r="D1625" s="31" t="s">
        <v>28</v>
      </c>
      <c r="E1625" s="32">
        <v>1</v>
      </c>
      <c r="F1625" s="18">
        <f>E1625* 0.00116550116550117</f>
        <v>1.1655011655011701E-3</v>
      </c>
      <c r="G1625" s="18">
        <f>E1625* 0.998834498834499</f>
        <v>0.99883449883449904</v>
      </c>
      <c r="H1625" s="20">
        <v>0</v>
      </c>
    </row>
    <row r="1626" spans="1:8" ht="15.75" hidden="1" customHeight="1" x14ac:dyDescent="0.25">
      <c r="A1626" s="15" t="s">
        <v>183</v>
      </c>
      <c r="B1626" s="11" t="s">
        <v>192</v>
      </c>
      <c r="C1626" s="15"/>
      <c r="D1626" s="31" t="s">
        <v>12</v>
      </c>
      <c r="E1626" s="32">
        <v>51</v>
      </c>
      <c r="F1626" s="18">
        <f>E1626* 0.894051651143099</f>
        <v>45.596634208298049</v>
      </c>
      <c r="G1626" s="18">
        <f>E1626* 0.0675804403048264</f>
        <v>3.4466024555461465</v>
      </c>
      <c r="H1626" s="18">
        <f>E1626* 0.0382091447925487</f>
        <v>1.9486663844199836</v>
      </c>
    </row>
    <row r="1627" spans="1:8" ht="15.75" hidden="1" customHeight="1" x14ac:dyDescent="0.25">
      <c r="A1627" s="15" t="s">
        <v>183</v>
      </c>
      <c r="B1627" s="33"/>
      <c r="C1627" s="33"/>
      <c r="D1627" s="34"/>
      <c r="E1627" s="35"/>
    </row>
    <row r="1628" spans="1:8" ht="15.75" hidden="1" customHeight="1" x14ac:dyDescent="0.25">
      <c r="A1628" s="15" t="s">
        <v>183</v>
      </c>
      <c r="B1628" s="11" t="s">
        <v>193</v>
      </c>
      <c r="C1628" s="12" t="str">
        <f>B1628&amp;"_"&amp;A1628</f>
        <v>Colquechaca_Potosí</v>
      </c>
      <c r="E1628" s="22">
        <v>2</v>
      </c>
      <c r="F1628" s="14">
        <f t="shared" ref="F1628:H1628" si="153">SUM(F1629:F1630)</f>
        <v>0.35145151327980201</v>
      </c>
      <c r="G1628" s="14">
        <f t="shared" si="153"/>
        <v>1.647313156269302</v>
      </c>
      <c r="H1628" s="14">
        <f t="shared" si="153"/>
        <v>1.235330450895614E-3</v>
      </c>
    </row>
    <row r="1629" spans="1:8" ht="15.75" hidden="1" customHeight="1" x14ac:dyDescent="0.25">
      <c r="A1629" s="15" t="s">
        <v>183</v>
      </c>
      <c r="B1629" s="11" t="s">
        <v>193</v>
      </c>
      <c r="C1629" s="15"/>
      <c r="D1629" s="31" t="s">
        <v>11</v>
      </c>
      <c r="E1629" s="32">
        <v>2</v>
      </c>
      <c r="F1629" s="18">
        <f>E1629* 0.175725756639901</f>
        <v>0.35145151327980201</v>
      </c>
      <c r="G1629" s="18">
        <f>E1629* 0.823656578134651</f>
        <v>1.647313156269302</v>
      </c>
      <c r="H1629" s="18">
        <f>E1629* 0.000617665225447807</f>
        <v>1.235330450895614E-3</v>
      </c>
    </row>
    <row r="1630" spans="1:8" ht="15.75" hidden="1" customHeight="1" x14ac:dyDescent="0.25">
      <c r="A1630" s="15" t="s">
        <v>183</v>
      </c>
      <c r="B1630" s="11" t="s">
        <v>193</v>
      </c>
      <c r="C1630" s="15"/>
      <c r="D1630" s="31" t="s">
        <v>17</v>
      </c>
      <c r="E1630" s="32">
        <v>0</v>
      </c>
      <c r="F1630" s="18">
        <f>E1630* 0.869679539852095</f>
        <v>0</v>
      </c>
      <c r="G1630" s="18">
        <f>E1630* 0.0695152013147083</f>
        <v>0</v>
      </c>
      <c r="H1630" s="18">
        <f>E1630* 0.0608052588331964</f>
        <v>0</v>
      </c>
    </row>
    <row r="1631" spans="1:8" ht="15.75" hidden="1" customHeight="1" x14ac:dyDescent="0.25">
      <c r="A1631" s="15" t="s">
        <v>183</v>
      </c>
      <c r="B1631" s="33"/>
      <c r="C1631" s="33"/>
      <c r="D1631" s="34"/>
      <c r="E1631" s="35"/>
    </row>
    <row r="1632" spans="1:8" ht="15.75" hidden="1" customHeight="1" x14ac:dyDescent="0.25">
      <c r="A1632" s="15" t="s">
        <v>183</v>
      </c>
      <c r="B1632" s="11" t="s">
        <v>194</v>
      </c>
      <c r="C1632" s="12" t="str">
        <f>B1632&amp;"_"&amp;A1632</f>
        <v>Cotagaita_Potosí</v>
      </c>
      <c r="E1632" s="22">
        <v>93</v>
      </c>
      <c r="F1632" s="14">
        <f t="shared" ref="F1632:H1632" si="154">SUM(F1633:F1641)</f>
        <v>64.854344820416173</v>
      </c>
      <c r="G1632" s="14">
        <f t="shared" si="154"/>
        <v>25.465957138452495</v>
      </c>
      <c r="H1632" s="14">
        <f t="shared" si="154"/>
        <v>2.6746296219701198</v>
      </c>
    </row>
    <row r="1633" spans="1:8" ht="15.75" hidden="1" customHeight="1" x14ac:dyDescent="0.25">
      <c r="A1633" s="15" t="s">
        <v>183</v>
      </c>
      <c r="B1633" s="11" t="s">
        <v>194</v>
      </c>
      <c r="C1633" s="15"/>
      <c r="D1633" s="31" t="s">
        <v>15</v>
      </c>
      <c r="E1633" s="32">
        <v>3</v>
      </c>
      <c r="F1633" s="18">
        <f>E1633* 0.975464549882735</f>
        <v>2.926393649648205</v>
      </c>
      <c r="G1633" s="18">
        <f>E1633* 0.00487100847916291</f>
        <v>1.4613025437488731E-2</v>
      </c>
      <c r="H1633" s="18">
        <f>E1633* 0.0195742377773769</f>
        <v>5.8722713332130701E-2</v>
      </c>
    </row>
    <row r="1634" spans="1:8" ht="15.75" hidden="1" customHeight="1" x14ac:dyDescent="0.25">
      <c r="A1634" s="15" t="s">
        <v>183</v>
      </c>
      <c r="B1634" s="11" t="s">
        <v>194</v>
      </c>
      <c r="C1634" s="15"/>
      <c r="D1634" s="31" t="s">
        <v>16</v>
      </c>
      <c r="E1634" s="32">
        <v>2</v>
      </c>
      <c r="F1634" s="18">
        <f>E1634* 0.0607843137254902</f>
        <v>0.1215686274509804</v>
      </c>
      <c r="G1634" s="18">
        <f>E1634* 0.93921568627451</f>
        <v>1.87843137254902</v>
      </c>
      <c r="H1634" s="20">
        <v>0</v>
      </c>
    </row>
    <row r="1635" spans="1:8" ht="15.75" hidden="1" customHeight="1" x14ac:dyDescent="0.25">
      <c r="A1635" s="15" t="s">
        <v>183</v>
      </c>
      <c r="B1635" s="11" t="s">
        <v>194</v>
      </c>
      <c r="C1635" s="15"/>
      <c r="D1635" s="31" t="s">
        <v>11</v>
      </c>
      <c r="E1635" s="32">
        <v>24</v>
      </c>
      <c r="F1635" s="18">
        <f>E1635* 0.175725756639901</f>
        <v>4.2174181593576243</v>
      </c>
      <c r="G1635" s="18">
        <f>E1635* 0.823656578134651</f>
        <v>19.767757875231624</v>
      </c>
      <c r="H1635" s="18">
        <f>E1635* 0.000617665225447807</f>
        <v>1.4823965410747368E-2</v>
      </c>
    </row>
    <row r="1636" spans="1:8" ht="15.75" hidden="1" customHeight="1" x14ac:dyDescent="0.25">
      <c r="A1636" s="15" t="s">
        <v>183</v>
      </c>
      <c r="B1636" s="11" t="s">
        <v>194</v>
      </c>
      <c r="C1636" s="15"/>
      <c r="D1636" s="31" t="s">
        <v>17</v>
      </c>
      <c r="E1636" s="32">
        <v>27</v>
      </c>
      <c r="F1636" s="18">
        <f>E1636* 0.869679539852095</f>
        <v>23.481347576006566</v>
      </c>
      <c r="G1636" s="18">
        <f>E1636* 0.0695152013147083</f>
        <v>1.876910435497124</v>
      </c>
      <c r="H1636" s="18">
        <f>E1636* 0.0608052588331964</f>
        <v>1.6417419884963029</v>
      </c>
    </row>
    <row r="1637" spans="1:8" ht="15.75" hidden="1" customHeight="1" x14ac:dyDescent="0.25">
      <c r="A1637" s="15" t="s">
        <v>183</v>
      </c>
      <c r="B1637" s="11" t="s">
        <v>194</v>
      </c>
      <c r="C1637" s="15"/>
      <c r="D1637" s="31" t="s">
        <v>18</v>
      </c>
      <c r="E1637" s="32">
        <v>1</v>
      </c>
      <c r="F1637" s="18">
        <f>E1637* 0.941463414634146</f>
        <v>0.94146341463414596</v>
      </c>
      <c r="G1637" s="18">
        <f>E1637* 0.0532833020637899</f>
        <v>5.3283302063789902E-2</v>
      </c>
      <c r="H1637" s="18">
        <f>E1637* 0.00487804878048781</f>
        <v>4.8780487804878101E-3</v>
      </c>
    </row>
    <row r="1638" spans="1:8" ht="15.75" hidden="1" customHeight="1" x14ac:dyDescent="0.25">
      <c r="A1638" s="15" t="s">
        <v>183</v>
      </c>
      <c r="B1638" s="11" t="s">
        <v>194</v>
      </c>
      <c r="C1638" s="15"/>
      <c r="D1638" s="31" t="s">
        <v>19</v>
      </c>
      <c r="E1638" s="32">
        <v>0</v>
      </c>
      <c r="F1638" s="18">
        <f>E1638* 0.0748299319727891</f>
        <v>0</v>
      </c>
      <c r="G1638" s="18">
        <f>E1638* 0.924036281179138</f>
        <v>0</v>
      </c>
      <c r="H1638" s="18">
        <f>E1638* 0.00113378684807256</f>
        <v>0</v>
      </c>
    </row>
    <row r="1639" spans="1:8" ht="15.75" hidden="1" customHeight="1" x14ac:dyDescent="0.25">
      <c r="A1639" s="15" t="s">
        <v>183</v>
      </c>
      <c r="B1639" s="11" t="s">
        <v>194</v>
      </c>
      <c r="C1639" s="15"/>
      <c r="D1639" s="31" t="s">
        <v>20</v>
      </c>
      <c r="E1639" s="32">
        <v>3</v>
      </c>
      <c r="F1639" s="18">
        <f>E1639* 0.799709724238026</f>
        <v>2.399129172714078</v>
      </c>
      <c r="G1639" s="18">
        <f>E1639* 0.150580551523948</f>
        <v>0.45174165457184401</v>
      </c>
      <c r="H1639" s="18">
        <f>E1639* 0.0493468795355588</f>
        <v>0.14804063860667641</v>
      </c>
    </row>
    <row r="1640" spans="1:8" ht="15.75" hidden="1" customHeight="1" x14ac:dyDescent="0.25">
      <c r="A1640" s="15" t="s">
        <v>183</v>
      </c>
      <c r="B1640" s="11" t="s">
        <v>194</v>
      </c>
      <c r="C1640" s="15"/>
      <c r="D1640" s="31" t="s">
        <v>21</v>
      </c>
      <c r="E1640" s="32">
        <v>12</v>
      </c>
      <c r="F1640" s="18">
        <f>E1640* 0.999328295549958</f>
        <v>11.991939546599495</v>
      </c>
      <c r="G1640" s="18">
        <f>E1640* 0.000335852225020991</f>
        <v>4.0302267002518925E-3</v>
      </c>
      <c r="H1640" s="18">
        <f>E1640* 0.000335852225020991</f>
        <v>4.0302267002518925E-3</v>
      </c>
    </row>
    <row r="1641" spans="1:8" ht="15.75" hidden="1" customHeight="1" x14ac:dyDescent="0.25">
      <c r="A1641" s="15" t="s">
        <v>183</v>
      </c>
      <c r="B1641" s="11" t="s">
        <v>194</v>
      </c>
      <c r="C1641" s="15"/>
      <c r="D1641" s="31" t="s">
        <v>12</v>
      </c>
      <c r="E1641" s="32">
        <v>21</v>
      </c>
      <c r="F1641" s="18">
        <f>E1641* 0.894051651143099</f>
        <v>18.775084674005079</v>
      </c>
      <c r="G1641" s="18">
        <f>E1641* 0.0675804403048264</f>
        <v>1.4191892464013545</v>
      </c>
      <c r="H1641" s="18">
        <f>E1641* 0.0382091447925487</f>
        <v>0.80239204064352276</v>
      </c>
    </row>
    <row r="1642" spans="1:8" ht="15.75" hidden="1" customHeight="1" x14ac:dyDescent="0.25">
      <c r="A1642" s="15" t="s">
        <v>183</v>
      </c>
      <c r="B1642" s="33"/>
      <c r="C1642" s="33"/>
      <c r="D1642" s="34"/>
      <c r="E1642" s="35"/>
    </row>
    <row r="1643" spans="1:8" ht="15.75" hidden="1" customHeight="1" x14ac:dyDescent="0.25">
      <c r="A1643" s="15" t="s">
        <v>183</v>
      </c>
      <c r="B1643" s="11" t="s">
        <v>195</v>
      </c>
      <c r="C1643" s="12" t="str">
        <f>B1643&amp;"_"&amp;A1643</f>
        <v>Llallagua_Potosí</v>
      </c>
      <c r="E1643" s="22">
        <v>1687</v>
      </c>
      <c r="F1643" s="14">
        <f t="shared" ref="F1643:H1643" si="155">SUM(F1644:F1657)</f>
        <v>1387.7045699408752</v>
      </c>
      <c r="G1643" s="14">
        <f t="shared" si="155"/>
        <v>252.75549196812005</v>
      </c>
      <c r="H1643" s="14">
        <f t="shared" si="155"/>
        <v>46.330502860665604</v>
      </c>
    </row>
    <row r="1644" spans="1:8" ht="15.75" hidden="1" customHeight="1" x14ac:dyDescent="0.25">
      <c r="A1644" s="15" t="s">
        <v>183</v>
      </c>
      <c r="B1644" s="11" t="s">
        <v>195</v>
      </c>
      <c r="C1644" s="15"/>
      <c r="D1644" s="31" t="s">
        <v>14</v>
      </c>
      <c r="E1644" s="32">
        <v>0</v>
      </c>
      <c r="F1644" s="20">
        <v>0</v>
      </c>
      <c r="G1644" s="24">
        <f>E1644</f>
        <v>0</v>
      </c>
      <c r="H1644" s="20">
        <v>0</v>
      </c>
    </row>
    <row r="1645" spans="1:8" ht="15.75" hidden="1" customHeight="1" x14ac:dyDescent="0.25">
      <c r="A1645" s="15" t="s">
        <v>183</v>
      </c>
      <c r="B1645" s="11" t="s">
        <v>195</v>
      </c>
      <c r="C1645" s="15"/>
      <c r="D1645" s="31" t="s">
        <v>15</v>
      </c>
      <c r="E1645" s="32">
        <v>86</v>
      </c>
      <c r="F1645" s="18">
        <f>E1645* 0.975464549882735</f>
        <v>83.889951289915217</v>
      </c>
      <c r="G1645" s="18">
        <f>E1645* 0.00487100847916291</f>
        <v>0.41890672920801031</v>
      </c>
      <c r="H1645" s="18">
        <f>E1645* 0.0195742377773769</f>
        <v>1.6833844488544134</v>
      </c>
    </row>
    <row r="1646" spans="1:8" ht="15.75" hidden="1" customHeight="1" x14ac:dyDescent="0.25">
      <c r="A1646" s="15" t="s">
        <v>183</v>
      </c>
      <c r="B1646" s="11" t="s">
        <v>195</v>
      </c>
      <c r="C1646" s="15"/>
      <c r="D1646" s="31" t="s">
        <v>16</v>
      </c>
      <c r="E1646" s="32">
        <v>36</v>
      </c>
      <c r="F1646" s="18">
        <f>E1646* 0.0607843137254902</f>
        <v>2.1882352941176473</v>
      </c>
      <c r="G1646" s="18">
        <f>E1646* 0.93921568627451</f>
        <v>33.811764705882361</v>
      </c>
      <c r="H1646" s="20">
        <v>0</v>
      </c>
    </row>
    <row r="1647" spans="1:8" ht="15.75" hidden="1" customHeight="1" x14ac:dyDescent="0.25">
      <c r="A1647" s="15" t="s">
        <v>183</v>
      </c>
      <c r="B1647" s="11" t="s">
        <v>195</v>
      </c>
      <c r="C1647" s="15"/>
      <c r="D1647" s="31" t="s">
        <v>11</v>
      </c>
      <c r="E1647" s="32">
        <v>147</v>
      </c>
      <c r="F1647" s="18">
        <f>E1647* 0.175725756639901</f>
        <v>25.831686226065447</v>
      </c>
      <c r="G1647" s="18">
        <f>E1647* 0.823656578134651</f>
        <v>121.07751698579369</v>
      </c>
      <c r="H1647" s="18">
        <f>E1647* 0.000617665225447807</f>
        <v>9.0796788140827631E-2</v>
      </c>
    </row>
    <row r="1648" spans="1:8" ht="15.75" hidden="1" customHeight="1" x14ac:dyDescent="0.25">
      <c r="A1648" s="15" t="s">
        <v>183</v>
      </c>
      <c r="B1648" s="11" t="s">
        <v>195</v>
      </c>
      <c r="C1648" s="15"/>
      <c r="D1648" s="31" t="s">
        <v>17</v>
      </c>
      <c r="E1648" s="32">
        <v>73</v>
      </c>
      <c r="F1648" s="18">
        <f>E1648* 0.869679539852095</f>
        <v>63.486606409202935</v>
      </c>
      <c r="G1648" s="18">
        <f>E1648* 0.0695152013147083</f>
        <v>5.0746096959737059</v>
      </c>
      <c r="H1648" s="18">
        <f>E1648* 0.0608052588331964</f>
        <v>4.4387838948233371</v>
      </c>
    </row>
    <row r="1649" spans="1:8" ht="15.75" hidden="1" customHeight="1" x14ac:dyDescent="0.25">
      <c r="A1649" s="15" t="s">
        <v>183</v>
      </c>
      <c r="B1649" s="11" t="s">
        <v>195</v>
      </c>
      <c r="C1649" s="15"/>
      <c r="D1649" s="31" t="s">
        <v>31</v>
      </c>
      <c r="E1649" s="32">
        <v>3</v>
      </c>
      <c r="F1649" s="18">
        <f>E1649* 0.93</f>
        <v>2.79</v>
      </c>
      <c r="G1649" s="18">
        <f>F1649* 0.05</f>
        <v>0.13950000000000001</v>
      </c>
      <c r="H1649" s="18">
        <f>E1649* 0.02</f>
        <v>0.06</v>
      </c>
    </row>
    <row r="1650" spans="1:8" ht="15.75" hidden="1" customHeight="1" x14ac:dyDescent="0.25">
      <c r="A1650" s="15" t="s">
        <v>183</v>
      </c>
      <c r="B1650" s="11" t="s">
        <v>195</v>
      </c>
      <c r="C1650" s="15"/>
      <c r="D1650" s="31" t="s">
        <v>18</v>
      </c>
      <c r="E1650" s="32">
        <v>30</v>
      </c>
      <c r="F1650" s="18">
        <f>E1650* 0.941463414634146</f>
        <v>28.243902439024378</v>
      </c>
      <c r="G1650" s="18">
        <f>E1650* 0.0532833020637899</f>
        <v>1.598499061913697</v>
      </c>
      <c r="H1650" s="18">
        <f>E1650* 0.00487804878048781</f>
        <v>0.1463414634146343</v>
      </c>
    </row>
    <row r="1651" spans="1:8" ht="15.75" hidden="1" customHeight="1" x14ac:dyDescent="0.25">
      <c r="A1651" s="15" t="s">
        <v>183</v>
      </c>
      <c r="B1651" s="11" t="s">
        <v>195</v>
      </c>
      <c r="C1651" s="15"/>
      <c r="D1651" s="31" t="s">
        <v>19</v>
      </c>
      <c r="E1651" s="32">
        <v>9</v>
      </c>
      <c r="F1651" s="18">
        <f>E1651* 0.0748299319727891</f>
        <v>0.6734693877551019</v>
      </c>
      <c r="G1651" s="18">
        <f>E1651* 0.924036281179138</f>
        <v>8.3163265306122423</v>
      </c>
      <c r="H1651" s="18">
        <f>E1651* 0.00113378684807256</f>
        <v>1.020408163265304E-2</v>
      </c>
    </row>
    <row r="1652" spans="1:8" ht="15.75" hidden="1" customHeight="1" x14ac:dyDescent="0.25">
      <c r="A1652" s="15" t="s">
        <v>183</v>
      </c>
      <c r="B1652" s="11" t="s">
        <v>195</v>
      </c>
      <c r="C1652" s="15"/>
      <c r="D1652" s="31" t="s">
        <v>20</v>
      </c>
      <c r="E1652" s="32">
        <v>92</v>
      </c>
      <c r="F1652" s="18">
        <f>E1652* 0.799709724238026</f>
        <v>73.573294629898385</v>
      </c>
      <c r="G1652" s="18">
        <f>E1652* 0.150580551523948</f>
        <v>13.853410740203216</v>
      </c>
      <c r="H1652" s="18">
        <f>E1652* 0.0493468795355588</f>
        <v>4.5399129172714101</v>
      </c>
    </row>
    <row r="1653" spans="1:8" ht="15.75" hidden="1" customHeight="1" x14ac:dyDescent="0.25">
      <c r="A1653" s="15" t="s">
        <v>183</v>
      </c>
      <c r="B1653" s="11" t="s">
        <v>195</v>
      </c>
      <c r="C1653" s="15"/>
      <c r="D1653" s="31" t="s">
        <v>21</v>
      </c>
      <c r="E1653" s="32">
        <v>280</v>
      </c>
      <c r="F1653" s="18">
        <f>E1653* 0.999328295549958</f>
        <v>279.8119227539882</v>
      </c>
      <c r="G1653" s="18">
        <f>E1653* 0.000335852225020991</f>
        <v>9.4038623005877481E-2</v>
      </c>
      <c r="H1653" s="18">
        <f>E1653* 0.000335852225020991</f>
        <v>9.4038623005877481E-2</v>
      </c>
    </row>
    <row r="1654" spans="1:8" ht="15.75" hidden="1" customHeight="1" x14ac:dyDescent="0.25">
      <c r="A1654" s="15" t="s">
        <v>183</v>
      </c>
      <c r="B1654" s="11" t="s">
        <v>195</v>
      </c>
      <c r="C1654" s="15"/>
      <c r="D1654" s="31" t="s">
        <v>36</v>
      </c>
      <c r="E1654" s="32">
        <v>2</v>
      </c>
      <c r="F1654" s="24">
        <f>E1654</f>
        <v>2</v>
      </c>
      <c r="G1654" s="20">
        <v>0</v>
      </c>
      <c r="H1654" s="20">
        <v>0</v>
      </c>
    </row>
    <row r="1655" spans="1:8" ht="15.75" hidden="1" customHeight="1" x14ac:dyDescent="0.25">
      <c r="A1655" s="15" t="s">
        <v>183</v>
      </c>
      <c r="B1655" s="11" t="s">
        <v>195</v>
      </c>
      <c r="C1655" s="15"/>
      <c r="D1655" s="31" t="s">
        <v>37</v>
      </c>
      <c r="E1655" s="32">
        <v>1</v>
      </c>
      <c r="F1655" s="20">
        <v>0</v>
      </c>
      <c r="G1655" s="24">
        <f>E1655</f>
        <v>1</v>
      </c>
      <c r="H1655" s="20">
        <v>0</v>
      </c>
    </row>
    <row r="1656" spans="1:8" ht="15.75" hidden="1" customHeight="1" x14ac:dyDescent="0.25">
      <c r="A1656" s="15" t="s">
        <v>183</v>
      </c>
      <c r="B1656" s="11" t="s">
        <v>195</v>
      </c>
      <c r="C1656" s="15"/>
      <c r="D1656" s="31" t="s">
        <v>28</v>
      </c>
      <c r="E1656" s="32">
        <v>5</v>
      </c>
      <c r="F1656" s="18">
        <f>E1656* 0.00116550116550117</f>
        <v>5.8275058275058505E-3</v>
      </c>
      <c r="G1656" s="18">
        <f>E1656* 0.998834498834499</f>
        <v>4.9941724941724956</v>
      </c>
      <c r="H1656" s="20">
        <v>0</v>
      </c>
    </row>
    <row r="1657" spans="1:8" ht="15.75" hidden="1" customHeight="1" x14ac:dyDescent="0.25">
      <c r="A1657" s="15" t="s">
        <v>183</v>
      </c>
      <c r="B1657" s="11" t="s">
        <v>195</v>
      </c>
      <c r="C1657" s="15"/>
      <c r="D1657" s="31" t="s">
        <v>12</v>
      </c>
      <c r="E1657" s="32">
        <v>923</v>
      </c>
      <c r="F1657" s="18">
        <f>E1657* 0.894051651143099</f>
        <v>825.20967400508039</v>
      </c>
      <c r="G1657" s="18">
        <f>E1657* 0.0675804403048264</f>
        <v>62.376746401354772</v>
      </c>
      <c r="H1657" s="18">
        <f>E1657* 0.0382091447925487</f>
        <v>35.267040643522449</v>
      </c>
    </row>
    <row r="1658" spans="1:8" ht="15.75" hidden="1" customHeight="1" x14ac:dyDescent="0.25">
      <c r="A1658" s="15" t="s">
        <v>183</v>
      </c>
      <c r="B1658" s="33"/>
      <c r="C1658" s="33"/>
      <c r="D1658" s="34"/>
      <c r="E1658" s="35"/>
    </row>
    <row r="1659" spans="1:8" ht="15.75" hidden="1" customHeight="1" x14ac:dyDescent="0.25">
      <c r="A1659" s="15" t="s">
        <v>183</v>
      </c>
      <c r="B1659" s="11" t="s">
        <v>196</v>
      </c>
      <c r="C1659" s="12" t="str">
        <f>B1659&amp;"_"&amp;A1659</f>
        <v>Llica_Potosí</v>
      </c>
      <c r="E1659" s="22">
        <v>21</v>
      </c>
      <c r="F1659" s="14">
        <f t="shared" ref="F1659:H1659" si="156">SUM(F1660:F1666)</f>
        <v>14.334029603078333</v>
      </c>
      <c r="G1659" s="14">
        <f t="shared" si="156"/>
        <v>5.9734168541323172</v>
      </c>
      <c r="H1659" s="14">
        <f t="shared" si="156"/>
        <v>0.6879530493689423</v>
      </c>
    </row>
    <row r="1660" spans="1:8" ht="15.75" hidden="1" customHeight="1" x14ac:dyDescent="0.25">
      <c r="A1660" s="15" t="s">
        <v>183</v>
      </c>
      <c r="B1660" s="11" t="s">
        <v>196</v>
      </c>
      <c r="C1660" s="15"/>
      <c r="D1660" s="31" t="s">
        <v>15</v>
      </c>
      <c r="E1660" s="32">
        <v>1</v>
      </c>
      <c r="F1660" s="18">
        <f>E1660* 0.975464549882735</f>
        <v>0.97546454988273501</v>
      </c>
      <c r="G1660" s="18">
        <f>E1660* 0.00487100847916291</f>
        <v>4.8710084791629103E-3</v>
      </c>
      <c r="H1660" s="18">
        <f>E1660* 0.0195742377773769</f>
        <v>1.95742377773769E-2</v>
      </c>
    </row>
    <row r="1661" spans="1:8" ht="15.75" hidden="1" customHeight="1" x14ac:dyDescent="0.25">
      <c r="A1661" s="15" t="s">
        <v>183</v>
      </c>
      <c r="B1661" s="11" t="s">
        <v>196</v>
      </c>
      <c r="C1661" s="15"/>
      <c r="D1661" s="31" t="s">
        <v>11</v>
      </c>
      <c r="E1661" s="32">
        <v>5</v>
      </c>
      <c r="F1661" s="18">
        <f>E1661* 0.175725756639901</f>
        <v>0.87862878319950499</v>
      </c>
      <c r="G1661" s="18">
        <f>E1661* 0.823656578134651</f>
        <v>4.1182828906732549</v>
      </c>
      <c r="H1661" s="18">
        <f>E1661* 0.000617665225447807</f>
        <v>3.088326127239035E-3</v>
      </c>
    </row>
    <row r="1662" spans="1:8" ht="15.75" hidden="1" customHeight="1" x14ac:dyDescent="0.25">
      <c r="A1662" s="15" t="s">
        <v>183</v>
      </c>
      <c r="B1662" s="11" t="s">
        <v>196</v>
      </c>
      <c r="C1662" s="15"/>
      <c r="D1662" s="31" t="s">
        <v>17</v>
      </c>
      <c r="E1662" s="32">
        <v>8</v>
      </c>
      <c r="F1662" s="18">
        <f>E1662* 0.869679539852095</f>
        <v>6.9574363188167601</v>
      </c>
      <c r="G1662" s="18">
        <f>E1662* 0.0695152013147083</f>
        <v>0.5561216105176664</v>
      </c>
      <c r="H1662" s="18">
        <f>E1662* 0.0608052588331964</f>
        <v>0.48644207066557121</v>
      </c>
    </row>
    <row r="1663" spans="1:8" ht="15.75" hidden="1" customHeight="1" x14ac:dyDescent="0.25">
      <c r="A1663" s="15" t="s">
        <v>183</v>
      </c>
      <c r="B1663" s="11" t="s">
        <v>196</v>
      </c>
      <c r="C1663" s="15"/>
      <c r="D1663" s="31" t="s">
        <v>31</v>
      </c>
      <c r="E1663" s="32">
        <v>1</v>
      </c>
      <c r="F1663" s="18">
        <f>E1663* 0.93</f>
        <v>0.93</v>
      </c>
      <c r="G1663" s="18">
        <f>F1663* 0.05</f>
        <v>4.6500000000000007E-2</v>
      </c>
      <c r="H1663" s="18">
        <f>E1663* 0.02</f>
        <v>0.02</v>
      </c>
    </row>
    <row r="1664" spans="1:8" ht="15.75" hidden="1" customHeight="1" x14ac:dyDescent="0.25">
      <c r="A1664" s="15" t="s">
        <v>183</v>
      </c>
      <c r="B1664" s="11" t="s">
        <v>196</v>
      </c>
      <c r="C1664" s="15"/>
      <c r="D1664" s="31" t="s">
        <v>18</v>
      </c>
      <c r="E1664" s="32">
        <v>1</v>
      </c>
      <c r="F1664" s="18">
        <f>E1664* 0.941463414634146</f>
        <v>0.94146341463414596</v>
      </c>
      <c r="G1664" s="18">
        <f>E1664* 0.0532833020637899</f>
        <v>5.3283302063789902E-2</v>
      </c>
      <c r="H1664" s="18">
        <f>E1664* 0.00487804878048781</f>
        <v>4.8780487804878101E-3</v>
      </c>
    </row>
    <row r="1665" spans="1:8" ht="15.75" hidden="1" customHeight="1" x14ac:dyDescent="0.25">
      <c r="A1665" s="15" t="s">
        <v>183</v>
      </c>
      <c r="B1665" s="11" t="s">
        <v>196</v>
      </c>
      <c r="C1665" s="15"/>
      <c r="D1665" s="31" t="s">
        <v>19</v>
      </c>
      <c r="E1665" s="32">
        <v>1</v>
      </c>
      <c r="F1665" s="18">
        <f>E1665* 0.0748299319727891</f>
        <v>7.4829931972789102E-2</v>
      </c>
      <c r="G1665" s="18">
        <f>E1665* 0.924036281179138</f>
        <v>0.92403628117913805</v>
      </c>
      <c r="H1665" s="18">
        <f>E1665* 0.00113378684807256</f>
        <v>1.13378684807256E-3</v>
      </c>
    </row>
    <row r="1666" spans="1:8" ht="15.75" hidden="1" customHeight="1" x14ac:dyDescent="0.25">
      <c r="A1666" s="15" t="s">
        <v>183</v>
      </c>
      <c r="B1666" s="11" t="s">
        <v>196</v>
      </c>
      <c r="C1666" s="15"/>
      <c r="D1666" s="31" t="s">
        <v>12</v>
      </c>
      <c r="E1666" s="32">
        <v>4</v>
      </c>
      <c r="F1666" s="18">
        <f>E1666* 0.894051651143099</f>
        <v>3.5762066045723961</v>
      </c>
      <c r="G1666" s="18">
        <f>E1666* 0.0675804403048264</f>
        <v>0.27032176121930562</v>
      </c>
      <c r="H1666" s="18">
        <f>E1666* 0.0382091447925487</f>
        <v>0.1528365791701948</v>
      </c>
    </row>
    <row r="1667" spans="1:8" ht="15.75" hidden="1" customHeight="1" x14ac:dyDescent="0.25">
      <c r="A1667" s="15" t="s">
        <v>183</v>
      </c>
      <c r="B1667" s="33"/>
      <c r="C1667" s="33"/>
      <c r="D1667" s="34"/>
      <c r="E1667" s="35"/>
    </row>
    <row r="1668" spans="1:8" ht="15.75" hidden="1" customHeight="1" x14ac:dyDescent="0.25">
      <c r="A1668" s="15" t="s">
        <v>183</v>
      </c>
      <c r="B1668" s="11" t="s">
        <v>197</v>
      </c>
      <c r="C1668" s="12" t="str">
        <f>B1668&amp;"_"&amp;A1668</f>
        <v>Ocuri_Potosí</v>
      </c>
      <c r="E1668" s="22">
        <v>1</v>
      </c>
      <c r="F1668" s="14">
        <f t="shared" ref="F1668:H1668" si="157">F1669</f>
        <v>0.97546454988273501</v>
      </c>
      <c r="G1668" s="14">
        <f t="shared" si="157"/>
        <v>4.8710084791629103E-3</v>
      </c>
      <c r="H1668" s="14">
        <f t="shared" si="157"/>
        <v>1.95742377773769E-2</v>
      </c>
    </row>
    <row r="1669" spans="1:8" ht="15.75" hidden="1" customHeight="1" x14ac:dyDescent="0.25">
      <c r="A1669" s="15" t="s">
        <v>183</v>
      </c>
      <c r="B1669" s="11" t="s">
        <v>197</v>
      </c>
      <c r="C1669" s="15"/>
      <c r="D1669" s="31" t="s">
        <v>15</v>
      </c>
      <c r="E1669" s="32">
        <v>1</v>
      </c>
      <c r="F1669" s="18">
        <f>E1669* 0.975464549882735</f>
        <v>0.97546454988273501</v>
      </c>
      <c r="G1669" s="18">
        <f>E1669* 0.00487100847916291</f>
        <v>4.8710084791629103E-3</v>
      </c>
      <c r="H1669" s="18">
        <f>E1669* 0.0195742377773769</f>
        <v>1.95742377773769E-2</v>
      </c>
    </row>
    <row r="1670" spans="1:8" ht="15.75" hidden="1" customHeight="1" x14ac:dyDescent="0.25">
      <c r="A1670" s="15" t="s">
        <v>183</v>
      </c>
      <c r="B1670" s="33"/>
      <c r="C1670" s="33"/>
      <c r="D1670" s="34"/>
      <c r="E1670" s="35"/>
    </row>
    <row r="1671" spans="1:8" ht="15.75" hidden="1" customHeight="1" x14ac:dyDescent="0.25">
      <c r="A1671" s="15" t="s">
        <v>183</v>
      </c>
      <c r="B1671" s="11" t="s">
        <v>198</v>
      </c>
      <c r="C1671" s="12" t="str">
        <f>B1671&amp;"_"&amp;A1671</f>
        <v>Pocoata_Potosí</v>
      </c>
      <c r="E1671" s="22">
        <v>9</v>
      </c>
      <c r="F1671" s="14">
        <f t="shared" ref="F1671:H1671" si="158">SUM(F1672:F1677)</f>
        <v>5.221054645843167</v>
      </c>
      <c r="G1671" s="14">
        <f t="shared" si="158"/>
        <v>3.6726372105587481</v>
      </c>
      <c r="H1671" s="14">
        <f t="shared" si="158"/>
        <v>0.10466083157136216</v>
      </c>
    </row>
    <row r="1672" spans="1:8" ht="15.75" hidden="1" customHeight="1" x14ac:dyDescent="0.25">
      <c r="A1672" s="15" t="s">
        <v>183</v>
      </c>
      <c r="B1672" s="11" t="s">
        <v>198</v>
      </c>
      <c r="C1672" s="15"/>
      <c r="D1672" s="31" t="s">
        <v>15</v>
      </c>
      <c r="E1672" s="32">
        <v>0</v>
      </c>
      <c r="F1672" s="18">
        <f>E1672* 0.975464549882735</f>
        <v>0</v>
      </c>
      <c r="G1672" s="18">
        <f>E1672* 0.00487100847916291</f>
        <v>0</v>
      </c>
      <c r="H1672" s="18">
        <f>E1672* 0.0195742377773769</f>
        <v>0</v>
      </c>
    </row>
    <row r="1673" spans="1:8" ht="15.75" hidden="1" customHeight="1" x14ac:dyDescent="0.25">
      <c r="A1673" s="15" t="s">
        <v>183</v>
      </c>
      <c r="B1673" s="11" t="s">
        <v>198</v>
      </c>
      <c r="C1673" s="15"/>
      <c r="D1673" s="31" t="s">
        <v>11</v>
      </c>
      <c r="E1673" s="32">
        <v>4</v>
      </c>
      <c r="F1673" s="18">
        <f>E1673* 0.175725756639901</f>
        <v>0.70290302655960402</v>
      </c>
      <c r="G1673" s="18">
        <f>E1673* 0.823656578134651</f>
        <v>3.2946263125386039</v>
      </c>
      <c r="H1673" s="18">
        <f>E1673* 0.000617665225447807</f>
        <v>2.470660901791228E-3</v>
      </c>
    </row>
    <row r="1674" spans="1:8" ht="15.75" hidden="1" customHeight="1" x14ac:dyDescent="0.25">
      <c r="A1674" s="15" t="s">
        <v>183</v>
      </c>
      <c r="B1674" s="11" t="s">
        <v>198</v>
      </c>
      <c r="C1674" s="15"/>
      <c r="D1674" s="31" t="s">
        <v>18</v>
      </c>
      <c r="E1674" s="32">
        <v>3</v>
      </c>
      <c r="F1674" s="18">
        <f>E1674* 0.941463414634146</f>
        <v>2.824390243902438</v>
      </c>
      <c r="G1674" s="18">
        <f>E1674* 0.0532833020637899</f>
        <v>0.15984990619136971</v>
      </c>
      <c r="H1674" s="18">
        <f>E1674* 0.00487804878048781</f>
        <v>1.4634146341463431E-2</v>
      </c>
    </row>
    <row r="1675" spans="1:8" ht="15.75" hidden="1" customHeight="1" x14ac:dyDescent="0.25">
      <c r="A1675" s="15" t="s">
        <v>183</v>
      </c>
      <c r="B1675" s="11" t="s">
        <v>198</v>
      </c>
      <c r="C1675" s="15"/>
      <c r="D1675" s="31" t="s">
        <v>19</v>
      </c>
      <c r="E1675" s="32">
        <v>0</v>
      </c>
      <c r="F1675" s="18">
        <f>E1675* 0.0748299319727891</f>
        <v>0</v>
      </c>
      <c r="G1675" s="18">
        <f>E1675* 0.924036281179138</f>
        <v>0</v>
      </c>
      <c r="H1675" s="18">
        <f>E1675* 0.00113378684807256</f>
        <v>0</v>
      </c>
    </row>
    <row r="1676" spans="1:8" ht="15.75" hidden="1" customHeight="1" x14ac:dyDescent="0.25">
      <c r="A1676" s="15" t="s">
        <v>183</v>
      </c>
      <c r="B1676" s="11" t="s">
        <v>198</v>
      </c>
      <c r="C1676" s="15"/>
      <c r="D1676" s="31" t="s">
        <v>20</v>
      </c>
      <c r="E1676" s="32">
        <v>1</v>
      </c>
      <c r="F1676" s="18">
        <f>E1676* 0.799709724238026</f>
        <v>0.799709724238026</v>
      </c>
      <c r="G1676" s="18">
        <f>E1676* 0.150580551523948</f>
        <v>0.150580551523948</v>
      </c>
      <c r="H1676" s="18">
        <f>E1676* 0.0493468795355588</f>
        <v>4.9346879535558802E-2</v>
      </c>
    </row>
    <row r="1677" spans="1:8" ht="15.75" hidden="1" customHeight="1" x14ac:dyDescent="0.25">
      <c r="A1677" s="15" t="s">
        <v>183</v>
      </c>
      <c r="B1677" s="11" t="s">
        <v>198</v>
      </c>
      <c r="C1677" s="15"/>
      <c r="D1677" s="31" t="s">
        <v>12</v>
      </c>
      <c r="E1677" s="32">
        <v>1</v>
      </c>
      <c r="F1677" s="18">
        <f>E1677* 0.894051651143099</f>
        <v>0.89405165114309904</v>
      </c>
      <c r="G1677" s="18">
        <f>E1677* 0.0675804403048264</f>
        <v>6.7580440304826406E-2</v>
      </c>
      <c r="H1677" s="18">
        <f>E1677* 0.0382091447925487</f>
        <v>3.8209144792548701E-2</v>
      </c>
    </row>
    <row r="1678" spans="1:8" ht="15.75" hidden="1" customHeight="1" x14ac:dyDescent="0.25">
      <c r="A1678" s="15" t="s">
        <v>183</v>
      </c>
      <c r="B1678" s="33"/>
      <c r="C1678" s="33"/>
      <c r="D1678" s="34"/>
      <c r="E1678" s="35"/>
    </row>
    <row r="1679" spans="1:8" ht="15.75" hidden="1" customHeight="1" x14ac:dyDescent="0.25">
      <c r="A1679" s="15" t="s">
        <v>183</v>
      </c>
      <c r="B1679" s="11" t="s">
        <v>199</v>
      </c>
      <c r="C1679" s="12" t="str">
        <f>B1679&amp;"_"&amp;A1679</f>
        <v>Porco_Potosí</v>
      </c>
      <c r="E1679" s="22">
        <v>226</v>
      </c>
      <c r="F1679" s="14">
        <f t="shared" ref="F1679:H1679" si="159">SUM(F1680:F1691)</f>
        <v>138.42887183467172</v>
      </c>
      <c r="G1679" s="14">
        <f t="shared" si="159"/>
        <v>81.835296798337652</v>
      </c>
      <c r="H1679" s="14">
        <f t="shared" si="159"/>
        <v>5.7061085339289335</v>
      </c>
    </row>
    <row r="1680" spans="1:8" ht="15.75" hidden="1" customHeight="1" x14ac:dyDescent="0.25">
      <c r="A1680" s="15" t="s">
        <v>183</v>
      </c>
      <c r="B1680" s="11" t="s">
        <v>199</v>
      </c>
      <c r="C1680" s="15"/>
      <c r="D1680" s="31" t="s">
        <v>14</v>
      </c>
      <c r="E1680" s="32">
        <v>0</v>
      </c>
      <c r="F1680" s="20">
        <v>0</v>
      </c>
      <c r="G1680" s="24">
        <f>E1680</f>
        <v>0</v>
      </c>
      <c r="H1680" s="20">
        <v>0</v>
      </c>
    </row>
    <row r="1681" spans="1:8" ht="15.75" hidden="1" customHeight="1" x14ac:dyDescent="0.25">
      <c r="A1681" s="15" t="s">
        <v>183</v>
      </c>
      <c r="B1681" s="11" t="s">
        <v>199</v>
      </c>
      <c r="C1681" s="15"/>
      <c r="D1681" s="31" t="s">
        <v>15</v>
      </c>
      <c r="E1681" s="32">
        <v>7</v>
      </c>
      <c r="F1681" s="18">
        <f>E1681* 0.975464549882735</f>
        <v>6.8282518491791446</v>
      </c>
      <c r="G1681" s="18">
        <f>E1681* 0.00487100847916291</f>
        <v>3.4097059354140369E-2</v>
      </c>
      <c r="H1681" s="18">
        <f>E1681* 0.0195742377773769</f>
        <v>0.13701966444163829</v>
      </c>
    </row>
    <row r="1682" spans="1:8" ht="15.75" hidden="1" customHeight="1" x14ac:dyDescent="0.25">
      <c r="A1682" s="15" t="s">
        <v>183</v>
      </c>
      <c r="B1682" s="11" t="s">
        <v>199</v>
      </c>
      <c r="C1682" s="15"/>
      <c r="D1682" s="31" t="s">
        <v>16</v>
      </c>
      <c r="E1682" s="32">
        <v>3</v>
      </c>
      <c r="F1682" s="18">
        <f>E1682* 0.0607843137254902</f>
        <v>0.18235294117647061</v>
      </c>
      <c r="G1682" s="18">
        <f>E1682* 0.93921568627451</f>
        <v>2.8176470588235301</v>
      </c>
      <c r="H1682" s="20">
        <v>0</v>
      </c>
    </row>
    <row r="1683" spans="1:8" ht="15.75" hidden="1" customHeight="1" x14ac:dyDescent="0.25">
      <c r="A1683" s="15" t="s">
        <v>183</v>
      </c>
      <c r="B1683" s="11" t="s">
        <v>199</v>
      </c>
      <c r="C1683" s="15"/>
      <c r="D1683" s="31" t="s">
        <v>11</v>
      </c>
      <c r="E1683" s="32">
        <v>78</v>
      </c>
      <c r="F1683" s="18">
        <f>E1683* 0.175725756639901</f>
        <v>13.706609017912278</v>
      </c>
      <c r="G1683" s="18">
        <f>E1683* 0.823656578134651</f>
        <v>64.245213094502773</v>
      </c>
      <c r="H1683" s="18">
        <f>E1683* 0.000617665225447807</f>
        <v>4.8177887584928948E-2</v>
      </c>
    </row>
    <row r="1684" spans="1:8" ht="15.75" hidden="1" customHeight="1" x14ac:dyDescent="0.25">
      <c r="A1684" s="15" t="s">
        <v>183</v>
      </c>
      <c r="B1684" s="11" t="s">
        <v>199</v>
      </c>
      <c r="C1684" s="15"/>
      <c r="D1684" s="31" t="s">
        <v>17</v>
      </c>
      <c r="E1684" s="32">
        <v>26</v>
      </c>
      <c r="F1684" s="18">
        <f>E1684* 0.869679539852095</f>
        <v>22.61166803615447</v>
      </c>
      <c r="G1684" s="18">
        <f>E1684* 0.0695152013147083</f>
        <v>1.8073952341824158</v>
      </c>
      <c r="H1684" s="18">
        <f>E1684* 0.0608052588331964</f>
        <v>1.5809367296631065</v>
      </c>
    </row>
    <row r="1685" spans="1:8" ht="15.75" hidden="1" customHeight="1" x14ac:dyDescent="0.25">
      <c r="A1685" s="15" t="s">
        <v>183</v>
      </c>
      <c r="B1685" s="11" t="s">
        <v>199</v>
      </c>
      <c r="C1685" s="15"/>
      <c r="D1685" s="31" t="s">
        <v>31</v>
      </c>
      <c r="E1685" s="32">
        <v>2</v>
      </c>
      <c r="F1685" s="18">
        <f>E1685* 0.93</f>
        <v>1.86</v>
      </c>
      <c r="G1685" s="18">
        <f>F1685* 0.05</f>
        <v>9.3000000000000013E-2</v>
      </c>
      <c r="H1685" s="18">
        <f>E1685* 0.02</f>
        <v>0.04</v>
      </c>
    </row>
    <row r="1686" spans="1:8" ht="15.75" hidden="1" customHeight="1" x14ac:dyDescent="0.25">
      <c r="A1686" s="15" t="s">
        <v>183</v>
      </c>
      <c r="B1686" s="11" t="s">
        <v>199</v>
      </c>
      <c r="C1686" s="15"/>
      <c r="D1686" s="31" t="s">
        <v>18</v>
      </c>
      <c r="E1686" s="32">
        <v>2</v>
      </c>
      <c r="F1686" s="18">
        <f>E1686* 0.941463414634146</f>
        <v>1.8829268292682919</v>
      </c>
      <c r="G1686" s="18">
        <f>E1686* 0.0532833020637899</f>
        <v>0.1065666041275798</v>
      </c>
      <c r="H1686" s="18">
        <f>E1686* 0.00487804878048781</f>
        <v>9.7560975609756202E-3</v>
      </c>
    </row>
    <row r="1687" spans="1:8" ht="15.75" hidden="1" customHeight="1" x14ac:dyDescent="0.25">
      <c r="A1687" s="15" t="s">
        <v>183</v>
      </c>
      <c r="B1687" s="11" t="s">
        <v>199</v>
      </c>
      <c r="C1687" s="15"/>
      <c r="D1687" s="31" t="s">
        <v>19</v>
      </c>
      <c r="E1687" s="32">
        <v>3</v>
      </c>
      <c r="F1687" s="18">
        <f>E1687* 0.0748299319727891</f>
        <v>0.22448979591836732</v>
      </c>
      <c r="G1687" s="18">
        <f>E1687* 0.924036281179138</f>
        <v>2.7721088435374144</v>
      </c>
      <c r="H1687" s="18">
        <f>E1687* 0.00113378684807256</f>
        <v>3.40136054421768E-3</v>
      </c>
    </row>
    <row r="1688" spans="1:8" ht="15.75" hidden="1" customHeight="1" x14ac:dyDescent="0.25">
      <c r="A1688" s="15" t="s">
        <v>183</v>
      </c>
      <c r="B1688" s="11" t="s">
        <v>199</v>
      </c>
      <c r="C1688" s="15"/>
      <c r="D1688" s="31" t="s">
        <v>20</v>
      </c>
      <c r="E1688" s="32">
        <v>33</v>
      </c>
      <c r="F1688" s="18">
        <f>E1688* 0.799709724238026</f>
        <v>26.39042089985486</v>
      </c>
      <c r="G1688" s="18">
        <f>E1688* 0.150580551523948</f>
        <v>4.9691582002902841</v>
      </c>
      <c r="H1688" s="18">
        <f>E1688* 0.0493468795355588</f>
        <v>1.6284470246734404</v>
      </c>
    </row>
    <row r="1689" spans="1:8" ht="15.75" hidden="1" customHeight="1" x14ac:dyDescent="0.25">
      <c r="A1689" s="15" t="s">
        <v>183</v>
      </c>
      <c r="B1689" s="11" t="s">
        <v>199</v>
      </c>
      <c r="C1689" s="15"/>
      <c r="D1689" s="31" t="s">
        <v>21</v>
      </c>
      <c r="E1689" s="32">
        <v>12</v>
      </c>
      <c r="F1689" s="18">
        <f>E1689* 0.999328295549958</f>
        <v>11.991939546599495</v>
      </c>
      <c r="G1689" s="18">
        <f>E1689* 0.000335852225020991</f>
        <v>4.0302267002518925E-3</v>
      </c>
      <c r="H1689" s="18">
        <f>E1689* 0.000335852225020991</f>
        <v>4.0302267002518925E-3</v>
      </c>
    </row>
    <row r="1690" spans="1:8" ht="15.75" hidden="1" customHeight="1" x14ac:dyDescent="0.25">
      <c r="A1690" s="15" t="s">
        <v>183</v>
      </c>
      <c r="B1690" s="11" t="s">
        <v>199</v>
      </c>
      <c r="C1690" s="15"/>
      <c r="D1690" s="31" t="s">
        <v>28</v>
      </c>
      <c r="E1690" s="32">
        <v>1</v>
      </c>
      <c r="F1690" s="18">
        <f>E1690* 0.00116550116550117</f>
        <v>1.1655011655011701E-3</v>
      </c>
      <c r="G1690" s="18">
        <f>E1690* 0.998834498834499</f>
        <v>0.99883449883449904</v>
      </c>
      <c r="H1690" s="20">
        <v>0</v>
      </c>
    </row>
    <row r="1691" spans="1:8" ht="15.75" hidden="1" customHeight="1" x14ac:dyDescent="0.25">
      <c r="A1691" s="15" t="s">
        <v>183</v>
      </c>
      <c r="B1691" s="11" t="s">
        <v>199</v>
      </c>
      <c r="C1691" s="15"/>
      <c r="D1691" s="31" t="s">
        <v>12</v>
      </c>
      <c r="E1691" s="32">
        <v>59</v>
      </c>
      <c r="F1691" s="18">
        <f>E1691* 0.894051651143099</f>
        <v>52.749047417442846</v>
      </c>
      <c r="G1691" s="18">
        <f>E1691* 0.0675804403048264</f>
        <v>3.9872459779847578</v>
      </c>
      <c r="H1691" s="18">
        <f>E1691* 0.0382091447925487</f>
        <v>2.2543395427603734</v>
      </c>
    </row>
    <row r="1692" spans="1:8" ht="15.75" hidden="1" customHeight="1" x14ac:dyDescent="0.25">
      <c r="A1692" s="15" t="s">
        <v>183</v>
      </c>
      <c r="B1692" s="33"/>
      <c r="C1692" s="33"/>
      <c r="D1692" s="34"/>
      <c r="E1692" s="35"/>
    </row>
    <row r="1693" spans="1:8" ht="15.75" hidden="1" customHeight="1" x14ac:dyDescent="0.25">
      <c r="A1693" s="15" t="s">
        <v>183</v>
      </c>
      <c r="B1693" s="11" t="s">
        <v>183</v>
      </c>
      <c r="C1693" s="12" t="str">
        <f>B1693&amp;"_"&amp;A1693</f>
        <v>Potosí_Potosí</v>
      </c>
      <c r="E1693" s="22">
        <v>44803</v>
      </c>
      <c r="F1693" s="14">
        <f t="shared" ref="F1693:H1693" si="160">SUM(F1694:F1708)</f>
        <v>35051.774690499078</v>
      </c>
      <c r="G1693" s="14">
        <f t="shared" si="160"/>
        <v>8615.6558540540846</v>
      </c>
      <c r="H1693" s="14">
        <f t="shared" si="160"/>
        <v>1130.4447117449085</v>
      </c>
    </row>
    <row r="1694" spans="1:8" ht="15.75" hidden="1" customHeight="1" x14ac:dyDescent="0.25">
      <c r="A1694" s="15" t="s">
        <v>183</v>
      </c>
      <c r="B1694" s="11" t="s">
        <v>183</v>
      </c>
      <c r="C1694" s="15"/>
      <c r="D1694" s="31" t="s">
        <v>14</v>
      </c>
      <c r="E1694" s="32">
        <v>0</v>
      </c>
      <c r="F1694" s="20">
        <v>0</v>
      </c>
      <c r="G1694" s="24">
        <f>E1694</f>
        <v>0</v>
      </c>
      <c r="H1694" s="20">
        <v>0</v>
      </c>
    </row>
    <row r="1695" spans="1:8" ht="15.75" hidden="1" customHeight="1" x14ac:dyDescent="0.25">
      <c r="A1695" s="15" t="s">
        <v>183</v>
      </c>
      <c r="B1695" s="11" t="s">
        <v>183</v>
      </c>
      <c r="C1695" s="15"/>
      <c r="D1695" s="31" t="s">
        <v>15</v>
      </c>
      <c r="E1695" s="32">
        <v>9956</v>
      </c>
      <c r="F1695" s="18">
        <f>E1695* 0.975464549882735</f>
        <v>9711.7250586325099</v>
      </c>
      <c r="G1695" s="18">
        <f>E1695* 0.00487100847916291</f>
        <v>48.495760418545935</v>
      </c>
      <c r="H1695" s="18">
        <f>E1695* 0.0195742377773769</f>
        <v>194.88111131156441</v>
      </c>
    </row>
    <row r="1696" spans="1:8" ht="15.75" hidden="1" customHeight="1" x14ac:dyDescent="0.25">
      <c r="A1696" s="15" t="s">
        <v>183</v>
      </c>
      <c r="B1696" s="11" t="s">
        <v>183</v>
      </c>
      <c r="C1696" s="15"/>
      <c r="D1696" s="31" t="s">
        <v>16</v>
      </c>
      <c r="E1696" s="32">
        <v>393</v>
      </c>
      <c r="F1696" s="18">
        <f>E1696* 0.0607843137254902</f>
        <v>23.888235294117649</v>
      </c>
      <c r="G1696" s="18">
        <f>E1696* 0.93921568627451</f>
        <v>369.11176470588242</v>
      </c>
      <c r="H1696" s="20">
        <v>0</v>
      </c>
    </row>
    <row r="1697" spans="1:8" ht="15.75" hidden="1" customHeight="1" x14ac:dyDescent="0.25">
      <c r="A1697" s="15" t="s">
        <v>183</v>
      </c>
      <c r="B1697" s="11" t="s">
        <v>183</v>
      </c>
      <c r="C1697" s="15"/>
      <c r="D1697" s="31" t="s">
        <v>11</v>
      </c>
      <c r="E1697" s="32">
        <v>5152</v>
      </c>
      <c r="F1697" s="18">
        <f>E1697* 0.175725756639901</f>
        <v>905.33909820877</v>
      </c>
      <c r="G1697" s="18">
        <f>E1697* 0.823656578134651</f>
        <v>4243.4786905497222</v>
      </c>
      <c r="H1697" s="18">
        <f>E1697* 0.000617665225447807</f>
        <v>3.1822112415071016</v>
      </c>
    </row>
    <row r="1698" spans="1:8" ht="15.75" hidden="1" customHeight="1" x14ac:dyDescent="0.25">
      <c r="A1698" s="15" t="s">
        <v>183</v>
      </c>
      <c r="B1698" s="11" t="s">
        <v>183</v>
      </c>
      <c r="C1698" s="15"/>
      <c r="D1698" s="31" t="s">
        <v>17</v>
      </c>
      <c r="E1698" s="32">
        <v>4525</v>
      </c>
      <c r="F1698" s="18">
        <f>E1698* 0.869679539852095</f>
        <v>3935.29991783073</v>
      </c>
      <c r="G1698" s="18">
        <f>E1698* 0.0695152013147083</f>
        <v>314.55628594905505</v>
      </c>
      <c r="H1698" s="18">
        <f>E1698* 0.0608052588331964</f>
        <v>275.14379622021374</v>
      </c>
    </row>
    <row r="1699" spans="1:8" ht="15.75" hidden="1" customHeight="1" x14ac:dyDescent="0.25">
      <c r="A1699" s="15" t="s">
        <v>183</v>
      </c>
      <c r="B1699" s="11" t="s">
        <v>183</v>
      </c>
      <c r="C1699" s="15"/>
      <c r="D1699" s="31" t="s">
        <v>31</v>
      </c>
      <c r="E1699" s="32">
        <v>83</v>
      </c>
      <c r="F1699" s="18">
        <f>E1699* 0.93</f>
        <v>77.19</v>
      </c>
      <c r="G1699" s="18">
        <f>F1699* 0.05</f>
        <v>3.8595000000000002</v>
      </c>
      <c r="H1699" s="18">
        <f>E1699* 0.02</f>
        <v>1.6600000000000001</v>
      </c>
    </row>
    <row r="1700" spans="1:8" ht="15.75" hidden="1" customHeight="1" x14ac:dyDescent="0.25">
      <c r="A1700" s="15" t="s">
        <v>183</v>
      </c>
      <c r="B1700" s="11" t="s">
        <v>183</v>
      </c>
      <c r="C1700" s="15"/>
      <c r="D1700" s="31" t="s">
        <v>18</v>
      </c>
      <c r="E1700" s="32">
        <v>2363</v>
      </c>
      <c r="F1700" s="18">
        <f>E1700* 0.941463414634146</f>
        <v>2224.6780487804867</v>
      </c>
      <c r="G1700" s="18">
        <f>E1700* 0.0532833020637899</f>
        <v>125.90844277673554</v>
      </c>
      <c r="H1700" s="18">
        <f>E1700* 0.00487804878048781</f>
        <v>11.526829268292696</v>
      </c>
    </row>
    <row r="1701" spans="1:8" ht="15.75" hidden="1" customHeight="1" x14ac:dyDescent="0.25">
      <c r="A1701" s="15" t="s">
        <v>183</v>
      </c>
      <c r="B1701" s="11" t="s">
        <v>183</v>
      </c>
      <c r="C1701" s="15"/>
      <c r="D1701" s="31" t="s">
        <v>35</v>
      </c>
      <c r="E1701" s="32">
        <v>0</v>
      </c>
      <c r="F1701" s="20">
        <v>0</v>
      </c>
      <c r="G1701" s="24">
        <f>E1701</f>
        <v>0</v>
      </c>
      <c r="H1701" s="20">
        <v>0</v>
      </c>
    </row>
    <row r="1702" spans="1:8" ht="15.75" hidden="1" customHeight="1" x14ac:dyDescent="0.25">
      <c r="A1702" s="15" t="s">
        <v>183</v>
      </c>
      <c r="B1702" s="11" t="s">
        <v>183</v>
      </c>
      <c r="C1702" s="15"/>
      <c r="D1702" s="31" t="s">
        <v>19</v>
      </c>
      <c r="E1702" s="32">
        <v>1590</v>
      </c>
      <c r="F1702" s="18">
        <f>E1702* 0.0748299319727891</f>
        <v>118.97959183673467</v>
      </c>
      <c r="G1702" s="18">
        <f>E1702* 0.924036281179138</f>
        <v>1469.2176870748294</v>
      </c>
      <c r="H1702" s="18">
        <f>E1702* 0.00113378684807256</f>
        <v>1.8027210884353704</v>
      </c>
    </row>
    <row r="1703" spans="1:8" ht="15.75" hidden="1" customHeight="1" x14ac:dyDescent="0.25">
      <c r="A1703" s="15" t="s">
        <v>183</v>
      </c>
      <c r="B1703" s="11" t="s">
        <v>183</v>
      </c>
      <c r="C1703" s="15"/>
      <c r="D1703" s="31" t="s">
        <v>20</v>
      </c>
      <c r="E1703" s="32">
        <v>2448</v>
      </c>
      <c r="F1703" s="18">
        <f>E1703* 0.799709724238026</f>
        <v>1957.6894049346877</v>
      </c>
      <c r="G1703" s="18">
        <f>E1703* 0.150580551523948</f>
        <v>368.62119013062471</v>
      </c>
      <c r="H1703" s="18">
        <f>E1703* 0.0493468795355588</f>
        <v>120.80116110304795</v>
      </c>
    </row>
    <row r="1704" spans="1:8" ht="15.75" hidden="1" customHeight="1" x14ac:dyDescent="0.25">
      <c r="A1704" s="15" t="s">
        <v>183</v>
      </c>
      <c r="B1704" s="11" t="s">
        <v>183</v>
      </c>
      <c r="C1704" s="15"/>
      <c r="D1704" s="31" t="s">
        <v>21</v>
      </c>
      <c r="E1704" s="32">
        <v>3888</v>
      </c>
      <c r="F1704" s="18">
        <f>E1704* 0.999328295549958</f>
        <v>3885.3884130982365</v>
      </c>
      <c r="G1704" s="18">
        <f>E1704* 0.000335852225020991</f>
        <v>1.3057934508816131</v>
      </c>
      <c r="H1704" s="18">
        <f>E1704* 0.000335852225020991</f>
        <v>1.3057934508816131</v>
      </c>
    </row>
    <row r="1705" spans="1:8" ht="15.75" hidden="1" customHeight="1" x14ac:dyDescent="0.25">
      <c r="A1705" s="15" t="s">
        <v>183</v>
      </c>
      <c r="B1705" s="11" t="s">
        <v>183</v>
      </c>
      <c r="C1705" s="15"/>
      <c r="D1705" s="31" t="s">
        <v>36</v>
      </c>
      <c r="E1705" s="32">
        <v>40</v>
      </c>
      <c r="F1705" s="24">
        <f>E1705</f>
        <v>40</v>
      </c>
      <c r="G1705" s="20">
        <v>0</v>
      </c>
      <c r="H1705" s="20">
        <v>0</v>
      </c>
    </row>
    <row r="1706" spans="1:8" ht="15.75" hidden="1" customHeight="1" x14ac:dyDescent="0.25">
      <c r="A1706" s="15" t="s">
        <v>183</v>
      </c>
      <c r="B1706" s="11" t="s">
        <v>183</v>
      </c>
      <c r="C1706" s="15"/>
      <c r="D1706" s="31" t="s">
        <v>37</v>
      </c>
      <c r="E1706" s="32">
        <v>4</v>
      </c>
      <c r="F1706" s="20">
        <v>0</v>
      </c>
      <c r="G1706" s="24">
        <f>E1706</f>
        <v>4</v>
      </c>
      <c r="H1706" s="20">
        <v>0</v>
      </c>
    </row>
    <row r="1707" spans="1:8" ht="15.75" hidden="1" customHeight="1" x14ac:dyDescent="0.25">
      <c r="A1707" s="15" t="s">
        <v>183</v>
      </c>
      <c r="B1707" s="11" t="s">
        <v>183</v>
      </c>
      <c r="C1707" s="15"/>
      <c r="D1707" s="31" t="s">
        <v>28</v>
      </c>
      <c r="E1707" s="32">
        <v>748</v>
      </c>
      <c r="F1707" s="18">
        <f>E1707* 0.00116550116550117</f>
        <v>0.87179487179487525</v>
      </c>
      <c r="G1707" s="18">
        <f>E1707* 0.998834498834499</f>
        <v>747.12820512820531</v>
      </c>
      <c r="H1707" s="20">
        <v>0</v>
      </c>
    </row>
    <row r="1708" spans="1:8" ht="15.75" hidden="1" customHeight="1" x14ac:dyDescent="0.25">
      <c r="A1708" s="15" t="s">
        <v>183</v>
      </c>
      <c r="B1708" s="11" t="s">
        <v>183</v>
      </c>
      <c r="C1708" s="15"/>
      <c r="D1708" s="31" t="s">
        <v>12</v>
      </c>
      <c r="E1708" s="32">
        <v>13613</v>
      </c>
      <c r="F1708" s="18">
        <f>E1708* 0.894051651143099</f>
        <v>12170.725127011006</v>
      </c>
      <c r="G1708" s="18">
        <f>E1708* 0.0675804403048264</f>
        <v>919.97253386960188</v>
      </c>
      <c r="H1708" s="18">
        <f>E1708* 0.0382091447925487</f>
        <v>520.14108806096544</v>
      </c>
    </row>
    <row r="1709" spans="1:8" ht="15.75" hidden="1" customHeight="1" x14ac:dyDescent="0.25">
      <c r="A1709" s="15" t="s">
        <v>183</v>
      </c>
      <c r="B1709" s="33"/>
      <c r="C1709" s="33"/>
      <c r="D1709" s="34"/>
      <c r="E1709" s="35"/>
    </row>
    <row r="1710" spans="1:8" ht="15.75" hidden="1" customHeight="1" x14ac:dyDescent="0.25">
      <c r="A1710" s="15" t="s">
        <v>183</v>
      </c>
      <c r="B1710" s="11" t="s">
        <v>200</v>
      </c>
      <c r="C1710" s="12" t="str">
        <f>B1710&amp;"_"&amp;A1710</f>
        <v>Puna_Potosí</v>
      </c>
      <c r="E1710" s="22">
        <v>115</v>
      </c>
      <c r="F1710" s="14">
        <f t="shared" ref="F1710:H1710" si="161">SUM(F1711:F1721)</f>
        <v>92.241408774105679</v>
      </c>
      <c r="G1710" s="14">
        <f t="shared" si="161"/>
        <v>20.071312341050813</v>
      </c>
      <c r="H1710" s="14">
        <f t="shared" si="161"/>
        <v>2.6801472745497161</v>
      </c>
    </row>
    <row r="1711" spans="1:8" ht="15.75" hidden="1" customHeight="1" x14ac:dyDescent="0.25">
      <c r="A1711" s="15" t="s">
        <v>183</v>
      </c>
      <c r="B1711" s="11" t="s">
        <v>200</v>
      </c>
      <c r="C1711" s="15"/>
      <c r="D1711" s="31" t="s">
        <v>14</v>
      </c>
      <c r="E1711" s="32">
        <v>0</v>
      </c>
      <c r="F1711" s="20">
        <v>0</v>
      </c>
      <c r="G1711" s="24">
        <f>E1711</f>
        <v>0</v>
      </c>
      <c r="H1711" s="20">
        <v>0</v>
      </c>
    </row>
    <row r="1712" spans="1:8" ht="15.75" hidden="1" customHeight="1" x14ac:dyDescent="0.25">
      <c r="A1712" s="15" t="s">
        <v>183</v>
      </c>
      <c r="B1712" s="11" t="s">
        <v>200</v>
      </c>
      <c r="C1712" s="15"/>
      <c r="D1712" s="31" t="s">
        <v>15</v>
      </c>
      <c r="E1712" s="32">
        <v>4</v>
      </c>
      <c r="F1712" s="18">
        <f>E1712* 0.975464549882735</f>
        <v>3.90185819953094</v>
      </c>
      <c r="G1712" s="18">
        <f>E1712* 0.00487100847916291</f>
        <v>1.9484033916651641E-2</v>
      </c>
      <c r="H1712" s="18">
        <f>E1712* 0.0195742377773769</f>
        <v>7.8296951109507601E-2</v>
      </c>
    </row>
    <row r="1713" spans="1:8" ht="15.75" hidden="1" customHeight="1" x14ac:dyDescent="0.25">
      <c r="A1713" s="15" t="s">
        <v>183</v>
      </c>
      <c r="B1713" s="11" t="s">
        <v>200</v>
      </c>
      <c r="C1713" s="15"/>
      <c r="D1713" s="31" t="s">
        <v>16</v>
      </c>
      <c r="E1713" s="32">
        <v>1</v>
      </c>
      <c r="F1713" s="18">
        <f>E1713* 0.0607843137254902</f>
        <v>6.0784313725490202E-2</v>
      </c>
      <c r="G1713" s="18">
        <f>E1713* 0.93921568627451</f>
        <v>0.93921568627451002</v>
      </c>
      <c r="H1713" s="20">
        <v>0</v>
      </c>
    </row>
    <row r="1714" spans="1:8" ht="15.75" hidden="1" customHeight="1" x14ac:dyDescent="0.25">
      <c r="A1714" s="15" t="s">
        <v>183</v>
      </c>
      <c r="B1714" s="11" t="s">
        <v>200</v>
      </c>
      <c r="C1714" s="15"/>
      <c r="D1714" s="31" t="s">
        <v>11</v>
      </c>
      <c r="E1714" s="32">
        <v>18</v>
      </c>
      <c r="F1714" s="18">
        <f>E1714* 0.175725756639901</f>
        <v>3.1630636195182182</v>
      </c>
      <c r="G1714" s="18">
        <f>E1714* 0.823656578134651</f>
        <v>14.825818406423718</v>
      </c>
      <c r="H1714" s="18">
        <f>E1714* 0.000617665225447807</f>
        <v>1.1117974058060526E-2</v>
      </c>
    </row>
    <row r="1715" spans="1:8" ht="15.75" hidden="1" customHeight="1" x14ac:dyDescent="0.25">
      <c r="A1715" s="15" t="s">
        <v>183</v>
      </c>
      <c r="B1715" s="11" t="s">
        <v>200</v>
      </c>
      <c r="C1715" s="15"/>
      <c r="D1715" s="31" t="s">
        <v>17</v>
      </c>
      <c r="E1715" s="32">
        <v>22</v>
      </c>
      <c r="F1715" s="18">
        <f>E1715* 0.869679539852095</f>
        <v>19.132949876746089</v>
      </c>
      <c r="G1715" s="18">
        <f>E1715* 0.0695152013147083</f>
        <v>1.5293344289235826</v>
      </c>
      <c r="H1715" s="18">
        <f>E1715* 0.0608052588331964</f>
        <v>1.3377156943303208</v>
      </c>
    </row>
    <row r="1716" spans="1:8" ht="15.75" hidden="1" customHeight="1" x14ac:dyDescent="0.25">
      <c r="A1716" s="15" t="s">
        <v>183</v>
      </c>
      <c r="B1716" s="11" t="s">
        <v>200</v>
      </c>
      <c r="C1716" s="15"/>
      <c r="D1716" s="31" t="s">
        <v>18</v>
      </c>
      <c r="E1716" s="32">
        <v>1</v>
      </c>
      <c r="F1716" s="18">
        <f>E1716* 0.941463414634146</f>
        <v>0.94146341463414596</v>
      </c>
      <c r="G1716" s="18">
        <f>E1716* 0.0532833020637899</f>
        <v>5.3283302063789902E-2</v>
      </c>
      <c r="H1716" s="18">
        <f>E1716* 0.00487804878048781</f>
        <v>4.8780487804878101E-3</v>
      </c>
    </row>
    <row r="1717" spans="1:8" ht="15.75" hidden="1" customHeight="1" x14ac:dyDescent="0.25">
      <c r="A1717" s="15" t="s">
        <v>183</v>
      </c>
      <c r="B1717" s="11" t="s">
        <v>200</v>
      </c>
      <c r="C1717" s="15"/>
      <c r="D1717" s="31" t="s">
        <v>20</v>
      </c>
      <c r="E1717" s="32">
        <v>8</v>
      </c>
      <c r="F1717" s="18">
        <f>E1717* 0.799709724238026</f>
        <v>6.397677793904208</v>
      </c>
      <c r="G1717" s="18">
        <f>E1717* 0.150580551523948</f>
        <v>1.204644412191584</v>
      </c>
      <c r="H1717" s="18">
        <f>E1717* 0.0493468795355588</f>
        <v>0.39477503628447042</v>
      </c>
    </row>
    <row r="1718" spans="1:8" ht="15.75" hidden="1" customHeight="1" x14ac:dyDescent="0.25">
      <c r="A1718" s="15" t="s">
        <v>183</v>
      </c>
      <c r="B1718" s="11" t="s">
        <v>200</v>
      </c>
      <c r="C1718" s="15"/>
      <c r="D1718" s="31" t="s">
        <v>19</v>
      </c>
      <c r="E1718" s="32">
        <v>0</v>
      </c>
      <c r="F1718" s="18">
        <f>E1718* 0.0748299319727891</f>
        <v>0</v>
      </c>
      <c r="G1718" s="18">
        <f>E1718* 0.924036281179138</f>
        <v>0</v>
      </c>
      <c r="H1718" s="18">
        <f>E1718* 0.00113378684807256</f>
        <v>0</v>
      </c>
    </row>
    <row r="1719" spans="1:8" ht="15.75" hidden="1" customHeight="1" x14ac:dyDescent="0.25">
      <c r="A1719" s="15" t="s">
        <v>183</v>
      </c>
      <c r="B1719" s="11" t="s">
        <v>200</v>
      </c>
      <c r="C1719" s="15"/>
      <c r="D1719" s="31" t="s">
        <v>21</v>
      </c>
      <c r="E1719" s="32">
        <v>38</v>
      </c>
      <c r="F1719" s="18">
        <f>E1719* 0.999328295549958</f>
        <v>37.974475230898399</v>
      </c>
      <c r="G1719" s="18">
        <f>E1719* 0.000335852225020991</f>
        <v>1.2762384550797659E-2</v>
      </c>
      <c r="H1719" s="18">
        <f>E1719* 0.000335852225020991</f>
        <v>1.2762384550797659E-2</v>
      </c>
    </row>
    <row r="1720" spans="1:8" ht="15.75" hidden="1" customHeight="1" x14ac:dyDescent="0.25">
      <c r="A1720" s="15" t="s">
        <v>183</v>
      </c>
      <c r="B1720" s="11" t="s">
        <v>200</v>
      </c>
      <c r="C1720" s="15"/>
      <c r="D1720" s="31" t="s">
        <v>36</v>
      </c>
      <c r="E1720" s="32">
        <v>1</v>
      </c>
      <c r="F1720" s="24">
        <f>E1720</f>
        <v>1</v>
      </c>
      <c r="G1720" s="20">
        <v>0</v>
      </c>
      <c r="H1720" s="20">
        <v>0</v>
      </c>
    </row>
    <row r="1721" spans="1:8" ht="15.75" hidden="1" customHeight="1" x14ac:dyDescent="0.25">
      <c r="A1721" s="15" t="s">
        <v>183</v>
      </c>
      <c r="B1721" s="11" t="s">
        <v>200</v>
      </c>
      <c r="C1721" s="15"/>
      <c r="D1721" s="31" t="s">
        <v>12</v>
      </c>
      <c r="E1721" s="32">
        <v>22</v>
      </c>
      <c r="F1721" s="18">
        <f>E1721* 0.894051651143099</f>
        <v>19.66913632514818</v>
      </c>
      <c r="G1721" s="18">
        <f>E1721* 0.0675804403048264</f>
        <v>1.486769686706181</v>
      </c>
      <c r="H1721" s="18">
        <f>E1721* 0.0382091447925487</f>
        <v>0.84060118543607143</v>
      </c>
    </row>
    <row r="1722" spans="1:8" ht="15.75" hidden="1" customHeight="1" x14ac:dyDescent="0.25">
      <c r="A1722" s="15" t="s">
        <v>183</v>
      </c>
      <c r="B1722" s="33"/>
      <c r="C1722" s="33"/>
      <c r="D1722" s="34"/>
      <c r="E1722" s="35"/>
    </row>
    <row r="1723" spans="1:8" ht="15.75" hidden="1" customHeight="1" x14ac:dyDescent="0.25">
      <c r="A1723" s="15" t="s">
        <v>183</v>
      </c>
      <c r="B1723" s="11" t="s">
        <v>201</v>
      </c>
      <c r="C1723" s="12" t="str">
        <f>B1723&amp;"_"&amp;A1723</f>
        <v>Ravelo_Potosí</v>
      </c>
      <c r="E1723" s="22">
        <v>2</v>
      </c>
      <c r="F1723" s="14">
        <f t="shared" ref="F1723:H1723" si="162">SUM(F1724:F1725)</f>
        <v>1.1171891712740469</v>
      </c>
      <c r="G1723" s="14">
        <f t="shared" si="162"/>
        <v>0.87693988019844094</v>
      </c>
      <c r="H1723" s="14">
        <f t="shared" si="162"/>
        <v>5.4957140059356171E-3</v>
      </c>
    </row>
    <row r="1724" spans="1:8" ht="15.75" hidden="1" customHeight="1" x14ac:dyDescent="0.25">
      <c r="A1724" s="15" t="s">
        <v>183</v>
      </c>
      <c r="B1724" s="11" t="s">
        <v>201</v>
      </c>
      <c r="C1724" s="15"/>
      <c r="D1724" s="31" t="s">
        <v>11</v>
      </c>
      <c r="E1724" s="32">
        <v>1</v>
      </c>
      <c r="F1724" s="18">
        <f>E1724* 0.175725756639901</f>
        <v>0.175725756639901</v>
      </c>
      <c r="G1724" s="18">
        <f>E1724* 0.823656578134651</f>
        <v>0.82365657813465099</v>
      </c>
      <c r="H1724" s="18">
        <f>E1724* 0.000617665225447807</f>
        <v>6.1766522544780701E-4</v>
      </c>
    </row>
    <row r="1725" spans="1:8" ht="15.75" hidden="1" customHeight="1" x14ac:dyDescent="0.25">
      <c r="A1725" s="15" t="s">
        <v>183</v>
      </c>
      <c r="B1725" s="11" t="s">
        <v>201</v>
      </c>
      <c r="C1725" s="15"/>
      <c r="D1725" s="31" t="s">
        <v>18</v>
      </c>
      <c r="E1725" s="32">
        <v>1</v>
      </c>
      <c r="F1725" s="18">
        <f>E1725* 0.941463414634146</f>
        <v>0.94146341463414596</v>
      </c>
      <c r="G1725" s="18">
        <f>E1725* 0.0532833020637899</f>
        <v>5.3283302063789902E-2</v>
      </c>
      <c r="H1725" s="18">
        <f>E1725* 0.00487804878048781</f>
        <v>4.8780487804878101E-3</v>
      </c>
    </row>
    <row r="1726" spans="1:8" ht="15.75" hidden="1" customHeight="1" x14ac:dyDescent="0.25">
      <c r="A1726" s="15" t="s">
        <v>183</v>
      </c>
      <c r="B1726" s="33"/>
      <c r="C1726" s="33"/>
      <c r="D1726" s="34"/>
      <c r="E1726" s="35"/>
    </row>
    <row r="1727" spans="1:8" ht="15.75" hidden="1" customHeight="1" x14ac:dyDescent="0.25">
      <c r="A1727" s="15" t="s">
        <v>183</v>
      </c>
      <c r="B1727" s="11" t="s">
        <v>202</v>
      </c>
      <c r="C1727" s="12" t="str">
        <f>B1727&amp;"_"&amp;A1727</f>
        <v>San Antonio de Esmoruco_Potosí</v>
      </c>
      <c r="E1727" s="22">
        <v>2</v>
      </c>
      <c r="F1727" s="14">
        <f t="shared" ref="F1727:H1727" si="163">SUM(F1728:F1729)</f>
        <v>1.045405296491996</v>
      </c>
      <c r="G1727" s="14">
        <f t="shared" si="163"/>
        <v>0.89317177944935933</v>
      </c>
      <c r="H1727" s="14">
        <f t="shared" si="163"/>
        <v>6.1422924058644211E-2</v>
      </c>
    </row>
    <row r="1728" spans="1:8" ht="15.75" hidden="1" customHeight="1" x14ac:dyDescent="0.25">
      <c r="A1728" s="15" t="s">
        <v>183</v>
      </c>
      <c r="B1728" s="11" t="s">
        <v>202</v>
      </c>
      <c r="C1728" s="15"/>
      <c r="D1728" s="31" t="s">
        <v>11</v>
      </c>
      <c r="E1728" s="32">
        <v>1</v>
      </c>
      <c r="F1728" s="18">
        <f>E1728* 0.175725756639901</f>
        <v>0.175725756639901</v>
      </c>
      <c r="G1728" s="18">
        <f>E1728* 0.823656578134651</f>
        <v>0.82365657813465099</v>
      </c>
      <c r="H1728" s="18">
        <f>E1728* 0.000617665225447807</f>
        <v>6.1766522544780701E-4</v>
      </c>
    </row>
    <row r="1729" spans="1:8" ht="15.75" hidden="1" customHeight="1" x14ac:dyDescent="0.25">
      <c r="A1729" s="15" t="s">
        <v>183</v>
      </c>
      <c r="B1729" s="11" t="s">
        <v>202</v>
      </c>
      <c r="C1729" s="15"/>
      <c r="D1729" s="31" t="s">
        <v>17</v>
      </c>
      <c r="E1729" s="32">
        <v>1</v>
      </c>
      <c r="F1729" s="18">
        <f>E1729* 0.869679539852095</f>
        <v>0.86967953985209501</v>
      </c>
      <c r="G1729" s="18">
        <f>E1729* 0.0695152013147083</f>
        <v>6.95152013147083E-2</v>
      </c>
      <c r="H1729" s="18">
        <f>E1729* 0.0608052588331964</f>
        <v>6.0805258833196402E-2</v>
      </c>
    </row>
    <row r="1730" spans="1:8" ht="15.75" hidden="1" customHeight="1" x14ac:dyDescent="0.25">
      <c r="A1730" s="15" t="s">
        <v>183</v>
      </c>
      <c r="B1730" s="33"/>
      <c r="C1730" s="33"/>
      <c r="D1730" s="34"/>
      <c r="E1730" s="35"/>
    </row>
    <row r="1731" spans="1:8" ht="15.75" hidden="1" customHeight="1" x14ac:dyDescent="0.25">
      <c r="A1731" s="15" t="s">
        <v>183</v>
      </c>
      <c r="B1731" s="11" t="s">
        <v>203</v>
      </c>
      <c r="C1731" s="12" t="str">
        <f>B1731&amp;"_"&amp;A1731</f>
        <v>San Pedro de Buena Vista_Potosí</v>
      </c>
      <c r="E1731" s="22">
        <v>1</v>
      </c>
      <c r="F1731" s="14">
        <f t="shared" ref="F1731:H1731" si="164">SUM(F1732:F1733)</f>
        <v>0.175725756639901</v>
      </c>
      <c r="G1731" s="14">
        <f t="shared" si="164"/>
        <v>0.82365657813465099</v>
      </c>
      <c r="H1731" s="14">
        <f t="shared" si="164"/>
        <v>6.1766522544780701E-4</v>
      </c>
    </row>
    <row r="1732" spans="1:8" ht="15.75" hidden="1" customHeight="1" x14ac:dyDescent="0.25">
      <c r="A1732" s="15" t="s">
        <v>183</v>
      </c>
      <c r="B1732" s="11" t="s">
        <v>203</v>
      </c>
      <c r="C1732" s="15"/>
      <c r="D1732" s="31" t="s">
        <v>11</v>
      </c>
      <c r="E1732" s="32">
        <v>1</v>
      </c>
      <c r="F1732" s="18">
        <f>E1732* 0.175725756639901</f>
        <v>0.175725756639901</v>
      </c>
      <c r="G1732" s="18">
        <f>E1732* 0.823656578134651</f>
        <v>0.82365657813465099</v>
      </c>
      <c r="H1732" s="18">
        <f>E1732* 0.000617665225447807</f>
        <v>6.1766522544780701E-4</v>
      </c>
    </row>
    <row r="1733" spans="1:8" ht="15.75" hidden="1" customHeight="1" x14ac:dyDescent="0.25">
      <c r="A1733" s="15" t="s">
        <v>183</v>
      </c>
      <c r="B1733" s="11" t="s">
        <v>203</v>
      </c>
      <c r="C1733" s="15"/>
      <c r="D1733" s="31" t="s">
        <v>17</v>
      </c>
      <c r="E1733" s="32">
        <v>0</v>
      </c>
      <c r="F1733" s="18">
        <f>E1733* 0.869679539852095</f>
        <v>0</v>
      </c>
      <c r="G1733" s="18">
        <f>E1733* 0.0695152013147083</f>
        <v>0</v>
      </c>
      <c r="H1733" s="18">
        <f>E1733* 0.0608052588331964</f>
        <v>0</v>
      </c>
    </row>
    <row r="1734" spans="1:8" ht="15.75" hidden="1" customHeight="1" x14ac:dyDescent="0.25">
      <c r="A1734" s="15" t="s">
        <v>183</v>
      </c>
      <c r="B1734" s="33"/>
      <c r="C1734" s="33"/>
      <c r="D1734" s="34"/>
      <c r="E1734" s="35"/>
    </row>
    <row r="1735" spans="1:8" ht="15.75" hidden="1" customHeight="1" x14ac:dyDescent="0.25">
      <c r="A1735" s="15" t="s">
        <v>183</v>
      </c>
      <c r="B1735" s="11" t="s">
        <v>204</v>
      </c>
      <c r="C1735" s="12" t="str">
        <f>B1735&amp;"_"&amp;A1735</f>
        <v>Tahua_Potosí</v>
      </c>
      <c r="E1735" s="22">
        <v>0</v>
      </c>
      <c r="F1735" s="14">
        <v>0</v>
      </c>
      <c r="G1735" s="14">
        <v>0</v>
      </c>
      <c r="H1735" s="14">
        <v>0</v>
      </c>
    </row>
    <row r="1736" spans="1:8" ht="15.75" hidden="1" customHeight="1" x14ac:dyDescent="0.25">
      <c r="A1736" s="15" t="s">
        <v>183</v>
      </c>
      <c r="B1736" s="11" t="s">
        <v>204</v>
      </c>
      <c r="C1736" s="15"/>
      <c r="D1736" s="31" t="s">
        <v>11</v>
      </c>
      <c r="E1736" s="32">
        <v>0</v>
      </c>
      <c r="F1736" s="18">
        <f>E1736* 0.175725756639901</f>
        <v>0</v>
      </c>
      <c r="G1736" s="18">
        <f>E1736* 0.823656578134651</f>
        <v>0</v>
      </c>
      <c r="H1736" s="18">
        <f>E1736* 0.000617665225447807</f>
        <v>0</v>
      </c>
    </row>
    <row r="1737" spans="1:8" ht="15.75" hidden="1" customHeight="1" x14ac:dyDescent="0.25">
      <c r="A1737" s="15" t="s">
        <v>183</v>
      </c>
      <c r="B1737" s="11" t="s">
        <v>204</v>
      </c>
      <c r="C1737" s="15"/>
      <c r="D1737" s="31" t="s">
        <v>20</v>
      </c>
      <c r="E1737" s="32">
        <v>0</v>
      </c>
      <c r="F1737" s="18">
        <f>E1737* 0.799709724238026</f>
        <v>0</v>
      </c>
      <c r="G1737" s="18">
        <f>E1737* 0.150580551523948</f>
        <v>0</v>
      </c>
      <c r="H1737" s="18">
        <f>E1737* 0.0493468795355588</f>
        <v>0</v>
      </c>
    </row>
    <row r="1738" spans="1:8" ht="15.75" hidden="1" customHeight="1" x14ac:dyDescent="0.25">
      <c r="A1738" s="15" t="s">
        <v>183</v>
      </c>
      <c r="B1738" s="33"/>
      <c r="C1738" s="33"/>
      <c r="D1738" s="34"/>
      <c r="E1738" s="35"/>
    </row>
    <row r="1739" spans="1:8" ht="15.75" hidden="1" customHeight="1" x14ac:dyDescent="0.25">
      <c r="A1739" s="15" t="s">
        <v>183</v>
      </c>
      <c r="B1739" s="11" t="s">
        <v>205</v>
      </c>
      <c r="C1739" s="12" t="str">
        <f>B1739&amp;"_"&amp;A1739</f>
        <v>Tinquipaya_Potosí</v>
      </c>
      <c r="E1739" s="22">
        <v>0</v>
      </c>
      <c r="F1739" s="14">
        <v>0</v>
      </c>
      <c r="G1739" s="14">
        <v>0</v>
      </c>
      <c r="H1739" s="14">
        <v>0</v>
      </c>
    </row>
    <row r="1740" spans="1:8" ht="15.75" hidden="1" customHeight="1" x14ac:dyDescent="0.25">
      <c r="A1740" s="15" t="s">
        <v>183</v>
      </c>
      <c r="B1740" s="11" t="s">
        <v>205</v>
      </c>
      <c r="C1740" s="15"/>
      <c r="D1740" s="31" t="s">
        <v>17</v>
      </c>
      <c r="E1740" s="32">
        <v>0</v>
      </c>
      <c r="F1740" s="18">
        <f>E1740* 0.869679539852095</f>
        <v>0</v>
      </c>
      <c r="G1740" s="18">
        <f>E1740* 0.0695152013147083</f>
        <v>0</v>
      </c>
      <c r="H1740" s="18">
        <f>E1740* 0.0608052588331964</f>
        <v>0</v>
      </c>
    </row>
    <row r="1741" spans="1:8" ht="15.75" hidden="1" customHeight="1" x14ac:dyDescent="0.25">
      <c r="A1741" s="15" t="s">
        <v>183</v>
      </c>
      <c r="B1741" s="33"/>
      <c r="C1741" s="33"/>
      <c r="D1741" s="34"/>
      <c r="E1741" s="35"/>
    </row>
    <row r="1742" spans="1:8" ht="15.75" hidden="1" customHeight="1" x14ac:dyDescent="0.25">
      <c r="A1742" s="15" t="s">
        <v>183</v>
      </c>
      <c r="B1742" s="11" t="s">
        <v>206</v>
      </c>
      <c r="C1742" s="12" t="str">
        <f>B1742&amp;"_"&amp;A1742</f>
        <v>Tomave_Potosí</v>
      </c>
      <c r="E1742" s="22">
        <v>1</v>
      </c>
      <c r="F1742" s="14">
        <f t="shared" ref="F1742:H1742" si="165">F1743</f>
        <v>0.175725756639901</v>
      </c>
      <c r="G1742" s="14">
        <f t="shared" si="165"/>
        <v>0.82365657813465099</v>
      </c>
      <c r="H1742" s="14">
        <f t="shared" si="165"/>
        <v>6.1766522544780701E-4</v>
      </c>
    </row>
    <row r="1743" spans="1:8" ht="15.75" hidden="1" customHeight="1" x14ac:dyDescent="0.25">
      <c r="A1743" s="15" t="s">
        <v>183</v>
      </c>
      <c r="B1743" s="11" t="s">
        <v>206</v>
      </c>
      <c r="C1743" s="15"/>
      <c r="D1743" s="31" t="s">
        <v>11</v>
      </c>
      <c r="E1743" s="32">
        <v>1</v>
      </c>
      <c r="F1743" s="18">
        <f>E1743* 0.175725756639901</f>
        <v>0.175725756639901</v>
      </c>
      <c r="G1743" s="18">
        <f>E1743* 0.823656578134651</f>
        <v>0.82365657813465099</v>
      </c>
      <c r="H1743" s="18">
        <f>E1743* 0.000617665225447807</f>
        <v>6.1766522544780701E-4</v>
      </c>
    </row>
    <row r="1744" spans="1:8" ht="15.75" hidden="1" customHeight="1" x14ac:dyDescent="0.25">
      <c r="A1744" s="15" t="s">
        <v>183</v>
      </c>
      <c r="B1744" s="33"/>
      <c r="C1744" s="33"/>
      <c r="D1744" s="34"/>
      <c r="E1744" s="35"/>
    </row>
    <row r="1745" spans="1:8" ht="15.75" hidden="1" customHeight="1" x14ac:dyDescent="0.25">
      <c r="A1745" s="15" t="s">
        <v>183</v>
      </c>
      <c r="B1745" s="11" t="s">
        <v>207</v>
      </c>
      <c r="C1745" s="12" t="str">
        <f>B1745&amp;"_"&amp;A1745</f>
        <v>Tupiza_Potosí</v>
      </c>
      <c r="E1745" s="22">
        <v>3541</v>
      </c>
      <c r="F1745" s="14">
        <f t="shared" ref="F1745:H1745" si="166">SUM(F1746:F1758)</f>
        <v>2965.7715862836835</v>
      </c>
      <c r="G1745" s="14">
        <f t="shared" si="166"/>
        <v>492.17218970754038</v>
      </c>
      <c r="H1745" s="14">
        <f t="shared" si="166"/>
        <v>82.78748936642836</v>
      </c>
    </row>
    <row r="1746" spans="1:8" ht="15.75" hidden="1" customHeight="1" x14ac:dyDescent="0.25">
      <c r="A1746" s="15" t="s">
        <v>183</v>
      </c>
      <c r="B1746" s="11" t="s">
        <v>207</v>
      </c>
      <c r="C1746" s="15"/>
      <c r="D1746" s="31" t="s">
        <v>14</v>
      </c>
      <c r="E1746" s="32">
        <v>0</v>
      </c>
      <c r="F1746" s="20">
        <v>0</v>
      </c>
      <c r="G1746" s="24">
        <f>E1746</f>
        <v>0</v>
      </c>
      <c r="H1746" s="20">
        <v>0</v>
      </c>
    </row>
    <row r="1747" spans="1:8" ht="15.75" hidden="1" customHeight="1" x14ac:dyDescent="0.25">
      <c r="A1747" s="15" t="s">
        <v>183</v>
      </c>
      <c r="B1747" s="11" t="s">
        <v>207</v>
      </c>
      <c r="C1747" s="15"/>
      <c r="D1747" s="31" t="s">
        <v>15</v>
      </c>
      <c r="E1747" s="32">
        <v>367</v>
      </c>
      <c r="F1747" s="18">
        <f>E1747* 0.975464549882735</f>
        <v>357.99548980696375</v>
      </c>
      <c r="G1747" s="18">
        <f>E1747* 0.00487100847916291</f>
        <v>1.7876601118527882</v>
      </c>
      <c r="H1747" s="18">
        <f>E1747* 0.0195742377773769</f>
        <v>7.1837452642973227</v>
      </c>
    </row>
    <row r="1748" spans="1:8" ht="15.75" hidden="1" customHeight="1" x14ac:dyDescent="0.25">
      <c r="A1748" s="15" t="s">
        <v>183</v>
      </c>
      <c r="B1748" s="11" t="s">
        <v>207</v>
      </c>
      <c r="C1748" s="15"/>
      <c r="D1748" s="31" t="s">
        <v>16</v>
      </c>
      <c r="E1748" s="32">
        <v>18</v>
      </c>
      <c r="F1748" s="18">
        <f>E1748* 0.0607843137254902</f>
        <v>1.0941176470588236</v>
      </c>
      <c r="G1748" s="18">
        <f>E1748* 0.93921568627451</f>
        <v>16.90588235294118</v>
      </c>
      <c r="H1748" s="20">
        <v>0</v>
      </c>
    </row>
    <row r="1749" spans="1:8" ht="15.75" hidden="1" customHeight="1" x14ac:dyDescent="0.25">
      <c r="A1749" s="15" t="s">
        <v>183</v>
      </c>
      <c r="B1749" s="11" t="s">
        <v>207</v>
      </c>
      <c r="C1749" s="15"/>
      <c r="D1749" s="31" t="s">
        <v>11</v>
      </c>
      <c r="E1749" s="32">
        <v>319</v>
      </c>
      <c r="F1749" s="18">
        <f>E1749* 0.175725756639901</f>
        <v>56.05651636812842</v>
      </c>
      <c r="G1749" s="18">
        <f>E1749* 0.823656578134651</f>
        <v>262.74644842495366</v>
      </c>
      <c r="H1749" s="18">
        <f>E1749* 0.000617665225447807</f>
        <v>0.19703520691785043</v>
      </c>
    </row>
    <row r="1750" spans="1:8" ht="15.75" hidden="1" customHeight="1" x14ac:dyDescent="0.25">
      <c r="A1750" s="15" t="s">
        <v>183</v>
      </c>
      <c r="B1750" s="11" t="s">
        <v>207</v>
      </c>
      <c r="C1750" s="15"/>
      <c r="D1750" s="31" t="s">
        <v>17</v>
      </c>
      <c r="E1750" s="32">
        <v>497</v>
      </c>
      <c r="F1750" s="18">
        <f>E1750* 0.869679539852095</f>
        <v>432.23073130649124</v>
      </c>
      <c r="G1750" s="18">
        <f>E1750* 0.0695152013147083</f>
        <v>34.549055053410022</v>
      </c>
      <c r="H1750" s="18">
        <f>E1750* 0.0608052588331964</f>
        <v>30.22021364009861</v>
      </c>
    </row>
    <row r="1751" spans="1:8" ht="15.75" hidden="1" customHeight="1" x14ac:dyDescent="0.25">
      <c r="A1751" s="15" t="s">
        <v>183</v>
      </c>
      <c r="B1751" s="11" t="s">
        <v>207</v>
      </c>
      <c r="C1751" s="15"/>
      <c r="D1751" s="31" t="s">
        <v>31</v>
      </c>
      <c r="E1751" s="32">
        <v>2</v>
      </c>
      <c r="F1751" s="18">
        <f>E1751* 0.93</f>
        <v>1.86</v>
      </c>
      <c r="G1751" s="18">
        <f>F1751* 0.05</f>
        <v>9.3000000000000013E-2</v>
      </c>
      <c r="H1751" s="18">
        <f>E1751* 0.02</f>
        <v>0.04</v>
      </c>
    </row>
    <row r="1752" spans="1:8" ht="15.75" hidden="1" customHeight="1" x14ac:dyDescent="0.25">
      <c r="A1752" s="15" t="s">
        <v>183</v>
      </c>
      <c r="B1752" s="11" t="s">
        <v>207</v>
      </c>
      <c r="C1752" s="15"/>
      <c r="D1752" s="31" t="s">
        <v>18</v>
      </c>
      <c r="E1752" s="32">
        <v>102</v>
      </c>
      <c r="F1752" s="18">
        <f>E1752* 0.941463414634146</f>
        <v>96.029268292682886</v>
      </c>
      <c r="G1752" s="18">
        <f>E1752* 0.0532833020637899</f>
        <v>5.4348968105065696</v>
      </c>
      <c r="H1752" s="18">
        <f>E1752* 0.00487804878048781</f>
        <v>0.49756097560975665</v>
      </c>
    </row>
    <row r="1753" spans="1:8" ht="15.75" hidden="1" customHeight="1" x14ac:dyDescent="0.25">
      <c r="A1753" s="15" t="s">
        <v>183</v>
      </c>
      <c r="B1753" s="11" t="s">
        <v>207</v>
      </c>
      <c r="C1753" s="15"/>
      <c r="D1753" s="31" t="s">
        <v>19</v>
      </c>
      <c r="E1753" s="32">
        <v>86</v>
      </c>
      <c r="F1753" s="18">
        <f>E1753* 0.0748299319727891</f>
        <v>6.4353741496598627</v>
      </c>
      <c r="G1753" s="18">
        <f>E1753* 0.924036281179138</f>
        <v>79.467120181405875</v>
      </c>
      <c r="H1753" s="18">
        <f>E1753* 0.00113378684807256</f>
        <v>9.7505668934240161E-2</v>
      </c>
    </row>
    <row r="1754" spans="1:8" ht="15.75" hidden="1" customHeight="1" x14ac:dyDescent="0.25">
      <c r="A1754" s="15" t="s">
        <v>183</v>
      </c>
      <c r="B1754" s="11" t="s">
        <v>207</v>
      </c>
      <c r="C1754" s="15"/>
      <c r="D1754" s="31" t="s">
        <v>20</v>
      </c>
      <c r="E1754" s="32">
        <v>42</v>
      </c>
      <c r="F1754" s="18">
        <f>E1754* 0.799709724238026</f>
        <v>33.587808417997095</v>
      </c>
      <c r="G1754" s="18">
        <f>E1754* 0.150580551523948</f>
        <v>6.3243831640058161</v>
      </c>
      <c r="H1754" s="18">
        <f>E1754* 0.0493468795355588</f>
        <v>2.0725689404934697</v>
      </c>
    </row>
    <row r="1755" spans="1:8" ht="15.75" hidden="1" customHeight="1" x14ac:dyDescent="0.25">
      <c r="A1755" s="15" t="s">
        <v>183</v>
      </c>
      <c r="B1755" s="11" t="s">
        <v>207</v>
      </c>
      <c r="C1755" s="15"/>
      <c r="D1755" s="31" t="s">
        <v>21</v>
      </c>
      <c r="E1755" s="32">
        <v>995</v>
      </c>
      <c r="F1755" s="18">
        <f>E1755* 0.999328295549958</f>
        <v>994.33165407220815</v>
      </c>
      <c r="G1755" s="18">
        <f>E1755* 0.000335852225020991</f>
        <v>0.33417296389588608</v>
      </c>
      <c r="H1755" s="18">
        <f>E1755* 0.000335852225020991</f>
        <v>0.33417296389588608</v>
      </c>
    </row>
    <row r="1756" spans="1:8" ht="15.75" hidden="1" customHeight="1" x14ac:dyDescent="0.25">
      <c r="A1756" s="15" t="s">
        <v>183</v>
      </c>
      <c r="B1756" s="11" t="s">
        <v>207</v>
      </c>
      <c r="C1756" s="15"/>
      <c r="D1756" s="31" t="s">
        <v>36</v>
      </c>
      <c r="E1756" s="32">
        <v>0</v>
      </c>
      <c r="F1756" s="24">
        <f>E1756</f>
        <v>0</v>
      </c>
      <c r="G1756" s="20">
        <v>0</v>
      </c>
      <c r="H1756" s="20">
        <v>0</v>
      </c>
    </row>
    <row r="1757" spans="1:8" ht="15.75" hidden="1" customHeight="1" x14ac:dyDescent="0.25">
      <c r="A1757" s="15" t="s">
        <v>183</v>
      </c>
      <c r="B1757" s="11" t="s">
        <v>207</v>
      </c>
      <c r="C1757" s="15"/>
      <c r="D1757" s="31" t="s">
        <v>148</v>
      </c>
      <c r="E1757" s="32">
        <v>10</v>
      </c>
      <c r="F1757" s="18">
        <f>E1757* 0.00116550116550117</f>
        <v>1.1655011655011701E-2</v>
      </c>
      <c r="G1757" s="18">
        <f>E1757* 0.998834498834499</f>
        <v>9.9883449883449913</v>
      </c>
      <c r="H1757" s="20">
        <v>0</v>
      </c>
    </row>
    <row r="1758" spans="1:8" ht="15.75" hidden="1" customHeight="1" x14ac:dyDescent="0.25">
      <c r="A1758" s="15" t="s">
        <v>183</v>
      </c>
      <c r="B1758" s="11" t="s">
        <v>207</v>
      </c>
      <c r="C1758" s="15"/>
      <c r="D1758" s="31" t="s">
        <v>12</v>
      </c>
      <c r="E1758" s="32">
        <v>1103</v>
      </c>
      <c r="F1758" s="18">
        <f>E1758* 0.894051651143099</f>
        <v>986.13897121083824</v>
      </c>
      <c r="G1758" s="18">
        <f>E1758* 0.0675804403048264</f>
        <v>74.541225656223531</v>
      </c>
      <c r="H1758" s="18">
        <f>E1758* 0.0382091447925487</f>
        <v>42.144686706181218</v>
      </c>
    </row>
    <row r="1759" spans="1:8" ht="15.75" hidden="1" customHeight="1" x14ac:dyDescent="0.25">
      <c r="A1759" s="15" t="s">
        <v>183</v>
      </c>
      <c r="B1759" s="33"/>
      <c r="C1759" s="33"/>
      <c r="D1759" s="34"/>
      <c r="E1759" s="35"/>
    </row>
    <row r="1760" spans="1:8" ht="15.75" hidden="1" customHeight="1" x14ac:dyDescent="0.25">
      <c r="A1760" s="15" t="s">
        <v>183</v>
      </c>
      <c r="B1760" s="11" t="s">
        <v>208</v>
      </c>
      <c r="C1760" s="12" t="str">
        <f>B1760&amp;"_"&amp;A1760</f>
        <v>Uncía_Potosí</v>
      </c>
      <c r="E1760" s="22">
        <v>466</v>
      </c>
      <c r="F1760" s="14">
        <f t="shared" ref="F1760:H1760" si="167">SUM(F1761:F1772)</f>
        <v>378.65838022195669</v>
      </c>
      <c r="G1760" s="14">
        <f t="shared" si="167"/>
        <v>70.699048303427091</v>
      </c>
      <c r="H1760" s="14">
        <f t="shared" si="167"/>
        <v>16.561427787075125</v>
      </c>
    </row>
    <row r="1761" spans="1:8" ht="15.75" hidden="1" customHeight="1" x14ac:dyDescent="0.25">
      <c r="A1761" s="15" t="s">
        <v>183</v>
      </c>
      <c r="B1761" s="11" t="s">
        <v>208</v>
      </c>
      <c r="C1761" s="15"/>
      <c r="D1761" s="31" t="s">
        <v>14</v>
      </c>
      <c r="E1761" s="32">
        <v>0</v>
      </c>
      <c r="F1761" s="20">
        <v>0</v>
      </c>
      <c r="G1761" s="24">
        <f>E1761</f>
        <v>0</v>
      </c>
      <c r="H1761" s="20">
        <v>0</v>
      </c>
    </row>
    <row r="1762" spans="1:8" ht="15.75" hidden="1" customHeight="1" x14ac:dyDescent="0.25">
      <c r="A1762" s="15" t="s">
        <v>183</v>
      </c>
      <c r="B1762" s="11" t="s">
        <v>208</v>
      </c>
      <c r="C1762" s="15"/>
      <c r="D1762" s="31" t="s">
        <v>15</v>
      </c>
      <c r="E1762" s="32">
        <v>18</v>
      </c>
      <c r="F1762" s="18">
        <f>E1762* 0.975464549882735</f>
        <v>17.558361897889231</v>
      </c>
      <c r="G1762" s="18">
        <f>E1762* 0.00487100847916291</f>
        <v>8.7678152624932393E-2</v>
      </c>
      <c r="H1762" s="18">
        <f>E1762* 0.0195742377773769</f>
        <v>0.35233627999278422</v>
      </c>
    </row>
    <row r="1763" spans="1:8" ht="15.75" hidden="1" customHeight="1" x14ac:dyDescent="0.25">
      <c r="A1763" s="15" t="s">
        <v>183</v>
      </c>
      <c r="B1763" s="11" t="s">
        <v>208</v>
      </c>
      <c r="C1763" s="15"/>
      <c r="D1763" s="31" t="s">
        <v>16</v>
      </c>
      <c r="E1763" s="32">
        <v>1</v>
      </c>
      <c r="F1763" s="18">
        <f>E1763* 0.0607843137254902</f>
        <v>6.0784313725490202E-2</v>
      </c>
      <c r="G1763" s="18">
        <f>E1763* 0.93921568627451</f>
        <v>0.93921568627451002</v>
      </c>
      <c r="H1763" s="20">
        <v>0</v>
      </c>
    </row>
    <row r="1764" spans="1:8" ht="15.75" hidden="1" customHeight="1" x14ac:dyDescent="0.25">
      <c r="A1764" s="15" t="s">
        <v>183</v>
      </c>
      <c r="B1764" s="11" t="s">
        <v>208</v>
      </c>
      <c r="C1764" s="15"/>
      <c r="D1764" s="31" t="s">
        <v>11</v>
      </c>
      <c r="E1764" s="32">
        <v>25</v>
      </c>
      <c r="F1764" s="18">
        <f>E1764* 0.175725756639901</f>
        <v>4.3931439159975252</v>
      </c>
      <c r="G1764" s="18">
        <f>E1764* 0.823656578134651</f>
        <v>20.591414453366276</v>
      </c>
      <c r="H1764" s="18">
        <f>E1764* 0.000617665225447807</f>
        <v>1.5441630636195174E-2</v>
      </c>
    </row>
    <row r="1765" spans="1:8" ht="15.75" hidden="1" customHeight="1" x14ac:dyDescent="0.25">
      <c r="A1765" s="15" t="s">
        <v>183</v>
      </c>
      <c r="B1765" s="11" t="s">
        <v>208</v>
      </c>
      <c r="C1765" s="15"/>
      <c r="D1765" s="31" t="s">
        <v>17</v>
      </c>
      <c r="E1765" s="32">
        <v>18</v>
      </c>
      <c r="F1765" s="18">
        <f>E1765* 0.869679539852095</f>
        <v>15.65423171733771</v>
      </c>
      <c r="G1765" s="18">
        <f>E1765* 0.0695152013147083</f>
        <v>1.2512736236647495</v>
      </c>
      <c r="H1765" s="18">
        <f>E1765* 0.0608052588331964</f>
        <v>1.0944946589975353</v>
      </c>
    </row>
    <row r="1766" spans="1:8" ht="15.75" hidden="1" customHeight="1" x14ac:dyDescent="0.25">
      <c r="A1766" s="15" t="s">
        <v>183</v>
      </c>
      <c r="B1766" s="11" t="s">
        <v>208</v>
      </c>
      <c r="C1766" s="15"/>
      <c r="D1766" s="31" t="s">
        <v>31</v>
      </c>
      <c r="E1766" s="32">
        <v>1</v>
      </c>
      <c r="F1766" s="18">
        <f>E1766* 0.93</f>
        <v>0.93</v>
      </c>
      <c r="G1766" s="18">
        <f>F1766* 0.05</f>
        <v>4.6500000000000007E-2</v>
      </c>
      <c r="H1766" s="18">
        <f>E1766* 0.02</f>
        <v>0.02</v>
      </c>
    </row>
    <row r="1767" spans="1:8" ht="15.75" hidden="1" customHeight="1" x14ac:dyDescent="0.25">
      <c r="A1767" s="15" t="s">
        <v>183</v>
      </c>
      <c r="B1767" s="11" t="s">
        <v>208</v>
      </c>
      <c r="C1767" s="15"/>
      <c r="D1767" s="31" t="s">
        <v>18</v>
      </c>
      <c r="E1767" s="32">
        <v>9</v>
      </c>
      <c r="F1767" s="18">
        <f>E1767* 0.941463414634146</f>
        <v>8.4731707317073131</v>
      </c>
      <c r="G1767" s="18">
        <f>E1767* 0.0532833020637899</f>
        <v>0.47954971857410911</v>
      </c>
      <c r="H1767" s="18">
        <f>E1767* 0.00487804878048781</f>
        <v>4.390243902439029E-2</v>
      </c>
    </row>
    <row r="1768" spans="1:8" ht="15.75" hidden="1" customHeight="1" x14ac:dyDescent="0.25">
      <c r="A1768" s="15" t="s">
        <v>183</v>
      </c>
      <c r="B1768" s="11" t="s">
        <v>208</v>
      </c>
      <c r="C1768" s="15"/>
      <c r="D1768" s="31" t="s">
        <v>19</v>
      </c>
      <c r="E1768" s="32">
        <v>18</v>
      </c>
      <c r="F1768" s="18">
        <f>E1768* 0.0748299319727891</f>
        <v>1.3469387755102038</v>
      </c>
      <c r="G1768" s="18">
        <f>E1768* 0.924036281179138</f>
        <v>16.632653061224485</v>
      </c>
      <c r="H1768" s="18">
        <f>E1768* 0.00113378684807256</f>
        <v>2.0408163265306079E-2</v>
      </c>
    </row>
    <row r="1769" spans="1:8" ht="15.75" hidden="1" customHeight="1" x14ac:dyDescent="0.25">
      <c r="A1769" s="15" t="s">
        <v>183</v>
      </c>
      <c r="B1769" s="11" t="s">
        <v>208</v>
      </c>
      <c r="C1769" s="15"/>
      <c r="D1769" s="31" t="s">
        <v>20</v>
      </c>
      <c r="E1769" s="32">
        <v>65</v>
      </c>
      <c r="F1769" s="18">
        <f>E1769* 0.799709724238026</f>
        <v>51.981132075471692</v>
      </c>
      <c r="G1769" s="18">
        <f>E1769* 0.150580551523948</f>
        <v>9.7877358490566202</v>
      </c>
      <c r="H1769" s="18">
        <f>E1769* 0.0493468795355588</f>
        <v>3.2075471698113223</v>
      </c>
    </row>
    <row r="1770" spans="1:8" ht="15.75" hidden="1" customHeight="1" x14ac:dyDescent="0.25">
      <c r="A1770" s="15" t="s">
        <v>183</v>
      </c>
      <c r="B1770" s="11" t="s">
        <v>208</v>
      </c>
      <c r="C1770" s="15"/>
      <c r="D1770" s="31" t="s">
        <v>21</v>
      </c>
      <c r="E1770" s="32">
        <v>2</v>
      </c>
      <c r="F1770" s="18">
        <f>E1770* 0.999328295549958</f>
        <v>1.9986565910999159</v>
      </c>
      <c r="G1770" s="18">
        <f>E1770* 0.000335852225020991</f>
        <v>6.7170445004198205E-4</v>
      </c>
      <c r="H1770" s="18">
        <f>E1770* 0.000335852225020991</f>
        <v>6.7170445004198205E-4</v>
      </c>
    </row>
    <row r="1771" spans="1:8" ht="15.75" hidden="1" customHeight="1" x14ac:dyDescent="0.25">
      <c r="A1771" s="15" t="s">
        <v>183</v>
      </c>
      <c r="B1771" s="11" t="s">
        <v>208</v>
      </c>
      <c r="C1771" s="15"/>
      <c r="D1771" s="31" t="s">
        <v>28</v>
      </c>
      <c r="E1771" s="32">
        <v>0</v>
      </c>
      <c r="F1771" s="18">
        <f>E1771* 0.00116550116550117</f>
        <v>0</v>
      </c>
      <c r="G1771" s="18">
        <f>E1771* 0.998834498834499</f>
        <v>0</v>
      </c>
      <c r="H1771" s="20">
        <v>0</v>
      </c>
    </row>
    <row r="1772" spans="1:8" ht="15.75" hidden="1" customHeight="1" x14ac:dyDescent="0.25">
      <c r="A1772" s="15" t="s">
        <v>183</v>
      </c>
      <c r="B1772" s="11" t="s">
        <v>208</v>
      </c>
      <c r="C1772" s="15"/>
      <c r="D1772" s="31" t="s">
        <v>12</v>
      </c>
      <c r="E1772" s="32">
        <v>309</v>
      </c>
      <c r="F1772" s="18">
        <f>E1772* 0.894051651143099</f>
        <v>276.2619602032176</v>
      </c>
      <c r="G1772" s="18">
        <f>E1772* 0.0675804403048264</f>
        <v>20.882356054191359</v>
      </c>
      <c r="H1772" s="18">
        <f>E1772* 0.0382091447925487</f>
        <v>11.806625740897548</v>
      </c>
    </row>
    <row r="1773" spans="1:8" ht="15.75" hidden="1" customHeight="1" x14ac:dyDescent="0.25">
      <c r="A1773" s="15" t="s">
        <v>183</v>
      </c>
      <c r="B1773" s="33"/>
      <c r="C1773" s="33"/>
      <c r="D1773" s="34"/>
      <c r="E1773" s="35"/>
    </row>
    <row r="1774" spans="1:8" ht="15.75" hidden="1" customHeight="1" x14ac:dyDescent="0.25">
      <c r="A1774" s="15" t="s">
        <v>183</v>
      </c>
      <c r="B1774" s="11" t="s">
        <v>209</v>
      </c>
      <c r="C1774" s="12" t="str">
        <f>B1774&amp;"_"&amp;A1774</f>
        <v>Uyuni_Potosí</v>
      </c>
      <c r="E1774" s="22">
        <v>2996</v>
      </c>
      <c r="F1774" s="14">
        <f t="shared" ref="F1774:H1774" si="168">SUM(F1775:F1788)</f>
        <v>2403.3373830557421</v>
      </c>
      <c r="G1774" s="14">
        <f t="shared" si="168"/>
        <v>507.39054792968767</v>
      </c>
      <c r="H1774" s="14">
        <f t="shared" si="168"/>
        <v>84.954238211197406</v>
      </c>
    </row>
    <row r="1775" spans="1:8" ht="15.75" hidden="1" customHeight="1" x14ac:dyDescent="0.25">
      <c r="A1775" s="15" t="s">
        <v>183</v>
      </c>
      <c r="B1775" s="11" t="s">
        <v>209</v>
      </c>
      <c r="C1775" s="15"/>
      <c r="D1775" s="31" t="s">
        <v>14</v>
      </c>
      <c r="E1775" s="32">
        <v>0</v>
      </c>
      <c r="F1775" s="20">
        <v>0</v>
      </c>
      <c r="G1775" s="24">
        <f>E1775</f>
        <v>0</v>
      </c>
      <c r="H1775" s="20">
        <v>0</v>
      </c>
    </row>
    <row r="1776" spans="1:8" ht="15.75" hidden="1" customHeight="1" x14ac:dyDescent="0.25">
      <c r="A1776" s="15" t="s">
        <v>183</v>
      </c>
      <c r="B1776" s="11" t="s">
        <v>209</v>
      </c>
      <c r="C1776" s="15"/>
      <c r="D1776" s="31" t="s">
        <v>15</v>
      </c>
      <c r="E1776" s="32">
        <v>209</v>
      </c>
      <c r="F1776" s="18">
        <f>E1776* 0.975464549882735</f>
        <v>203.87209092549162</v>
      </c>
      <c r="G1776" s="18">
        <f>E1776* 0.00487100847916291</f>
        <v>1.0180407721450482</v>
      </c>
      <c r="H1776" s="18">
        <f>E1776* 0.0195742377773769</f>
        <v>4.0910156954717722</v>
      </c>
    </row>
    <row r="1777" spans="1:8" ht="15.75" hidden="1" customHeight="1" x14ac:dyDescent="0.25">
      <c r="A1777" s="15" t="s">
        <v>183</v>
      </c>
      <c r="B1777" s="11" t="s">
        <v>209</v>
      </c>
      <c r="C1777" s="15"/>
      <c r="D1777" s="31" t="s">
        <v>16</v>
      </c>
      <c r="E1777" s="32">
        <v>25</v>
      </c>
      <c r="F1777" s="18">
        <f>E1777* 0.0607843137254902</f>
        <v>1.5196078431372551</v>
      </c>
      <c r="G1777" s="18">
        <f>E1777* 0.93921568627451</f>
        <v>23.480392156862749</v>
      </c>
      <c r="H1777" s="20">
        <v>0</v>
      </c>
    </row>
    <row r="1778" spans="1:8" ht="15.75" hidden="1" customHeight="1" x14ac:dyDescent="0.25">
      <c r="A1778" s="15" t="s">
        <v>183</v>
      </c>
      <c r="B1778" s="11" t="s">
        <v>209</v>
      </c>
      <c r="C1778" s="15"/>
      <c r="D1778" s="31" t="s">
        <v>11</v>
      </c>
      <c r="E1778" s="32">
        <v>351</v>
      </c>
      <c r="F1778" s="18">
        <f>E1778* 0.175725756639901</f>
        <v>61.679740580605255</v>
      </c>
      <c r="G1778" s="18">
        <f>E1778* 0.823656578134651</f>
        <v>289.10345892526249</v>
      </c>
      <c r="H1778" s="18">
        <f>E1778* 0.000617665225447807</f>
        <v>0.21680049413218025</v>
      </c>
    </row>
    <row r="1779" spans="1:8" ht="15.75" hidden="1" customHeight="1" x14ac:dyDescent="0.25">
      <c r="A1779" s="15" t="s">
        <v>183</v>
      </c>
      <c r="B1779" s="11" t="s">
        <v>209</v>
      </c>
      <c r="C1779" s="15"/>
      <c r="D1779" s="31" t="s">
        <v>17</v>
      </c>
      <c r="E1779" s="32">
        <v>334</v>
      </c>
      <c r="F1779" s="18">
        <f>E1779* 0.869679539852095</f>
        <v>290.47296631059976</v>
      </c>
      <c r="G1779" s="18">
        <f>E1779* 0.0695152013147083</f>
        <v>23.218077239112571</v>
      </c>
      <c r="H1779" s="18">
        <f>E1779* 0.0608052588331964</f>
        <v>20.308956450287599</v>
      </c>
    </row>
    <row r="1780" spans="1:8" ht="15.75" hidden="1" customHeight="1" x14ac:dyDescent="0.25">
      <c r="A1780" s="15" t="s">
        <v>183</v>
      </c>
      <c r="B1780" s="11" t="s">
        <v>209</v>
      </c>
      <c r="C1780" s="15"/>
      <c r="D1780" s="31" t="s">
        <v>31</v>
      </c>
      <c r="E1780" s="32">
        <v>2</v>
      </c>
      <c r="F1780" s="18">
        <f>E1780* 0.93</f>
        <v>1.86</v>
      </c>
      <c r="G1780" s="18">
        <f>F1780* 0.05</f>
        <v>9.3000000000000013E-2</v>
      </c>
      <c r="H1780" s="18">
        <f>E1780* 0.02</f>
        <v>0.04</v>
      </c>
    </row>
    <row r="1781" spans="1:8" ht="15.75" hidden="1" customHeight="1" x14ac:dyDescent="0.25">
      <c r="A1781" s="15" t="s">
        <v>183</v>
      </c>
      <c r="B1781" s="11" t="s">
        <v>209</v>
      </c>
      <c r="C1781" s="15"/>
      <c r="D1781" s="31" t="s">
        <v>18</v>
      </c>
      <c r="E1781" s="32">
        <v>93</v>
      </c>
      <c r="F1781" s="18">
        <f>E1781* 0.941463414634146</f>
        <v>87.556097560975573</v>
      </c>
      <c r="G1781" s="18">
        <f>E1781* 0.0532833020637899</f>
        <v>4.9553470919324605</v>
      </c>
      <c r="H1781" s="18">
        <f>E1781* 0.00487804878048781</f>
        <v>0.45365853658536631</v>
      </c>
    </row>
    <row r="1782" spans="1:8" ht="15.75" hidden="1" customHeight="1" x14ac:dyDescent="0.25">
      <c r="A1782" s="15" t="s">
        <v>183</v>
      </c>
      <c r="B1782" s="11" t="s">
        <v>209</v>
      </c>
      <c r="C1782" s="15"/>
      <c r="D1782" s="31" t="s">
        <v>35</v>
      </c>
      <c r="E1782" s="32">
        <v>0</v>
      </c>
      <c r="F1782" s="20">
        <v>0</v>
      </c>
      <c r="G1782" s="24">
        <f>E1782</f>
        <v>0</v>
      </c>
      <c r="H1782" s="20">
        <v>0</v>
      </c>
    </row>
    <row r="1783" spans="1:8" ht="15.75" hidden="1" customHeight="1" x14ac:dyDescent="0.25">
      <c r="A1783" s="15" t="s">
        <v>183</v>
      </c>
      <c r="B1783" s="11" t="s">
        <v>209</v>
      </c>
      <c r="C1783" s="15"/>
      <c r="D1783" s="31" t="s">
        <v>19</v>
      </c>
      <c r="E1783" s="32">
        <v>10</v>
      </c>
      <c r="F1783" s="18">
        <f>E1783* 0.0748299319727891</f>
        <v>0.74829931972789099</v>
      </c>
      <c r="G1783" s="18">
        <f>E1783* 0.924036281179138</f>
        <v>9.2403628117913801</v>
      </c>
      <c r="H1783" s="18">
        <f>E1783* 0.00113378684807256</f>
        <v>1.1337868480725599E-2</v>
      </c>
    </row>
    <row r="1784" spans="1:8" ht="15.75" hidden="1" customHeight="1" x14ac:dyDescent="0.25">
      <c r="A1784" s="15" t="s">
        <v>183</v>
      </c>
      <c r="B1784" s="11" t="s">
        <v>209</v>
      </c>
      <c r="C1784" s="15"/>
      <c r="D1784" s="31" t="s">
        <v>20</v>
      </c>
      <c r="E1784" s="32">
        <v>57</v>
      </c>
      <c r="F1784" s="18">
        <f>E1784* 0.799709724238026</f>
        <v>45.583454281567484</v>
      </c>
      <c r="G1784" s="18">
        <f>E1784* 0.150580551523948</f>
        <v>8.5830914368650362</v>
      </c>
      <c r="H1784" s="18">
        <f>E1784* 0.0493468795355588</f>
        <v>2.8127721335268516</v>
      </c>
    </row>
    <row r="1785" spans="1:8" ht="15.75" hidden="1" customHeight="1" x14ac:dyDescent="0.25">
      <c r="A1785" s="15" t="s">
        <v>183</v>
      </c>
      <c r="B1785" s="11" t="s">
        <v>209</v>
      </c>
      <c r="C1785" s="15"/>
      <c r="D1785" s="31" t="s">
        <v>21</v>
      </c>
      <c r="E1785" s="32">
        <v>376</v>
      </c>
      <c r="F1785" s="18">
        <f>E1785* 0.999328295549958</f>
        <v>375.74743912678417</v>
      </c>
      <c r="G1785" s="18">
        <f>E1785* 0.000335852225020991</f>
        <v>0.12628043660789262</v>
      </c>
      <c r="H1785" s="18">
        <f>E1785* 0.000335852225020991</f>
        <v>0.12628043660789262</v>
      </c>
    </row>
    <row r="1786" spans="1:8" ht="15.75" hidden="1" customHeight="1" x14ac:dyDescent="0.25">
      <c r="A1786" s="15" t="s">
        <v>183</v>
      </c>
      <c r="B1786" s="11" t="s">
        <v>209</v>
      </c>
      <c r="C1786" s="15"/>
      <c r="D1786" s="31" t="s">
        <v>36</v>
      </c>
      <c r="E1786" s="32">
        <v>3</v>
      </c>
      <c r="F1786" s="24">
        <f>E1786</f>
        <v>3</v>
      </c>
      <c r="G1786" s="20">
        <v>0</v>
      </c>
      <c r="H1786" s="20">
        <v>0</v>
      </c>
    </row>
    <row r="1787" spans="1:8" ht="15.75" hidden="1" customHeight="1" x14ac:dyDescent="0.25">
      <c r="A1787" s="15" t="s">
        <v>183</v>
      </c>
      <c r="B1787" s="11" t="s">
        <v>209</v>
      </c>
      <c r="C1787" s="15"/>
      <c r="D1787" s="31" t="s">
        <v>28</v>
      </c>
      <c r="E1787" s="32">
        <v>47</v>
      </c>
      <c r="F1787" s="18">
        <f>E1787* 0.00116550116550117</f>
        <v>5.4778554778554991E-2</v>
      </c>
      <c r="G1787" s="18">
        <f>E1787* 0.998834498834499</f>
        <v>46.945221445221456</v>
      </c>
      <c r="H1787" s="20">
        <v>0</v>
      </c>
    </row>
    <row r="1788" spans="1:8" ht="15.75" hidden="1" customHeight="1" x14ac:dyDescent="0.25">
      <c r="A1788" s="15" t="s">
        <v>183</v>
      </c>
      <c r="B1788" s="11" t="s">
        <v>209</v>
      </c>
      <c r="C1788" s="15"/>
      <c r="D1788" s="31" t="s">
        <v>12</v>
      </c>
      <c r="E1788" s="32">
        <v>1489</v>
      </c>
      <c r="F1788" s="18">
        <f>E1788* 0.894051651143099</f>
        <v>1331.2429085520744</v>
      </c>
      <c r="G1788" s="18">
        <f>E1788* 0.0675804403048264</f>
        <v>100.62727561388652</v>
      </c>
      <c r="H1788" s="18">
        <f>E1788* 0.0382091447925487</f>
        <v>56.893416596105013</v>
      </c>
    </row>
    <row r="1789" spans="1:8" ht="15.75" hidden="1" customHeight="1" x14ac:dyDescent="0.25">
      <c r="A1789" s="15" t="s">
        <v>183</v>
      </c>
      <c r="B1789" s="33"/>
      <c r="C1789" s="33"/>
      <c r="D1789" s="34"/>
      <c r="E1789" s="35"/>
    </row>
    <row r="1790" spans="1:8" ht="15.75" hidden="1" customHeight="1" x14ac:dyDescent="0.25">
      <c r="A1790" s="15" t="s">
        <v>183</v>
      </c>
      <c r="B1790" s="11" t="s">
        <v>210</v>
      </c>
      <c r="C1790" s="12" t="str">
        <f>B1790&amp;"_"&amp;A1790</f>
        <v>Villazón_Potosí</v>
      </c>
      <c r="E1790" s="22">
        <v>2688</v>
      </c>
      <c r="F1790" s="14">
        <f t="shared" ref="F1790:H1790" si="169">SUM(F1791:F1803)</f>
        <v>2182.0929237670744</v>
      </c>
      <c r="G1790" s="14">
        <f t="shared" si="169"/>
        <v>426.44443815884563</v>
      </c>
      <c r="H1790" s="14">
        <f t="shared" si="169"/>
        <v>79.189336289159272</v>
      </c>
    </row>
    <row r="1791" spans="1:8" ht="15.75" hidden="1" customHeight="1" x14ac:dyDescent="0.25">
      <c r="A1791" s="15" t="s">
        <v>183</v>
      </c>
      <c r="B1791" s="11" t="s">
        <v>210</v>
      </c>
      <c r="C1791" s="15"/>
      <c r="D1791" s="31" t="s">
        <v>14</v>
      </c>
      <c r="E1791" s="32">
        <v>0</v>
      </c>
      <c r="F1791" s="20">
        <v>0</v>
      </c>
      <c r="G1791" s="24">
        <f>E1791</f>
        <v>0</v>
      </c>
      <c r="H1791" s="20">
        <v>0</v>
      </c>
    </row>
    <row r="1792" spans="1:8" ht="15.75" hidden="1" customHeight="1" x14ac:dyDescent="0.25">
      <c r="A1792" s="15" t="s">
        <v>183</v>
      </c>
      <c r="B1792" s="11" t="s">
        <v>210</v>
      </c>
      <c r="C1792" s="15"/>
      <c r="D1792" s="31" t="s">
        <v>15</v>
      </c>
      <c r="E1792" s="32">
        <v>412</v>
      </c>
      <c r="F1792" s="18">
        <f>E1792* 0.975464549882735</f>
        <v>401.8913945516868</v>
      </c>
      <c r="G1792" s="18">
        <f>E1792* 0.00487100847916291</f>
        <v>2.0068554934151193</v>
      </c>
      <c r="H1792" s="18">
        <f>E1792* 0.0195742377773769</f>
        <v>8.0645859642792832</v>
      </c>
    </row>
    <row r="1793" spans="1:8" ht="15.75" hidden="1" customHeight="1" x14ac:dyDescent="0.25">
      <c r="A1793" s="15" t="s">
        <v>183</v>
      </c>
      <c r="B1793" s="11" t="s">
        <v>210</v>
      </c>
      <c r="C1793" s="15"/>
      <c r="D1793" s="31" t="s">
        <v>16</v>
      </c>
      <c r="E1793" s="32">
        <v>23</v>
      </c>
      <c r="F1793" s="18">
        <f>E1793* 0.0607843137254902</f>
        <v>1.3980392156862746</v>
      </c>
      <c r="G1793" s="18">
        <f>E1793* 0.93921568627451</f>
        <v>21.601960784313732</v>
      </c>
      <c r="H1793" s="20">
        <v>0</v>
      </c>
    </row>
    <row r="1794" spans="1:8" ht="15.75" hidden="1" customHeight="1" x14ac:dyDescent="0.25">
      <c r="A1794" s="15" t="s">
        <v>183</v>
      </c>
      <c r="B1794" s="11" t="s">
        <v>210</v>
      </c>
      <c r="C1794" s="15"/>
      <c r="D1794" s="31" t="s">
        <v>11</v>
      </c>
      <c r="E1794" s="32">
        <v>254</v>
      </c>
      <c r="F1794" s="18">
        <f>E1794* 0.175725756639901</f>
        <v>44.634342186534852</v>
      </c>
      <c r="G1794" s="18">
        <f>E1794* 0.823656578134651</f>
        <v>209.20877084620136</v>
      </c>
      <c r="H1794" s="18">
        <f>E1794* 0.000617665225447807</f>
        <v>0.15688696726374299</v>
      </c>
    </row>
    <row r="1795" spans="1:8" ht="15.75" hidden="1" customHeight="1" x14ac:dyDescent="0.25">
      <c r="A1795" s="15" t="s">
        <v>183</v>
      </c>
      <c r="B1795" s="11" t="s">
        <v>210</v>
      </c>
      <c r="C1795" s="15"/>
      <c r="D1795" s="31" t="s">
        <v>17</v>
      </c>
      <c r="E1795" s="32">
        <v>346</v>
      </c>
      <c r="F1795" s="18">
        <f>E1795* 0.869679539852095</f>
        <v>300.90912078882485</v>
      </c>
      <c r="G1795" s="18">
        <f>E1795* 0.0695152013147083</f>
        <v>24.05225965488907</v>
      </c>
      <c r="H1795" s="18">
        <f>E1795* 0.0608052588331964</f>
        <v>21.038619556285955</v>
      </c>
    </row>
    <row r="1796" spans="1:8" ht="15.75" hidden="1" customHeight="1" x14ac:dyDescent="0.25">
      <c r="A1796" s="15" t="s">
        <v>183</v>
      </c>
      <c r="B1796" s="11" t="s">
        <v>210</v>
      </c>
      <c r="C1796" s="15"/>
      <c r="D1796" s="31" t="s">
        <v>31</v>
      </c>
      <c r="E1796" s="32">
        <v>3</v>
      </c>
      <c r="F1796" s="18">
        <f>E1796* 0.93</f>
        <v>2.79</v>
      </c>
      <c r="G1796" s="18">
        <f>F1796* 0.05</f>
        <v>0.13950000000000001</v>
      </c>
      <c r="H1796" s="18">
        <f>E1796* 0.02</f>
        <v>0.06</v>
      </c>
    </row>
    <row r="1797" spans="1:8" ht="15.75" hidden="1" customHeight="1" x14ac:dyDescent="0.25">
      <c r="A1797" s="15" t="s">
        <v>183</v>
      </c>
      <c r="B1797" s="11" t="s">
        <v>210</v>
      </c>
      <c r="C1797" s="15"/>
      <c r="D1797" s="31" t="s">
        <v>18</v>
      </c>
      <c r="E1797" s="32">
        <v>36</v>
      </c>
      <c r="F1797" s="18">
        <f>E1797* 0.941463414634146</f>
        <v>33.892682926829252</v>
      </c>
      <c r="G1797" s="18">
        <f>E1797* 0.0532833020637899</f>
        <v>1.9181988742964364</v>
      </c>
      <c r="H1797" s="18">
        <f>E1797* 0.00487804878048781</f>
        <v>0.17560975609756116</v>
      </c>
    </row>
    <row r="1798" spans="1:8" ht="15.75" hidden="1" customHeight="1" x14ac:dyDescent="0.25">
      <c r="A1798" s="15" t="s">
        <v>183</v>
      </c>
      <c r="B1798" s="11" t="s">
        <v>210</v>
      </c>
      <c r="C1798" s="15"/>
      <c r="D1798" s="31" t="s">
        <v>19</v>
      </c>
      <c r="E1798" s="32">
        <v>35</v>
      </c>
      <c r="F1798" s="18">
        <f>E1798* 0.0748299319727891</f>
        <v>2.6190476190476186</v>
      </c>
      <c r="G1798" s="18">
        <f>E1798* 0.924036281179138</f>
        <v>32.341269841269835</v>
      </c>
      <c r="H1798" s="18">
        <f>E1798* 0.00113378684807256</f>
        <v>3.9682539682539597E-2</v>
      </c>
    </row>
    <row r="1799" spans="1:8" ht="15.75" hidden="1" customHeight="1" x14ac:dyDescent="0.25">
      <c r="A1799" s="15" t="s">
        <v>183</v>
      </c>
      <c r="B1799" s="11" t="s">
        <v>210</v>
      </c>
      <c r="C1799" s="15"/>
      <c r="D1799" s="31" t="s">
        <v>20</v>
      </c>
      <c r="E1799" s="32">
        <v>39</v>
      </c>
      <c r="F1799" s="18">
        <f>E1799* 0.799709724238026</f>
        <v>31.188679245283012</v>
      </c>
      <c r="G1799" s="18">
        <f>E1799* 0.150580551523948</f>
        <v>5.8726415094339721</v>
      </c>
      <c r="H1799" s="18">
        <f>E1799* 0.0493468795355588</f>
        <v>1.9245283018867934</v>
      </c>
    </row>
    <row r="1800" spans="1:8" ht="15.75" hidden="1" customHeight="1" x14ac:dyDescent="0.25">
      <c r="A1800" s="15" t="s">
        <v>183</v>
      </c>
      <c r="B1800" s="11" t="s">
        <v>210</v>
      </c>
      <c r="C1800" s="15"/>
      <c r="D1800" s="31" t="s">
        <v>21</v>
      </c>
      <c r="E1800" s="32">
        <v>246</v>
      </c>
      <c r="F1800" s="18">
        <f>E1800* 0.999328295549958</f>
        <v>245.83476070528965</v>
      </c>
      <c r="G1800" s="18">
        <f>E1800* 0.000335852225020991</f>
        <v>8.2619647355163792E-2</v>
      </c>
      <c r="H1800" s="18">
        <f>E1800* 0.000335852225020991</f>
        <v>8.2619647355163792E-2</v>
      </c>
    </row>
    <row r="1801" spans="1:8" ht="15.75" hidden="1" customHeight="1" x14ac:dyDescent="0.25">
      <c r="A1801" s="15" t="s">
        <v>183</v>
      </c>
      <c r="B1801" s="11" t="s">
        <v>210</v>
      </c>
      <c r="C1801" s="15"/>
      <c r="D1801" s="31" t="s">
        <v>36</v>
      </c>
      <c r="E1801" s="32">
        <v>2</v>
      </c>
      <c r="F1801" s="24">
        <f>E1801</f>
        <v>2</v>
      </c>
      <c r="G1801" s="20">
        <v>0</v>
      </c>
      <c r="H1801" s="20">
        <v>0</v>
      </c>
    </row>
    <row r="1802" spans="1:8" ht="15.75" hidden="1" customHeight="1" x14ac:dyDescent="0.25">
      <c r="A1802" s="15" t="s">
        <v>183</v>
      </c>
      <c r="B1802" s="11" t="s">
        <v>210</v>
      </c>
      <c r="C1802" s="15"/>
      <c r="D1802" s="31" t="s">
        <v>28</v>
      </c>
      <c r="E1802" s="32">
        <v>45</v>
      </c>
      <c r="F1802" s="18">
        <f>E1802* 0.00116550116550117</f>
        <v>5.2447552447552649E-2</v>
      </c>
      <c r="G1802" s="18">
        <f>E1802* 0.998834498834499</f>
        <v>44.947552447552454</v>
      </c>
      <c r="H1802" s="20">
        <v>0</v>
      </c>
    </row>
    <row r="1803" spans="1:8" ht="15.75" hidden="1" customHeight="1" x14ac:dyDescent="0.25">
      <c r="A1803" s="15" t="s">
        <v>183</v>
      </c>
      <c r="B1803" s="11" t="s">
        <v>210</v>
      </c>
      <c r="C1803" s="15"/>
      <c r="D1803" s="31" t="s">
        <v>12</v>
      </c>
      <c r="E1803" s="32">
        <v>1247</v>
      </c>
      <c r="F1803" s="18">
        <f>E1803* 0.894051651143099</f>
        <v>1114.8824089754446</v>
      </c>
      <c r="G1803" s="18">
        <f>E1803* 0.0675804403048264</f>
        <v>84.272809060118533</v>
      </c>
      <c r="H1803" s="18">
        <f>E1803* 0.0382091447925487</f>
        <v>47.646803556308228</v>
      </c>
    </row>
    <row r="1804" spans="1:8" ht="15.75" hidden="1" customHeight="1" x14ac:dyDescent="0.25">
      <c r="A1804" s="15" t="s">
        <v>183</v>
      </c>
      <c r="B1804" s="33"/>
      <c r="C1804" s="33"/>
      <c r="D1804" s="34"/>
      <c r="E1804" s="35"/>
    </row>
    <row r="1805" spans="1:8" ht="15.75" hidden="1" customHeight="1" x14ac:dyDescent="0.25">
      <c r="A1805" s="15" t="s">
        <v>183</v>
      </c>
      <c r="B1805" s="11" t="s">
        <v>211</v>
      </c>
      <c r="C1805" s="12" t="str">
        <f>B1805&amp;"_"&amp;A1805</f>
        <v>Vitichi_Potosí</v>
      </c>
      <c r="E1805" s="22">
        <v>11</v>
      </c>
      <c r="F1805" s="14">
        <f t="shared" ref="F1805:H1805" si="170">SUM(F1806:F1811)</f>
        <v>5.4418316631743364</v>
      </c>
      <c r="G1805" s="14">
        <f t="shared" si="170"/>
        <v>5.3339604734217376</v>
      </c>
      <c r="H1805" s="14">
        <f t="shared" si="170"/>
        <v>0.22404909964439793</v>
      </c>
    </row>
    <row r="1806" spans="1:8" ht="15.75" hidden="1" customHeight="1" x14ac:dyDescent="0.25">
      <c r="A1806" s="15" t="s">
        <v>183</v>
      </c>
      <c r="B1806" s="11" t="s">
        <v>211</v>
      </c>
      <c r="C1806" s="15"/>
      <c r="D1806" s="31" t="s">
        <v>16</v>
      </c>
      <c r="E1806" s="32">
        <v>1</v>
      </c>
      <c r="F1806" s="18">
        <f>E1806* 0.0607843137254902</f>
        <v>6.0784313725490202E-2</v>
      </c>
      <c r="G1806" s="18">
        <f>E1806* 0.93921568627451</f>
        <v>0.93921568627451002</v>
      </c>
      <c r="H1806" s="20">
        <v>0</v>
      </c>
    </row>
    <row r="1807" spans="1:8" ht="15.75" hidden="1" customHeight="1" x14ac:dyDescent="0.25">
      <c r="A1807" s="15" t="s">
        <v>183</v>
      </c>
      <c r="B1807" s="11" t="s">
        <v>211</v>
      </c>
      <c r="C1807" s="15"/>
      <c r="D1807" s="31" t="s">
        <v>11</v>
      </c>
      <c r="E1807" s="32">
        <v>5</v>
      </c>
      <c r="F1807" s="18">
        <f>E1807* 0.175725756639901</f>
        <v>0.87862878319950499</v>
      </c>
      <c r="G1807" s="18">
        <f>E1807* 0.823656578134651</f>
        <v>4.1182828906732549</v>
      </c>
      <c r="H1807" s="18">
        <f>E1807* 0.000617665225447807</f>
        <v>3.088326127239035E-3</v>
      </c>
    </row>
    <row r="1808" spans="1:8" ht="15.75" hidden="1" customHeight="1" x14ac:dyDescent="0.25">
      <c r="A1808" s="15" t="s">
        <v>183</v>
      </c>
      <c r="B1808" s="11" t="s">
        <v>211</v>
      </c>
      <c r="C1808" s="15"/>
      <c r="D1808" s="31" t="s">
        <v>17</v>
      </c>
      <c r="E1808" s="32">
        <v>3</v>
      </c>
      <c r="F1808" s="18">
        <f>E1808* 0.869679539852095</f>
        <v>2.6090386195562849</v>
      </c>
      <c r="G1808" s="18">
        <f>E1808* 0.0695152013147083</f>
        <v>0.20854560394412491</v>
      </c>
      <c r="H1808" s="18">
        <f>E1808* 0.0608052588331964</f>
        <v>0.18241577649958921</v>
      </c>
    </row>
    <row r="1809" spans="1:8" ht="15.75" hidden="1" customHeight="1" x14ac:dyDescent="0.25">
      <c r="A1809" s="15" t="s">
        <v>183</v>
      </c>
      <c r="B1809" s="11" t="s">
        <v>211</v>
      </c>
      <c r="C1809" s="15"/>
      <c r="D1809" s="31" t="s">
        <v>19</v>
      </c>
      <c r="E1809" s="32">
        <v>0</v>
      </c>
      <c r="F1809" s="18">
        <f>E1809* 0.0748299319727891</f>
        <v>0</v>
      </c>
      <c r="G1809" s="18">
        <f>E1809* 0.924036281179138</f>
        <v>0</v>
      </c>
      <c r="H1809" s="18">
        <f>E1809* 0.00113378684807256</f>
        <v>0</v>
      </c>
    </row>
    <row r="1810" spans="1:8" ht="15.75" hidden="1" customHeight="1" x14ac:dyDescent="0.25">
      <c r="A1810" s="15" t="s">
        <v>183</v>
      </c>
      <c r="B1810" s="11" t="s">
        <v>211</v>
      </c>
      <c r="C1810" s="15"/>
      <c r="D1810" s="31" t="s">
        <v>21</v>
      </c>
      <c r="E1810" s="32">
        <v>1</v>
      </c>
      <c r="F1810" s="18">
        <f>E1810* 0.999328295549958</f>
        <v>0.99932829554995795</v>
      </c>
      <c r="G1810" s="18">
        <f>E1810* 0.000335852225020991</f>
        <v>3.3585222502099103E-4</v>
      </c>
      <c r="H1810" s="18">
        <f>E1810* 0.000335852225020991</f>
        <v>3.3585222502099103E-4</v>
      </c>
    </row>
    <row r="1811" spans="1:8" ht="15.75" hidden="1" customHeight="1" x14ac:dyDescent="0.25">
      <c r="A1811" s="15" t="s">
        <v>183</v>
      </c>
      <c r="B1811" s="11" t="s">
        <v>211</v>
      </c>
      <c r="C1811" s="15"/>
      <c r="D1811" s="31" t="s">
        <v>12</v>
      </c>
      <c r="E1811" s="32">
        <v>1</v>
      </c>
      <c r="F1811" s="18">
        <f>E1811* 0.894051651143099</f>
        <v>0.89405165114309904</v>
      </c>
      <c r="G1811" s="18">
        <f>E1811* 0.0675804403048264</f>
        <v>6.7580440304826406E-2</v>
      </c>
      <c r="H1811" s="18">
        <f>E1811* 0.0382091447925487</f>
        <v>3.8209144792548701E-2</v>
      </c>
    </row>
    <row r="1812" spans="1:8" ht="15.75" hidden="1" customHeight="1" x14ac:dyDescent="0.25">
      <c r="A1812" s="15" t="s">
        <v>183</v>
      </c>
      <c r="B1812" s="33"/>
      <c r="C1812" s="33"/>
      <c r="D1812" s="34"/>
      <c r="E1812" s="35"/>
    </row>
    <row r="1813" spans="1:8" ht="15.75" hidden="1" customHeight="1" x14ac:dyDescent="0.25">
      <c r="A1813" s="15" t="s">
        <v>183</v>
      </c>
      <c r="B1813" s="11" t="s">
        <v>212</v>
      </c>
      <c r="C1813" s="12" t="str">
        <f>B1813&amp;"_"&amp;A1813</f>
        <v>Yocalla_Potosí</v>
      </c>
      <c r="E1813" s="22">
        <v>15</v>
      </c>
      <c r="F1813" s="14">
        <f t="shared" ref="F1813:H1813" si="171">SUM(F1814:F1821)</f>
        <v>11.721208058327905</v>
      </c>
      <c r="G1813" s="14">
        <f t="shared" si="171"/>
        <v>2.9698462438318325</v>
      </c>
      <c r="H1813" s="14">
        <f t="shared" si="171"/>
        <v>0.30712154427449034</v>
      </c>
    </row>
    <row r="1814" spans="1:8" ht="15.75" hidden="1" customHeight="1" x14ac:dyDescent="0.25">
      <c r="A1814" s="15" t="s">
        <v>183</v>
      </c>
      <c r="B1814" s="11" t="s">
        <v>212</v>
      </c>
      <c r="C1814" s="15"/>
      <c r="D1814" s="31" t="s">
        <v>15</v>
      </c>
      <c r="E1814" s="32">
        <v>5</v>
      </c>
      <c r="F1814" s="18">
        <f>E1814* 0.975464549882735</f>
        <v>4.8773227494136755</v>
      </c>
      <c r="G1814" s="18">
        <f>E1814* 0.00487100847916291</f>
        <v>2.4355042395814552E-2</v>
      </c>
      <c r="H1814" s="18">
        <f>E1814* 0.0195742377773769</f>
        <v>9.7871188886884508E-2</v>
      </c>
    </row>
    <row r="1815" spans="1:8" ht="15.75" hidden="1" customHeight="1" x14ac:dyDescent="0.25">
      <c r="A1815" s="15" t="s">
        <v>183</v>
      </c>
      <c r="B1815" s="11" t="s">
        <v>212</v>
      </c>
      <c r="C1815" s="15"/>
      <c r="D1815" s="31" t="s">
        <v>11</v>
      </c>
      <c r="E1815" s="32">
        <v>3</v>
      </c>
      <c r="F1815" s="18">
        <f>E1815* 0.175725756639901</f>
        <v>0.52717726991970304</v>
      </c>
      <c r="G1815" s="18">
        <f>E1815* 0.823656578134651</f>
        <v>2.470969734403953</v>
      </c>
      <c r="H1815" s="18">
        <f>E1815* 0.000617665225447807</f>
        <v>1.852995676343421E-3</v>
      </c>
    </row>
    <row r="1816" spans="1:8" ht="15.75" hidden="1" customHeight="1" x14ac:dyDescent="0.25">
      <c r="A1816" s="15" t="s">
        <v>183</v>
      </c>
      <c r="B1816" s="11" t="s">
        <v>212</v>
      </c>
      <c r="C1816" s="15"/>
      <c r="D1816" s="31" t="s">
        <v>17</v>
      </c>
      <c r="E1816" s="32">
        <v>0</v>
      </c>
      <c r="F1816" s="18">
        <f>E1816* 0.869679539852095</f>
        <v>0</v>
      </c>
      <c r="G1816" s="18">
        <f>E1816* 0.0695152013147083</f>
        <v>0</v>
      </c>
      <c r="H1816" s="18">
        <f>E1816* 0.0608052588331964</f>
        <v>0</v>
      </c>
    </row>
    <row r="1817" spans="1:8" ht="15.75" hidden="1" customHeight="1" x14ac:dyDescent="0.25">
      <c r="A1817" s="15" t="s">
        <v>183</v>
      </c>
      <c r="B1817" s="11" t="s">
        <v>212</v>
      </c>
      <c r="C1817" s="15"/>
      <c r="D1817" s="31" t="s">
        <v>18</v>
      </c>
      <c r="E1817" s="32">
        <v>1</v>
      </c>
      <c r="F1817" s="18">
        <f>E1817* 0.941463414634146</f>
        <v>0.94146341463414596</v>
      </c>
      <c r="G1817" s="18">
        <f>E1817* 0.0532833020637899</f>
        <v>5.3283302063789902E-2</v>
      </c>
      <c r="H1817" s="18">
        <f>E1817* 0.00487804878048781</f>
        <v>4.8780487804878101E-3</v>
      </c>
    </row>
    <row r="1818" spans="1:8" ht="15.75" hidden="1" customHeight="1" x14ac:dyDescent="0.25">
      <c r="A1818" s="15" t="s">
        <v>183</v>
      </c>
      <c r="B1818" s="11" t="s">
        <v>212</v>
      </c>
      <c r="C1818" s="15"/>
      <c r="D1818" s="31" t="s">
        <v>19</v>
      </c>
      <c r="E1818" s="32">
        <v>0</v>
      </c>
      <c r="F1818" s="18">
        <f>E1818* 0.0748299319727891</f>
        <v>0</v>
      </c>
      <c r="G1818" s="18">
        <f>E1818* 0.924036281179138</f>
        <v>0</v>
      </c>
      <c r="H1818" s="18">
        <f>E1818* 0.00113378684807256</f>
        <v>0</v>
      </c>
    </row>
    <row r="1819" spans="1:8" ht="15.75" hidden="1" customHeight="1" x14ac:dyDescent="0.25">
      <c r="A1819" s="15" t="s">
        <v>183</v>
      </c>
      <c r="B1819" s="11" t="s">
        <v>212</v>
      </c>
      <c r="C1819" s="15"/>
      <c r="D1819" s="31" t="s">
        <v>20</v>
      </c>
      <c r="E1819" s="32">
        <v>1</v>
      </c>
      <c r="F1819" s="18">
        <f>E1819* 0.799709724238026</f>
        <v>0.799709724238026</v>
      </c>
      <c r="G1819" s="18">
        <f>E1819* 0.150580551523948</f>
        <v>0.150580551523948</v>
      </c>
      <c r="H1819" s="18">
        <f>E1819* 0.0493468795355588</f>
        <v>4.9346879535558802E-2</v>
      </c>
    </row>
    <row r="1820" spans="1:8" ht="15.75" hidden="1" customHeight="1" x14ac:dyDescent="0.25">
      <c r="A1820" s="15" t="s">
        <v>183</v>
      </c>
      <c r="B1820" s="11" t="s">
        <v>212</v>
      </c>
      <c r="C1820" s="15"/>
      <c r="D1820" s="31" t="s">
        <v>21</v>
      </c>
      <c r="E1820" s="32">
        <v>1</v>
      </c>
      <c r="F1820" s="18">
        <f>E1820* 0.999328295549958</f>
        <v>0.99932829554995795</v>
      </c>
      <c r="G1820" s="18">
        <f>E1820* 0.000335852225020991</f>
        <v>3.3585222502099103E-4</v>
      </c>
      <c r="H1820" s="18">
        <f>E1820* 0.000335852225020991</f>
        <v>3.3585222502099103E-4</v>
      </c>
    </row>
    <row r="1821" spans="1:8" ht="15.75" hidden="1" customHeight="1" x14ac:dyDescent="0.25">
      <c r="A1821" s="15" t="s">
        <v>183</v>
      </c>
      <c r="B1821" s="11" t="s">
        <v>212</v>
      </c>
      <c r="C1821" s="15"/>
      <c r="D1821" s="38" t="s">
        <v>12</v>
      </c>
      <c r="E1821" s="39">
        <v>4</v>
      </c>
      <c r="F1821" s="18">
        <f>E1821* 0.894051651143099</f>
        <v>3.5762066045723961</v>
      </c>
      <c r="G1821" s="18">
        <f>E1821* 0.0675804403048264</f>
        <v>0.27032176121930562</v>
      </c>
      <c r="H1821" s="18">
        <f>E1821* 0.0382091447925487</f>
        <v>0.1528365791701948</v>
      </c>
    </row>
    <row r="1822" spans="1:8" ht="15.75" hidden="1" customHeight="1" x14ac:dyDescent="0.25">
      <c r="A1822" s="15" t="s">
        <v>213</v>
      </c>
      <c r="B1822" s="11" t="s">
        <v>214</v>
      </c>
      <c r="C1822" s="12" t="str">
        <f>B1822&amp;"_"&amp;A1822</f>
        <v>Bermejo_Tarija</v>
      </c>
      <c r="E1822" s="22">
        <v>5247</v>
      </c>
      <c r="F1822" s="14">
        <f t="shared" ref="F1822:H1822" si="172">SUM(F1823:F1836)</f>
        <v>4361.052725059656</v>
      </c>
      <c r="G1822" s="14">
        <f t="shared" si="172"/>
        <v>768.18610783547683</v>
      </c>
      <c r="H1822" s="14">
        <f t="shared" si="172"/>
        <v>117.36355411975627</v>
      </c>
    </row>
    <row r="1823" spans="1:8" ht="15.75" hidden="1" customHeight="1" x14ac:dyDescent="0.25">
      <c r="A1823" s="15" t="s">
        <v>213</v>
      </c>
      <c r="B1823" s="11" t="s">
        <v>214</v>
      </c>
      <c r="C1823" s="15"/>
      <c r="D1823" s="31" t="s">
        <v>53</v>
      </c>
      <c r="E1823" s="32">
        <v>0</v>
      </c>
      <c r="F1823" s="20">
        <v>0</v>
      </c>
      <c r="G1823" s="24">
        <f>E1823</f>
        <v>0</v>
      </c>
      <c r="H1823" s="20">
        <v>0</v>
      </c>
    </row>
    <row r="1824" spans="1:8" ht="15.75" hidden="1" customHeight="1" x14ac:dyDescent="0.25">
      <c r="A1824" s="15" t="s">
        <v>213</v>
      </c>
      <c r="B1824" s="11" t="s">
        <v>214</v>
      </c>
      <c r="C1824" s="15"/>
      <c r="D1824" s="31" t="s">
        <v>15</v>
      </c>
      <c r="E1824" s="32">
        <v>706</v>
      </c>
      <c r="F1824" s="18">
        <f>E1824* 0.957552016439764</f>
        <v>676.03172360647341</v>
      </c>
      <c r="G1824" s="18">
        <f>E1824* 0.0158618032365785</f>
        <v>11.198433085024421</v>
      </c>
      <c r="H1824" s="18">
        <f>E1824* 0.0265861803236578</f>
        <v>18.769843308502406</v>
      </c>
    </row>
    <row r="1825" spans="1:8" ht="15.75" hidden="1" customHeight="1" x14ac:dyDescent="0.25">
      <c r="A1825" s="15" t="s">
        <v>213</v>
      </c>
      <c r="B1825" s="11" t="s">
        <v>214</v>
      </c>
      <c r="C1825" s="15"/>
      <c r="D1825" s="31" t="s">
        <v>16</v>
      </c>
      <c r="E1825" s="32">
        <v>12</v>
      </c>
      <c r="F1825" s="18">
        <f>E1825* 0.0288065843621399</f>
        <v>0.34567901234567883</v>
      </c>
      <c r="G1825" s="18">
        <f>E1825* 0.967078189300412</f>
        <v>11.604938271604944</v>
      </c>
      <c r="H1825" s="18">
        <f>E1825* 0.00411522633744856</f>
        <v>4.938271604938272E-2</v>
      </c>
    </row>
    <row r="1826" spans="1:8" ht="15.75" hidden="1" customHeight="1" x14ac:dyDescent="0.25">
      <c r="A1826" s="15" t="s">
        <v>213</v>
      </c>
      <c r="B1826" s="11" t="s">
        <v>214</v>
      </c>
      <c r="C1826" s="15"/>
      <c r="D1826" s="31" t="s">
        <v>11</v>
      </c>
      <c r="E1826" s="32">
        <v>403</v>
      </c>
      <c r="F1826" s="18">
        <f>E1826* 0.069996216420734</f>
        <v>28.208475217555804</v>
      </c>
      <c r="G1826" s="18">
        <f>E1826* 0.928364232564006</f>
        <v>374.13078572329442</v>
      </c>
      <c r="H1826" s="18">
        <f>E1826* 0.00113507377979569</f>
        <v>0.45743473325766304</v>
      </c>
    </row>
    <row r="1827" spans="1:8" ht="15.75" hidden="1" customHeight="1" x14ac:dyDescent="0.25">
      <c r="A1827" s="15" t="s">
        <v>213</v>
      </c>
      <c r="B1827" s="11" t="s">
        <v>214</v>
      </c>
      <c r="C1827" s="15"/>
      <c r="D1827" s="31" t="s">
        <v>17</v>
      </c>
      <c r="E1827" s="32">
        <v>742</v>
      </c>
      <c r="F1827" s="18">
        <f>E1827* 0.797049581005587</f>
        <v>591.41078910614556</v>
      </c>
      <c r="G1827" s="18">
        <f>E1827* 0.161662011173184</f>
        <v>119.95321229050252</v>
      </c>
      <c r="H1827" s="18">
        <f>E1827* 0.0410265363128492</f>
        <v>30.441689944134108</v>
      </c>
    </row>
    <row r="1828" spans="1:8" ht="15.75" hidden="1" customHeight="1" x14ac:dyDescent="0.25">
      <c r="A1828" s="15" t="s">
        <v>213</v>
      </c>
      <c r="B1828" s="11" t="s">
        <v>214</v>
      </c>
      <c r="C1828" s="15"/>
      <c r="D1828" s="31" t="s">
        <v>31</v>
      </c>
      <c r="E1828" s="32">
        <v>0</v>
      </c>
      <c r="F1828" s="18">
        <f>E1828* 0.820689655172414</f>
        <v>0</v>
      </c>
      <c r="G1828" s="18">
        <f>E1828* 0.16551724137931</f>
        <v>0</v>
      </c>
      <c r="H1828" s="18">
        <f>E1828* 0.0137931034482759</f>
        <v>0</v>
      </c>
    </row>
    <row r="1829" spans="1:8" ht="15.75" hidden="1" customHeight="1" x14ac:dyDescent="0.25">
      <c r="A1829" s="15" t="s">
        <v>213</v>
      </c>
      <c r="B1829" s="11" t="s">
        <v>214</v>
      </c>
      <c r="C1829" s="15"/>
      <c r="D1829" s="31" t="s">
        <v>18</v>
      </c>
      <c r="E1829" s="32">
        <v>91</v>
      </c>
      <c r="F1829" s="18">
        <f>E1829* 0.912233009708738</f>
        <v>83.013203883495152</v>
      </c>
      <c r="G1829" s="18">
        <f>E1829* 0.0811650485436893</f>
        <v>7.386019417475727</v>
      </c>
      <c r="H1829" s="18">
        <f>E1829* 0.00660194174757282</f>
        <v>0.60077669902912656</v>
      </c>
    </row>
    <row r="1830" spans="1:8" ht="15.75" hidden="1" customHeight="1" x14ac:dyDescent="0.25">
      <c r="A1830" s="15" t="s">
        <v>213</v>
      </c>
      <c r="B1830" s="11" t="s">
        <v>214</v>
      </c>
      <c r="C1830" s="15"/>
      <c r="D1830" s="31" t="s">
        <v>19</v>
      </c>
      <c r="E1830" s="32">
        <v>13</v>
      </c>
      <c r="F1830" s="18">
        <f>E1830* 0.0264765784114053</f>
        <v>0.34419551934826886</v>
      </c>
      <c r="G1830" s="18">
        <f>E1830* 0.970807875084861</f>
        <v>12.620502376103193</v>
      </c>
      <c r="H1830" s="18">
        <f>E1830* 0.00271554650373388</f>
        <v>3.5302104548540436E-2</v>
      </c>
    </row>
    <row r="1831" spans="1:8" ht="15.75" hidden="1" customHeight="1" x14ac:dyDescent="0.25">
      <c r="A1831" s="15" t="s">
        <v>213</v>
      </c>
      <c r="B1831" s="11" t="s">
        <v>214</v>
      </c>
      <c r="C1831" s="15"/>
      <c r="D1831" s="31" t="s">
        <v>20</v>
      </c>
      <c r="E1831" s="32">
        <v>122</v>
      </c>
      <c r="F1831" s="18">
        <f>E1831* 0.657913931436907</f>
        <v>80.26549963530266</v>
      </c>
      <c r="G1831" s="18">
        <f>E1831* 0.284463894967177</f>
        <v>34.704595185995593</v>
      </c>
      <c r="H1831" s="18">
        <f>E1831* 0.0576221735959154</f>
        <v>7.0299051787016786</v>
      </c>
    </row>
    <row r="1832" spans="1:8" ht="15.75" hidden="1" customHeight="1" x14ac:dyDescent="0.25">
      <c r="A1832" s="15" t="s">
        <v>213</v>
      </c>
      <c r="B1832" s="11" t="s">
        <v>214</v>
      </c>
      <c r="C1832" s="15"/>
      <c r="D1832" s="31" t="s">
        <v>21</v>
      </c>
      <c r="E1832" s="32">
        <v>1543</v>
      </c>
      <c r="F1832" s="18">
        <f>E1832* 0.999266575396049</f>
        <v>1541.8683258361036</v>
      </c>
      <c r="G1832" s="18">
        <f>E1832* 0.0000488949735967143</f>
        <v>7.5444944259730168E-2</v>
      </c>
      <c r="H1832" s="18">
        <f>E1832* 0.000684529630354</f>
        <v>1.056229219636222</v>
      </c>
    </row>
    <row r="1833" spans="1:8" ht="15.75" hidden="1" customHeight="1" x14ac:dyDescent="0.25">
      <c r="A1833" s="15" t="s">
        <v>213</v>
      </c>
      <c r="B1833" s="11" t="s">
        <v>214</v>
      </c>
      <c r="C1833" s="15"/>
      <c r="D1833" s="31" t="s">
        <v>36</v>
      </c>
      <c r="E1833" s="32">
        <v>1</v>
      </c>
      <c r="F1833" s="18">
        <f>E1833* 0.973154362416107</f>
        <v>0.97315436241610698</v>
      </c>
      <c r="G1833" s="20">
        <v>0</v>
      </c>
      <c r="H1833" s="18">
        <f>E1833* 0.0268456375838926</f>
        <v>2.68456375838926E-2</v>
      </c>
    </row>
    <row r="1834" spans="1:8" ht="15.75" hidden="1" customHeight="1" x14ac:dyDescent="0.25">
      <c r="A1834" s="15" t="s">
        <v>213</v>
      </c>
      <c r="B1834" s="11" t="s">
        <v>214</v>
      </c>
      <c r="C1834" s="15"/>
      <c r="D1834" s="31" t="s">
        <v>37</v>
      </c>
      <c r="E1834" s="32">
        <v>0</v>
      </c>
      <c r="F1834" s="18">
        <f>E1834* 0.0588235294117647</f>
        <v>0</v>
      </c>
      <c r="G1834" s="18">
        <f>E1834* 0.941176470588235</f>
        <v>0</v>
      </c>
      <c r="H1834" s="20">
        <v>0</v>
      </c>
    </row>
    <row r="1835" spans="1:8" ht="15.75" hidden="1" customHeight="1" x14ac:dyDescent="0.25">
      <c r="A1835" s="15" t="s">
        <v>213</v>
      </c>
      <c r="B1835" s="11" t="s">
        <v>214</v>
      </c>
      <c r="C1835" s="15"/>
      <c r="D1835" s="31" t="s">
        <v>28</v>
      </c>
      <c r="E1835" s="32">
        <v>32</v>
      </c>
      <c r="F1835" s="18">
        <f>E1835* 0.00128865979381443</f>
        <v>4.1237113402061758E-2</v>
      </c>
      <c r="G1835" s="18">
        <f>E1835* 0.998711340206186</f>
        <v>31.958762886597953</v>
      </c>
      <c r="H1835" s="20">
        <v>0</v>
      </c>
    </row>
    <row r="1836" spans="1:8" ht="15.75" hidden="1" customHeight="1" x14ac:dyDescent="0.25">
      <c r="A1836" s="15" t="s">
        <v>213</v>
      </c>
      <c r="B1836" s="11" t="s">
        <v>214</v>
      </c>
      <c r="C1836" s="15"/>
      <c r="D1836" s="31" t="s">
        <v>12</v>
      </c>
      <c r="E1836" s="32">
        <v>1582</v>
      </c>
      <c r="F1836" s="18">
        <f>E1836* 0.858755020080321</f>
        <v>1358.5504417670679</v>
      </c>
      <c r="G1836" s="18">
        <f>E1836* 0.104016064257028</f>
        <v>164.55341365461831</v>
      </c>
      <c r="H1836" s="18">
        <f>E1836* 0.0372289156626506</f>
        <v>58.896144578313255</v>
      </c>
    </row>
    <row r="1837" spans="1:8" ht="15.75" hidden="1" customHeight="1" x14ac:dyDescent="0.25">
      <c r="A1837" s="15" t="s">
        <v>213</v>
      </c>
      <c r="B1837" s="33"/>
      <c r="C1837" s="33"/>
      <c r="D1837" s="34"/>
      <c r="E1837" s="35"/>
    </row>
    <row r="1838" spans="1:8" ht="15.75" hidden="1" customHeight="1" x14ac:dyDescent="0.25">
      <c r="A1838" s="15" t="s">
        <v>213</v>
      </c>
      <c r="B1838" s="11" t="s">
        <v>215</v>
      </c>
      <c r="C1838" s="12" t="str">
        <f>B1838&amp;"_"&amp;A1838</f>
        <v>Caraparí_Tarija</v>
      </c>
      <c r="E1838" s="22">
        <v>650</v>
      </c>
      <c r="F1838" s="14">
        <f t="shared" ref="F1838:H1838" si="173">SUM(F1839:F1851)</f>
        <v>480.51072970509256</v>
      </c>
      <c r="G1838" s="14">
        <f t="shared" si="173"/>
        <v>149.72155604270299</v>
      </c>
      <c r="H1838" s="14">
        <f t="shared" si="173"/>
        <v>19.711512489317098</v>
      </c>
    </row>
    <row r="1839" spans="1:8" ht="15.75" hidden="1" customHeight="1" x14ac:dyDescent="0.25">
      <c r="A1839" s="15" t="s">
        <v>213</v>
      </c>
      <c r="B1839" s="11" t="s">
        <v>215</v>
      </c>
      <c r="C1839" s="15"/>
      <c r="D1839" s="31" t="s">
        <v>53</v>
      </c>
      <c r="E1839" s="32">
        <v>0</v>
      </c>
      <c r="F1839" s="20">
        <v>0</v>
      </c>
      <c r="G1839" s="24">
        <f>E1839</f>
        <v>0</v>
      </c>
      <c r="H1839" s="20">
        <v>0</v>
      </c>
    </row>
    <row r="1840" spans="1:8" ht="15.75" hidden="1" customHeight="1" x14ac:dyDescent="0.25">
      <c r="A1840" s="15" t="s">
        <v>213</v>
      </c>
      <c r="B1840" s="11" t="s">
        <v>215</v>
      </c>
      <c r="C1840" s="15"/>
      <c r="D1840" s="31" t="s">
        <v>15</v>
      </c>
      <c r="E1840" s="32">
        <v>18</v>
      </c>
      <c r="F1840" s="18">
        <f>E1840* 0.957552016439764</f>
        <v>17.235936295915749</v>
      </c>
      <c r="G1840" s="18">
        <f>E1840* 0.0158618032365785</f>
        <v>0.28551245825841298</v>
      </c>
      <c r="H1840" s="18">
        <f>E1840* 0.0265861803236578</f>
        <v>0.47855124582584041</v>
      </c>
    </row>
    <row r="1841" spans="1:8" ht="15.75" hidden="1" customHeight="1" x14ac:dyDescent="0.25">
      <c r="A1841" s="15" t="s">
        <v>213</v>
      </c>
      <c r="B1841" s="11" t="s">
        <v>215</v>
      </c>
      <c r="C1841" s="15"/>
      <c r="D1841" s="31" t="s">
        <v>16</v>
      </c>
      <c r="E1841" s="32">
        <v>3</v>
      </c>
      <c r="F1841" s="18">
        <f>E1841* 0.0288065843621399</f>
        <v>8.6419753086419707E-2</v>
      </c>
      <c r="G1841" s="18">
        <f>E1841* 0.967078189300412</f>
        <v>2.9012345679012359</v>
      </c>
      <c r="H1841" s="18">
        <f>E1841* 0.00411522633744856</f>
        <v>1.234567901234568E-2</v>
      </c>
    </row>
    <row r="1842" spans="1:8" ht="15.75" hidden="1" customHeight="1" x14ac:dyDescent="0.25">
      <c r="A1842" s="15" t="s">
        <v>213</v>
      </c>
      <c r="B1842" s="11" t="s">
        <v>215</v>
      </c>
      <c r="C1842" s="15"/>
      <c r="D1842" s="31" t="s">
        <v>11</v>
      </c>
      <c r="E1842" s="32">
        <v>46</v>
      </c>
      <c r="F1842" s="18">
        <f>E1842* 0.069996216420734</f>
        <v>3.2198259553537643</v>
      </c>
      <c r="G1842" s="18">
        <f>E1842* 0.928364232564006</f>
        <v>42.704754697944274</v>
      </c>
      <c r="H1842" s="18">
        <f>E1842* 0.00113507377979569</f>
        <v>5.221339387060174E-2</v>
      </c>
    </row>
    <row r="1843" spans="1:8" ht="15.75" hidden="1" customHeight="1" x14ac:dyDescent="0.25">
      <c r="A1843" s="15" t="s">
        <v>213</v>
      </c>
      <c r="B1843" s="11" t="s">
        <v>215</v>
      </c>
      <c r="C1843" s="15"/>
      <c r="D1843" s="31" t="s">
        <v>17</v>
      </c>
      <c r="E1843" s="32">
        <v>126</v>
      </c>
      <c r="F1843" s="18">
        <f>E1843* 0.797049581005587</f>
        <v>100.42824720670396</v>
      </c>
      <c r="G1843" s="18">
        <f>E1843* 0.161662011173184</f>
        <v>20.369413407821181</v>
      </c>
      <c r="H1843" s="18">
        <f>E1843* 0.0410265363128492</f>
        <v>5.1693435754189991</v>
      </c>
    </row>
    <row r="1844" spans="1:8" ht="15.75" hidden="1" customHeight="1" x14ac:dyDescent="0.25">
      <c r="A1844" s="15" t="s">
        <v>213</v>
      </c>
      <c r="B1844" s="11" t="s">
        <v>215</v>
      </c>
      <c r="C1844" s="15"/>
      <c r="D1844" s="31" t="s">
        <v>31</v>
      </c>
      <c r="E1844" s="32">
        <v>5</v>
      </c>
      <c r="F1844" s="18">
        <f>E1844* 0.820689655172414</f>
        <v>4.1034482758620703</v>
      </c>
      <c r="G1844" s="18">
        <f>E1844* 0.16551724137931</f>
        <v>0.82758620689655005</v>
      </c>
      <c r="H1844" s="18">
        <f>E1844* 0.0137931034482759</f>
        <v>6.8965517241379504E-2</v>
      </c>
    </row>
    <row r="1845" spans="1:8" ht="15.75" hidden="1" customHeight="1" x14ac:dyDescent="0.25">
      <c r="A1845" s="15" t="s">
        <v>213</v>
      </c>
      <c r="B1845" s="11" t="s">
        <v>215</v>
      </c>
      <c r="C1845" s="15"/>
      <c r="D1845" s="31" t="s">
        <v>18</v>
      </c>
      <c r="E1845" s="32">
        <v>4</v>
      </c>
      <c r="F1845" s="18">
        <f>E1845* 0.912233009708738</f>
        <v>3.648932038834952</v>
      </c>
      <c r="G1845" s="18">
        <f>E1845* 0.0811650485436893</f>
        <v>0.32466019417475722</v>
      </c>
      <c r="H1845" s="18">
        <f>E1845* 0.00660194174757282</f>
        <v>2.6407766990291279E-2</v>
      </c>
    </row>
    <row r="1846" spans="1:8" ht="15.75" hidden="1" customHeight="1" x14ac:dyDescent="0.25">
      <c r="A1846" s="15" t="s">
        <v>213</v>
      </c>
      <c r="B1846" s="11" t="s">
        <v>215</v>
      </c>
      <c r="C1846" s="15"/>
      <c r="D1846" s="31" t="s">
        <v>19</v>
      </c>
      <c r="E1846" s="32">
        <v>37</v>
      </c>
      <c r="F1846" s="18">
        <f>E1846* 0.0264765784114053</f>
        <v>0.97963340122199605</v>
      </c>
      <c r="G1846" s="18">
        <f>E1846* 0.970807875084861</f>
        <v>35.919891378139859</v>
      </c>
      <c r="H1846" s="18">
        <f>E1846* 0.00271554650373388</f>
        <v>0.10047522063815355</v>
      </c>
    </row>
    <row r="1847" spans="1:8" ht="15.75" hidden="1" customHeight="1" x14ac:dyDescent="0.25">
      <c r="A1847" s="15" t="s">
        <v>213</v>
      </c>
      <c r="B1847" s="11" t="s">
        <v>215</v>
      </c>
      <c r="C1847" s="15"/>
      <c r="D1847" s="31" t="s">
        <v>20</v>
      </c>
      <c r="E1847" s="32">
        <v>50</v>
      </c>
      <c r="F1847" s="18">
        <f>E1847* 0.657913931436907</f>
        <v>32.895696571845349</v>
      </c>
      <c r="G1847" s="18">
        <f>E1847* 0.284463894967177</f>
        <v>14.22319474835885</v>
      </c>
      <c r="H1847" s="18">
        <f>E1847* 0.0576221735959154</f>
        <v>2.8811086797957701</v>
      </c>
    </row>
    <row r="1848" spans="1:8" ht="15.75" hidden="1" customHeight="1" x14ac:dyDescent="0.25">
      <c r="A1848" s="15" t="s">
        <v>213</v>
      </c>
      <c r="B1848" s="11" t="s">
        <v>215</v>
      </c>
      <c r="C1848" s="15"/>
      <c r="D1848" s="31" t="s">
        <v>21</v>
      </c>
      <c r="E1848" s="32">
        <v>66</v>
      </c>
      <c r="F1848" s="18">
        <f>E1848* 0.999266575396049</f>
        <v>65.951593976139236</v>
      </c>
      <c r="G1848" s="18">
        <f>E1848* 0.0000488949735967143</f>
        <v>3.2270682573831439E-3</v>
      </c>
      <c r="H1848" s="18">
        <f>E1848* 0.000684529630354</f>
        <v>4.5178955603364004E-2</v>
      </c>
    </row>
    <row r="1849" spans="1:8" ht="15.75" hidden="1" customHeight="1" x14ac:dyDescent="0.25">
      <c r="A1849" s="15" t="s">
        <v>213</v>
      </c>
      <c r="B1849" s="11" t="s">
        <v>215</v>
      </c>
      <c r="C1849" s="15"/>
      <c r="D1849" s="31" t="s">
        <v>36</v>
      </c>
      <c r="E1849" s="32">
        <v>3</v>
      </c>
      <c r="F1849" s="18">
        <f>E1849* 0.973154362416107</f>
        <v>2.9194630872483209</v>
      </c>
      <c r="G1849" s="20">
        <v>0</v>
      </c>
      <c r="H1849" s="18">
        <f>E1849* 0.0268456375838926</f>
        <v>8.0536912751677792E-2</v>
      </c>
    </row>
    <row r="1850" spans="1:8" ht="15.75" hidden="1" customHeight="1" x14ac:dyDescent="0.25">
      <c r="A1850" s="15" t="s">
        <v>213</v>
      </c>
      <c r="B1850" s="11" t="s">
        <v>215</v>
      </c>
      <c r="C1850" s="15"/>
      <c r="D1850" s="31" t="s">
        <v>28</v>
      </c>
      <c r="E1850" s="32">
        <v>2</v>
      </c>
      <c r="F1850" s="18">
        <f>E1850* 0.00128865979381443</f>
        <v>2.5773195876288599E-3</v>
      </c>
      <c r="G1850" s="18">
        <f>E1850* 0.998711340206186</f>
        <v>1.997422680412372</v>
      </c>
      <c r="H1850" s="20">
        <v>0</v>
      </c>
    </row>
    <row r="1851" spans="1:8" ht="15.75" hidden="1" customHeight="1" x14ac:dyDescent="0.25">
      <c r="A1851" s="15" t="s">
        <v>213</v>
      </c>
      <c r="B1851" s="11" t="s">
        <v>215</v>
      </c>
      <c r="C1851" s="15"/>
      <c r="D1851" s="31" t="s">
        <v>12</v>
      </c>
      <c r="E1851" s="32">
        <v>290</v>
      </c>
      <c r="F1851" s="18">
        <f>E1851* 0.858755020080321</f>
        <v>249.03895582329309</v>
      </c>
      <c r="G1851" s="18">
        <f>E1851* 0.104016064257028</f>
        <v>30.164658634538121</v>
      </c>
      <c r="H1851" s="18">
        <f>E1851* 0.0372289156626506</f>
        <v>10.796385542168675</v>
      </c>
    </row>
    <row r="1852" spans="1:8" ht="15.75" hidden="1" customHeight="1" x14ac:dyDescent="0.25">
      <c r="A1852" s="15" t="s">
        <v>213</v>
      </c>
      <c r="B1852" s="33"/>
      <c r="C1852" s="33"/>
      <c r="D1852" s="34"/>
      <c r="E1852" s="35"/>
    </row>
    <row r="1853" spans="1:8" ht="15.75" hidden="1" customHeight="1" x14ac:dyDescent="0.25">
      <c r="A1853" s="15" t="s">
        <v>213</v>
      </c>
      <c r="B1853" s="11" t="s">
        <v>216</v>
      </c>
      <c r="C1853" s="12" t="str">
        <f>B1853&amp;"_"&amp;A1853</f>
        <v>El Puente - Tarija_Tarija</v>
      </c>
      <c r="E1853" s="22">
        <v>136</v>
      </c>
      <c r="F1853" s="14">
        <f t="shared" ref="F1853:H1853" si="174">SUM(F1854:F1864)</f>
        <v>83.237749385942919</v>
      </c>
      <c r="G1853" s="14">
        <f t="shared" si="174"/>
        <v>50.210980758504256</v>
      </c>
      <c r="H1853" s="14">
        <f t="shared" si="174"/>
        <v>2.5185016679507326</v>
      </c>
    </row>
    <row r="1854" spans="1:8" ht="15.75" hidden="1" customHeight="1" x14ac:dyDescent="0.25">
      <c r="A1854" s="15" t="s">
        <v>213</v>
      </c>
      <c r="B1854" s="11" t="s">
        <v>216</v>
      </c>
      <c r="C1854" s="15"/>
      <c r="D1854" s="31" t="s">
        <v>53</v>
      </c>
      <c r="E1854" s="32">
        <v>0</v>
      </c>
      <c r="F1854" s="20">
        <v>0</v>
      </c>
      <c r="G1854" s="24">
        <f>E1854</f>
        <v>0</v>
      </c>
      <c r="H1854" s="20">
        <v>0</v>
      </c>
    </row>
    <row r="1855" spans="1:8" ht="15.75" hidden="1" customHeight="1" x14ac:dyDescent="0.25">
      <c r="A1855" s="15" t="s">
        <v>213</v>
      </c>
      <c r="B1855" s="11" t="s">
        <v>216</v>
      </c>
      <c r="C1855" s="15"/>
      <c r="D1855" s="31" t="s">
        <v>15</v>
      </c>
      <c r="E1855" s="32">
        <v>3</v>
      </c>
      <c r="F1855" s="18">
        <f>E1855* 0.957552016439764</f>
        <v>2.8726560493192919</v>
      </c>
      <c r="G1855" s="18">
        <f>E1855* 0.0158618032365785</f>
        <v>4.7585409709735502E-2</v>
      </c>
      <c r="H1855" s="18">
        <f>E1855* 0.0265861803236578</f>
        <v>7.9758540970973402E-2</v>
      </c>
    </row>
    <row r="1856" spans="1:8" ht="15.75" hidden="1" customHeight="1" x14ac:dyDescent="0.25">
      <c r="A1856" s="15" t="s">
        <v>213</v>
      </c>
      <c r="B1856" s="11" t="s">
        <v>216</v>
      </c>
      <c r="C1856" s="15"/>
      <c r="D1856" s="31" t="s">
        <v>16</v>
      </c>
      <c r="E1856" s="32">
        <v>1</v>
      </c>
      <c r="F1856" s="18">
        <f>E1856* 0.0288065843621399</f>
        <v>2.8806584362139901E-2</v>
      </c>
      <c r="G1856" s="18">
        <f>E1856* 0.967078189300412</f>
        <v>0.96707818930041201</v>
      </c>
      <c r="H1856" s="18">
        <f>E1856* 0.00411522633744856</f>
        <v>4.11522633744856E-3</v>
      </c>
    </row>
    <row r="1857" spans="1:8" ht="15.75" hidden="1" customHeight="1" x14ac:dyDescent="0.25">
      <c r="A1857" s="15" t="s">
        <v>213</v>
      </c>
      <c r="B1857" s="11" t="s">
        <v>216</v>
      </c>
      <c r="C1857" s="15"/>
      <c r="D1857" s="31" t="s">
        <v>11</v>
      </c>
      <c r="E1857" s="32">
        <v>39</v>
      </c>
      <c r="F1857" s="18">
        <f>E1857* 0.069996216420734</f>
        <v>2.7298524404086262</v>
      </c>
      <c r="G1857" s="18">
        <f>E1857* 0.928364232564006</f>
        <v>36.206205069996237</v>
      </c>
      <c r="H1857" s="18">
        <f>E1857* 0.00113507377979569</f>
        <v>4.4267877412031906E-2</v>
      </c>
    </row>
    <row r="1858" spans="1:8" ht="15.75" hidden="1" customHeight="1" x14ac:dyDescent="0.25">
      <c r="A1858" s="15" t="s">
        <v>213</v>
      </c>
      <c r="B1858" s="11" t="s">
        <v>216</v>
      </c>
      <c r="C1858" s="15"/>
      <c r="D1858" s="31" t="s">
        <v>17</v>
      </c>
      <c r="E1858" s="32">
        <v>50</v>
      </c>
      <c r="F1858" s="18">
        <f>E1858* 0.797049581005587</f>
        <v>39.852479050279349</v>
      </c>
      <c r="G1858" s="18">
        <f>E1858* 0.161662011173184</f>
        <v>8.0831005586591989</v>
      </c>
      <c r="H1858" s="18">
        <f>E1858* 0.0410265363128492</f>
        <v>2.0513268156424602</v>
      </c>
    </row>
    <row r="1859" spans="1:8" ht="15.75" hidden="1" customHeight="1" x14ac:dyDescent="0.25">
      <c r="A1859" s="15" t="s">
        <v>213</v>
      </c>
      <c r="B1859" s="11" t="s">
        <v>216</v>
      </c>
      <c r="C1859" s="15"/>
      <c r="D1859" s="31" t="s">
        <v>18</v>
      </c>
      <c r="E1859" s="32">
        <v>2</v>
      </c>
      <c r="F1859" s="18">
        <f>E1859* 0.912233009708738</f>
        <v>1.824466019417476</v>
      </c>
      <c r="G1859" s="18">
        <f>E1859* 0.0811650485436893</f>
        <v>0.16233009708737861</v>
      </c>
      <c r="H1859" s="18">
        <f>E1859* 0.00660194174757282</f>
        <v>1.3203883495145639E-2</v>
      </c>
    </row>
    <row r="1860" spans="1:8" ht="15.75" hidden="1" customHeight="1" x14ac:dyDescent="0.25">
      <c r="A1860" s="15" t="s">
        <v>213</v>
      </c>
      <c r="B1860" s="11" t="s">
        <v>216</v>
      </c>
      <c r="C1860" s="15"/>
      <c r="D1860" s="31" t="s">
        <v>19</v>
      </c>
      <c r="E1860" s="32">
        <v>3</v>
      </c>
      <c r="F1860" s="18">
        <f>E1860* 0.0264765784114053</f>
        <v>7.9429735234215898E-2</v>
      </c>
      <c r="G1860" s="18">
        <f>E1860* 0.970807875084861</f>
        <v>2.9124236252545828</v>
      </c>
      <c r="H1860" s="18">
        <f>E1860* 0.00271554650373388</f>
        <v>8.146639511201639E-3</v>
      </c>
    </row>
    <row r="1861" spans="1:8" ht="15.75" hidden="1" customHeight="1" x14ac:dyDescent="0.25">
      <c r="A1861" s="15" t="s">
        <v>213</v>
      </c>
      <c r="B1861" s="11" t="s">
        <v>216</v>
      </c>
      <c r="C1861" s="15"/>
      <c r="D1861" s="31" t="s">
        <v>20</v>
      </c>
      <c r="E1861" s="32">
        <v>0</v>
      </c>
      <c r="F1861" s="18">
        <f>E1861* 0.657913931436907</f>
        <v>0</v>
      </c>
      <c r="G1861" s="18">
        <f>E1861* 0.284463894967177</f>
        <v>0</v>
      </c>
      <c r="H1861" s="18">
        <f>E1861* 0.0576221735959154</f>
        <v>0</v>
      </c>
    </row>
    <row r="1862" spans="1:8" ht="15.75" hidden="1" customHeight="1" x14ac:dyDescent="0.25">
      <c r="A1862" s="15" t="s">
        <v>213</v>
      </c>
      <c r="B1862" s="11" t="s">
        <v>216</v>
      </c>
      <c r="C1862" s="15"/>
      <c r="D1862" s="31" t="s">
        <v>21</v>
      </c>
      <c r="E1862" s="32">
        <v>29</v>
      </c>
      <c r="F1862" s="18">
        <f>E1862* 0.999266575396049</f>
        <v>28.97873068648542</v>
      </c>
      <c r="G1862" s="18">
        <f>E1862* 0.0000488949735967143</f>
        <v>1.4179542343047147E-3</v>
      </c>
      <c r="H1862" s="18">
        <f>E1862* 0.000684529630354</f>
        <v>1.9851359280266E-2</v>
      </c>
    </row>
    <row r="1863" spans="1:8" ht="15.75" hidden="1" customHeight="1" x14ac:dyDescent="0.25">
      <c r="A1863" s="15" t="s">
        <v>213</v>
      </c>
      <c r="B1863" s="11" t="s">
        <v>216</v>
      </c>
      <c r="C1863" s="15"/>
      <c r="D1863" s="31" t="s">
        <v>28</v>
      </c>
      <c r="E1863" s="32">
        <v>1</v>
      </c>
      <c r="F1863" s="18">
        <f>E1863* 0.00128865979381443</f>
        <v>1.2886597938144299E-3</v>
      </c>
      <c r="G1863" s="18">
        <f>E1863* 0.998711340206186</f>
        <v>0.99871134020618602</v>
      </c>
      <c r="H1863" s="20">
        <v>0</v>
      </c>
    </row>
    <row r="1864" spans="1:8" ht="15.75" hidden="1" customHeight="1" x14ac:dyDescent="0.25">
      <c r="A1864" s="15" t="s">
        <v>213</v>
      </c>
      <c r="B1864" s="11" t="s">
        <v>216</v>
      </c>
      <c r="C1864" s="15"/>
      <c r="D1864" s="31" t="s">
        <v>12</v>
      </c>
      <c r="E1864" s="32">
        <v>8</v>
      </c>
      <c r="F1864" s="18">
        <f>E1864* 0.858755020080321</f>
        <v>6.8700401606425681</v>
      </c>
      <c r="G1864" s="18">
        <f>E1864* 0.104016064257028</f>
        <v>0.83212851405622401</v>
      </c>
      <c r="H1864" s="18">
        <f>E1864* 0.0372289156626506</f>
        <v>0.29783132530120482</v>
      </c>
    </row>
    <row r="1865" spans="1:8" ht="15.75" hidden="1" customHeight="1" x14ac:dyDescent="0.25">
      <c r="A1865" s="15" t="s">
        <v>213</v>
      </c>
      <c r="B1865" s="33"/>
      <c r="C1865" s="33"/>
      <c r="D1865" s="34"/>
      <c r="E1865" s="35"/>
    </row>
    <row r="1866" spans="1:8" ht="15.75" hidden="1" customHeight="1" x14ac:dyDescent="0.25">
      <c r="A1866" s="15" t="s">
        <v>213</v>
      </c>
      <c r="B1866" s="11" t="s">
        <v>217</v>
      </c>
      <c r="C1866" s="12" t="str">
        <f>B1866&amp;"_"&amp;A1866</f>
        <v>La Moreta (Entre Ríos)_Tarija</v>
      </c>
      <c r="E1866" s="22">
        <v>135</v>
      </c>
      <c r="F1866" s="14">
        <f t="shared" ref="F1866:H1866" si="175">SUM(F1867:F1877)</f>
        <v>89.079907000972128</v>
      </c>
      <c r="G1866" s="14">
        <f t="shared" si="175"/>
        <v>43.24273350142095</v>
      </c>
      <c r="H1866" s="14">
        <f t="shared" si="175"/>
        <v>2.6484423195053122</v>
      </c>
    </row>
    <row r="1867" spans="1:8" ht="15.75" hidden="1" customHeight="1" x14ac:dyDescent="0.25">
      <c r="A1867" s="15" t="s">
        <v>213</v>
      </c>
      <c r="B1867" s="11" t="s">
        <v>217</v>
      </c>
      <c r="C1867" s="15"/>
      <c r="D1867" s="31" t="s">
        <v>53</v>
      </c>
      <c r="E1867" s="32">
        <v>0</v>
      </c>
      <c r="F1867" s="20">
        <v>0</v>
      </c>
      <c r="G1867" s="24">
        <f>E1867</f>
        <v>0</v>
      </c>
      <c r="H1867" s="20">
        <v>0</v>
      </c>
    </row>
    <row r="1868" spans="1:8" ht="15.75" hidden="1" customHeight="1" x14ac:dyDescent="0.25">
      <c r="A1868" s="15" t="s">
        <v>213</v>
      </c>
      <c r="B1868" s="11" t="s">
        <v>217</v>
      </c>
      <c r="C1868" s="15"/>
      <c r="D1868" s="31" t="s">
        <v>15</v>
      </c>
      <c r="E1868" s="32">
        <v>5</v>
      </c>
      <c r="F1868" s="18">
        <f>E1868* 0.957552016439764</f>
        <v>4.7877600821988198</v>
      </c>
      <c r="G1868" s="18">
        <f>E1868* 0.0158618032365785</f>
        <v>7.9309016182892503E-2</v>
      </c>
      <c r="H1868" s="18">
        <f>E1868* 0.0265861803236578</f>
        <v>0.13293090161828899</v>
      </c>
    </row>
    <row r="1869" spans="1:8" ht="15.75" hidden="1" customHeight="1" x14ac:dyDescent="0.25">
      <c r="A1869" s="15" t="s">
        <v>213</v>
      </c>
      <c r="B1869" s="11" t="s">
        <v>217</v>
      </c>
      <c r="C1869" s="15"/>
      <c r="D1869" s="31" t="s">
        <v>16</v>
      </c>
      <c r="E1869" s="32">
        <v>0</v>
      </c>
      <c r="F1869" s="18">
        <f>E1869* 0.0288065843621399</f>
        <v>0</v>
      </c>
      <c r="G1869" s="18">
        <f>E1869* 0.967078189300412</f>
        <v>0</v>
      </c>
      <c r="H1869" s="18">
        <f>E1869* 0.00411522633744856</f>
        <v>0</v>
      </c>
    </row>
    <row r="1870" spans="1:8" ht="15.75" hidden="1" customHeight="1" x14ac:dyDescent="0.25">
      <c r="A1870" s="15" t="s">
        <v>213</v>
      </c>
      <c r="B1870" s="11" t="s">
        <v>217</v>
      </c>
      <c r="C1870" s="15"/>
      <c r="D1870" s="31" t="s">
        <v>11</v>
      </c>
      <c r="E1870" s="32">
        <v>35</v>
      </c>
      <c r="F1870" s="18">
        <f>E1870* 0.069996216420734</f>
        <v>2.4498675747256899</v>
      </c>
      <c r="G1870" s="18">
        <f>E1870* 0.928364232564006</f>
        <v>32.492748139740208</v>
      </c>
      <c r="H1870" s="18">
        <f>E1870* 0.00113507377979569</f>
        <v>3.9727582292849145E-2</v>
      </c>
    </row>
    <row r="1871" spans="1:8" ht="15.75" hidden="1" customHeight="1" x14ac:dyDescent="0.25">
      <c r="A1871" s="15" t="s">
        <v>213</v>
      </c>
      <c r="B1871" s="11" t="s">
        <v>217</v>
      </c>
      <c r="C1871" s="15"/>
      <c r="D1871" s="31" t="s">
        <v>17</v>
      </c>
      <c r="E1871" s="32">
        <v>43</v>
      </c>
      <c r="F1871" s="18">
        <f>E1871* 0.797049581005587</f>
        <v>34.273131983240241</v>
      </c>
      <c r="G1871" s="18">
        <f>E1871* 0.161662011173184</f>
        <v>6.9514664804469115</v>
      </c>
      <c r="H1871" s="18">
        <f>E1871* 0.0410265363128492</f>
        <v>1.7641410614525157</v>
      </c>
    </row>
    <row r="1872" spans="1:8" ht="15.75" hidden="1" customHeight="1" x14ac:dyDescent="0.25">
      <c r="A1872" s="15" t="s">
        <v>213</v>
      </c>
      <c r="B1872" s="11" t="s">
        <v>217</v>
      </c>
      <c r="C1872" s="15"/>
      <c r="D1872" s="31" t="s">
        <v>31</v>
      </c>
      <c r="E1872" s="32">
        <v>3</v>
      </c>
      <c r="F1872" s="18">
        <f>E1872* 0.820689655172414</f>
        <v>2.4620689655172421</v>
      </c>
      <c r="G1872" s="18">
        <f>E1872* 0.16551724137931</f>
        <v>0.49655172413793003</v>
      </c>
      <c r="H1872" s="18">
        <f>E1872* 0.0137931034482759</f>
        <v>4.1379310344827697E-2</v>
      </c>
    </row>
    <row r="1873" spans="1:8" ht="15.75" hidden="1" customHeight="1" x14ac:dyDescent="0.25">
      <c r="A1873" s="15" t="s">
        <v>213</v>
      </c>
      <c r="B1873" s="11" t="s">
        <v>217</v>
      </c>
      <c r="C1873" s="15"/>
      <c r="D1873" s="31" t="s">
        <v>18</v>
      </c>
      <c r="E1873" s="32">
        <v>5</v>
      </c>
      <c r="F1873" s="18">
        <f>E1873* 0.912233009708738</f>
        <v>4.5611650485436899</v>
      </c>
      <c r="G1873" s="18">
        <f>E1873* 0.0811650485436893</f>
        <v>0.40582524271844655</v>
      </c>
      <c r="H1873" s="18">
        <f>E1873* 0.00660194174757282</f>
        <v>3.3009708737864102E-2</v>
      </c>
    </row>
    <row r="1874" spans="1:8" ht="15.75" hidden="1" customHeight="1" x14ac:dyDescent="0.25">
      <c r="A1874" s="15" t="s">
        <v>213</v>
      </c>
      <c r="B1874" s="11" t="s">
        <v>217</v>
      </c>
      <c r="C1874" s="15"/>
      <c r="D1874" s="31" t="s">
        <v>19</v>
      </c>
      <c r="E1874" s="32">
        <v>1</v>
      </c>
      <c r="F1874" s="18">
        <f>E1874* 0.0264765784114053</f>
        <v>2.6476578411405299E-2</v>
      </c>
      <c r="G1874" s="18">
        <f>E1874* 0.970807875084861</f>
        <v>0.97080787508486099</v>
      </c>
      <c r="H1874" s="18">
        <f>E1874* 0.00271554650373388</f>
        <v>2.7155465037338798E-3</v>
      </c>
    </row>
    <row r="1875" spans="1:8" ht="15.75" hidden="1" customHeight="1" x14ac:dyDescent="0.25">
      <c r="A1875" s="15" t="s">
        <v>213</v>
      </c>
      <c r="B1875" s="11" t="s">
        <v>217</v>
      </c>
      <c r="C1875" s="15"/>
      <c r="D1875" s="31" t="s">
        <v>20</v>
      </c>
      <c r="E1875" s="32">
        <v>1</v>
      </c>
      <c r="F1875" s="18">
        <f>E1875* 0.657913931436907</f>
        <v>0.65791393143690702</v>
      </c>
      <c r="G1875" s="18">
        <f>E1875* 0.284463894967177</f>
        <v>0.284463894967177</v>
      </c>
      <c r="H1875" s="18">
        <f>E1875* 0.0576221735959154</f>
        <v>5.7622173595915399E-2</v>
      </c>
    </row>
    <row r="1876" spans="1:8" ht="15.75" hidden="1" customHeight="1" x14ac:dyDescent="0.25">
      <c r="A1876" s="15" t="s">
        <v>213</v>
      </c>
      <c r="B1876" s="11" t="s">
        <v>217</v>
      </c>
      <c r="C1876" s="15"/>
      <c r="D1876" s="31" t="s">
        <v>21</v>
      </c>
      <c r="E1876" s="32">
        <v>27</v>
      </c>
      <c r="F1876" s="18">
        <f>E1876* 0.999266575396049</f>
        <v>26.980197535693325</v>
      </c>
      <c r="G1876" s="18">
        <f>E1876* 0.0000488949735967143</f>
        <v>1.3201642871112861E-3</v>
      </c>
      <c r="H1876" s="18">
        <f>E1876* 0.000684529630354</f>
        <v>1.8482300019558001E-2</v>
      </c>
    </row>
    <row r="1877" spans="1:8" ht="15.75" hidden="1" customHeight="1" x14ac:dyDescent="0.25">
      <c r="A1877" s="15" t="s">
        <v>213</v>
      </c>
      <c r="B1877" s="11" t="s">
        <v>217</v>
      </c>
      <c r="C1877" s="15"/>
      <c r="D1877" s="31" t="s">
        <v>12</v>
      </c>
      <c r="E1877" s="32">
        <v>15</v>
      </c>
      <c r="F1877" s="18">
        <f>E1877* 0.858755020080321</f>
        <v>12.881325301204814</v>
      </c>
      <c r="G1877" s="18">
        <f>E1877* 0.104016064257028</f>
        <v>1.56024096385542</v>
      </c>
      <c r="H1877" s="18">
        <f>E1877* 0.0372289156626506</f>
        <v>0.55843373493975901</v>
      </c>
    </row>
    <row r="1878" spans="1:8" ht="15.75" hidden="1" customHeight="1" x14ac:dyDescent="0.25">
      <c r="A1878" s="15" t="s">
        <v>213</v>
      </c>
      <c r="B1878" s="33"/>
      <c r="C1878" s="33"/>
      <c r="D1878" s="34"/>
      <c r="E1878" s="35"/>
    </row>
    <row r="1879" spans="1:8" ht="15.75" hidden="1" customHeight="1" x14ac:dyDescent="0.25">
      <c r="A1879" s="15" t="s">
        <v>213</v>
      </c>
      <c r="B1879" s="11" t="s">
        <v>218</v>
      </c>
      <c r="C1879" s="12" t="str">
        <f>B1879&amp;"_"&amp;A1879</f>
        <v>Padcaya_Tarija</v>
      </c>
      <c r="E1879" s="22">
        <v>164</v>
      </c>
      <c r="F1879" s="14">
        <f t="shared" ref="F1879:H1879" si="176">SUM(F1880:F1892)</f>
        <v>108.99928250082877</v>
      </c>
      <c r="G1879" s="14">
        <f t="shared" si="176"/>
        <v>50.630341611256384</v>
      </c>
      <c r="H1879" s="14">
        <f t="shared" si="176"/>
        <v>4.347385425599513</v>
      </c>
    </row>
    <row r="1880" spans="1:8" ht="15.75" hidden="1" customHeight="1" x14ac:dyDescent="0.25">
      <c r="A1880" s="15" t="s">
        <v>213</v>
      </c>
      <c r="B1880" s="11" t="s">
        <v>218</v>
      </c>
      <c r="C1880" s="15"/>
      <c r="D1880" s="31" t="s">
        <v>53</v>
      </c>
      <c r="E1880" s="32">
        <v>0</v>
      </c>
      <c r="F1880" s="20">
        <v>0</v>
      </c>
      <c r="G1880" s="24">
        <f>E1880</f>
        <v>0</v>
      </c>
      <c r="H1880" s="20">
        <v>0</v>
      </c>
    </row>
    <row r="1881" spans="1:8" ht="15.75" hidden="1" customHeight="1" x14ac:dyDescent="0.25">
      <c r="A1881" s="15" t="s">
        <v>213</v>
      </c>
      <c r="B1881" s="11" t="s">
        <v>218</v>
      </c>
      <c r="C1881" s="15"/>
      <c r="D1881" s="31" t="s">
        <v>15</v>
      </c>
      <c r="E1881" s="32">
        <v>21</v>
      </c>
      <c r="F1881" s="18">
        <f>E1881* 0.957552016439764</f>
        <v>20.108592345235042</v>
      </c>
      <c r="G1881" s="18">
        <f>E1881* 0.0158618032365785</f>
        <v>0.3330978679681485</v>
      </c>
      <c r="H1881" s="18">
        <f>E1881* 0.0265861803236578</f>
        <v>0.55830978679681376</v>
      </c>
    </row>
    <row r="1882" spans="1:8" ht="15.75" hidden="1" customHeight="1" x14ac:dyDescent="0.25">
      <c r="A1882" s="15" t="s">
        <v>213</v>
      </c>
      <c r="B1882" s="11" t="s">
        <v>218</v>
      </c>
      <c r="C1882" s="15"/>
      <c r="D1882" s="31" t="s">
        <v>16</v>
      </c>
      <c r="E1882" s="32">
        <v>4</v>
      </c>
      <c r="F1882" s="18">
        <f>E1882* 0.0288065843621399</f>
        <v>0.1152263374485596</v>
      </c>
      <c r="G1882" s="18">
        <f>E1882* 0.967078189300412</f>
        <v>3.868312757201648</v>
      </c>
      <c r="H1882" s="18">
        <f>E1882* 0.00411522633744856</f>
        <v>1.646090534979424E-2</v>
      </c>
    </row>
    <row r="1883" spans="1:8" ht="15.75" hidden="1" customHeight="1" x14ac:dyDescent="0.25">
      <c r="A1883" s="15" t="s">
        <v>213</v>
      </c>
      <c r="B1883" s="11" t="s">
        <v>218</v>
      </c>
      <c r="C1883" s="15"/>
      <c r="D1883" s="31" t="s">
        <v>11</v>
      </c>
      <c r="E1883" s="32">
        <v>30</v>
      </c>
      <c r="F1883" s="18">
        <f>E1883* 0.069996216420734</f>
        <v>2.0998864926220202</v>
      </c>
      <c r="G1883" s="18">
        <f>E1883* 0.928364232564006</f>
        <v>27.850926976920181</v>
      </c>
      <c r="H1883" s="18">
        <f>E1883* 0.00113507377979569</f>
        <v>3.4052213393870698E-2</v>
      </c>
    </row>
    <row r="1884" spans="1:8" ht="15.75" hidden="1" customHeight="1" x14ac:dyDescent="0.25">
      <c r="A1884" s="15" t="s">
        <v>213</v>
      </c>
      <c r="B1884" s="11" t="s">
        <v>218</v>
      </c>
      <c r="C1884" s="15"/>
      <c r="D1884" s="31" t="s">
        <v>17</v>
      </c>
      <c r="E1884" s="32">
        <v>30</v>
      </c>
      <c r="F1884" s="18">
        <f>E1884* 0.797049581005587</f>
        <v>23.911487430167611</v>
      </c>
      <c r="G1884" s="18">
        <f>E1884* 0.161662011173184</f>
        <v>4.8498603351955198</v>
      </c>
      <c r="H1884" s="18">
        <f>E1884* 0.0410265363128492</f>
        <v>1.2307960893854759</v>
      </c>
    </row>
    <row r="1885" spans="1:8" ht="15.75" hidden="1" customHeight="1" x14ac:dyDescent="0.25">
      <c r="A1885" s="15" t="s">
        <v>213</v>
      </c>
      <c r="B1885" s="11" t="s">
        <v>218</v>
      </c>
      <c r="C1885" s="15"/>
      <c r="D1885" s="31" t="s">
        <v>31</v>
      </c>
      <c r="E1885" s="32">
        <v>1</v>
      </c>
      <c r="F1885" s="18">
        <f>E1885* 0.820689655172414</f>
        <v>0.82068965517241399</v>
      </c>
      <c r="G1885" s="18">
        <f>E1885* 0.16551724137931</f>
        <v>0.16551724137931001</v>
      </c>
      <c r="H1885" s="18">
        <f>E1885* 0.0137931034482759</f>
        <v>1.37931034482759E-2</v>
      </c>
    </row>
    <row r="1886" spans="1:8" ht="15.75" hidden="1" customHeight="1" x14ac:dyDescent="0.25">
      <c r="A1886" s="15" t="s">
        <v>213</v>
      </c>
      <c r="B1886" s="11" t="s">
        <v>218</v>
      </c>
      <c r="C1886" s="15"/>
      <c r="D1886" s="31" t="s">
        <v>18</v>
      </c>
      <c r="E1886" s="32">
        <v>5</v>
      </c>
      <c r="F1886" s="18">
        <f>E1886* 0.912233009708738</f>
        <v>4.5611650485436899</v>
      </c>
      <c r="G1886" s="18">
        <f>E1886* 0.0811650485436893</f>
        <v>0.40582524271844655</v>
      </c>
      <c r="H1886" s="18">
        <f>E1886* 0.00660194174757282</f>
        <v>3.3009708737864102E-2</v>
      </c>
    </row>
    <row r="1887" spans="1:8" ht="15.75" hidden="1" customHeight="1" x14ac:dyDescent="0.25">
      <c r="A1887" s="15" t="s">
        <v>213</v>
      </c>
      <c r="B1887" s="11" t="s">
        <v>218</v>
      </c>
      <c r="C1887" s="15"/>
      <c r="D1887" s="31" t="s">
        <v>19</v>
      </c>
      <c r="E1887" s="32">
        <v>5</v>
      </c>
      <c r="F1887" s="18">
        <f>E1887* 0.0264765784114053</f>
        <v>0.1323828920570265</v>
      </c>
      <c r="G1887" s="18">
        <f>E1887* 0.970807875084861</f>
        <v>4.8540393754243052</v>
      </c>
      <c r="H1887" s="18">
        <f>E1887* 0.00271554650373388</f>
        <v>1.3577732518669399E-2</v>
      </c>
    </row>
    <row r="1888" spans="1:8" ht="15.75" hidden="1" customHeight="1" x14ac:dyDescent="0.25">
      <c r="A1888" s="15" t="s">
        <v>213</v>
      </c>
      <c r="B1888" s="11" t="s">
        <v>218</v>
      </c>
      <c r="C1888" s="15"/>
      <c r="D1888" s="31" t="s">
        <v>20</v>
      </c>
      <c r="E1888" s="32">
        <v>12</v>
      </c>
      <c r="F1888" s="18">
        <f>E1888* 0.657913931436907</f>
        <v>7.8949671772428847</v>
      </c>
      <c r="G1888" s="18">
        <f>E1888* 0.284463894967177</f>
        <v>3.4135667396061242</v>
      </c>
      <c r="H1888" s="18">
        <f>E1888* 0.0576221735959154</f>
        <v>0.69146608315098479</v>
      </c>
    </row>
    <row r="1889" spans="1:8" ht="15.75" hidden="1" customHeight="1" x14ac:dyDescent="0.25">
      <c r="A1889" s="15" t="s">
        <v>213</v>
      </c>
      <c r="B1889" s="11" t="s">
        <v>218</v>
      </c>
      <c r="C1889" s="15"/>
      <c r="D1889" s="31" t="s">
        <v>21</v>
      </c>
      <c r="E1889" s="32">
        <v>9</v>
      </c>
      <c r="F1889" s="18">
        <f>E1889* 0.999266575396049</f>
        <v>8.9933991785644416</v>
      </c>
      <c r="G1889" s="18">
        <f>E1889* 0.0000488949735967143</f>
        <v>4.4005476237042867E-4</v>
      </c>
      <c r="H1889" s="18">
        <f>E1889* 0.000684529630354</f>
        <v>6.1607666731859998E-3</v>
      </c>
    </row>
    <row r="1890" spans="1:8" ht="15.75" hidden="1" customHeight="1" x14ac:dyDescent="0.25">
      <c r="A1890" s="15" t="s">
        <v>213</v>
      </c>
      <c r="B1890" s="11" t="s">
        <v>218</v>
      </c>
      <c r="C1890" s="15"/>
      <c r="D1890" s="31" t="s">
        <v>28</v>
      </c>
      <c r="E1890" s="32">
        <v>0</v>
      </c>
      <c r="F1890" s="18">
        <f>E1890* 0.00128865979381443</f>
        <v>0</v>
      </c>
      <c r="G1890" s="18">
        <f>E1890* 0.998711340206186</f>
        <v>0</v>
      </c>
      <c r="H1890" s="20">
        <v>0</v>
      </c>
    </row>
    <row r="1891" spans="1:8" ht="15.75" hidden="1" customHeight="1" x14ac:dyDescent="0.25">
      <c r="A1891" s="15" t="s">
        <v>213</v>
      </c>
      <c r="B1891" s="11" t="s">
        <v>218</v>
      </c>
      <c r="C1891" s="15"/>
      <c r="D1891" s="31" t="s">
        <v>36</v>
      </c>
      <c r="E1891" s="32">
        <v>0</v>
      </c>
      <c r="F1891" s="18">
        <f>E1891* 0.973154362416107</f>
        <v>0</v>
      </c>
      <c r="G1891" s="20">
        <v>0</v>
      </c>
      <c r="H1891" s="18">
        <f>E1891* 0.0268456375838926</f>
        <v>0</v>
      </c>
    </row>
    <row r="1892" spans="1:8" ht="15.75" hidden="1" customHeight="1" x14ac:dyDescent="0.25">
      <c r="A1892" s="15" t="s">
        <v>213</v>
      </c>
      <c r="B1892" s="11" t="s">
        <v>218</v>
      </c>
      <c r="C1892" s="15"/>
      <c r="D1892" s="31" t="s">
        <v>12</v>
      </c>
      <c r="E1892" s="32">
        <v>47</v>
      </c>
      <c r="F1892" s="18">
        <f>E1892* 0.858755020080321</f>
        <v>40.361485943775087</v>
      </c>
      <c r="G1892" s="18">
        <f>E1892* 0.104016064257028</f>
        <v>4.8887550200803158</v>
      </c>
      <c r="H1892" s="18">
        <f>E1892* 0.0372289156626506</f>
        <v>1.7497590361445783</v>
      </c>
    </row>
    <row r="1893" spans="1:8" ht="15.75" hidden="1" customHeight="1" x14ac:dyDescent="0.25">
      <c r="A1893" s="15" t="s">
        <v>213</v>
      </c>
      <c r="B1893" s="33"/>
      <c r="C1893" s="33"/>
      <c r="D1893" s="34"/>
      <c r="E1893" s="35"/>
    </row>
    <row r="1894" spans="1:8" ht="15.75" hidden="1" customHeight="1" x14ac:dyDescent="0.25">
      <c r="A1894" s="15" t="s">
        <v>213</v>
      </c>
      <c r="B1894" s="11" t="s">
        <v>219</v>
      </c>
      <c r="C1894" s="12" t="str">
        <f>B1894&amp;"_"&amp;A1894</f>
        <v>San Lorenzo_Tarija</v>
      </c>
      <c r="E1894" s="22">
        <v>354</v>
      </c>
      <c r="F1894" s="14">
        <f t="shared" ref="F1894:H1894" si="177">SUM(F1895:F1907)</f>
        <v>276.11810918859942</v>
      </c>
      <c r="G1894" s="14">
        <f t="shared" si="177"/>
        <v>69.102813069080398</v>
      </c>
      <c r="H1894" s="14">
        <f t="shared" si="177"/>
        <v>8.7377063265041315</v>
      </c>
    </row>
    <row r="1895" spans="1:8" ht="15.75" hidden="1" customHeight="1" x14ac:dyDescent="0.25">
      <c r="A1895" s="15" t="s">
        <v>213</v>
      </c>
      <c r="B1895" s="11" t="s">
        <v>219</v>
      </c>
      <c r="C1895" s="15"/>
      <c r="D1895" s="31" t="s">
        <v>53</v>
      </c>
      <c r="E1895" s="32">
        <v>0</v>
      </c>
      <c r="F1895" s="20">
        <v>0</v>
      </c>
      <c r="G1895" s="24">
        <f>E1895</f>
        <v>0</v>
      </c>
      <c r="H1895" s="20">
        <v>0</v>
      </c>
    </row>
    <row r="1896" spans="1:8" ht="15.75" hidden="1" customHeight="1" x14ac:dyDescent="0.25">
      <c r="A1896" s="15" t="s">
        <v>213</v>
      </c>
      <c r="B1896" s="11" t="s">
        <v>219</v>
      </c>
      <c r="C1896" s="15"/>
      <c r="D1896" s="31" t="s">
        <v>15</v>
      </c>
      <c r="E1896" s="32">
        <v>50</v>
      </c>
      <c r="F1896" s="18">
        <f>E1896* 0.957552016439764</f>
        <v>47.877600821988196</v>
      </c>
      <c r="G1896" s="18">
        <f>E1896* 0.0158618032365785</f>
        <v>0.793090161828925</v>
      </c>
      <c r="H1896" s="18">
        <f>E1896* 0.0265861803236578</f>
        <v>1.32930901618289</v>
      </c>
    </row>
    <row r="1897" spans="1:8" ht="15.75" hidden="1" customHeight="1" x14ac:dyDescent="0.25">
      <c r="A1897" s="15" t="s">
        <v>213</v>
      </c>
      <c r="B1897" s="11" t="s">
        <v>219</v>
      </c>
      <c r="C1897" s="15"/>
      <c r="D1897" s="31" t="s">
        <v>16</v>
      </c>
      <c r="E1897" s="32">
        <v>0</v>
      </c>
      <c r="F1897" s="18">
        <f>E1897* 0.0288065843621399</f>
        <v>0</v>
      </c>
      <c r="G1897" s="18">
        <f>E1897* 0.967078189300412</f>
        <v>0</v>
      </c>
      <c r="H1897" s="18">
        <f>E1897* 0.00411522633744856</f>
        <v>0</v>
      </c>
    </row>
    <row r="1898" spans="1:8" ht="15.75" hidden="1" customHeight="1" x14ac:dyDescent="0.25">
      <c r="A1898" s="15" t="s">
        <v>213</v>
      </c>
      <c r="B1898" s="11" t="s">
        <v>219</v>
      </c>
      <c r="C1898" s="15"/>
      <c r="D1898" s="31" t="s">
        <v>11</v>
      </c>
      <c r="E1898" s="32">
        <v>41</v>
      </c>
      <c r="F1898" s="18">
        <f>E1898* 0.069996216420734</f>
        <v>2.8698448732500941</v>
      </c>
      <c r="G1898" s="18">
        <f>E1898* 0.928364232564006</f>
        <v>38.062933535124245</v>
      </c>
      <c r="H1898" s="18">
        <f>E1898* 0.00113507377979569</f>
        <v>4.6538024971623286E-2</v>
      </c>
    </row>
    <row r="1899" spans="1:8" ht="15.75" hidden="1" customHeight="1" x14ac:dyDescent="0.25">
      <c r="A1899" s="15" t="s">
        <v>213</v>
      </c>
      <c r="B1899" s="11" t="s">
        <v>219</v>
      </c>
      <c r="C1899" s="15"/>
      <c r="D1899" s="31" t="s">
        <v>17</v>
      </c>
      <c r="E1899" s="32">
        <v>79</v>
      </c>
      <c r="F1899" s="18">
        <f>E1899* 0.797049581005587</f>
        <v>62.966916899441372</v>
      </c>
      <c r="G1899" s="18">
        <f>E1899* 0.161662011173184</f>
        <v>12.771298882681535</v>
      </c>
      <c r="H1899" s="18">
        <f>E1899* 0.0410265363128492</f>
        <v>3.2410963687150867</v>
      </c>
    </row>
    <row r="1900" spans="1:8" ht="15.75" hidden="1" customHeight="1" x14ac:dyDescent="0.25">
      <c r="A1900" s="15" t="s">
        <v>213</v>
      </c>
      <c r="B1900" s="11" t="s">
        <v>219</v>
      </c>
      <c r="C1900" s="15"/>
      <c r="D1900" s="31" t="s">
        <v>31</v>
      </c>
      <c r="E1900" s="32">
        <v>1</v>
      </c>
      <c r="F1900" s="18">
        <f>E1900* 0.820689655172414</f>
        <v>0.82068965517241399</v>
      </c>
      <c r="G1900" s="18">
        <f>E1900* 0.16551724137931</f>
        <v>0.16551724137931001</v>
      </c>
      <c r="H1900" s="18">
        <f>E1900* 0.0137931034482759</f>
        <v>1.37931034482759E-2</v>
      </c>
    </row>
    <row r="1901" spans="1:8" ht="15.75" hidden="1" customHeight="1" x14ac:dyDescent="0.25">
      <c r="A1901" s="15" t="s">
        <v>213</v>
      </c>
      <c r="B1901" s="11" t="s">
        <v>219</v>
      </c>
      <c r="C1901" s="15"/>
      <c r="D1901" s="31" t="s">
        <v>18</v>
      </c>
      <c r="E1901" s="32">
        <v>7</v>
      </c>
      <c r="F1901" s="18">
        <f>E1901* 0.912233009708738</f>
        <v>6.3856310679611656</v>
      </c>
      <c r="G1901" s="18">
        <f>E1901* 0.0811650485436893</f>
        <v>0.56815533980582511</v>
      </c>
      <c r="H1901" s="18">
        <f>E1901* 0.00660194174757282</f>
        <v>4.6213592233009734E-2</v>
      </c>
    </row>
    <row r="1902" spans="1:8" ht="15.75" hidden="1" customHeight="1" x14ac:dyDescent="0.25">
      <c r="A1902" s="15" t="s">
        <v>213</v>
      </c>
      <c r="B1902" s="11" t="s">
        <v>219</v>
      </c>
      <c r="C1902" s="15"/>
      <c r="D1902" s="31" t="s">
        <v>19</v>
      </c>
      <c r="E1902" s="32">
        <v>2</v>
      </c>
      <c r="F1902" s="18">
        <f>E1902* 0.0264765784114053</f>
        <v>5.2953156822810599E-2</v>
      </c>
      <c r="G1902" s="18">
        <f>E1902* 0.970807875084861</f>
        <v>1.941615750169722</v>
      </c>
      <c r="H1902" s="18">
        <f>E1902* 0.00271554650373388</f>
        <v>5.4310930074677596E-3</v>
      </c>
    </row>
    <row r="1903" spans="1:8" ht="15.75" hidden="1" customHeight="1" x14ac:dyDescent="0.25">
      <c r="A1903" s="15" t="s">
        <v>213</v>
      </c>
      <c r="B1903" s="11" t="s">
        <v>219</v>
      </c>
      <c r="C1903" s="15"/>
      <c r="D1903" s="31" t="s">
        <v>20</v>
      </c>
      <c r="E1903" s="32">
        <v>33</v>
      </c>
      <c r="F1903" s="18">
        <f>E1903* 0.657913931436907</f>
        <v>21.711159737417933</v>
      </c>
      <c r="G1903" s="18">
        <f>E1903* 0.284463894967177</f>
        <v>9.3873085339168405</v>
      </c>
      <c r="H1903" s="18">
        <f>E1903* 0.0576221735959154</f>
        <v>1.9015317286652083</v>
      </c>
    </row>
    <row r="1904" spans="1:8" ht="15.75" hidden="1" customHeight="1" x14ac:dyDescent="0.25">
      <c r="A1904" s="15" t="s">
        <v>213</v>
      </c>
      <c r="B1904" s="11" t="s">
        <v>219</v>
      </c>
      <c r="C1904" s="15"/>
      <c r="D1904" s="31" t="s">
        <v>21</v>
      </c>
      <c r="E1904" s="32">
        <v>83</v>
      </c>
      <c r="F1904" s="18">
        <f>E1904* 0.999266575396049</f>
        <v>82.939125757872063</v>
      </c>
      <c r="G1904" s="18">
        <f>E1904* 0.0000488949735967143</f>
        <v>4.0582828085272867E-3</v>
      </c>
      <c r="H1904" s="18">
        <f>E1904* 0.000684529630354</f>
        <v>5.6815959319381999E-2</v>
      </c>
    </row>
    <row r="1905" spans="1:8" ht="15.75" hidden="1" customHeight="1" x14ac:dyDescent="0.25">
      <c r="A1905" s="15" t="s">
        <v>213</v>
      </c>
      <c r="B1905" s="11" t="s">
        <v>219</v>
      </c>
      <c r="C1905" s="15"/>
      <c r="D1905" s="31" t="s">
        <v>36</v>
      </c>
      <c r="E1905" s="32">
        <v>6</v>
      </c>
      <c r="F1905" s="18">
        <f>E1905* 0.973154362416107</f>
        <v>5.8389261744966419</v>
      </c>
      <c r="G1905" s="20">
        <v>0</v>
      </c>
      <c r="H1905" s="18">
        <f>E1905* 0.0268456375838926</f>
        <v>0.16107382550335558</v>
      </c>
    </row>
    <row r="1906" spans="1:8" ht="15.75" hidden="1" customHeight="1" x14ac:dyDescent="0.25">
      <c r="A1906" s="15" t="s">
        <v>213</v>
      </c>
      <c r="B1906" s="11" t="s">
        <v>219</v>
      </c>
      <c r="C1906" s="15"/>
      <c r="D1906" s="31" t="s">
        <v>28</v>
      </c>
      <c r="E1906" s="32">
        <v>0</v>
      </c>
      <c r="F1906" s="18">
        <f>E1906* 0.00128865979381443</f>
        <v>0</v>
      </c>
      <c r="G1906" s="18">
        <f>E1906* 0.998711340206186</f>
        <v>0</v>
      </c>
      <c r="H1906" s="20">
        <v>0</v>
      </c>
    </row>
    <row r="1907" spans="1:8" ht="15.75" hidden="1" customHeight="1" x14ac:dyDescent="0.25">
      <c r="A1907" s="15" t="s">
        <v>213</v>
      </c>
      <c r="B1907" s="11" t="s">
        <v>219</v>
      </c>
      <c r="C1907" s="15"/>
      <c r="D1907" s="31" t="s">
        <v>12</v>
      </c>
      <c r="E1907" s="32">
        <v>52</v>
      </c>
      <c r="F1907" s="18">
        <f>E1907* 0.858755020080321</f>
        <v>44.65526104417669</v>
      </c>
      <c r="G1907" s="18">
        <f>E1907* 0.104016064257028</f>
        <v>5.4088353413654557</v>
      </c>
      <c r="H1907" s="18">
        <f>E1907* 0.0372289156626506</f>
        <v>1.9359036144578314</v>
      </c>
    </row>
    <row r="1908" spans="1:8" ht="15.75" hidden="1" customHeight="1" x14ac:dyDescent="0.25">
      <c r="A1908" s="15" t="s">
        <v>213</v>
      </c>
      <c r="B1908" s="33"/>
      <c r="C1908" s="33"/>
      <c r="D1908" s="34"/>
      <c r="E1908" s="35"/>
    </row>
    <row r="1909" spans="1:8" ht="15.75" hidden="1" customHeight="1" x14ac:dyDescent="0.25">
      <c r="A1909" s="15" t="s">
        <v>213</v>
      </c>
      <c r="B1909" s="11" t="s">
        <v>213</v>
      </c>
      <c r="C1909" s="12" t="str">
        <f>B1909&amp;"_"&amp;A1909</f>
        <v>Tarija_Tarija</v>
      </c>
      <c r="E1909" s="22">
        <v>61230</v>
      </c>
      <c r="F1909" s="14">
        <f t="shared" ref="F1909:H1909" si="178">SUM(F1910:F1923)</f>
        <v>48971.691625062464</v>
      </c>
      <c r="G1909" s="14">
        <f t="shared" si="178"/>
        <v>10938.580485259148</v>
      </c>
      <c r="H1909" s="14">
        <f t="shared" si="178"/>
        <v>1314.6523583589624</v>
      </c>
    </row>
    <row r="1910" spans="1:8" ht="15.75" hidden="1" customHeight="1" x14ac:dyDescent="0.25">
      <c r="A1910" s="15" t="s">
        <v>213</v>
      </c>
      <c r="B1910" s="11" t="s">
        <v>213</v>
      </c>
      <c r="C1910" s="15"/>
      <c r="D1910" s="31" t="s">
        <v>53</v>
      </c>
      <c r="E1910" s="32">
        <v>0</v>
      </c>
      <c r="F1910" s="20">
        <v>0</v>
      </c>
      <c r="G1910" s="24">
        <f>E1910</f>
        <v>0</v>
      </c>
      <c r="H1910" s="20">
        <v>0</v>
      </c>
    </row>
    <row r="1911" spans="1:8" ht="15.75" hidden="1" customHeight="1" x14ac:dyDescent="0.25">
      <c r="A1911" s="15" t="s">
        <v>213</v>
      </c>
      <c r="B1911" s="11" t="s">
        <v>213</v>
      </c>
      <c r="C1911" s="15"/>
      <c r="D1911" s="31" t="s">
        <v>15</v>
      </c>
      <c r="E1911" s="32">
        <v>12243</v>
      </c>
      <c r="F1911" s="18">
        <f>E1911* 0.957552016439764</f>
        <v>11723.30933727203</v>
      </c>
      <c r="G1911" s="18">
        <f>E1911* 0.0158618032365785</f>
        <v>194.19605702543058</v>
      </c>
      <c r="H1911" s="18">
        <f>E1911* 0.0265861803236578</f>
        <v>325.49460570254246</v>
      </c>
    </row>
    <row r="1912" spans="1:8" ht="15.75" hidden="1" customHeight="1" x14ac:dyDescent="0.25">
      <c r="A1912" s="15" t="s">
        <v>213</v>
      </c>
      <c r="B1912" s="11" t="s">
        <v>213</v>
      </c>
      <c r="C1912" s="15"/>
      <c r="D1912" s="31" t="s">
        <v>16</v>
      </c>
      <c r="E1912" s="32">
        <v>361</v>
      </c>
      <c r="F1912" s="18">
        <f>E1912* 0.0288065843621399</f>
        <v>10.399176954732503</v>
      </c>
      <c r="G1912" s="18">
        <f>E1912* 0.967078189300412</f>
        <v>349.11522633744875</v>
      </c>
      <c r="H1912" s="18">
        <f>E1912* 0.00411522633744856</f>
        <v>1.4855967078189303</v>
      </c>
    </row>
    <row r="1913" spans="1:8" ht="15.75" hidden="1" customHeight="1" x14ac:dyDescent="0.25">
      <c r="A1913" s="15" t="s">
        <v>213</v>
      </c>
      <c r="B1913" s="11" t="s">
        <v>213</v>
      </c>
      <c r="C1913" s="15"/>
      <c r="D1913" s="31" t="s">
        <v>11</v>
      </c>
      <c r="E1913" s="32">
        <v>5916</v>
      </c>
      <c r="F1913" s="18">
        <f>E1913* 0.069996216420734</f>
        <v>414.09761634506236</v>
      </c>
      <c r="G1913" s="18">
        <f>E1913* 0.928364232564006</f>
        <v>5492.2027998486592</v>
      </c>
      <c r="H1913" s="18">
        <f>E1913* 0.00113507377979569</f>
        <v>6.7150964812713019</v>
      </c>
    </row>
    <row r="1914" spans="1:8" ht="15.75" hidden="1" customHeight="1" x14ac:dyDescent="0.25">
      <c r="A1914" s="15" t="s">
        <v>213</v>
      </c>
      <c r="B1914" s="11" t="s">
        <v>213</v>
      </c>
      <c r="C1914" s="15"/>
      <c r="D1914" s="31" t="s">
        <v>17</v>
      </c>
      <c r="E1914" s="32">
        <v>7985</v>
      </c>
      <c r="F1914" s="18">
        <f>E1914* 0.797049581005587</f>
        <v>6364.4409043296118</v>
      </c>
      <c r="G1914" s="18">
        <f>E1914* 0.161662011173184</f>
        <v>1290.8711592178743</v>
      </c>
      <c r="H1914" s="18">
        <f>E1914* 0.0410265363128492</f>
        <v>327.59689245810085</v>
      </c>
    </row>
    <row r="1915" spans="1:8" ht="15.75" hidden="1" customHeight="1" x14ac:dyDescent="0.25">
      <c r="A1915" s="15" t="s">
        <v>213</v>
      </c>
      <c r="B1915" s="11" t="s">
        <v>213</v>
      </c>
      <c r="C1915" s="15"/>
      <c r="D1915" s="31" t="s">
        <v>31</v>
      </c>
      <c r="E1915" s="32">
        <v>104</v>
      </c>
      <c r="F1915" s="18">
        <f>E1915* 0.820689655172414</f>
        <v>85.351724137931058</v>
      </c>
      <c r="G1915" s="18">
        <f>E1915* 0.16551724137931</f>
        <v>17.213793103448239</v>
      </c>
      <c r="H1915" s="18">
        <f>E1915* 0.0137931034482759</f>
        <v>1.4344827586206936</v>
      </c>
    </row>
    <row r="1916" spans="1:8" ht="15.75" hidden="1" customHeight="1" x14ac:dyDescent="0.25">
      <c r="A1916" s="15" t="s">
        <v>213</v>
      </c>
      <c r="B1916" s="11" t="s">
        <v>213</v>
      </c>
      <c r="C1916" s="15"/>
      <c r="D1916" s="31" t="s">
        <v>18</v>
      </c>
      <c r="E1916" s="32">
        <v>1951</v>
      </c>
      <c r="F1916" s="18">
        <f>E1916* 0.912233009708738</f>
        <v>1779.7666019417479</v>
      </c>
      <c r="G1916" s="18">
        <f>E1916* 0.0811650485436893</f>
        <v>158.35300970873783</v>
      </c>
      <c r="H1916" s="18">
        <f>E1916* 0.00660194174757282</f>
        <v>12.880388349514572</v>
      </c>
    </row>
    <row r="1917" spans="1:8" ht="15.75" hidden="1" customHeight="1" x14ac:dyDescent="0.25">
      <c r="A1917" s="15" t="s">
        <v>213</v>
      </c>
      <c r="B1917" s="11" t="s">
        <v>213</v>
      </c>
      <c r="C1917" s="15"/>
      <c r="D1917" s="31" t="s">
        <v>19</v>
      </c>
      <c r="E1917" s="32">
        <v>1016</v>
      </c>
      <c r="F1917" s="18">
        <f>E1917* 0.0264765784114053</f>
        <v>26.900203665987785</v>
      </c>
      <c r="G1917" s="18">
        <f>E1917* 0.970807875084861</f>
        <v>986.34080108621879</v>
      </c>
      <c r="H1917" s="18">
        <f>E1917* 0.00271554650373388</f>
        <v>2.7589952477936217</v>
      </c>
    </row>
    <row r="1918" spans="1:8" ht="15.75" hidden="1" customHeight="1" x14ac:dyDescent="0.25">
      <c r="A1918" s="15" t="s">
        <v>213</v>
      </c>
      <c r="B1918" s="11" t="s">
        <v>213</v>
      </c>
      <c r="C1918" s="15"/>
      <c r="D1918" s="31" t="s">
        <v>20</v>
      </c>
      <c r="E1918" s="32">
        <v>868</v>
      </c>
      <c r="F1918" s="18">
        <f>E1918* 0.657913931436907</f>
        <v>571.06929248723532</v>
      </c>
      <c r="G1918" s="18">
        <f>E1918* 0.284463894967177</f>
        <v>246.91466083150965</v>
      </c>
      <c r="H1918" s="18">
        <f>E1918* 0.0576221735959154</f>
        <v>50.016046681254565</v>
      </c>
    </row>
    <row r="1919" spans="1:8" ht="15.75" hidden="1" customHeight="1" x14ac:dyDescent="0.25">
      <c r="A1919" s="15" t="s">
        <v>213</v>
      </c>
      <c r="B1919" s="11" t="s">
        <v>213</v>
      </c>
      <c r="C1919" s="15"/>
      <c r="D1919" s="31" t="s">
        <v>21</v>
      </c>
      <c r="E1919" s="32">
        <v>14683</v>
      </c>
      <c r="F1919" s="18">
        <f>E1919* 0.999266575396049</f>
        <v>14672.231126540188</v>
      </c>
      <c r="G1919" s="18">
        <f>E1919* 0.0000488949735967143</f>
        <v>0.71792489732055609</v>
      </c>
      <c r="H1919" s="18">
        <f>E1919* 0.000684529630354</f>
        <v>10.050948562487783</v>
      </c>
    </row>
    <row r="1920" spans="1:8" ht="15.75" hidden="1" customHeight="1" x14ac:dyDescent="0.25">
      <c r="A1920" s="15" t="s">
        <v>213</v>
      </c>
      <c r="B1920" s="11" t="s">
        <v>213</v>
      </c>
      <c r="C1920" s="15"/>
      <c r="D1920" s="31" t="s">
        <v>36</v>
      </c>
      <c r="E1920" s="32">
        <v>87</v>
      </c>
      <c r="F1920" s="18">
        <f>E1920* 0.973154362416107</f>
        <v>84.664429530201303</v>
      </c>
      <c r="G1920" s="20">
        <v>0</v>
      </c>
      <c r="H1920" s="18">
        <f>E1920* 0.0268456375838926</f>
        <v>2.3355704697986561</v>
      </c>
    </row>
    <row r="1921" spans="1:8" ht="15.75" hidden="1" customHeight="1" x14ac:dyDescent="0.25">
      <c r="A1921" s="15" t="s">
        <v>213</v>
      </c>
      <c r="B1921" s="11" t="s">
        <v>213</v>
      </c>
      <c r="C1921" s="15"/>
      <c r="D1921" s="31" t="s">
        <v>37</v>
      </c>
      <c r="E1921" s="32">
        <v>17</v>
      </c>
      <c r="F1921" s="18">
        <f>E1921* 0.0588235294117647</f>
        <v>0.99999999999999989</v>
      </c>
      <c r="G1921" s="18">
        <f>E1921* 0.941176470588235</f>
        <v>15.999999999999995</v>
      </c>
      <c r="H1921" s="20">
        <v>0</v>
      </c>
    </row>
    <row r="1922" spans="1:8" ht="15.75" hidden="1" customHeight="1" x14ac:dyDescent="0.25">
      <c r="A1922" s="15" t="s">
        <v>213</v>
      </c>
      <c r="B1922" s="11" t="s">
        <v>213</v>
      </c>
      <c r="C1922" s="15"/>
      <c r="D1922" s="31" t="s">
        <v>28</v>
      </c>
      <c r="E1922" s="32">
        <v>584</v>
      </c>
      <c r="F1922" s="18">
        <f>E1922* 0.00128865979381443</f>
        <v>0.75257731958762708</v>
      </c>
      <c r="G1922" s="18">
        <f>E1922* 0.998711340206186</f>
        <v>583.24742268041268</v>
      </c>
      <c r="H1922" s="20">
        <v>0</v>
      </c>
    </row>
    <row r="1923" spans="1:8" ht="15.75" hidden="1" customHeight="1" x14ac:dyDescent="0.25">
      <c r="A1923" s="15" t="s">
        <v>213</v>
      </c>
      <c r="B1923" s="11" t="s">
        <v>213</v>
      </c>
      <c r="C1923" s="15"/>
      <c r="D1923" s="31" t="s">
        <v>12</v>
      </c>
      <c r="E1923" s="32">
        <v>15415</v>
      </c>
      <c r="F1923" s="18">
        <f>E1923* 0.858755020080321</f>
        <v>13237.708634538149</v>
      </c>
      <c r="G1923" s="18">
        <f>E1923* 0.104016064257028</f>
        <v>1603.4076305220867</v>
      </c>
      <c r="H1923" s="18">
        <f>E1923* 0.0372289156626506</f>
        <v>573.88373493975905</v>
      </c>
    </row>
    <row r="1924" spans="1:8" ht="15.75" hidden="1" customHeight="1" x14ac:dyDescent="0.25">
      <c r="A1924" s="15" t="s">
        <v>213</v>
      </c>
      <c r="B1924" s="33"/>
      <c r="C1924" s="33"/>
      <c r="D1924" s="34"/>
      <c r="E1924" s="35"/>
    </row>
    <row r="1925" spans="1:8" ht="15.75" hidden="1" customHeight="1" x14ac:dyDescent="0.25">
      <c r="A1925" s="15" t="s">
        <v>213</v>
      </c>
      <c r="B1925" s="11" t="s">
        <v>220</v>
      </c>
      <c r="C1925" s="12" t="str">
        <f>B1925&amp;"_"&amp;A1925</f>
        <v>Uriondo (Concepción)_Tarija</v>
      </c>
      <c r="E1925" s="22">
        <v>218</v>
      </c>
      <c r="F1925" s="14">
        <f t="shared" ref="F1925:H1925" si="179">SUM(F1926:F1936)</f>
        <v>151.34759632839967</v>
      </c>
      <c r="G1925" s="14">
        <f t="shared" si="179"/>
        <v>60.595373786005673</v>
      </c>
      <c r="H1925" s="14">
        <f t="shared" si="179"/>
        <v>6.0197328192248483</v>
      </c>
    </row>
    <row r="1926" spans="1:8" ht="15.75" hidden="1" customHeight="1" x14ac:dyDescent="0.25">
      <c r="A1926" s="15" t="s">
        <v>213</v>
      </c>
      <c r="B1926" s="11" t="s">
        <v>220</v>
      </c>
      <c r="C1926" s="15"/>
      <c r="D1926" s="31" t="s">
        <v>53</v>
      </c>
      <c r="E1926" s="32">
        <v>0</v>
      </c>
      <c r="F1926" s="20">
        <v>0</v>
      </c>
      <c r="G1926" s="24">
        <f>E1926</f>
        <v>0</v>
      </c>
      <c r="H1926" s="20">
        <v>0</v>
      </c>
    </row>
    <row r="1927" spans="1:8" ht="15.75" hidden="1" customHeight="1" x14ac:dyDescent="0.25">
      <c r="A1927" s="15" t="s">
        <v>213</v>
      </c>
      <c r="B1927" s="11" t="s">
        <v>220</v>
      </c>
      <c r="C1927" s="15"/>
      <c r="D1927" s="31" t="s">
        <v>15</v>
      </c>
      <c r="E1927" s="32">
        <v>14</v>
      </c>
      <c r="F1927" s="18">
        <f>E1927* 0.957552016439764</f>
        <v>13.405728230156695</v>
      </c>
      <c r="G1927" s="18">
        <f>E1927* 0.0158618032365785</f>
        <v>0.22206524531209901</v>
      </c>
      <c r="H1927" s="18">
        <f>E1927* 0.0265861803236578</f>
        <v>0.37220652453120917</v>
      </c>
    </row>
    <row r="1928" spans="1:8" ht="15.75" hidden="1" customHeight="1" x14ac:dyDescent="0.25">
      <c r="A1928" s="15" t="s">
        <v>213</v>
      </c>
      <c r="B1928" s="11" t="s">
        <v>220</v>
      </c>
      <c r="C1928" s="15"/>
      <c r="D1928" s="31" t="s">
        <v>16</v>
      </c>
      <c r="E1928" s="32">
        <v>0</v>
      </c>
      <c r="F1928" s="18">
        <f>E1928* 0.0288065843621399</f>
        <v>0</v>
      </c>
      <c r="G1928" s="18">
        <f>E1928* 0.967078189300412</f>
        <v>0</v>
      </c>
      <c r="H1928" s="18">
        <f>E1928* 0.00411522633744856</f>
        <v>0</v>
      </c>
    </row>
    <row r="1929" spans="1:8" ht="15.75" hidden="1" customHeight="1" x14ac:dyDescent="0.25">
      <c r="A1929" s="15" t="s">
        <v>213</v>
      </c>
      <c r="B1929" s="11" t="s">
        <v>220</v>
      </c>
      <c r="C1929" s="15"/>
      <c r="D1929" s="31" t="s">
        <v>11</v>
      </c>
      <c r="E1929" s="32">
        <v>35</v>
      </c>
      <c r="F1929" s="18">
        <f>E1929* 0.069996216420734</f>
        <v>2.4498675747256899</v>
      </c>
      <c r="G1929" s="18">
        <f>E1929* 0.928364232564006</f>
        <v>32.492748139740208</v>
      </c>
      <c r="H1929" s="18">
        <f>E1929* 0.00113507377979569</f>
        <v>3.9727582292849145E-2</v>
      </c>
    </row>
    <row r="1930" spans="1:8" ht="15.75" hidden="1" customHeight="1" x14ac:dyDescent="0.25">
      <c r="A1930" s="15" t="s">
        <v>213</v>
      </c>
      <c r="B1930" s="11" t="s">
        <v>220</v>
      </c>
      <c r="C1930" s="15"/>
      <c r="D1930" s="31" t="s">
        <v>17</v>
      </c>
      <c r="E1930" s="32">
        <v>75</v>
      </c>
      <c r="F1930" s="18">
        <f>E1930* 0.797049581005587</f>
        <v>59.77871857541902</v>
      </c>
      <c r="G1930" s="18">
        <f>E1930* 0.161662011173184</f>
        <v>12.124650837988799</v>
      </c>
      <c r="H1930" s="18">
        <f>E1930* 0.0410265363128492</f>
        <v>3.0769902234636901</v>
      </c>
    </row>
    <row r="1931" spans="1:8" ht="15.75" hidden="1" customHeight="1" x14ac:dyDescent="0.25">
      <c r="A1931" s="15" t="s">
        <v>213</v>
      </c>
      <c r="B1931" s="11" t="s">
        <v>220</v>
      </c>
      <c r="C1931" s="15"/>
      <c r="D1931" s="31" t="s">
        <v>31</v>
      </c>
      <c r="E1931" s="32">
        <v>0</v>
      </c>
      <c r="F1931" s="18">
        <f>E1931* 0.820689655172414</f>
        <v>0</v>
      </c>
      <c r="G1931" s="18">
        <f>E1931* 0.16551724137931</f>
        <v>0</v>
      </c>
      <c r="H1931" s="18">
        <f>E1931* 0.0137931034482759</f>
        <v>0</v>
      </c>
    </row>
    <row r="1932" spans="1:8" ht="15.75" hidden="1" customHeight="1" x14ac:dyDescent="0.25">
      <c r="A1932" s="15" t="s">
        <v>213</v>
      </c>
      <c r="B1932" s="11" t="s">
        <v>220</v>
      </c>
      <c r="C1932" s="15"/>
      <c r="D1932" s="31" t="s">
        <v>18</v>
      </c>
      <c r="E1932" s="32">
        <v>2</v>
      </c>
      <c r="F1932" s="18">
        <f>E1932* 0.912233009708738</f>
        <v>1.824466019417476</v>
      </c>
      <c r="G1932" s="18">
        <f>E1932* 0.0811650485436893</f>
        <v>0.16233009708737861</v>
      </c>
      <c r="H1932" s="18">
        <f>E1932* 0.00660194174757282</f>
        <v>1.3203883495145639E-2</v>
      </c>
    </row>
    <row r="1933" spans="1:8" ht="15.75" hidden="1" customHeight="1" x14ac:dyDescent="0.25">
      <c r="A1933" s="15" t="s">
        <v>213</v>
      </c>
      <c r="B1933" s="11" t="s">
        <v>220</v>
      </c>
      <c r="C1933" s="15"/>
      <c r="D1933" s="31" t="s">
        <v>19</v>
      </c>
      <c r="E1933" s="32">
        <v>6</v>
      </c>
      <c r="F1933" s="18">
        <f>E1933* 0.0264765784114053</f>
        <v>0.1588594704684318</v>
      </c>
      <c r="G1933" s="18">
        <f>E1933* 0.970807875084861</f>
        <v>5.8248472505091655</v>
      </c>
      <c r="H1933" s="18">
        <f>E1933* 0.00271554650373388</f>
        <v>1.6293279022403278E-2</v>
      </c>
    </row>
    <row r="1934" spans="1:8" ht="15.75" hidden="1" customHeight="1" x14ac:dyDescent="0.25">
      <c r="A1934" s="15" t="s">
        <v>213</v>
      </c>
      <c r="B1934" s="11" t="s">
        <v>220</v>
      </c>
      <c r="C1934" s="15"/>
      <c r="D1934" s="31" t="s">
        <v>20</v>
      </c>
      <c r="E1934" s="32">
        <v>23</v>
      </c>
      <c r="F1934" s="18">
        <f>E1934* 0.657913931436907</f>
        <v>15.132020423048861</v>
      </c>
      <c r="G1934" s="18">
        <f>E1934* 0.284463894967177</f>
        <v>6.5426695842450711</v>
      </c>
      <c r="H1934" s="18">
        <f>E1934* 0.0576221735959154</f>
        <v>1.3253099927060541</v>
      </c>
    </row>
    <row r="1935" spans="1:8" ht="15.75" hidden="1" customHeight="1" x14ac:dyDescent="0.25">
      <c r="A1935" s="15" t="s">
        <v>213</v>
      </c>
      <c r="B1935" s="11" t="s">
        <v>220</v>
      </c>
      <c r="C1935" s="15"/>
      <c r="D1935" s="31" t="s">
        <v>21</v>
      </c>
      <c r="E1935" s="32">
        <v>32</v>
      </c>
      <c r="F1935" s="18">
        <f>E1935* 0.999266575396049</f>
        <v>31.976530412673569</v>
      </c>
      <c r="G1935" s="18">
        <f>E1935* 0.0000488949735967143</f>
        <v>1.5646391550948576E-3</v>
      </c>
      <c r="H1935" s="18">
        <f>E1935* 0.000684529630354</f>
        <v>2.1904948171328001E-2</v>
      </c>
    </row>
    <row r="1936" spans="1:8" ht="15.75" hidden="1" customHeight="1" x14ac:dyDescent="0.25">
      <c r="A1936" s="15" t="s">
        <v>213</v>
      </c>
      <c r="B1936" s="11" t="s">
        <v>220</v>
      </c>
      <c r="C1936" s="15"/>
      <c r="D1936" s="31" t="s">
        <v>12</v>
      </c>
      <c r="E1936" s="32">
        <v>31</v>
      </c>
      <c r="F1936" s="18">
        <f>E1936* 0.858755020080321</f>
        <v>26.621405622489952</v>
      </c>
      <c r="G1936" s="18">
        <f>E1936* 0.104016064257028</f>
        <v>3.2244979919678682</v>
      </c>
      <c r="H1936" s="18">
        <f>E1936* 0.0372289156626506</f>
        <v>1.1540963855421686</v>
      </c>
    </row>
    <row r="1937" spans="1:8" ht="15.75" hidden="1" customHeight="1" x14ac:dyDescent="0.25">
      <c r="A1937" s="15" t="s">
        <v>213</v>
      </c>
      <c r="B1937" s="33"/>
      <c r="C1937" s="33"/>
      <c r="D1937" s="34"/>
      <c r="E1937" s="35"/>
    </row>
    <row r="1938" spans="1:8" ht="15.75" hidden="1" customHeight="1" x14ac:dyDescent="0.25">
      <c r="A1938" s="15" t="s">
        <v>213</v>
      </c>
      <c r="B1938" s="11" t="s">
        <v>221</v>
      </c>
      <c r="C1938" s="12" t="str">
        <f>B1938&amp;"_"&amp;A1938</f>
        <v>Villamontes_Tarija</v>
      </c>
      <c r="E1938" s="22">
        <v>4718</v>
      </c>
      <c r="F1938" s="14">
        <f t="shared" ref="F1938:H1938" si="180">SUM(F1939:F1951)</f>
        <v>3770.0315541875325</v>
      </c>
      <c r="G1938" s="14">
        <f t="shared" si="180"/>
        <v>837.79834838322108</v>
      </c>
      <c r="H1938" s="14">
        <f t="shared" si="180"/>
        <v>109.79026887400173</v>
      </c>
    </row>
    <row r="1939" spans="1:8" ht="15.75" hidden="1" customHeight="1" x14ac:dyDescent="0.25">
      <c r="A1939" s="15" t="s">
        <v>213</v>
      </c>
      <c r="B1939" s="11" t="s">
        <v>221</v>
      </c>
      <c r="C1939" s="15"/>
      <c r="D1939" s="31" t="s">
        <v>53</v>
      </c>
      <c r="E1939" s="32">
        <v>0</v>
      </c>
      <c r="F1939" s="20">
        <v>0</v>
      </c>
      <c r="G1939" s="24">
        <f>E1939</f>
        <v>0</v>
      </c>
      <c r="H1939" s="20">
        <v>0</v>
      </c>
    </row>
    <row r="1940" spans="1:8" ht="15.75" hidden="1" customHeight="1" x14ac:dyDescent="0.25">
      <c r="A1940" s="15" t="s">
        <v>213</v>
      </c>
      <c r="B1940" s="11" t="s">
        <v>221</v>
      </c>
      <c r="C1940" s="15"/>
      <c r="D1940" s="31" t="s">
        <v>15</v>
      </c>
      <c r="E1940" s="32">
        <v>427</v>
      </c>
      <c r="F1940" s="18">
        <f>E1940* 0.957552016439764</f>
        <v>408.87471101977923</v>
      </c>
      <c r="G1940" s="18">
        <f>E1940* 0.0158618032365785</f>
        <v>6.7729899820190198</v>
      </c>
      <c r="H1940" s="18">
        <f>E1940* 0.0265861803236578</f>
        <v>11.35229899820188</v>
      </c>
    </row>
    <row r="1941" spans="1:8" ht="15.75" hidden="1" customHeight="1" x14ac:dyDescent="0.25">
      <c r="A1941" s="15" t="s">
        <v>213</v>
      </c>
      <c r="B1941" s="11" t="s">
        <v>221</v>
      </c>
      <c r="C1941" s="15"/>
      <c r="D1941" s="31" t="s">
        <v>16</v>
      </c>
      <c r="E1941" s="32">
        <v>13</v>
      </c>
      <c r="F1941" s="18">
        <f>E1941* 0.0288065843621399</f>
        <v>0.37448559670781872</v>
      </c>
      <c r="G1941" s="18">
        <f>E1941* 0.967078189300412</f>
        <v>12.572016460905356</v>
      </c>
      <c r="H1941" s="18">
        <f>E1941* 0.00411522633744856</f>
        <v>5.3497942386831282E-2</v>
      </c>
    </row>
    <row r="1942" spans="1:8" ht="15.75" hidden="1" customHeight="1" x14ac:dyDescent="0.25">
      <c r="A1942" s="15" t="s">
        <v>213</v>
      </c>
      <c r="B1942" s="11" t="s">
        <v>221</v>
      </c>
      <c r="C1942" s="15"/>
      <c r="D1942" s="31" t="s">
        <v>11</v>
      </c>
      <c r="E1942" s="32">
        <v>429</v>
      </c>
      <c r="F1942" s="18">
        <f>E1942* 0.069996216420734</f>
        <v>30.028376844494886</v>
      </c>
      <c r="G1942" s="18">
        <f>E1942* 0.928364232564006</f>
        <v>398.26825576995856</v>
      </c>
      <c r="H1942" s="18">
        <f>E1942* 0.00113507377979569</f>
        <v>0.486946651532351</v>
      </c>
    </row>
    <row r="1943" spans="1:8" ht="15.75" hidden="1" customHeight="1" x14ac:dyDescent="0.25">
      <c r="A1943" s="15" t="s">
        <v>213</v>
      </c>
      <c r="B1943" s="11" t="s">
        <v>221</v>
      </c>
      <c r="C1943" s="15"/>
      <c r="D1943" s="31" t="s">
        <v>17</v>
      </c>
      <c r="E1943" s="32">
        <v>624</v>
      </c>
      <c r="F1943" s="18">
        <f>E1943* 0.797049581005587</f>
        <v>497.35893854748628</v>
      </c>
      <c r="G1943" s="18">
        <f>E1943* 0.161662011173184</f>
        <v>100.87709497206681</v>
      </c>
      <c r="H1943" s="18">
        <f>E1943* 0.0410265363128492</f>
        <v>25.600558659217899</v>
      </c>
    </row>
    <row r="1944" spans="1:8" ht="15.75" hidden="1" customHeight="1" x14ac:dyDescent="0.25">
      <c r="A1944" s="15" t="s">
        <v>213</v>
      </c>
      <c r="B1944" s="11" t="s">
        <v>221</v>
      </c>
      <c r="C1944" s="15"/>
      <c r="D1944" s="31" t="s">
        <v>31</v>
      </c>
      <c r="E1944" s="32">
        <v>9</v>
      </c>
      <c r="F1944" s="18">
        <f>E1944* 0.820689655172414</f>
        <v>7.3862068965517258</v>
      </c>
      <c r="G1944" s="18">
        <f>E1944* 0.16551724137931</f>
        <v>1.4896551724137901</v>
      </c>
      <c r="H1944" s="18">
        <f>E1944* 0.0137931034482759</f>
        <v>0.1241379310344831</v>
      </c>
    </row>
    <row r="1945" spans="1:8" ht="15.75" hidden="1" customHeight="1" x14ac:dyDescent="0.25">
      <c r="A1945" s="15" t="s">
        <v>213</v>
      </c>
      <c r="B1945" s="11" t="s">
        <v>221</v>
      </c>
      <c r="C1945" s="15"/>
      <c r="D1945" s="31" t="s">
        <v>18</v>
      </c>
      <c r="E1945" s="32">
        <v>154</v>
      </c>
      <c r="F1945" s="18">
        <f>E1945* 0.912233009708738</f>
        <v>140.48388349514565</v>
      </c>
      <c r="G1945" s="18">
        <f>E1945* 0.0811650485436893</f>
        <v>12.499417475728153</v>
      </c>
      <c r="H1945" s="18">
        <f>E1945* 0.00660194174757282</f>
        <v>1.0166990291262141</v>
      </c>
    </row>
    <row r="1946" spans="1:8" ht="15.75" hidden="1" customHeight="1" x14ac:dyDescent="0.25">
      <c r="A1946" s="15" t="s">
        <v>213</v>
      </c>
      <c r="B1946" s="11" t="s">
        <v>221</v>
      </c>
      <c r="C1946" s="15"/>
      <c r="D1946" s="31" t="s">
        <v>19</v>
      </c>
      <c r="E1946" s="32">
        <v>72</v>
      </c>
      <c r="F1946" s="18">
        <f>E1946* 0.0264765784114053</f>
        <v>1.9063136456211816</v>
      </c>
      <c r="G1946" s="18">
        <f>E1946* 0.970807875084861</f>
        <v>69.898167006109986</v>
      </c>
      <c r="H1946" s="18">
        <f>E1946* 0.00271554650373388</f>
        <v>0.19551934826883935</v>
      </c>
    </row>
    <row r="1947" spans="1:8" ht="15.75" hidden="1" customHeight="1" x14ac:dyDescent="0.25">
      <c r="A1947" s="15" t="s">
        <v>213</v>
      </c>
      <c r="B1947" s="11" t="s">
        <v>221</v>
      </c>
      <c r="C1947" s="15"/>
      <c r="D1947" s="31" t="s">
        <v>20</v>
      </c>
      <c r="E1947" s="32">
        <v>136</v>
      </c>
      <c r="F1947" s="18">
        <f>E1947* 0.657913931436907</f>
        <v>89.476294675419354</v>
      </c>
      <c r="G1947" s="18">
        <f>E1947* 0.284463894967177</f>
        <v>38.687089715536075</v>
      </c>
      <c r="H1947" s="18">
        <f>E1947* 0.0576221735959154</f>
        <v>7.8366156090444941</v>
      </c>
    </row>
    <row r="1948" spans="1:8" ht="15.75" hidden="1" customHeight="1" x14ac:dyDescent="0.25">
      <c r="A1948" s="15" t="s">
        <v>213</v>
      </c>
      <c r="B1948" s="11" t="s">
        <v>221</v>
      </c>
      <c r="C1948" s="15"/>
      <c r="D1948" s="31" t="s">
        <v>21</v>
      </c>
      <c r="E1948" s="32">
        <v>1155</v>
      </c>
      <c r="F1948" s="18">
        <f>E1948* 0.999266575396049</f>
        <v>1154.1528945824366</v>
      </c>
      <c r="G1948" s="18">
        <f>E1948* 0.0000488949735967143</f>
        <v>5.6473694504205016E-2</v>
      </c>
      <c r="H1948" s="18">
        <f>E1948* 0.000684529630354</f>
        <v>0.79063172305887008</v>
      </c>
    </row>
    <row r="1949" spans="1:8" ht="15.75" hidden="1" customHeight="1" x14ac:dyDescent="0.25">
      <c r="A1949" s="15" t="s">
        <v>213</v>
      </c>
      <c r="B1949" s="11" t="s">
        <v>221</v>
      </c>
      <c r="C1949" s="15"/>
      <c r="D1949" s="31" t="s">
        <v>36</v>
      </c>
      <c r="E1949" s="32">
        <v>6</v>
      </c>
      <c r="F1949" s="18">
        <f>E1949* 0.973154362416107</f>
        <v>5.8389261744966419</v>
      </c>
      <c r="G1949" s="20">
        <v>0</v>
      </c>
      <c r="H1949" s="18">
        <f>E1949* 0.0268456375838926</f>
        <v>0.16107382550335558</v>
      </c>
    </row>
    <row r="1950" spans="1:8" ht="15.75" hidden="1" customHeight="1" x14ac:dyDescent="0.25">
      <c r="A1950" s="15" t="s">
        <v>213</v>
      </c>
      <c r="B1950" s="11" t="s">
        <v>221</v>
      </c>
      <c r="C1950" s="15"/>
      <c r="D1950" s="31" t="s">
        <v>28</v>
      </c>
      <c r="E1950" s="32">
        <v>23</v>
      </c>
      <c r="F1950" s="18">
        <f>E1950* 0.00128865979381443</f>
        <v>2.9639175257731888E-2</v>
      </c>
      <c r="G1950" s="18">
        <f>E1950* 0.998711340206186</f>
        <v>22.970360824742279</v>
      </c>
      <c r="H1950" s="20">
        <v>0</v>
      </c>
    </row>
    <row r="1951" spans="1:8" ht="15.75" hidden="1" customHeight="1" x14ac:dyDescent="0.25">
      <c r="A1951" s="15" t="s">
        <v>213</v>
      </c>
      <c r="B1951" s="11" t="s">
        <v>221</v>
      </c>
      <c r="C1951" s="15"/>
      <c r="D1951" s="31" t="s">
        <v>12</v>
      </c>
      <c r="E1951" s="32">
        <v>1670</v>
      </c>
      <c r="F1951" s="18">
        <f>E1951* 0.858755020080321</f>
        <v>1434.1208835341361</v>
      </c>
      <c r="G1951" s="18">
        <f>E1951* 0.104016064257028</f>
        <v>173.70682730923676</v>
      </c>
      <c r="H1951" s="18">
        <f>E1951* 0.0372289156626506</f>
        <v>62.172289156626505</v>
      </c>
    </row>
    <row r="1952" spans="1:8" ht="15.75" hidden="1" customHeight="1" x14ac:dyDescent="0.25">
      <c r="A1952" s="15" t="s">
        <v>213</v>
      </c>
      <c r="B1952" s="33"/>
      <c r="C1952" s="33"/>
      <c r="D1952" s="34"/>
      <c r="E1952" s="35"/>
    </row>
    <row r="1953" spans="1:8" ht="15.75" hidden="1" customHeight="1" x14ac:dyDescent="0.25">
      <c r="A1953" s="15" t="s">
        <v>213</v>
      </c>
      <c r="B1953" s="11" t="s">
        <v>222</v>
      </c>
      <c r="C1953" s="12" t="str">
        <f>B1953&amp;"_"&amp;A1953</f>
        <v>Yacuiba_Tarija</v>
      </c>
      <c r="E1953" s="22">
        <v>14438</v>
      </c>
      <c r="F1953" s="14">
        <f t="shared" ref="F1953:H1953" si="181">SUM(F1954:F1966)</f>
        <v>11688.14211928881</v>
      </c>
      <c r="G1953" s="14">
        <f t="shared" si="181"/>
        <v>2393.0144840823036</v>
      </c>
      <c r="H1953" s="14">
        <f t="shared" si="181"/>
        <v>355.91926209401799</v>
      </c>
    </row>
    <row r="1954" spans="1:8" ht="15.75" hidden="1" customHeight="1" x14ac:dyDescent="0.25">
      <c r="A1954" s="15" t="s">
        <v>213</v>
      </c>
      <c r="B1954" s="11" t="s">
        <v>222</v>
      </c>
      <c r="C1954" s="15"/>
      <c r="D1954" s="31" t="s">
        <v>53</v>
      </c>
      <c r="E1954" s="32">
        <v>0</v>
      </c>
      <c r="F1954" s="20">
        <v>0</v>
      </c>
      <c r="G1954" s="24">
        <f>E1954</f>
        <v>0</v>
      </c>
      <c r="H1954" s="20">
        <v>0</v>
      </c>
    </row>
    <row r="1955" spans="1:8" ht="15.75" hidden="1" customHeight="1" x14ac:dyDescent="0.25">
      <c r="A1955" s="15" t="s">
        <v>213</v>
      </c>
      <c r="B1955" s="11" t="s">
        <v>222</v>
      </c>
      <c r="C1955" s="15"/>
      <c r="D1955" s="31" t="s">
        <v>15</v>
      </c>
      <c r="E1955" s="32">
        <v>2085</v>
      </c>
      <c r="F1955" s="18">
        <f>E1955* 0.957552016439764</f>
        <v>1996.4959542769079</v>
      </c>
      <c r="G1955" s="18">
        <f>E1955* 0.0158618032365785</f>
        <v>33.071859748266171</v>
      </c>
      <c r="H1955" s="18">
        <f>E1955* 0.0265861803236578</f>
        <v>55.43218597482651</v>
      </c>
    </row>
    <row r="1956" spans="1:8" ht="15.75" hidden="1" customHeight="1" x14ac:dyDescent="0.25">
      <c r="A1956" s="15" t="s">
        <v>213</v>
      </c>
      <c r="B1956" s="11" t="s">
        <v>222</v>
      </c>
      <c r="C1956" s="15"/>
      <c r="D1956" s="31" t="s">
        <v>16</v>
      </c>
      <c r="E1956" s="32">
        <v>92</v>
      </c>
      <c r="F1956" s="18">
        <f>E1956* 0.0288065843621399</f>
        <v>2.650205761316871</v>
      </c>
      <c r="G1956" s="18">
        <f>E1956* 0.967078189300412</f>
        <v>88.971193415637899</v>
      </c>
      <c r="H1956" s="18">
        <f>E1956* 0.00411522633744856</f>
        <v>0.37860082304526754</v>
      </c>
    </row>
    <row r="1957" spans="1:8" ht="15.75" hidden="1" customHeight="1" x14ac:dyDescent="0.25">
      <c r="A1957" s="15" t="s">
        <v>213</v>
      </c>
      <c r="B1957" s="11" t="s">
        <v>222</v>
      </c>
      <c r="C1957" s="15"/>
      <c r="D1957" s="31" t="s">
        <v>11</v>
      </c>
      <c r="E1957" s="32">
        <v>952</v>
      </c>
      <c r="F1957" s="18">
        <f>E1957* 0.069996216420734</f>
        <v>66.636398032538764</v>
      </c>
      <c r="G1957" s="18">
        <f>E1957* 0.928364232564006</f>
        <v>883.80274940093375</v>
      </c>
      <c r="H1957" s="18">
        <f>E1957* 0.00113507377979569</f>
        <v>1.0805902383654968</v>
      </c>
    </row>
    <row r="1958" spans="1:8" ht="15.75" hidden="1" customHeight="1" x14ac:dyDescent="0.25">
      <c r="A1958" s="15" t="s">
        <v>213</v>
      </c>
      <c r="B1958" s="11" t="s">
        <v>222</v>
      </c>
      <c r="C1958" s="15"/>
      <c r="D1958" s="31" t="s">
        <v>17</v>
      </c>
      <c r="E1958" s="32">
        <v>1695</v>
      </c>
      <c r="F1958" s="18">
        <f>E1958* 0.797049581005587</f>
        <v>1350.9990398044699</v>
      </c>
      <c r="G1958" s="18">
        <f>E1958* 0.161662011173184</f>
        <v>274.01710893854687</v>
      </c>
      <c r="H1958" s="18">
        <f>E1958* 0.0410265363128492</f>
        <v>69.539979050279399</v>
      </c>
    </row>
    <row r="1959" spans="1:8" ht="15.75" hidden="1" customHeight="1" x14ac:dyDescent="0.25">
      <c r="A1959" s="15" t="s">
        <v>213</v>
      </c>
      <c r="B1959" s="11" t="s">
        <v>222</v>
      </c>
      <c r="C1959" s="15"/>
      <c r="D1959" s="31" t="s">
        <v>31</v>
      </c>
      <c r="E1959" s="32">
        <v>22</v>
      </c>
      <c r="F1959" s="18">
        <f>E1959* 0.820689655172414</f>
        <v>18.055172413793109</v>
      </c>
      <c r="G1959" s="18">
        <f>E1959* 0.16551724137931</f>
        <v>3.6413793103448202</v>
      </c>
      <c r="H1959" s="18">
        <f>E1959* 0.0137931034482759</f>
        <v>0.30344827586206979</v>
      </c>
    </row>
    <row r="1960" spans="1:8" ht="15.75" hidden="1" customHeight="1" x14ac:dyDescent="0.25">
      <c r="A1960" s="15" t="s">
        <v>213</v>
      </c>
      <c r="B1960" s="11" t="s">
        <v>222</v>
      </c>
      <c r="C1960" s="15"/>
      <c r="D1960" s="31" t="s">
        <v>18</v>
      </c>
      <c r="E1960" s="32">
        <v>354</v>
      </c>
      <c r="F1960" s="18">
        <f>E1960* 0.912233009708738</f>
        <v>322.93048543689326</v>
      </c>
      <c r="G1960" s="18">
        <f>E1960* 0.0811650485436893</f>
        <v>28.732427184466015</v>
      </c>
      <c r="H1960" s="18">
        <f>E1960* 0.00660194174757282</f>
        <v>2.3370873786407782</v>
      </c>
    </row>
    <row r="1961" spans="1:8" ht="15.75" hidden="1" customHeight="1" x14ac:dyDescent="0.25">
      <c r="A1961" s="15" t="s">
        <v>213</v>
      </c>
      <c r="B1961" s="11" t="s">
        <v>222</v>
      </c>
      <c r="C1961" s="15"/>
      <c r="D1961" s="31" t="s">
        <v>19</v>
      </c>
      <c r="E1961" s="32">
        <v>318</v>
      </c>
      <c r="F1961" s="18">
        <f>E1961* 0.0264765784114053</f>
        <v>8.4195519348268846</v>
      </c>
      <c r="G1961" s="18">
        <f>E1961* 0.970807875084861</f>
        <v>308.71690427698582</v>
      </c>
      <c r="H1961" s="18">
        <f>E1961* 0.00271554650373388</f>
        <v>0.86354378818737376</v>
      </c>
    </row>
    <row r="1962" spans="1:8" ht="15.75" hidden="1" customHeight="1" x14ac:dyDescent="0.25">
      <c r="A1962" s="15" t="s">
        <v>213</v>
      </c>
      <c r="B1962" s="11" t="s">
        <v>222</v>
      </c>
      <c r="C1962" s="15"/>
      <c r="D1962" s="31" t="s">
        <v>20</v>
      </c>
      <c r="E1962" s="32">
        <v>126</v>
      </c>
      <c r="F1962" s="18">
        <f>E1962* 0.657913931436907</f>
        <v>82.897155361050281</v>
      </c>
      <c r="G1962" s="18">
        <f>E1962* 0.284463894967177</f>
        <v>35.842450765864299</v>
      </c>
      <c r="H1962" s="18">
        <f>E1962* 0.0576221735959154</f>
        <v>7.2603938730853406</v>
      </c>
    </row>
    <row r="1963" spans="1:8" ht="15.75" hidden="1" customHeight="1" x14ac:dyDescent="0.25">
      <c r="A1963" s="15" t="s">
        <v>213</v>
      </c>
      <c r="B1963" s="11" t="s">
        <v>222</v>
      </c>
      <c r="C1963" s="15"/>
      <c r="D1963" s="31" t="s">
        <v>21</v>
      </c>
      <c r="E1963" s="32">
        <v>2824</v>
      </c>
      <c r="F1963" s="18">
        <f>E1963* 0.999266575396049</f>
        <v>2821.9288089184424</v>
      </c>
      <c r="G1963" s="18">
        <f>E1963* 0.0000488949735967143</f>
        <v>0.13807940543712119</v>
      </c>
      <c r="H1963" s="18">
        <f>E1963* 0.000684529630354</f>
        <v>1.933111676119696</v>
      </c>
    </row>
    <row r="1964" spans="1:8" ht="15.75" hidden="1" customHeight="1" x14ac:dyDescent="0.25">
      <c r="A1964" s="15" t="s">
        <v>213</v>
      </c>
      <c r="B1964" s="11" t="s">
        <v>222</v>
      </c>
      <c r="C1964" s="15"/>
      <c r="D1964" s="31" t="s">
        <v>36</v>
      </c>
      <c r="E1964" s="32">
        <v>46</v>
      </c>
      <c r="F1964" s="18">
        <f>E1964* 0.973154362416107</f>
        <v>44.765100671140921</v>
      </c>
      <c r="G1964" s="20">
        <v>0</v>
      </c>
      <c r="H1964" s="18">
        <f>E1964* 0.0268456375838926</f>
        <v>1.2348993288590595</v>
      </c>
    </row>
    <row r="1965" spans="1:8" ht="15.75" hidden="1" customHeight="1" x14ac:dyDescent="0.25">
      <c r="A1965" s="15" t="s">
        <v>213</v>
      </c>
      <c r="B1965" s="11" t="s">
        <v>222</v>
      </c>
      <c r="C1965" s="15"/>
      <c r="D1965" s="31" t="s">
        <v>28</v>
      </c>
      <c r="E1965" s="32">
        <v>134</v>
      </c>
      <c r="F1965" s="18">
        <f>E1965* 0.00128865979381443</f>
        <v>0.1726804123711336</v>
      </c>
      <c r="G1965" s="18">
        <f>E1965* 0.998711340206186</f>
        <v>133.82731958762892</v>
      </c>
      <c r="H1965" s="20">
        <v>0</v>
      </c>
    </row>
    <row r="1966" spans="1:8" ht="15.75" hidden="1" customHeight="1" x14ac:dyDescent="0.25">
      <c r="A1966" s="15" t="s">
        <v>213</v>
      </c>
      <c r="B1966" s="11" t="s">
        <v>222</v>
      </c>
      <c r="C1966" s="15"/>
      <c r="D1966" s="31" t="s">
        <v>12</v>
      </c>
      <c r="E1966" s="32">
        <v>5790</v>
      </c>
      <c r="F1966" s="18">
        <f>E1966* 0.858755020080321</f>
        <v>4972.191566265059</v>
      </c>
      <c r="G1966" s="18">
        <f>E1966* 0.104016064257028</f>
        <v>602.25301204819209</v>
      </c>
      <c r="H1966" s="18">
        <f>E1966* 0.0372289156626506</f>
        <v>215.555421686747</v>
      </c>
    </row>
    <row r="1967" spans="1:8" ht="15.75" hidden="1" customHeight="1" x14ac:dyDescent="0.25">
      <c r="A1967" s="15" t="s">
        <v>213</v>
      </c>
      <c r="B1967" s="33"/>
      <c r="C1967" s="33"/>
      <c r="D1967" s="34"/>
      <c r="E1967" s="35"/>
    </row>
    <row r="1968" spans="1:8" ht="15.75" hidden="1" customHeight="1" x14ac:dyDescent="0.25">
      <c r="A1968" s="15" t="s">
        <v>213</v>
      </c>
      <c r="B1968" s="11" t="s">
        <v>223</v>
      </c>
      <c r="C1968" s="12" t="str">
        <f>B1968&amp;"_"&amp;A1968</f>
        <v>Yunchará_Tarija</v>
      </c>
      <c r="E1968" s="22">
        <v>11</v>
      </c>
      <c r="F1968" s="14">
        <f t="shared" ref="F1968:H1968" si="182">SUM(F1969:F1978)</f>
        <v>6.7886022916973605</v>
      </c>
      <c r="G1968" s="14">
        <f t="shared" si="182"/>
        <v>3.9167756708779025</v>
      </c>
      <c r="H1968" s="14">
        <f t="shared" si="182"/>
        <v>0.29127550515968548</v>
      </c>
    </row>
    <row r="1969" spans="1:8" ht="15.75" hidden="1" customHeight="1" x14ac:dyDescent="0.25">
      <c r="A1969" s="15" t="s">
        <v>213</v>
      </c>
      <c r="B1969" s="11" t="s">
        <v>223</v>
      </c>
      <c r="C1969" s="15"/>
      <c r="D1969" s="31" t="s">
        <v>53</v>
      </c>
      <c r="E1969" s="32">
        <v>0</v>
      </c>
      <c r="F1969" s="20">
        <v>0</v>
      </c>
      <c r="G1969" s="24">
        <f>E1969</f>
        <v>0</v>
      </c>
      <c r="H1969" s="20">
        <v>0</v>
      </c>
    </row>
    <row r="1970" spans="1:8" ht="15.75" hidden="1" customHeight="1" x14ac:dyDescent="0.25">
      <c r="A1970" s="15" t="s">
        <v>213</v>
      </c>
      <c r="B1970" s="11" t="s">
        <v>223</v>
      </c>
      <c r="C1970" s="15"/>
      <c r="D1970" s="31" t="s">
        <v>16</v>
      </c>
      <c r="E1970" s="32">
        <v>0</v>
      </c>
      <c r="F1970" s="18">
        <f>E1970* 0.0288065843621399</f>
        <v>0</v>
      </c>
      <c r="G1970" s="18">
        <f>E1970* 0.967078189300412</f>
        <v>0</v>
      </c>
      <c r="H1970" s="18">
        <f>E1970* 0.00411522633744856</f>
        <v>0</v>
      </c>
    </row>
    <row r="1971" spans="1:8" ht="15.75" hidden="1" customHeight="1" x14ac:dyDescent="0.25">
      <c r="A1971" s="15" t="s">
        <v>213</v>
      </c>
      <c r="B1971" s="11" t="s">
        <v>223</v>
      </c>
      <c r="C1971" s="15"/>
      <c r="D1971" s="31" t="s">
        <v>11</v>
      </c>
      <c r="E1971" s="32">
        <v>3</v>
      </c>
      <c r="F1971" s="18">
        <f>E1971* 0.069996216420734</f>
        <v>0.20998864926220201</v>
      </c>
      <c r="G1971" s="18">
        <f>E1971* 0.928364232564006</f>
        <v>2.7850926976920181</v>
      </c>
      <c r="H1971" s="18">
        <f>E1971* 0.00113507377979569</f>
        <v>3.4052213393870696E-3</v>
      </c>
    </row>
    <row r="1972" spans="1:8" ht="15.75" hidden="1" customHeight="1" x14ac:dyDescent="0.25">
      <c r="A1972" s="15" t="s">
        <v>213</v>
      </c>
      <c r="B1972" s="11" t="s">
        <v>223</v>
      </c>
      <c r="C1972" s="15"/>
      <c r="D1972" s="31" t="s">
        <v>17</v>
      </c>
      <c r="E1972" s="32">
        <v>7</v>
      </c>
      <c r="F1972" s="18">
        <f>E1972* 0.797049581005587</f>
        <v>5.5793470670391088</v>
      </c>
      <c r="G1972" s="18">
        <f>E1972* 0.161662011173184</f>
        <v>1.131634078212288</v>
      </c>
      <c r="H1972" s="18">
        <f>E1972* 0.0410265363128492</f>
        <v>0.28718575418994441</v>
      </c>
    </row>
    <row r="1973" spans="1:8" ht="15.75" hidden="1" customHeight="1" x14ac:dyDescent="0.25">
      <c r="A1973" s="15" t="s">
        <v>213</v>
      </c>
      <c r="B1973" s="11" t="s">
        <v>223</v>
      </c>
      <c r="C1973" s="15"/>
      <c r="D1973" s="31" t="s">
        <v>18</v>
      </c>
      <c r="E1973" s="32">
        <v>0</v>
      </c>
      <c r="F1973" s="18">
        <f>E1973* 0.912233009708738</f>
        <v>0</v>
      </c>
      <c r="G1973" s="18">
        <f>E1973* 0.0811650485436893</f>
        <v>0</v>
      </c>
      <c r="H1973" s="18">
        <f>E1973* 0.00660194174757282</f>
        <v>0</v>
      </c>
    </row>
    <row r="1974" spans="1:8" ht="15.75" hidden="1" customHeight="1" x14ac:dyDescent="0.25">
      <c r="A1974" s="15" t="s">
        <v>213</v>
      </c>
      <c r="B1974" s="11" t="s">
        <v>223</v>
      </c>
      <c r="C1974" s="15"/>
      <c r="D1974" s="31" t="s">
        <v>19</v>
      </c>
      <c r="E1974" s="32">
        <v>0</v>
      </c>
      <c r="F1974" s="18">
        <f>E1974* 0.0264765784114053</f>
        <v>0</v>
      </c>
      <c r="G1974" s="18">
        <f>E1974* 0.970807875084861</f>
        <v>0</v>
      </c>
      <c r="H1974" s="18">
        <f>E1974* 0.00271554650373388</f>
        <v>0</v>
      </c>
    </row>
    <row r="1975" spans="1:8" ht="15.75" hidden="1" customHeight="1" x14ac:dyDescent="0.25">
      <c r="A1975" s="15" t="s">
        <v>213</v>
      </c>
      <c r="B1975" s="11" t="s">
        <v>223</v>
      </c>
      <c r="C1975" s="15"/>
      <c r="D1975" s="31" t="s">
        <v>20</v>
      </c>
      <c r="E1975" s="32">
        <v>0</v>
      </c>
      <c r="F1975" s="18">
        <f>E1975* 0.657913931436907</f>
        <v>0</v>
      </c>
      <c r="G1975" s="18">
        <f>E1975* 0.284463894967177</f>
        <v>0</v>
      </c>
      <c r="H1975" s="18">
        <f>E1975* 0.0576221735959154</f>
        <v>0</v>
      </c>
    </row>
    <row r="1976" spans="1:8" ht="15.75" hidden="1" customHeight="1" x14ac:dyDescent="0.25">
      <c r="A1976" s="15" t="s">
        <v>213</v>
      </c>
      <c r="B1976" s="11" t="s">
        <v>223</v>
      </c>
      <c r="C1976" s="15"/>
      <c r="D1976" s="31" t="s">
        <v>21</v>
      </c>
      <c r="E1976" s="32">
        <v>1</v>
      </c>
      <c r="F1976" s="18">
        <f>E1976* 0.999266575396049</f>
        <v>0.99926657539604902</v>
      </c>
      <c r="G1976" s="18">
        <f>E1976* 0.0000488949735967143</f>
        <v>4.8894973596714299E-5</v>
      </c>
      <c r="H1976" s="18">
        <f>E1976* 0.000684529630354</f>
        <v>6.8452963035400003E-4</v>
      </c>
    </row>
    <row r="1977" spans="1:8" ht="15.75" hidden="1" customHeight="1" x14ac:dyDescent="0.25">
      <c r="A1977" s="15" t="s">
        <v>213</v>
      </c>
      <c r="B1977" s="11" t="s">
        <v>223</v>
      </c>
      <c r="C1977" s="15"/>
      <c r="D1977" s="31" t="s">
        <v>28</v>
      </c>
      <c r="E1977" s="32">
        <v>0</v>
      </c>
      <c r="F1977" s="18">
        <f>E1977* 0.00128865979381443</f>
        <v>0</v>
      </c>
      <c r="G1977" s="18">
        <f>E1977* 0.998711340206186</f>
        <v>0</v>
      </c>
      <c r="H1977" s="20">
        <v>0</v>
      </c>
    </row>
    <row r="1978" spans="1:8" ht="15.75" hidden="1" customHeight="1" x14ac:dyDescent="0.25">
      <c r="A1978" s="15" t="s">
        <v>213</v>
      </c>
      <c r="B1978" s="11" t="s">
        <v>223</v>
      </c>
      <c r="C1978" s="15"/>
      <c r="D1978" s="38" t="s">
        <v>12</v>
      </c>
      <c r="E1978" s="39">
        <v>0</v>
      </c>
      <c r="F1978" s="18">
        <f>E1978* 0.858755020080321</f>
        <v>0</v>
      </c>
      <c r="G1978" s="18">
        <f>E1978* 0.104016064257028</f>
        <v>0</v>
      </c>
      <c r="H1978" s="18">
        <f>E1978* 0.0372289156626506</f>
        <v>0</v>
      </c>
    </row>
    <row r="1979" spans="1:8" ht="15.75" hidden="1" customHeight="1" x14ac:dyDescent="0.25">
      <c r="A1979" s="15" t="s">
        <v>224</v>
      </c>
      <c r="B1979" s="11" t="s">
        <v>225</v>
      </c>
      <c r="C1979" s="12" t="str">
        <f>B1979&amp;"_"&amp;A1979</f>
        <v>Asunción de Guarayos_Santa Cruz</v>
      </c>
      <c r="E1979" s="22">
        <v>697</v>
      </c>
      <c r="F1979" s="14">
        <f t="shared" ref="F1979:H1979" si="183">SUM(F1980:F1990)</f>
        <v>663.86538335388639</v>
      </c>
      <c r="G1979" s="14">
        <f t="shared" si="183"/>
        <v>29.388779021473997</v>
      </c>
      <c r="H1979" s="14">
        <f t="shared" si="183"/>
        <v>3.6878462108853345</v>
      </c>
    </row>
    <row r="1980" spans="1:8" ht="15.75" hidden="1" customHeight="1" x14ac:dyDescent="0.25">
      <c r="A1980" s="15" t="s">
        <v>224</v>
      </c>
      <c r="B1980" s="11" t="s">
        <v>225</v>
      </c>
      <c r="C1980" s="15"/>
      <c r="D1980" s="16" t="s">
        <v>14</v>
      </c>
      <c r="E1980" s="23">
        <v>0</v>
      </c>
      <c r="F1980" s="20">
        <v>0</v>
      </c>
      <c r="G1980" s="24">
        <f>E1980</f>
        <v>0</v>
      </c>
      <c r="H1980" s="20">
        <v>0</v>
      </c>
    </row>
    <row r="1981" spans="1:8" ht="15.75" hidden="1" customHeight="1" x14ac:dyDescent="0.25">
      <c r="A1981" s="15" t="s">
        <v>224</v>
      </c>
      <c r="B1981" s="11" t="s">
        <v>225</v>
      </c>
      <c r="C1981" s="15"/>
      <c r="D1981" s="16" t="s">
        <v>15</v>
      </c>
      <c r="E1981" s="23">
        <v>4</v>
      </c>
      <c r="F1981" s="18">
        <f>E1981* 0.932303048052446</f>
        <v>3.7292121922097841</v>
      </c>
      <c r="G1981" s="18">
        <f>E1981* 0.0217058280204555</f>
        <v>8.6823312081821993E-2</v>
      </c>
      <c r="H1981" s="18">
        <f>E1981* 0.0459798598751943</f>
        <v>0.18391943950077719</v>
      </c>
    </row>
    <row r="1982" spans="1:8" ht="15.75" hidden="1" customHeight="1" x14ac:dyDescent="0.25">
      <c r="A1982" s="15" t="s">
        <v>224</v>
      </c>
      <c r="B1982" s="11" t="s">
        <v>225</v>
      </c>
      <c r="C1982" s="15"/>
      <c r="D1982" s="16" t="s">
        <v>11</v>
      </c>
      <c r="E1982" s="23">
        <v>19</v>
      </c>
      <c r="F1982" s="18">
        <f>E1982* 0.083479491676667</f>
        <v>1.5861103418566731</v>
      </c>
      <c r="G1982" s="18">
        <f>E1982* 0.913505030924029</f>
        <v>17.356595587556551</v>
      </c>
      <c r="H1982" s="18">
        <f>E1982* 0.00292316686667282</f>
        <v>5.5540170466783577E-2</v>
      </c>
    </row>
    <row r="1983" spans="1:8" ht="15.75" hidden="1" customHeight="1" x14ac:dyDescent="0.25">
      <c r="A1983" s="15" t="s">
        <v>224</v>
      </c>
      <c r="B1983" s="11" t="s">
        <v>225</v>
      </c>
      <c r="C1983" s="15"/>
      <c r="D1983" s="16" t="s">
        <v>17</v>
      </c>
      <c r="E1983" s="23">
        <v>14</v>
      </c>
      <c r="F1983" s="18">
        <f>E1983* 0.752045572242362</f>
        <v>10.528638011393069</v>
      </c>
      <c r="G1983" s="18">
        <f>E1983* 0.185827723114103</f>
        <v>2.6015881235974421</v>
      </c>
      <c r="H1983" s="18">
        <f>E1983* 0.0620921802175039</f>
        <v>0.86929052304505461</v>
      </c>
    </row>
    <row r="1984" spans="1:8" ht="15.75" hidden="1" customHeight="1" x14ac:dyDescent="0.25">
      <c r="A1984" s="15" t="s">
        <v>224</v>
      </c>
      <c r="B1984" s="11" t="s">
        <v>225</v>
      </c>
      <c r="C1984" s="15"/>
      <c r="D1984" s="16" t="s">
        <v>31</v>
      </c>
      <c r="E1984" s="23">
        <v>1</v>
      </c>
      <c r="F1984" s="18">
        <f>E1984* 0.929131175468484</f>
        <v>0.92913117546848401</v>
      </c>
      <c r="G1984" s="18">
        <f>E1984* 0.0477001703577513</f>
        <v>4.7700170357751301E-2</v>
      </c>
      <c r="H1984" s="18">
        <f>E1984* 0.0231686541737649</f>
        <v>2.3168654173764899E-2</v>
      </c>
    </row>
    <row r="1985" spans="1:8" ht="15.75" hidden="1" customHeight="1" x14ac:dyDescent="0.25">
      <c r="A1985" s="15" t="s">
        <v>224</v>
      </c>
      <c r="B1985" s="11" t="s">
        <v>225</v>
      </c>
      <c r="C1985" s="15"/>
      <c r="D1985" s="16" t="s">
        <v>18</v>
      </c>
      <c r="E1985" s="23">
        <v>2</v>
      </c>
      <c r="F1985" s="18">
        <f>E1985* 0.893702527830246</f>
        <v>1.7874050556604919</v>
      </c>
      <c r="G1985" s="18">
        <f>E1985* 0.0946831169875015</f>
        <v>0.18936623397500299</v>
      </c>
      <c r="H1985" s="18">
        <f>E1985* 0.0116143551822529</f>
        <v>2.32287103645058E-2</v>
      </c>
    </row>
    <row r="1986" spans="1:8" ht="15.75" hidden="1" customHeight="1" x14ac:dyDescent="0.25">
      <c r="A1986" s="15" t="s">
        <v>224</v>
      </c>
      <c r="B1986" s="11" t="s">
        <v>225</v>
      </c>
      <c r="C1986" s="15"/>
      <c r="D1986" s="16" t="s">
        <v>20</v>
      </c>
      <c r="E1986" s="23">
        <v>3</v>
      </c>
      <c r="F1986" s="18">
        <f>E1986* 0.734251968503937</f>
        <v>2.2027559055118111</v>
      </c>
      <c r="G1986" s="18">
        <f>E1986* 0.158017179670723</f>
        <v>0.47405153901216901</v>
      </c>
      <c r="H1986" s="18">
        <f>E1986* 0.107551896921976</f>
        <v>0.32265569076592804</v>
      </c>
    </row>
    <row r="1987" spans="1:8" ht="15.75" hidden="1" customHeight="1" x14ac:dyDescent="0.25">
      <c r="A1987" s="15" t="s">
        <v>224</v>
      </c>
      <c r="B1987" s="11" t="s">
        <v>225</v>
      </c>
      <c r="C1987" s="15"/>
      <c r="D1987" s="16" t="s">
        <v>21</v>
      </c>
      <c r="E1987" s="23">
        <v>617</v>
      </c>
      <c r="F1987" s="18">
        <f>E1987* 0.999727092353423</f>
        <v>616.83161598206198</v>
      </c>
      <c r="G1987" s="18">
        <f>E1987* 0.0000516311763794744</f>
        <v>3.1856435826135704E-2</v>
      </c>
      <c r="H1987" s="18">
        <f>E1987* 0.000132765882118648</f>
        <v>8.1916549267205818E-2</v>
      </c>
    </row>
    <row r="1988" spans="1:8" ht="15.75" hidden="1" customHeight="1" x14ac:dyDescent="0.25">
      <c r="A1988" s="15" t="s">
        <v>224</v>
      </c>
      <c r="B1988" s="11" t="s">
        <v>225</v>
      </c>
      <c r="C1988" s="15"/>
      <c r="D1988" s="16" t="s">
        <v>36</v>
      </c>
      <c r="E1988" s="23">
        <v>3</v>
      </c>
      <c r="F1988" s="18">
        <f>E1988* 0.995894428152493</f>
        <v>2.987683284457479</v>
      </c>
      <c r="G1988" s="18">
        <f>E1988* 0.000586510263929619</f>
        <v>1.759530791788857E-3</v>
      </c>
      <c r="H1988" s="18">
        <f>E1988* 0.00351906158357771</f>
        <v>1.0557184750733129E-2</v>
      </c>
    </row>
    <row r="1989" spans="1:8" ht="15.75" hidden="1" customHeight="1" x14ac:dyDescent="0.25">
      <c r="A1989" s="15" t="s">
        <v>224</v>
      </c>
      <c r="B1989" s="11" t="s">
        <v>225</v>
      </c>
      <c r="C1989" s="15"/>
      <c r="D1989" s="16" t="s">
        <v>28</v>
      </c>
      <c r="E1989" s="23">
        <v>5</v>
      </c>
      <c r="F1989" s="18">
        <f>E1989* 0.00302222222222222</f>
        <v>1.5111111111111099E-2</v>
      </c>
      <c r="G1989" s="18">
        <f>E1989* 0.996622222222222</f>
        <v>4.9831111111111097</v>
      </c>
      <c r="H1989" s="18">
        <f>E1989* 0.000355555555555556</f>
        <v>1.77777777777778E-3</v>
      </c>
    </row>
    <row r="1990" spans="1:8" ht="15.75" hidden="1" customHeight="1" x14ac:dyDescent="0.25">
      <c r="A1990" s="15" t="s">
        <v>224</v>
      </c>
      <c r="B1990" s="11" t="s">
        <v>225</v>
      </c>
      <c r="C1990" s="15"/>
      <c r="D1990" s="16" t="s">
        <v>12</v>
      </c>
      <c r="E1990" s="23">
        <v>29</v>
      </c>
      <c r="F1990" s="18">
        <f>E1990* 0.802335182557089</f>
        <v>23.267720294155581</v>
      </c>
      <c r="G1990" s="18">
        <f>E1990* 0.124687137143594</f>
        <v>3.615926977164226</v>
      </c>
      <c r="H1990" s="18">
        <f>E1990* 0.0729583279576829</f>
        <v>2.1157915107728038</v>
      </c>
    </row>
    <row r="1991" spans="1:8" ht="15.75" hidden="1" customHeight="1" x14ac:dyDescent="0.25">
      <c r="A1991" s="15" t="s">
        <v>224</v>
      </c>
      <c r="B1991" s="21"/>
      <c r="C1991" s="21"/>
      <c r="D1991" s="16"/>
      <c r="E1991" s="29"/>
    </row>
    <row r="1992" spans="1:8" ht="15.75" hidden="1" customHeight="1" x14ac:dyDescent="0.25">
      <c r="A1992" s="15" t="s">
        <v>224</v>
      </c>
      <c r="B1992" s="11" t="s">
        <v>226</v>
      </c>
      <c r="C1992" s="12" t="str">
        <f>B1992&amp;"_"&amp;A1992</f>
        <v>Boyuibe_Santa Cruz</v>
      </c>
      <c r="E1992" s="22">
        <v>0</v>
      </c>
      <c r="F1992" s="14">
        <v>0</v>
      </c>
      <c r="G1992" s="14">
        <v>0</v>
      </c>
      <c r="H1992" s="14">
        <v>0</v>
      </c>
    </row>
    <row r="1993" spans="1:8" ht="15.75" hidden="1" customHeight="1" x14ac:dyDescent="0.25">
      <c r="A1993" s="15" t="s">
        <v>224</v>
      </c>
      <c r="B1993" s="11" t="s">
        <v>226</v>
      </c>
      <c r="C1993" s="15"/>
      <c r="D1993" s="16" t="s">
        <v>21</v>
      </c>
      <c r="E1993" s="23">
        <v>0</v>
      </c>
      <c r="F1993" s="18">
        <f>E1993* 0.999727092353423</f>
        <v>0</v>
      </c>
      <c r="G1993" s="18">
        <f>E1993* 0.0000516311763794744</f>
        <v>0</v>
      </c>
      <c r="H1993" s="18">
        <f>E1993* 0.000132765882118648</f>
        <v>0</v>
      </c>
    </row>
    <row r="1994" spans="1:8" ht="15.75" hidden="1" customHeight="1" x14ac:dyDescent="0.25">
      <c r="A1994" s="15" t="s">
        <v>224</v>
      </c>
      <c r="B1994" s="21"/>
      <c r="C1994" s="21"/>
      <c r="D1994" s="16"/>
      <c r="E1994" s="29"/>
    </row>
    <row r="1995" spans="1:8" ht="15.75" hidden="1" customHeight="1" x14ac:dyDescent="0.25">
      <c r="A1995" s="15" t="s">
        <v>224</v>
      </c>
      <c r="B1995" s="11" t="s">
        <v>227</v>
      </c>
      <c r="C1995" s="12" t="str">
        <f>B1995&amp;"_"&amp;A1995</f>
        <v>Buena Vista_Santa Cruz</v>
      </c>
      <c r="E1995" s="22">
        <v>143</v>
      </c>
      <c r="F1995" s="14">
        <f t="shared" ref="F1995:H1995" si="184">SUM(F1996:F2006)</f>
        <v>109.62226573881988</v>
      </c>
      <c r="G1995" s="14">
        <f t="shared" si="184"/>
        <v>30.150595892460263</v>
      </c>
      <c r="H1995" s="14">
        <f t="shared" si="184"/>
        <v>3.217831921912981</v>
      </c>
    </row>
    <row r="1996" spans="1:8" ht="15.75" hidden="1" customHeight="1" x14ac:dyDescent="0.25">
      <c r="A1996" s="15" t="s">
        <v>224</v>
      </c>
      <c r="B1996" s="11" t="s">
        <v>227</v>
      </c>
      <c r="C1996" s="15"/>
      <c r="D1996" s="16" t="s">
        <v>14</v>
      </c>
      <c r="E1996" s="23">
        <v>0</v>
      </c>
      <c r="F1996" s="20">
        <v>0</v>
      </c>
      <c r="G1996" s="24">
        <f>E1996</f>
        <v>0</v>
      </c>
      <c r="H1996" s="20">
        <v>0</v>
      </c>
    </row>
    <row r="1997" spans="1:8" ht="15.75" hidden="1" customHeight="1" x14ac:dyDescent="0.25">
      <c r="A1997" s="15" t="s">
        <v>224</v>
      </c>
      <c r="B1997" s="11" t="s">
        <v>227</v>
      </c>
      <c r="C1997" s="15"/>
      <c r="D1997" s="16" t="s">
        <v>15</v>
      </c>
      <c r="E1997" s="23">
        <v>1</v>
      </c>
      <c r="F1997" s="18">
        <f>E1997* 0.932303048052446</f>
        <v>0.93230304805244602</v>
      </c>
      <c r="G1997" s="18">
        <f>E1997* 0.0217058280204555</f>
        <v>2.1705828020455498E-2</v>
      </c>
      <c r="H1997" s="18">
        <f>E1997* 0.0459798598751943</f>
        <v>4.5979859875194297E-2</v>
      </c>
    </row>
    <row r="1998" spans="1:8" ht="15.75" hidden="1" customHeight="1" x14ac:dyDescent="0.25">
      <c r="A1998" s="15" t="s">
        <v>224</v>
      </c>
      <c r="B1998" s="11" t="s">
        <v>227</v>
      </c>
      <c r="C1998" s="15"/>
      <c r="D1998" s="16" t="s">
        <v>16</v>
      </c>
      <c r="E1998" s="23">
        <v>0</v>
      </c>
      <c r="F1998" s="18">
        <f>E1998* 0.293894936109797</f>
        <v>0</v>
      </c>
      <c r="G1998" s="18">
        <f>E1998* 0.663038334122101</f>
        <v>0</v>
      </c>
      <c r="H1998" s="18">
        <f>E1998* 0.0430667297681022</f>
        <v>0</v>
      </c>
    </row>
    <row r="1999" spans="1:8" ht="15.75" hidden="1" customHeight="1" x14ac:dyDescent="0.25">
      <c r="A1999" s="15" t="s">
        <v>224</v>
      </c>
      <c r="B1999" s="11" t="s">
        <v>227</v>
      </c>
      <c r="C1999" s="15"/>
      <c r="D1999" s="16" t="s">
        <v>11</v>
      </c>
      <c r="E1999" s="23">
        <v>25</v>
      </c>
      <c r="F1999" s="18">
        <f>E1999* 0.083479491676667</f>
        <v>2.086987291916675</v>
      </c>
      <c r="G1999" s="18">
        <f>E1999* 0.913505030924029</f>
        <v>22.837625773100726</v>
      </c>
      <c r="H1999" s="18">
        <f>E1999* 0.00292316686667282</f>
        <v>7.30791716668205E-2</v>
      </c>
    </row>
    <row r="2000" spans="1:8" ht="15.75" hidden="1" customHeight="1" x14ac:dyDescent="0.25">
      <c r="A2000" s="15" t="s">
        <v>224</v>
      </c>
      <c r="B2000" s="11" t="s">
        <v>227</v>
      </c>
      <c r="C2000" s="15"/>
      <c r="D2000" s="16" t="s">
        <v>17</v>
      </c>
      <c r="E2000" s="23">
        <v>9</v>
      </c>
      <c r="F2000" s="18">
        <f>E2000* 0.752045572242362</f>
        <v>6.7684101501812579</v>
      </c>
      <c r="G2000" s="18">
        <f>E2000* 0.185827723114103</f>
        <v>1.672449508026927</v>
      </c>
      <c r="H2000" s="18">
        <f>E2000* 0.0620921802175039</f>
        <v>0.55882962195753505</v>
      </c>
    </row>
    <row r="2001" spans="1:8" ht="15.75" hidden="1" customHeight="1" x14ac:dyDescent="0.25">
      <c r="A2001" s="15" t="s">
        <v>224</v>
      </c>
      <c r="B2001" s="11" t="s">
        <v>227</v>
      </c>
      <c r="C2001" s="15"/>
      <c r="D2001" s="16" t="s">
        <v>31</v>
      </c>
      <c r="E2001" s="23">
        <v>0</v>
      </c>
      <c r="F2001" s="18">
        <f>E2001* 0.929131175468484</f>
        <v>0</v>
      </c>
      <c r="G2001" s="18">
        <f>E2001* 0.0477001703577513</f>
        <v>0</v>
      </c>
      <c r="H2001" s="18">
        <f>E2001* 0.0231686541737649</f>
        <v>0</v>
      </c>
    </row>
    <row r="2002" spans="1:8" ht="15.75" hidden="1" customHeight="1" x14ac:dyDescent="0.25">
      <c r="A2002" s="15" t="s">
        <v>224</v>
      </c>
      <c r="B2002" s="11" t="s">
        <v>227</v>
      </c>
      <c r="C2002" s="15"/>
      <c r="D2002" s="16" t="s">
        <v>18</v>
      </c>
      <c r="E2002" s="23">
        <v>4</v>
      </c>
      <c r="F2002" s="18">
        <f>E2002* 0.893702527830246</f>
        <v>3.5748101113209838</v>
      </c>
      <c r="G2002" s="18">
        <f>E2002* 0.0946831169875015</f>
        <v>0.37873246795000598</v>
      </c>
      <c r="H2002" s="18">
        <f>E2002* 0.0116143551822529</f>
        <v>4.64574207290116E-2</v>
      </c>
    </row>
    <row r="2003" spans="1:8" ht="15.75" hidden="1" customHeight="1" x14ac:dyDescent="0.25">
      <c r="A2003" s="15" t="s">
        <v>224</v>
      </c>
      <c r="B2003" s="11" t="s">
        <v>227</v>
      </c>
      <c r="C2003" s="15"/>
      <c r="D2003" s="16" t="s">
        <v>21</v>
      </c>
      <c r="E2003" s="23">
        <v>68</v>
      </c>
      <c r="F2003" s="18">
        <f>E2003* 0.999727092353423</f>
        <v>67.981442280032766</v>
      </c>
      <c r="G2003" s="18">
        <f>E2003* 0.0000516311763794744</f>
        <v>3.5109199938042593E-3</v>
      </c>
      <c r="H2003" s="18">
        <f>E2003* 0.000132765882118648</f>
        <v>9.0280799840680645E-3</v>
      </c>
    </row>
    <row r="2004" spans="1:8" ht="15.75" hidden="1" customHeight="1" x14ac:dyDescent="0.25">
      <c r="A2004" s="15" t="s">
        <v>224</v>
      </c>
      <c r="B2004" s="11" t="s">
        <v>227</v>
      </c>
      <c r="C2004" s="15"/>
      <c r="D2004" s="16" t="s">
        <v>36</v>
      </c>
      <c r="E2004" s="23">
        <v>1</v>
      </c>
      <c r="F2004" s="18">
        <f>E2004* 0.995894428152493</f>
        <v>0.99589442815249296</v>
      </c>
      <c r="G2004" s="18">
        <f>E2004* 0.000586510263929619</f>
        <v>5.8651026392961898E-4</v>
      </c>
      <c r="H2004" s="18">
        <f>E2004* 0.00351906158357771</f>
        <v>3.51906158357771E-3</v>
      </c>
    </row>
    <row r="2005" spans="1:8" ht="15.75" hidden="1" customHeight="1" x14ac:dyDescent="0.25">
      <c r="A2005" s="15" t="s">
        <v>224</v>
      </c>
      <c r="B2005" s="11" t="s">
        <v>227</v>
      </c>
      <c r="C2005" s="15"/>
      <c r="D2005" s="16" t="s">
        <v>28</v>
      </c>
      <c r="E2005" s="23">
        <v>1</v>
      </c>
      <c r="F2005" s="18">
        <f>E2005* 0.00302222222222222</f>
        <v>3.02222222222222E-3</v>
      </c>
      <c r="G2005" s="18">
        <f>E2005* 0.996622222222222</f>
        <v>0.99662222222222197</v>
      </c>
      <c r="H2005" s="18">
        <f>E2005* 0.000355555555555556</f>
        <v>3.5555555555555601E-4</v>
      </c>
    </row>
    <row r="2006" spans="1:8" ht="15.75" hidden="1" customHeight="1" x14ac:dyDescent="0.25">
      <c r="A2006" s="15" t="s">
        <v>224</v>
      </c>
      <c r="B2006" s="11" t="s">
        <v>227</v>
      </c>
      <c r="C2006" s="15"/>
      <c r="D2006" s="16" t="s">
        <v>12</v>
      </c>
      <c r="E2006" s="23">
        <v>34</v>
      </c>
      <c r="F2006" s="18">
        <f>E2006* 0.802335182557089</f>
        <v>27.279396206941026</v>
      </c>
      <c r="G2006" s="18">
        <f>E2006* 0.124687137143594</f>
        <v>4.2393626628821961</v>
      </c>
      <c r="H2006" s="18">
        <f>E2006* 0.0729583279576829</f>
        <v>2.4805831505612184</v>
      </c>
    </row>
    <row r="2007" spans="1:8" ht="15.75" hidden="1" customHeight="1" x14ac:dyDescent="0.25">
      <c r="A2007" s="15" t="s">
        <v>224</v>
      </c>
      <c r="B2007" s="8"/>
      <c r="C2007" s="8"/>
      <c r="D2007" s="9"/>
      <c r="E2007" s="29"/>
    </row>
    <row r="2008" spans="1:8" ht="15.75" hidden="1" customHeight="1" x14ac:dyDescent="0.25">
      <c r="A2008" s="15" t="s">
        <v>224</v>
      </c>
      <c r="B2008" s="11" t="s">
        <v>228</v>
      </c>
      <c r="C2008" s="12" t="str">
        <f>B2008&amp;"_"&amp;A2008</f>
        <v>Cabezas_Santa Cruz</v>
      </c>
      <c r="E2008" s="22">
        <v>615</v>
      </c>
      <c r="F2008" s="14">
        <f t="shared" ref="F2008:H2008" si="185">SUM(F2009:F2021)</f>
        <v>582.31310108621835</v>
      </c>
      <c r="G2008" s="14">
        <f t="shared" si="185"/>
        <v>25.241526582016789</v>
      </c>
      <c r="H2008" s="14">
        <f t="shared" si="185"/>
        <v>7.3979312502923849</v>
      </c>
    </row>
    <row r="2009" spans="1:8" ht="15.75" hidden="1" customHeight="1" x14ac:dyDescent="0.25">
      <c r="A2009" s="15" t="s">
        <v>224</v>
      </c>
      <c r="B2009" s="11" t="s">
        <v>228</v>
      </c>
      <c r="C2009" s="15"/>
      <c r="D2009" s="16" t="s">
        <v>14</v>
      </c>
      <c r="E2009" s="23">
        <v>0</v>
      </c>
      <c r="F2009" s="20">
        <v>0</v>
      </c>
      <c r="G2009" s="24">
        <f>E2009</f>
        <v>0</v>
      </c>
      <c r="H2009" s="20">
        <v>0</v>
      </c>
    </row>
    <row r="2010" spans="1:8" ht="15.75" hidden="1" customHeight="1" x14ac:dyDescent="0.25">
      <c r="A2010" s="15" t="s">
        <v>224</v>
      </c>
      <c r="B2010" s="11" t="s">
        <v>228</v>
      </c>
      <c r="C2010" s="15"/>
      <c r="D2010" s="16" t="s">
        <v>15</v>
      </c>
      <c r="E2010" s="23">
        <v>6</v>
      </c>
      <c r="F2010" s="18">
        <f>E2010* 0.932303048052446</f>
        <v>5.5938182883146759</v>
      </c>
      <c r="G2010" s="18">
        <f>E2010* 0.0217058280204555</f>
        <v>0.130234968122733</v>
      </c>
      <c r="H2010" s="18">
        <f>E2010* 0.0459798598751943</f>
        <v>0.2758791592511658</v>
      </c>
    </row>
    <row r="2011" spans="1:8" ht="15.75" hidden="1" customHeight="1" x14ac:dyDescent="0.25">
      <c r="A2011" s="15" t="s">
        <v>224</v>
      </c>
      <c r="B2011" s="11" t="s">
        <v>228</v>
      </c>
      <c r="C2011" s="15"/>
      <c r="D2011" s="16" t="s">
        <v>16</v>
      </c>
      <c r="E2011" s="23">
        <v>2</v>
      </c>
      <c r="F2011" s="18">
        <f>E2011* 0.293894936109797</f>
        <v>0.587789872219594</v>
      </c>
      <c r="G2011" s="18">
        <f>E2011* 0.663038334122101</f>
        <v>1.326076668244202</v>
      </c>
      <c r="H2011" s="18">
        <f>E2011* 0.0430667297681022</f>
        <v>8.6133459536204396E-2</v>
      </c>
    </row>
    <row r="2012" spans="1:8" ht="15.75" hidden="1" customHeight="1" x14ac:dyDescent="0.25">
      <c r="A2012" s="15" t="s">
        <v>224</v>
      </c>
      <c r="B2012" s="11" t="s">
        <v>228</v>
      </c>
      <c r="C2012" s="15"/>
      <c r="D2012" s="16" t="s">
        <v>11</v>
      </c>
      <c r="E2012" s="23">
        <v>11</v>
      </c>
      <c r="F2012" s="18">
        <f>E2012* 0.083479491676667</f>
        <v>0.91827440844333708</v>
      </c>
      <c r="G2012" s="18">
        <f>E2012* 0.913505030924029</f>
        <v>10.048555340164318</v>
      </c>
      <c r="H2012" s="18">
        <f>E2012* 0.00292316686667282</f>
        <v>3.2154835533401017E-2</v>
      </c>
    </row>
    <row r="2013" spans="1:8" ht="15.75" hidden="1" customHeight="1" x14ac:dyDescent="0.25">
      <c r="A2013" s="15" t="s">
        <v>224</v>
      </c>
      <c r="B2013" s="11" t="s">
        <v>228</v>
      </c>
      <c r="C2013" s="15"/>
      <c r="D2013" s="16" t="s">
        <v>17</v>
      </c>
      <c r="E2013" s="23">
        <v>23</v>
      </c>
      <c r="F2013" s="18">
        <f>E2013* 0.752045572242362</f>
        <v>17.297048161574327</v>
      </c>
      <c r="G2013" s="18">
        <f>E2013* 0.185827723114103</f>
        <v>4.2740376316243687</v>
      </c>
      <c r="H2013" s="18">
        <f>E2013* 0.0620921802175039</f>
        <v>1.4281201450025898</v>
      </c>
    </row>
    <row r="2014" spans="1:8" ht="15.75" hidden="1" customHeight="1" x14ac:dyDescent="0.25">
      <c r="A2014" s="15" t="s">
        <v>224</v>
      </c>
      <c r="B2014" s="11" t="s">
        <v>228</v>
      </c>
      <c r="C2014" s="15"/>
      <c r="D2014" s="16" t="s">
        <v>31</v>
      </c>
      <c r="E2014" s="23">
        <v>1</v>
      </c>
      <c r="F2014" s="18">
        <f>E2014* 0.929131175468484</f>
        <v>0.92913117546848401</v>
      </c>
      <c r="G2014" s="18">
        <f>E2014* 0.0477001703577513</f>
        <v>4.7700170357751301E-2</v>
      </c>
      <c r="H2014" s="18">
        <f>E2014* 0.0231686541737649</f>
        <v>2.3168654173764899E-2</v>
      </c>
    </row>
    <row r="2015" spans="1:8" ht="15.75" hidden="1" customHeight="1" x14ac:dyDescent="0.25">
      <c r="A2015" s="15" t="s">
        <v>224</v>
      </c>
      <c r="B2015" s="11" t="s">
        <v>228</v>
      </c>
      <c r="C2015" s="15"/>
      <c r="D2015" s="16" t="s">
        <v>18</v>
      </c>
      <c r="E2015" s="23">
        <v>1</v>
      </c>
      <c r="F2015" s="18">
        <f>E2015* 0.893702527830246</f>
        <v>0.89370252783024595</v>
      </c>
      <c r="G2015" s="18">
        <f>E2015* 0.0946831169875015</f>
        <v>9.4683116987501495E-2</v>
      </c>
      <c r="H2015" s="18">
        <f>E2015* 0.0116143551822529</f>
        <v>1.16143551822529E-2</v>
      </c>
    </row>
    <row r="2016" spans="1:8" ht="15.75" hidden="1" customHeight="1" x14ac:dyDescent="0.25">
      <c r="A2016" s="15" t="s">
        <v>224</v>
      </c>
      <c r="B2016" s="11" t="s">
        <v>228</v>
      </c>
      <c r="C2016" s="15"/>
      <c r="D2016" s="16" t="s">
        <v>19</v>
      </c>
      <c r="E2016" s="23">
        <v>0</v>
      </c>
      <c r="F2016" s="18">
        <f>E2016* 0.0299845873616365</f>
        <v>0</v>
      </c>
      <c r="G2016" s="18">
        <f>E2016* 0.96385035729298</f>
        <v>0</v>
      </c>
      <c r="H2016" s="18">
        <f>E2016* 0.00616505534538321</f>
        <v>0</v>
      </c>
    </row>
    <row r="2017" spans="1:8" ht="15.75" hidden="1" customHeight="1" x14ac:dyDescent="0.25">
      <c r="A2017" s="15" t="s">
        <v>224</v>
      </c>
      <c r="B2017" s="11" t="s">
        <v>228</v>
      </c>
      <c r="C2017" s="15"/>
      <c r="D2017" s="16" t="s">
        <v>20</v>
      </c>
      <c r="E2017" s="23">
        <v>2</v>
      </c>
      <c r="F2017" s="18">
        <f>E2017* 0.734251968503937</f>
        <v>1.4685039370078741</v>
      </c>
      <c r="G2017" s="18">
        <f>E2017* 0.158017179670723</f>
        <v>0.31603435934144603</v>
      </c>
      <c r="H2017" s="18">
        <f>E2017* 0.107551896921976</f>
        <v>0.21510379384395201</v>
      </c>
    </row>
    <row r="2018" spans="1:8" ht="15.75" hidden="1" customHeight="1" x14ac:dyDescent="0.25">
      <c r="A2018" s="15" t="s">
        <v>224</v>
      </c>
      <c r="B2018" s="11" t="s">
        <v>228</v>
      </c>
      <c r="C2018" s="15"/>
      <c r="D2018" s="16" t="s">
        <v>21</v>
      </c>
      <c r="E2018" s="23">
        <v>495</v>
      </c>
      <c r="F2018" s="18">
        <f>E2018* 0.999727092353423</f>
        <v>494.86491071494441</v>
      </c>
      <c r="G2018" s="18">
        <f>E2018* 0.0000516311763794744</f>
        <v>2.5557432307839828E-2</v>
      </c>
      <c r="H2018" s="18">
        <f>E2018* 0.000132765882118648</f>
        <v>6.571911164873076E-2</v>
      </c>
    </row>
    <row r="2019" spans="1:8" ht="15.75" hidden="1" customHeight="1" x14ac:dyDescent="0.25">
      <c r="A2019" s="15" t="s">
        <v>224</v>
      </c>
      <c r="B2019" s="11" t="s">
        <v>228</v>
      </c>
      <c r="C2019" s="15"/>
      <c r="D2019" s="16" t="s">
        <v>36</v>
      </c>
      <c r="E2019" s="23">
        <v>2</v>
      </c>
      <c r="F2019" s="18">
        <f>E2019* 0.995894428152493</f>
        <v>1.9917888563049859</v>
      </c>
      <c r="G2019" s="18">
        <f>E2019* 0.000586510263929619</f>
        <v>1.173020527859238E-3</v>
      </c>
      <c r="H2019" s="18">
        <f>E2019* 0.00351906158357771</f>
        <v>7.03812316715542E-3</v>
      </c>
    </row>
    <row r="2020" spans="1:8" ht="15.75" hidden="1" customHeight="1" x14ac:dyDescent="0.25">
      <c r="A2020" s="15" t="s">
        <v>224</v>
      </c>
      <c r="B2020" s="11" t="s">
        <v>228</v>
      </c>
      <c r="C2020" s="15"/>
      <c r="D2020" s="16" t="s">
        <v>28</v>
      </c>
      <c r="E2020" s="23">
        <v>0</v>
      </c>
      <c r="F2020" s="18">
        <f>E2020* 0.00302222222222222</f>
        <v>0</v>
      </c>
      <c r="G2020" s="18">
        <f>E2020* 0.996622222222222</f>
        <v>0</v>
      </c>
      <c r="H2020" s="18">
        <f>E2020* 0.000355555555555556</f>
        <v>0</v>
      </c>
    </row>
    <row r="2021" spans="1:8" ht="15.75" hidden="1" customHeight="1" x14ac:dyDescent="0.25">
      <c r="A2021" s="15" t="s">
        <v>224</v>
      </c>
      <c r="B2021" s="11" t="s">
        <v>228</v>
      </c>
      <c r="C2021" s="15"/>
      <c r="D2021" s="16" t="s">
        <v>12</v>
      </c>
      <c r="E2021" s="23">
        <v>72</v>
      </c>
      <c r="F2021" s="18">
        <f>E2021* 0.802335182557089</f>
        <v>57.768133144110408</v>
      </c>
      <c r="G2021" s="18">
        <f>E2021* 0.124687137143594</f>
        <v>8.9774738743387683</v>
      </c>
      <c r="H2021" s="18">
        <f>E2021* 0.0729583279576829</f>
        <v>5.2529996129531682</v>
      </c>
    </row>
    <row r="2022" spans="1:8" ht="15.75" hidden="1" customHeight="1" x14ac:dyDescent="0.25">
      <c r="A2022" s="15" t="s">
        <v>224</v>
      </c>
      <c r="B2022" s="8"/>
      <c r="C2022" s="8"/>
      <c r="D2022" s="9"/>
      <c r="E2022" s="29"/>
    </row>
    <row r="2023" spans="1:8" ht="15.75" hidden="1" customHeight="1" x14ac:dyDescent="0.25">
      <c r="A2023" s="15" t="s">
        <v>224</v>
      </c>
      <c r="B2023" s="11" t="s">
        <v>229</v>
      </c>
      <c r="C2023" s="12" t="str">
        <f>B2023&amp;"_"&amp;A2023</f>
        <v>Camiri_Santa Cruz</v>
      </c>
      <c r="E2023" s="22">
        <v>4314</v>
      </c>
      <c r="F2023" s="14">
        <f t="shared" ref="F2023:H2023" si="186">SUM(F2024:F2036)</f>
        <v>3435.0474537859554</v>
      </c>
      <c r="G2023" s="14">
        <f t="shared" si="186"/>
        <v>670.19365978216797</v>
      </c>
      <c r="H2023" s="14">
        <f t="shared" si="186"/>
        <v>208.59933127906885</v>
      </c>
    </row>
    <row r="2024" spans="1:8" ht="15.75" hidden="1" customHeight="1" x14ac:dyDescent="0.25">
      <c r="A2024" s="15" t="s">
        <v>224</v>
      </c>
      <c r="B2024" s="11" t="s">
        <v>229</v>
      </c>
      <c r="C2024" s="15"/>
      <c r="D2024" s="16" t="s">
        <v>14</v>
      </c>
      <c r="E2024" s="23">
        <v>0</v>
      </c>
      <c r="F2024" s="20">
        <v>0</v>
      </c>
      <c r="G2024" s="24">
        <f>E2024</f>
        <v>0</v>
      </c>
      <c r="H2024" s="20">
        <v>0</v>
      </c>
    </row>
    <row r="2025" spans="1:8" ht="15.75" hidden="1" customHeight="1" x14ac:dyDescent="0.25">
      <c r="A2025" s="15" t="s">
        <v>224</v>
      </c>
      <c r="B2025" s="11" t="s">
        <v>229</v>
      </c>
      <c r="C2025" s="15"/>
      <c r="D2025" s="16" t="s">
        <v>15</v>
      </c>
      <c r="E2025" s="23">
        <v>529</v>
      </c>
      <c r="F2025" s="18">
        <f>E2025* 0.932303048052446</f>
        <v>493.18831241974397</v>
      </c>
      <c r="G2025" s="18">
        <f>E2025* 0.0217058280204555</f>
        <v>11.482383022820958</v>
      </c>
      <c r="H2025" s="18">
        <f>E2025* 0.0459798598751943</f>
        <v>24.323345873977782</v>
      </c>
    </row>
    <row r="2026" spans="1:8" ht="15.75" hidden="1" customHeight="1" x14ac:dyDescent="0.25">
      <c r="A2026" s="15" t="s">
        <v>224</v>
      </c>
      <c r="B2026" s="11" t="s">
        <v>229</v>
      </c>
      <c r="C2026" s="15"/>
      <c r="D2026" s="16" t="s">
        <v>16</v>
      </c>
      <c r="E2026" s="23">
        <v>19</v>
      </c>
      <c r="F2026" s="18">
        <f>E2026* 0.293894936109797</f>
        <v>5.5840037860861429</v>
      </c>
      <c r="G2026" s="18">
        <f>E2026* 0.663038334122101</f>
        <v>12.597728348319919</v>
      </c>
      <c r="H2026" s="18">
        <f>E2026* 0.0430667297681022</f>
        <v>0.81826786559394171</v>
      </c>
    </row>
    <row r="2027" spans="1:8" ht="15.75" hidden="1" customHeight="1" x14ac:dyDescent="0.25">
      <c r="A2027" s="15" t="s">
        <v>224</v>
      </c>
      <c r="B2027" s="11" t="s">
        <v>229</v>
      </c>
      <c r="C2027" s="15"/>
      <c r="D2027" s="16" t="s">
        <v>11</v>
      </c>
      <c r="E2027" s="23">
        <v>252</v>
      </c>
      <c r="F2027" s="18">
        <f>E2027* 0.083479491676667</f>
        <v>21.036831902520085</v>
      </c>
      <c r="G2027" s="18">
        <f>E2027* 0.913505030924029</f>
        <v>230.20326779285531</v>
      </c>
      <c r="H2027" s="18">
        <f>E2027* 0.00292316686667282</f>
        <v>0.73663805040155061</v>
      </c>
    </row>
    <row r="2028" spans="1:8" ht="15.75" hidden="1" customHeight="1" x14ac:dyDescent="0.25">
      <c r="A2028" s="15" t="s">
        <v>224</v>
      </c>
      <c r="B2028" s="11" t="s">
        <v>229</v>
      </c>
      <c r="C2028" s="15"/>
      <c r="D2028" s="16" t="s">
        <v>17</v>
      </c>
      <c r="E2028" s="23">
        <v>522</v>
      </c>
      <c r="F2028" s="18">
        <f>E2028* 0.752045572242362</f>
        <v>392.56778871051296</v>
      </c>
      <c r="G2028" s="18">
        <f>E2028* 0.185827723114103</f>
        <v>97.00207146556177</v>
      </c>
      <c r="H2028" s="18">
        <f>E2028* 0.0620921802175039</f>
        <v>32.412118073537037</v>
      </c>
    </row>
    <row r="2029" spans="1:8" ht="15.75" hidden="1" customHeight="1" x14ac:dyDescent="0.25">
      <c r="A2029" s="15" t="s">
        <v>224</v>
      </c>
      <c r="B2029" s="11" t="s">
        <v>229</v>
      </c>
      <c r="C2029" s="15"/>
      <c r="D2029" s="16" t="s">
        <v>31</v>
      </c>
      <c r="E2029" s="23">
        <v>6</v>
      </c>
      <c r="F2029" s="18">
        <f>E2029* 0.929131175468484</f>
        <v>5.5747870528109038</v>
      </c>
      <c r="G2029" s="18">
        <f>E2029* 0.0477001703577513</f>
        <v>0.28620102214650778</v>
      </c>
      <c r="H2029" s="18">
        <f>E2029* 0.0231686541737649</f>
        <v>0.13901192504258938</v>
      </c>
    </row>
    <row r="2030" spans="1:8" ht="15.75" hidden="1" customHeight="1" x14ac:dyDescent="0.25">
      <c r="A2030" s="15" t="s">
        <v>224</v>
      </c>
      <c r="B2030" s="11" t="s">
        <v>229</v>
      </c>
      <c r="C2030" s="15"/>
      <c r="D2030" s="16" t="s">
        <v>18</v>
      </c>
      <c r="E2030" s="23">
        <v>253</v>
      </c>
      <c r="F2030" s="18">
        <f>E2030* 0.893702527830246</f>
        <v>226.10673954105224</v>
      </c>
      <c r="G2030" s="18">
        <f>E2030* 0.0946831169875015</f>
        <v>23.954828597837878</v>
      </c>
      <c r="H2030" s="18">
        <f>E2030* 0.0116143551822529</f>
        <v>2.9384318611099838</v>
      </c>
    </row>
    <row r="2031" spans="1:8" ht="15.75" hidden="1" customHeight="1" x14ac:dyDescent="0.25">
      <c r="A2031" s="15" t="s">
        <v>224</v>
      </c>
      <c r="B2031" s="11" t="s">
        <v>229</v>
      </c>
      <c r="C2031" s="15"/>
      <c r="D2031" s="16" t="s">
        <v>19</v>
      </c>
      <c r="E2031" s="23">
        <v>40</v>
      </c>
      <c r="F2031" s="18">
        <f>E2031* 0.0299845873616365</f>
        <v>1.19938349446546</v>
      </c>
      <c r="G2031" s="18">
        <f>E2031* 0.96385035729298</f>
        <v>38.554014291719199</v>
      </c>
      <c r="H2031" s="18">
        <f>E2031* 0.00616505534538321</f>
        <v>0.2466022138153284</v>
      </c>
    </row>
    <row r="2032" spans="1:8" ht="15.75" hidden="1" customHeight="1" x14ac:dyDescent="0.25">
      <c r="A2032" s="15" t="s">
        <v>224</v>
      </c>
      <c r="B2032" s="11" t="s">
        <v>229</v>
      </c>
      <c r="C2032" s="15"/>
      <c r="D2032" s="16" t="s">
        <v>20</v>
      </c>
      <c r="E2032" s="23">
        <v>74</v>
      </c>
      <c r="F2032" s="18">
        <f>E2032* 0.734251968503937</f>
        <v>54.334645669291341</v>
      </c>
      <c r="G2032" s="18">
        <f>E2032* 0.158017179670723</f>
        <v>11.693271295633503</v>
      </c>
      <c r="H2032" s="18">
        <f>E2032* 0.107551896921976</f>
        <v>7.9588403722262244</v>
      </c>
    </row>
    <row r="2033" spans="1:8" ht="15.75" hidden="1" customHeight="1" x14ac:dyDescent="0.25">
      <c r="A2033" s="15" t="s">
        <v>224</v>
      </c>
      <c r="B2033" s="11" t="s">
        <v>229</v>
      </c>
      <c r="C2033" s="15"/>
      <c r="D2033" s="16" t="s">
        <v>21</v>
      </c>
      <c r="E2033" s="23">
        <v>703</v>
      </c>
      <c r="F2033" s="18">
        <f>E2033* 0.999727092353423</f>
        <v>702.80814592445643</v>
      </c>
      <c r="G2033" s="18">
        <f>E2033* 0.0000516311763794744</f>
        <v>3.6296716994770502E-2</v>
      </c>
      <c r="H2033" s="18">
        <f>E2033* 0.000132765882118648</f>
        <v>9.3334415129409543E-2</v>
      </c>
    </row>
    <row r="2034" spans="1:8" ht="15.75" hidden="1" customHeight="1" x14ac:dyDescent="0.25">
      <c r="A2034" s="15" t="s">
        <v>224</v>
      </c>
      <c r="B2034" s="11" t="s">
        <v>229</v>
      </c>
      <c r="C2034" s="15"/>
      <c r="D2034" s="16" t="s">
        <v>36</v>
      </c>
      <c r="E2034" s="23">
        <v>5</v>
      </c>
      <c r="F2034" s="18">
        <f>E2034* 0.995894428152493</f>
        <v>4.9794721407624651</v>
      </c>
      <c r="G2034" s="18">
        <f>E2034* 0.000586510263929619</f>
        <v>2.9325513196480947E-3</v>
      </c>
      <c r="H2034" s="18">
        <f>E2034* 0.00351906158357771</f>
        <v>1.7595307917888551E-2</v>
      </c>
    </row>
    <row r="2035" spans="1:8" ht="15.75" hidden="1" customHeight="1" x14ac:dyDescent="0.25">
      <c r="A2035" s="15" t="s">
        <v>224</v>
      </c>
      <c r="B2035" s="11" t="s">
        <v>229</v>
      </c>
      <c r="C2035" s="15"/>
      <c r="D2035" s="16" t="s">
        <v>28</v>
      </c>
      <c r="E2035" s="23">
        <v>7</v>
      </c>
      <c r="F2035" s="18">
        <f>E2035* 0.00302222222222222</f>
        <v>2.1155555555555539E-2</v>
      </c>
      <c r="G2035" s="18">
        <f>E2035* 0.996622222222222</f>
        <v>6.9763555555555534</v>
      </c>
      <c r="H2035" s="18">
        <f>E2035* 0.000355555555555556</f>
        <v>2.488888888888892E-3</v>
      </c>
    </row>
    <row r="2036" spans="1:8" ht="15.75" hidden="1" customHeight="1" x14ac:dyDescent="0.25">
      <c r="A2036" s="15" t="s">
        <v>224</v>
      </c>
      <c r="B2036" s="11" t="s">
        <v>229</v>
      </c>
      <c r="C2036" s="15"/>
      <c r="D2036" s="16" t="s">
        <v>12</v>
      </c>
      <c r="E2036" s="23">
        <v>1904</v>
      </c>
      <c r="F2036" s="18">
        <f>E2036* 0.802335182557089</f>
        <v>1527.6461875886976</v>
      </c>
      <c r="G2036" s="18">
        <f>E2036* 0.124687137143594</f>
        <v>237.40430912140297</v>
      </c>
      <c r="H2036" s="18">
        <f>E2036* 0.0729583279576829</f>
        <v>138.91265643142822</v>
      </c>
    </row>
    <row r="2037" spans="1:8" ht="15.75" hidden="1" customHeight="1" x14ac:dyDescent="0.25">
      <c r="A2037" s="15" t="s">
        <v>224</v>
      </c>
      <c r="B2037" s="8"/>
      <c r="C2037" s="8"/>
      <c r="D2037" s="9"/>
      <c r="E2037" s="29"/>
    </row>
    <row r="2038" spans="1:8" ht="15.75" hidden="1" customHeight="1" x14ac:dyDescent="0.25">
      <c r="A2038" s="15" t="s">
        <v>224</v>
      </c>
      <c r="B2038" s="11" t="s">
        <v>230</v>
      </c>
      <c r="C2038" s="12" t="str">
        <f>B2038&amp;"_"&amp;A2038</f>
        <v>Charagua_Santa Cruz</v>
      </c>
      <c r="E2038" s="22">
        <v>95</v>
      </c>
      <c r="F2038" s="14">
        <f t="shared" ref="F2038:H2038" si="187">SUM(F2039:F2051)</f>
        <v>77.523784963882065</v>
      </c>
      <c r="G2038" s="14">
        <f t="shared" si="187"/>
        <v>13.694113650634318</v>
      </c>
      <c r="H2038" s="14">
        <f t="shared" si="187"/>
        <v>3.7783073498801389</v>
      </c>
    </row>
    <row r="2039" spans="1:8" ht="15.75" hidden="1" customHeight="1" x14ac:dyDescent="0.25">
      <c r="A2039" s="15" t="s">
        <v>224</v>
      </c>
      <c r="B2039" s="11" t="s">
        <v>230</v>
      </c>
      <c r="C2039" s="15"/>
      <c r="D2039" s="16" t="s">
        <v>14</v>
      </c>
      <c r="E2039" s="23">
        <v>0</v>
      </c>
      <c r="F2039" s="20">
        <v>0</v>
      </c>
      <c r="G2039" s="24">
        <f>E2039</f>
        <v>0</v>
      </c>
      <c r="H2039" s="20">
        <v>0</v>
      </c>
    </row>
    <row r="2040" spans="1:8" ht="15.75" hidden="1" customHeight="1" x14ac:dyDescent="0.25">
      <c r="A2040" s="15" t="s">
        <v>224</v>
      </c>
      <c r="B2040" s="11" t="s">
        <v>230</v>
      </c>
      <c r="C2040" s="15"/>
      <c r="D2040" s="16" t="s">
        <v>15</v>
      </c>
      <c r="E2040" s="23">
        <v>0</v>
      </c>
      <c r="F2040" s="18">
        <f>E2040* 0.932303048052446</f>
        <v>0</v>
      </c>
      <c r="G2040" s="18">
        <f>E2040* 0.0217058280204555</f>
        <v>0</v>
      </c>
      <c r="H2040" s="18">
        <f>E2040* 0.0459798598751943</f>
        <v>0</v>
      </c>
    </row>
    <row r="2041" spans="1:8" ht="15.75" hidden="1" customHeight="1" x14ac:dyDescent="0.25">
      <c r="A2041" s="15" t="s">
        <v>224</v>
      </c>
      <c r="B2041" s="11" t="s">
        <v>230</v>
      </c>
      <c r="C2041" s="15"/>
      <c r="D2041" s="16" t="s">
        <v>16</v>
      </c>
      <c r="E2041" s="23">
        <v>0</v>
      </c>
      <c r="F2041" s="18">
        <f>E2041* 0.293894936109797</f>
        <v>0</v>
      </c>
      <c r="G2041" s="18">
        <f>E2041* 0.663038334122101</f>
        <v>0</v>
      </c>
      <c r="H2041" s="18">
        <f>E2041* 0.0430667297681022</f>
        <v>0</v>
      </c>
    </row>
    <row r="2042" spans="1:8" ht="15.75" hidden="1" customHeight="1" x14ac:dyDescent="0.25">
      <c r="A2042" s="15" t="s">
        <v>224</v>
      </c>
      <c r="B2042" s="11" t="s">
        <v>230</v>
      </c>
      <c r="C2042" s="15"/>
      <c r="D2042" s="16" t="s">
        <v>11</v>
      </c>
      <c r="E2042" s="23">
        <v>4</v>
      </c>
      <c r="F2042" s="18">
        <f>E2042* 0.083479491676667</f>
        <v>0.33391796670666801</v>
      </c>
      <c r="G2042" s="18">
        <f>E2042* 0.913505030924029</f>
        <v>3.6540201236961161</v>
      </c>
      <c r="H2042" s="18">
        <f>E2042* 0.00292316686667282</f>
        <v>1.169266746669128E-2</v>
      </c>
    </row>
    <row r="2043" spans="1:8" ht="15.75" hidden="1" customHeight="1" x14ac:dyDescent="0.25">
      <c r="A2043" s="15" t="s">
        <v>224</v>
      </c>
      <c r="B2043" s="11" t="s">
        <v>230</v>
      </c>
      <c r="C2043" s="15"/>
      <c r="D2043" s="16" t="s">
        <v>17</v>
      </c>
      <c r="E2043" s="23">
        <v>9</v>
      </c>
      <c r="F2043" s="18">
        <f>E2043* 0.752045572242362</f>
        <v>6.7684101501812579</v>
      </c>
      <c r="G2043" s="18">
        <f>E2043* 0.185827723114103</f>
        <v>1.672449508026927</v>
      </c>
      <c r="H2043" s="18">
        <f>E2043* 0.0620921802175039</f>
        <v>0.55882962195753505</v>
      </c>
    </row>
    <row r="2044" spans="1:8" ht="15.75" hidden="1" customHeight="1" x14ac:dyDescent="0.25">
      <c r="A2044" s="15" t="s">
        <v>224</v>
      </c>
      <c r="B2044" s="11" t="s">
        <v>230</v>
      </c>
      <c r="C2044" s="15"/>
      <c r="D2044" s="16" t="s">
        <v>31</v>
      </c>
      <c r="E2044" s="23">
        <v>0</v>
      </c>
      <c r="F2044" s="18">
        <f>E2044* 0.929131175468484</f>
        <v>0</v>
      </c>
      <c r="G2044" s="18">
        <f>E2044* 0.0477001703577513</f>
        <v>0</v>
      </c>
      <c r="H2044" s="18">
        <f>E2044* 0.0231686541737649</f>
        <v>0</v>
      </c>
    </row>
    <row r="2045" spans="1:8" ht="15.75" hidden="1" customHeight="1" x14ac:dyDescent="0.25">
      <c r="A2045" s="15" t="s">
        <v>224</v>
      </c>
      <c r="B2045" s="11" t="s">
        <v>230</v>
      </c>
      <c r="C2045" s="15"/>
      <c r="D2045" s="16" t="s">
        <v>18</v>
      </c>
      <c r="E2045" s="23">
        <v>12</v>
      </c>
      <c r="F2045" s="18">
        <f>E2045* 0.893702527830246</f>
        <v>10.724430333962951</v>
      </c>
      <c r="G2045" s="18">
        <f>E2045* 0.0946831169875015</f>
        <v>1.136197403850018</v>
      </c>
      <c r="H2045" s="18">
        <f>E2045* 0.0116143551822529</f>
        <v>0.1393722621870348</v>
      </c>
    </row>
    <row r="2046" spans="1:8" ht="15.75" hidden="1" customHeight="1" x14ac:dyDescent="0.25">
      <c r="A2046" s="15" t="s">
        <v>224</v>
      </c>
      <c r="B2046" s="11" t="s">
        <v>230</v>
      </c>
      <c r="C2046" s="15"/>
      <c r="D2046" s="16" t="s">
        <v>19</v>
      </c>
      <c r="E2046" s="23">
        <v>0</v>
      </c>
      <c r="F2046" s="18">
        <f>E2046* 0.0299845873616365</f>
        <v>0</v>
      </c>
      <c r="G2046" s="18">
        <f>E2046* 0.96385035729298</f>
        <v>0</v>
      </c>
      <c r="H2046" s="18">
        <f>E2046* 0.00616505534538321</f>
        <v>0</v>
      </c>
    </row>
    <row r="2047" spans="1:8" ht="15.75" hidden="1" customHeight="1" x14ac:dyDescent="0.25">
      <c r="A2047" s="15" t="s">
        <v>224</v>
      </c>
      <c r="B2047" s="11" t="s">
        <v>230</v>
      </c>
      <c r="C2047" s="15"/>
      <c r="D2047" s="16" t="s">
        <v>20</v>
      </c>
      <c r="E2047" s="23">
        <v>0</v>
      </c>
      <c r="F2047" s="18">
        <f>E2047* 0.734251968503937</f>
        <v>0</v>
      </c>
      <c r="G2047" s="18">
        <f>E2047* 0.158017179670723</f>
        <v>0</v>
      </c>
      <c r="H2047" s="18">
        <f>E2047* 0.107551896921976</f>
        <v>0</v>
      </c>
    </row>
    <row r="2048" spans="1:8" ht="15.75" hidden="1" customHeight="1" x14ac:dyDescent="0.25">
      <c r="A2048" s="15" t="s">
        <v>224</v>
      </c>
      <c r="B2048" s="11" t="s">
        <v>230</v>
      </c>
      <c r="C2048" s="15"/>
      <c r="D2048" s="16" t="s">
        <v>21</v>
      </c>
      <c r="E2048" s="23">
        <v>26</v>
      </c>
      <c r="F2048" s="18">
        <f>E2048* 0.999727092353423</f>
        <v>25.992904401188998</v>
      </c>
      <c r="G2048" s="18">
        <f>E2048* 0.0000516311763794744</f>
        <v>1.3424105858663344E-3</v>
      </c>
      <c r="H2048" s="18">
        <f>E2048* 0.000132765882118648</f>
        <v>3.4519129350848482E-3</v>
      </c>
    </row>
    <row r="2049" spans="1:8" ht="15.75" hidden="1" customHeight="1" x14ac:dyDescent="0.25">
      <c r="A2049" s="15" t="s">
        <v>224</v>
      </c>
      <c r="B2049" s="11" t="s">
        <v>230</v>
      </c>
      <c r="C2049" s="15"/>
      <c r="D2049" s="16" t="s">
        <v>36</v>
      </c>
      <c r="E2049" s="23">
        <v>0</v>
      </c>
      <c r="F2049" s="18">
        <f>E2049* 0.995894428152493</f>
        <v>0</v>
      </c>
      <c r="G2049" s="18">
        <f>E2049* 0.000586510263929619</f>
        <v>0</v>
      </c>
      <c r="H2049" s="18">
        <f>E2049* 0.00351906158357771</f>
        <v>0</v>
      </c>
    </row>
    <row r="2050" spans="1:8" ht="15.75" hidden="1" customHeight="1" x14ac:dyDescent="0.25">
      <c r="A2050" s="15" t="s">
        <v>224</v>
      </c>
      <c r="B2050" s="11" t="s">
        <v>230</v>
      </c>
      <c r="C2050" s="15"/>
      <c r="D2050" s="16" t="s">
        <v>148</v>
      </c>
      <c r="E2050" s="23">
        <v>2</v>
      </c>
      <c r="F2050" s="18">
        <f>E2050* 0.00302222222222222</f>
        <v>6.04444444444444E-3</v>
      </c>
      <c r="G2050" s="18">
        <f>E2050* 0.996622222222222</f>
        <v>1.9932444444444439</v>
      </c>
      <c r="H2050" s="18">
        <f>E2050* 0.000355555555555556</f>
        <v>7.1111111111111201E-4</v>
      </c>
    </row>
    <row r="2051" spans="1:8" ht="15.75" hidden="1" customHeight="1" x14ac:dyDescent="0.25">
      <c r="A2051" s="15" t="s">
        <v>224</v>
      </c>
      <c r="B2051" s="11" t="s">
        <v>230</v>
      </c>
      <c r="C2051" s="15"/>
      <c r="D2051" s="16" t="s">
        <v>12</v>
      </c>
      <c r="E2051" s="23">
        <v>42</v>
      </c>
      <c r="F2051" s="18">
        <f>E2051* 0.802335182557089</f>
        <v>33.69807766739774</v>
      </c>
      <c r="G2051" s="18">
        <f>E2051* 0.124687137143594</f>
        <v>5.2368597600309483</v>
      </c>
      <c r="H2051" s="18">
        <f>E2051* 0.0729583279576829</f>
        <v>3.0642497742226817</v>
      </c>
    </row>
    <row r="2052" spans="1:8" ht="15.75" hidden="1" customHeight="1" x14ac:dyDescent="0.25">
      <c r="A2052" s="15" t="s">
        <v>224</v>
      </c>
      <c r="B2052" s="8"/>
      <c r="C2052" s="8"/>
      <c r="D2052" s="9"/>
      <c r="E2052" s="29"/>
    </row>
    <row r="2053" spans="1:8" ht="15.75" hidden="1" customHeight="1" x14ac:dyDescent="0.25">
      <c r="A2053" s="15" t="s">
        <v>224</v>
      </c>
      <c r="B2053" s="11" t="s">
        <v>231</v>
      </c>
      <c r="C2053" s="12" t="str">
        <f>B2053&amp;"_"&amp;A2053</f>
        <v>Colpa Bélgica_Santa Cruz</v>
      </c>
      <c r="E2053" s="22">
        <v>166</v>
      </c>
      <c r="F2053" s="14">
        <f t="shared" ref="F2053:H2053" si="188">SUM(F2054:F2067)</f>
        <v>135.84053046619283</v>
      </c>
      <c r="G2053" s="14">
        <f t="shared" si="188"/>
        <v>24.878732840941993</v>
      </c>
      <c r="H2053" s="14">
        <f t="shared" si="188"/>
        <v>5.2722408387223219</v>
      </c>
    </row>
    <row r="2054" spans="1:8" ht="15.75" hidden="1" customHeight="1" x14ac:dyDescent="0.25">
      <c r="A2054" s="15" t="s">
        <v>224</v>
      </c>
      <c r="B2054" s="11" t="s">
        <v>231</v>
      </c>
      <c r="C2054" s="15"/>
      <c r="D2054" s="16" t="s">
        <v>14</v>
      </c>
      <c r="E2054" s="23">
        <v>0</v>
      </c>
      <c r="F2054" s="20">
        <v>0</v>
      </c>
      <c r="G2054" s="24">
        <f>E2054</f>
        <v>0</v>
      </c>
      <c r="H2054" s="20">
        <v>0</v>
      </c>
    </row>
    <row r="2055" spans="1:8" ht="15.75" hidden="1" customHeight="1" x14ac:dyDescent="0.25">
      <c r="A2055" s="15" t="s">
        <v>224</v>
      </c>
      <c r="B2055" s="11" t="s">
        <v>231</v>
      </c>
      <c r="C2055" s="15"/>
      <c r="D2055" s="16" t="s">
        <v>15</v>
      </c>
      <c r="E2055" s="23">
        <v>25</v>
      </c>
      <c r="F2055" s="18">
        <f>E2055* 0.932303048052446</f>
        <v>23.30757620131115</v>
      </c>
      <c r="G2055" s="18">
        <f>E2055* 0.0217058280204555</f>
        <v>0.5426457005113875</v>
      </c>
      <c r="H2055" s="18">
        <f>E2055* 0.0459798598751943</f>
        <v>1.1494964968798573</v>
      </c>
    </row>
    <row r="2056" spans="1:8" ht="15.75" hidden="1" customHeight="1" x14ac:dyDescent="0.25">
      <c r="A2056" s="15" t="s">
        <v>224</v>
      </c>
      <c r="B2056" s="11" t="s">
        <v>231</v>
      </c>
      <c r="C2056" s="15"/>
      <c r="D2056" s="16" t="s">
        <v>16</v>
      </c>
      <c r="E2056" s="23">
        <v>0</v>
      </c>
      <c r="F2056" s="18">
        <f>E2056* 0.293894936109797</f>
        <v>0</v>
      </c>
      <c r="G2056" s="18">
        <f>E2056* 0.663038334122101</f>
        <v>0</v>
      </c>
      <c r="H2056" s="18">
        <f>E2056* 0.0430667297681022</f>
        <v>0</v>
      </c>
    </row>
    <row r="2057" spans="1:8" ht="15.75" hidden="1" customHeight="1" x14ac:dyDescent="0.25">
      <c r="A2057" s="15" t="s">
        <v>224</v>
      </c>
      <c r="B2057" s="11" t="s">
        <v>231</v>
      </c>
      <c r="C2057" s="15"/>
      <c r="D2057" s="16" t="s">
        <v>11</v>
      </c>
      <c r="E2057" s="23">
        <v>13</v>
      </c>
      <c r="F2057" s="18">
        <f>E2057* 0.083479491676667</f>
        <v>1.085233391796671</v>
      </c>
      <c r="G2057" s="18">
        <f>E2057* 0.913505030924029</f>
        <v>11.875565402012377</v>
      </c>
      <c r="H2057" s="18">
        <f>E2057* 0.00292316686667282</f>
        <v>3.8001169266746661E-2</v>
      </c>
    </row>
    <row r="2058" spans="1:8" ht="15.75" hidden="1" customHeight="1" x14ac:dyDescent="0.25">
      <c r="A2058" s="15" t="s">
        <v>224</v>
      </c>
      <c r="B2058" s="11" t="s">
        <v>231</v>
      </c>
      <c r="C2058" s="15"/>
      <c r="D2058" s="16" t="s">
        <v>17</v>
      </c>
      <c r="E2058" s="23">
        <v>7</v>
      </c>
      <c r="F2058" s="18">
        <f>E2058* 0.752045572242362</f>
        <v>5.2643190056965343</v>
      </c>
      <c r="G2058" s="18">
        <f>E2058* 0.185827723114103</f>
        <v>1.300794061798721</v>
      </c>
      <c r="H2058" s="18">
        <f>E2058* 0.0620921802175039</f>
        <v>0.4346452615225273</v>
      </c>
    </row>
    <row r="2059" spans="1:8" ht="15.75" hidden="1" customHeight="1" x14ac:dyDescent="0.25">
      <c r="A2059" s="15" t="s">
        <v>224</v>
      </c>
      <c r="B2059" s="11" t="s">
        <v>231</v>
      </c>
      <c r="C2059" s="15"/>
      <c r="D2059" s="16" t="s">
        <v>31</v>
      </c>
      <c r="E2059" s="23">
        <v>0</v>
      </c>
      <c r="F2059" s="18">
        <f>E2059* 0.929131175468484</f>
        <v>0</v>
      </c>
      <c r="G2059" s="18">
        <f>E2059* 0.0477001703577513</f>
        <v>0</v>
      </c>
      <c r="H2059" s="18">
        <f>E2059* 0.0231686541737649</f>
        <v>0</v>
      </c>
    </row>
    <row r="2060" spans="1:8" ht="15.75" hidden="1" customHeight="1" x14ac:dyDescent="0.25">
      <c r="A2060" s="15" t="s">
        <v>224</v>
      </c>
      <c r="B2060" s="11" t="s">
        <v>231</v>
      </c>
      <c r="C2060" s="15"/>
      <c r="D2060" s="16" t="s">
        <v>18</v>
      </c>
      <c r="E2060" s="23">
        <v>1</v>
      </c>
      <c r="F2060" s="18">
        <f>E2060* 0.893702527830246</f>
        <v>0.89370252783024595</v>
      </c>
      <c r="G2060" s="18">
        <f>E2060* 0.0946831169875015</f>
        <v>9.4683116987501495E-2</v>
      </c>
      <c r="H2060" s="18">
        <f>E2060* 0.0116143551822529</f>
        <v>1.16143551822529E-2</v>
      </c>
    </row>
    <row r="2061" spans="1:8" ht="15.75" hidden="1" customHeight="1" x14ac:dyDescent="0.25">
      <c r="A2061" s="15" t="s">
        <v>224</v>
      </c>
      <c r="B2061" s="11" t="s">
        <v>231</v>
      </c>
      <c r="C2061" s="15"/>
      <c r="D2061" s="16" t="s">
        <v>19</v>
      </c>
      <c r="E2061" s="23">
        <v>2</v>
      </c>
      <c r="F2061" s="18">
        <f>E2061* 0.0299845873616365</f>
        <v>5.9969174723272997E-2</v>
      </c>
      <c r="G2061" s="18">
        <f>E2061* 0.96385035729298</f>
        <v>1.9277007145859599</v>
      </c>
      <c r="H2061" s="18">
        <f>E2061* 0.00616505534538321</f>
        <v>1.233011069076642E-2</v>
      </c>
    </row>
    <row r="2062" spans="1:8" ht="15.75" hidden="1" customHeight="1" x14ac:dyDescent="0.25">
      <c r="A2062" s="15" t="s">
        <v>224</v>
      </c>
      <c r="B2062" s="11" t="s">
        <v>231</v>
      </c>
      <c r="C2062" s="15"/>
      <c r="D2062" s="16" t="s">
        <v>20</v>
      </c>
      <c r="E2062" s="23">
        <v>1</v>
      </c>
      <c r="F2062" s="18">
        <f>E2062* 0.734251968503937</f>
        <v>0.73425196850393704</v>
      </c>
      <c r="G2062" s="18">
        <f>E2062* 0.158017179670723</f>
        <v>0.15801717967072301</v>
      </c>
      <c r="H2062" s="18">
        <f>E2062* 0.107551896921976</f>
        <v>0.107551896921976</v>
      </c>
    </row>
    <row r="2063" spans="1:8" ht="15.75" hidden="1" customHeight="1" x14ac:dyDescent="0.25">
      <c r="A2063" s="15" t="s">
        <v>224</v>
      </c>
      <c r="B2063" s="11" t="s">
        <v>231</v>
      </c>
      <c r="C2063" s="15"/>
      <c r="D2063" s="16" t="s">
        <v>21</v>
      </c>
      <c r="E2063" s="23">
        <v>64</v>
      </c>
      <c r="F2063" s="18">
        <f>E2063* 0.999727092353423</f>
        <v>63.982533910619075</v>
      </c>
      <c r="G2063" s="18">
        <f>E2063* 0.0000516311763794744</f>
        <v>3.3043952882863617E-3</v>
      </c>
      <c r="H2063" s="18">
        <f>E2063* 0.000132765882118648</f>
        <v>8.4970164555934723E-3</v>
      </c>
    </row>
    <row r="2064" spans="1:8" ht="15.75" hidden="1" customHeight="1" x14ac:dyDescent="0.25">
      <c r="A2064" s="15" t="s">
        <v>224</v>
      </c>
      <c r="B2064" s="11" t="s">
        <v>231</v>
      </c>
      <c r="C2064" s="15"/>
      <c r="D2064" s="16" t="s">
        <v>36</v>
      </c>
      <c r="E2064" s="23">
        <v>2</v>
      </c>
      <c r="F2064" s="18">
        <f>E2064* 0.995894428152493</f>
        <v>1.9917888563049859</v>
      </c>
      <c r="G2064" s="18">
        <f>E2064* 0.000586510263929619</f>
        <v>1.173020527859238E-3</v>
      </c>
      <c r="H2064" s="18">
        <f>E2064* 0.00351906158357771</f>
        <v>7.03812316715542E-3</v>
      </c>
    </row>
    <row r="2065" spans="1:8" ht="15.75" hidden="1" customHeight="1" x14ac:dyDescent="0.25">
      <c r="A2065" s="15" t="s">
        <v>224</v>
      </c>
      <c r="B2065" s="11" t="s">
        <v>231</v>
      </c>
      <c r="C2065" s="15"/>
      <c r="D2065" s="16" t="s">
        <v>37</v>
      </c>
      <c r="E2065" s="29"/>
      <c r="F2065" s="20">
        <v>0</v>
      </c>
      <c r="G2065" s="24">
        <f>E2065</f>
        <v>0</v>
      </c>
      <c r="H2065" s="20">
        <v>0</v>
      </c>
    </row>
    <row r="2066" spans="1:8" ht="15.75" hidden="1" customHeight="1" x14ac:dyDescent="0.25">
      <c r="A2066" s="15" t="s">
        <v>224</v>
      </c>
      <c r="B2066" s="11" t="s">
        <v>231</v>
      </c>
      <c r="C2066" s="15"/>
      <c r="D2066" s="16" t="s">
        <v>148</v>
      </c>
      <c r="E2066" s="23">
        <v>3</v>
      </c>
      <c r="F2066" s="18">
        <f>E2066* 0.00302222222222222</f>
        <v>9.0666666666666604E-3</v>
      </c>
      <c r="G2066" s="18">
        <f>E2066* 0.996622222222222</f>
        <v>2.989866666666666</v>
      </c>
      <c r="H2066" s="18">
        <f>E2066* 0.000355555555555556</f>
        <v>1.066666666666668E-3</v>
      </c>
    </row>
    <row r="2067" spans="1:8" ht="15.75" hidden="1" customHeight="1" x14ac:dyDescent="0.25">
      <c r="A2067" s="15" t="s">
        <v>224</v>
      </c>
      <c r="B2067" s="11" t="s">
        <v>231</v>
      </c>
      <c r="C2067" s="15"/>
      <c r="D2067" s="16" t="s">
        <v>12</v>
      </c>
      <c r="E2067" s="23">
        <v>48</v>
      </c>
      <c r="F2067" s="18">
        <f>E2067* 0.802335182557089</f>
        <v>38.512088762740277</v>
      </c>
      <c r="G2067" s="18">
        <f>E2067* 0.124687137143594</f>
        <v>5.9849825828925116</v>
      </c>
      <c r="H2067" s="18">
        <f>E2067* 0.0729583279576829</f>
        <v>3.5019997419687789</v>
      </c>
    </row>
    <row r="2068" spans="1:8" ht="15.75" hidden="1" customHeight="1" x14ac:dyDescent="0.25">
      <c r="A2068" s="15" t="s">
        <v>224</v>
      </c>
      <c r="B2068" s="8"/>
      <c r="C2068" s="8"/>
      <c r="D2068" s="9"/>
      <c r="E2068" s="29"/>
    </row>
    <row r="2069" spans="1:8" ht="15.75" hidden="1" customHeight="1" x14ac:dyDescent="0.25">
      <c r="A2069" s="15" t="s">
        <v>224</v>
      </c>
      <c r="B2069" s="11" t="s">
        <v>232</v>
      </c>
      <c r="C2069" s="12" t="str">
        <f>B2069&amp;"_"&amp;A2069</f>
        <v>Comarapa_Santa Cruz</v>
      </c>
      <c r="E2069" s="22">
        <v>607</v>
      </c>
      <c r="F2069" s="14">
        <f t="shared" ref="F2069:H2069" si="189">SUM(F2070:F2082)</f>
        <v>487.56236862271896</v>
      </c>
      <c r="G2069" s="14">
        <f t="shared" si="189"/>
        <v>96.503045232556872</v>
      </c>
      <c r="H2069" s="14">
        <f t="shared" si="189"/>
        <v>22.903049255704968</v>
      </c>
    </row>
    <row r="2070" spans="1:8" ht="15.75" hidden="1" customHeight="1" x14ac:dyDescent="0.25">
      <c r="A2070" s="15" t="s">
        <v>224</v>
      </c>
      <c r="B2070" s="11" t="s">
        <v>232</v>
      </c>
      <c r="C2070" s="15"/>
      <c r="D2070" s="16" t="s">
        <v>14</v>
      </c>
      <c r="E2070" s="23">
        <v>0</v>
      </c>
      <c r="F2070" s="20">
        <v>0</v>
      </c>
      <c r="G2070" s="24">
        <f>E2070</f>
        <v>0</v>
      </c>
      <c r="H2070" s="20">
        <v>0</v>
      </c>
    </row>
    <row r="2071" spans="1:8" ht="15.75" hidden="1" customHeight="1" x14ac:dyDescent="0.25">
      <c r="A2071" s="15" t="s">
        <v>224</v>
      </c>
      <c r="B2071" s="11" t="s">
        <v>232</v>
      </c>
      <c r="C2071" s="15"/>
      <c r="D2071" s="16" t="s">
        <v>15</v>
      </c>
      <c r="E2071" s="23">
        <v>3</v>
      </c>
      <c r="F2071" s="18">
        <f>E2071* 0.932303048052446</f>
        <v>2.7969091441573379</v>
      </c>
      <c r="G2071" s="18">
        <f>E2071* 0.0217058280204555</f>
        <v>6.5117484061366498E-2</v>
      </c>
      <c r="H2071" s="18">
        <f>E2071* 0.0459798598751943</f>
        <v>0.1379395796255829</v>
      </c>
    </row>
    <row r="2072" spans="1:8" ht="15.75" hidden="1" customHeight="1" x14ac:dyDescent="0.25">
      <c r="A2072" s="15" t="s">
        <v>224</v>
      </c>
      <c r="B2072" s="11" t="s">
        <v>232</v>
      </c>
      <c r="C2072" s="15"/>
      <c r="D2072" s="16" t="s">
        <v>16</v>
      </c>
      <c r="E2072" s="23">
        <v>0</v>
      </c>
      <c r="F2072" s="18">
        <f>E2072* 0.293894936109797</f>
        <v>0</v>
      </c>
      <c r="G2072" s="18">
        <f>E2072* 0.663038334122101</f>
        <v>0</v>
      </c>
      <c r="H2072" s="18">
        <f>E2072* 0.0430667297681022</f>
        <v>0</v>
      </c>
    </row>
    <row r="2073" spans="1:8" ht="15.75" hidden="1" customHeight="1" x14ac:dyDescent="0.25">
      <c r="A2073" s="15" t="s">
        <v>224</v>
      </c>
      <c r="B2073" s="11" t="s">
        <v>232</v>
      </c>
      <c r="C2073" s="15"/>
      <c r="D2073" s="16" t="s">
        <v>11</v>
      </c>
      <c r="E2073" s="23">
        <v>60</v>
      </c>
      <c r="F2073" s="18">
        <f>E2073* 0.083479491676667</f>
        <v>5.0087695006000201</v>
      </c>
      <c r="G2073" s="18">
        <f>E2073* 0.913505030924029</f>
        <v>54.810301855441743</v>
      </c>
      <c r="H2073" s="18">
        <f>E2073* 0.00292316686667282</f>
        <v>0.17539001200036919</v>
      </c>
    </row>
    <row r="2074" spans="1:8" ht="15.75" hidden="1" customHeight="1" x14ac:dyDescent="0.25">
      <c r="A2074" s="15" t="s">
        <v>224</v>
      </c>
      <c r="B2074" s="11" t="s">
        <v>232</v>
      </c>
      <c r="C2074" s="15"/>
      <c r="D2074" s="16" t="s">
        <v>17</v>
      </c>
      <c r="E2074" s="23">
        <v>14</v>
      </c>
      <c r="F2074" s="18">
        <f>E2074* 0.752045572242362</f>
        <v>10.528638011393069</v>
      </c>
      <c r="G2074" s="18">
        <f>E2074* 0.185827723114103</f>
        <v>2.6015881235974421</v>
      </c>
      <c r="H2074" s="18">
        <f>E2074* 0.0620921802175039</f>
        <v>0.86929052304505461</v>
      </c>
    </row>
    <row r="2075" spans="1:8" ht="15.75" hidden="1" customHeight="1" x14ac:dyDescent="0.25">
      <c r="A2075" s="15" t="s">
        <v>224</v>
      </c>
      <c r="B2075" s="11" t="s">
        <v>232</v>
      </c>
      <c r="C2075" s="15"/>
      <c r="D2075" s="16" t="s">
        <v>31</v>
      </c>
      <c r="E2075" s="23">
        <v>0</v>
      </c>
      <c r="F2075" s="18">
        <f>E2075* 0.929131175468484</f>
        <v>0</v>
      </c>
      <c r="G2075" s="18">
        <f>E2075* 0.0477001703577513</f>
        <v>0</v>
      </c>
      <c r="H2075" s="18">
        <f>E2075* 0.0231686541737649</f>
        <v>0</v>
      </c>
    </row>
    <row r="2076" spans="1:8" ht="15.75" hidden="1" customHeight="1" x14ac:dyDescent="0.25">
      <c r="A2076" s="15" t="s">
        <v>224</v>
      </c>
      <c r="B2076" s="11" t="s">
        <v>232</v>
      </c>
      <c r="C2076" s="15"/>
      <c r="D2076" s="16" t="s">
        <v>18</v>
      </c>
      <c r="E2076" s="23">
        <v>14</v>
      </c>
      <c r="F2076" s="18">
        <f>E2076* 0.893702527830246</f>
        <v>12.511835389623442</v>
      </c>
      <c r="G2076" s="18">
        <f>E2076* 0.0946831169875015</f>
        <v>1.3255636378250208</v>
      </c>
      <c r="H2076" s="18">
        <f>E2076* 0.0116143551822529</f>
        <v>0.1626009725515406</v>
      </c>
    </row>
    <row r="2077" spans="1:8" ht="15.75" hidden="1" customHeight="1" x14ac:dyDescent="0.25">
      <c r="A2077" s="15" t="s">
        <v>224</v>
      </c>
      <c r="B2077" s="11" t="s">
        <v>232</v>
      </c>
      <c r="C2077" s="15"/>
      <c r="D2077" s="16" t="s">
        <v>19</v>
      </c>
      <c r="E2077" s="23">
        <v>1</v>
      </c>
      <c r="F2077" s="18">
        <f>E2077* 0.0299845873616365</f>
        <v>2.9984587361636499E-2</v>
      </c>
      <c r="G2077" s="18">
        <f>E2077* 0.96385035729298</f>
        <v>0.96385035729297996</v>
      </c>
      <c r="H2077" s="18">
        <f>E2077* 0.00616505534538321</f>
        <v>6.1650553453832099E-3</v>
      </c>
    </row>
    <row r="2078" spans="1:8" ht="15.75" hidden="1" customHeight="1" x14ac:dyDescent="0.25">
      <c r="A2078" s="15" t="s">
        <v>224</v>
      </c>
      <c r="B2078" s="11" t="s">
        <v>232</v>
      </c>
      <c r="C2078" s="15"/>
      <c r="D2078" s="16" t="s">
        <v>20</v>
      </c>
      <c r="E2078" s="23">
        <v>2</v>
      </c>
      <c r="F2078" s="18">
        <f>E2078* 0.734251968503937</f>
        <v>1.4685039370078741</v>
      </c>
      <c r="G2078" s="18">
        <f>E2078* 0.158017179670723</f>
        <v>0.31603435934144603</v>
      </c>
      <c r="H2078" s="18">
        <f>E2078* 0.107551896921976</f>
        <v>0.21510379384395201</v>
      </c>
    </row>
    <row r="2079" spans="1:8" ht="15.75" hidden="1" customHeight="1" x14ac:dyDescent="0.25">
      <c r="A2079" s="15" t="s">
        <v>224</v>
      </c>
      <c r="B2079" s="11" t="s">
        <v>232</v>
      </c>
      <c r="C2079" s="15"/>
      <c r="D2079" s="16" t="s">
        <v>21</v>
      </c>
      <c r="E2079" s="23">
        <v>220</v>
      </c>
      <c r="F2079" s="18">
        <f>E2079* 0.999727092353423</f>
        <v>219.93996031775308</v>
      </c>
      <c r="G2079" s="18">
        <f>E2079* 0.0000516311763794744</f>
        <v>1.1358858803484369E-2</v>
      </c>
      <c r="H2079" s="18">
        <f>E2079* 0.000132765882118648</f>
        <v>2.9208494066102562E-2</v>
      </c>
    </row>
    <row r="2080" spans="1:8" ht="15.75" hidden="1" customHeight="1" x14ac:dyDescent="0.25">
      <c r="A2080" s="15" t="s">
        <v>224</v>
      </c>
      <c r="B2080" s="11" t="s">
        <v>232</v>
      </c>
      <c r="C2080" s="15"/>
      <c r="D2080" s="16" t="s">
        <v>36</v>
      </c>
      <c r="E2080" s="23">
        <v>1</v>
      </c>
      <c r="F2080" s="18">
        <f>E2080* 0.995894428152493</f>
        <v>0.99589442815249296</v>
      </c>
      <c r="G2080" s="18">
        <f>E2080* 0.000586510263929619</f>
        <v>5.8651026392961898E-4</v>
      </c>
      <c r="H2080" s="18">
        <f>E2080* 0.00351906158357771</f>
        <v>3.51906158357771E-3</v>
      </c>
    </row>
    <row r="2081" spans="1:8" ht="15.75" hidden="1" customHeight="1" x14ac:dyDescent="0.25">
      <c r="A2081" s="15" t="s">
        <v>224</v>
      </c>
      <c r="B2081" s="11" t="s">
        <v>232</v>
      </c>
      <c r="C2081" s="15"/>
      <c r="D2081" s="16" t="s">
        <v>148</v>
      </c>
      <c r="E2081" s="29"/>
      <c r="F2081" s="18">
        <f>E2081* 0.00302222222222222</f>
        <v>0</v>
      </c>
      <c r="G2081" s="18">
        <f>E2081* 0.996622222222222</f>
        <v>0</v>
      </c>
      <c r="H2081" s="18">
        <f>E2081* 0.000355555555555556</f>
        <v>0</v>
      </c>
    </row>
    <row r="2082" spans="1:8" ht="15.75" hidden="1" customHeight="1" x14ac:dyDescent="0.25">
      <c r="A2082" s="15" t="s">
        <v>224</v>
      </c>
      <c r="B2082" s="11" t="s">
        <v>232</v>
      </c>
      <c r="C2082" s="15"/>
      <c r="D2082" s="16" t="s">
        <v>12</v>
      </c>
      <c r="E2082" s="23">
        <v>292</v>
      </c>
      <c r="F2082" s="18">
        <f>E2082* 0.802335182557089</f>
        <v>234.28187330667001</v>
      </c>
      <c r="G2082" s="18">
        <f>E2082* 0.124687137143594</f>
        <v>36.408644045929449</v>
      </c>
      <c r="H2082" s="18">
        <f>E2082* 0.0729583279576829</f>
        <v>21.303831763643405</v>
      </c>
    </row>
    <row r="2083" spans="1:8" ht="15.75" hidden="1" customHeight="1" x14ac:dyDescent="0.25">
      <c r="A2083" s="15" t="s">
        <v>224</v>
      </c>
      <c r="B2083" s="8"/>
      <c r="C2083" s="8"/>
      <c r="D2083" s="9"/>
      <c r="E2083" s="29"/>
    </row>
    <row r="2084" spans="1:8" ht="15.75" hidden="1" customHeight="1" x14ac:dyDescent="0.25">
      <c r="A2084" s="15" t="s">
        <v>224</v>
      </c>
      <c r="B2084" s="11" t="s">
        <v>233</v>
      </c>
      <c r="C2084" s="12" t="str">
        <f>B2084&amp;"_"&amp;A2084</f>
        <v>Concepción_Santa Cruz</v>
      </c>
      <c r="E2084" s="22">
        <v>182</v>
      </c>
      <c r="F2084" s="14">
        <f t="shared" ref="F2084:H2084" si="190">SUM(F2085:F2096)</f>
        <v>165.79699053953019</v>
      </c>
      <c r="G2084" s="14">
        <f t="shared" si="190"/>
        <v>14.257574185729467</v>
      </c>
      <c r="H2084" s="14">
        <f t="shared" si="190"/>
        <v>1.9314713730344124</v>
      </c>
    </row>
    <row r="2085" spans="1:8" ht="15.75" hidden="1" customHeight="1" x14ac:dyDescent="0.25">
      <c r="A2085" s="15" t="s">
        <v>224</v>
      </c>
      <c r="B2085" s="11" t="s">
        <v>233</v>
      </c>
      <c r="C2085" s="15"/>
      <c r="D2085" s="16" t="s">
        <v>14</v>
      </c>
      <c r="E2085" s="23">
        <v>0</v>
      </c>
      <c r="F2085" s="20">
        <v>0</v>
      </c>
      <c r="G2085" s="24">
        <f>E2085</f>
        <v>0</v>
      </c>
      <c r="H2085" s="20">
        <v>0</v>
      </c>
    </row>
    <row r="2086" spans="1:8" ht="15.75" hidden="1" customHeight="1" x14ac:dyDescent="0.25">
      <c r="A2086" s="15" t="s">
        <v>224</v>
      </c>
      <c r="B2086" s="11" t="s">
        <v>233</v>
      </c>
      <c r="C2086" s="15"/>
      <c r="D2086" s="16" t="s">
        <v>15</v>
      </c>
      <c r="E2086" s="23">
        <v>0</v>
      </c>
      <c r="F2086" s="18">
        <f>E2086* 0.932303048052446</f>
        <v>0</v>
      </c>
      <c r="G2086" s="18">
        <f>E2086* 0.0217058280204555</f>
        <v>0</v>
      </c>
      <c r="H2086" s="18">
        <f>E2086* 0.0459798598751943</f>
        <v>0</v>
      </c>
    </row>
    <row r="2087" spans="1:8" ht="15.75" hidden="1" customHeight="1" x14ac:dyDescent="0.25">
      <c r="A2087" s="15" t="s">
        <v>224</v>
      </c>
      <c r="B2087" s="11" t="s">
        <v>233</v>
      </c>
      <c r="C2087" s="15"/>
      <c r="D2087" s="16" t="s">
        <v>16</v>
      </c>
      <c r="E2087" s="23">
        <v>0</v>
      </c>
      <c r="F2087" s="18">
        <f>E2087* 0.293894936109797</f>
        <v>0</v>
      </c>
      <c r="G2087" s="18">
        <f>E2087* 0.663038334122101</f>
        <v>0</v>
      </c>
      <c r="H2087" s="18">
        <f>E2087* 0.0430667297681022</f>
        <v>0</v>
      </c>
    </row>
    <row r="2088" spans="1:8" ht="15.75" hidden="1" customHeight="1" x14ac:dyDescent="0.25">
      <c r="A2088" s="15" t="s">
        <v>224</v>
      </c>
      <c r="B2088" s="11" t="s">
        <v>233</v>
      </c>
      <c r="C2088" s="15"/>
      <c r="D2088" s="16" t="s">
        <v>11</v>
      </c>
      <c r="E2088" s="23">
        <v>9</v>
      </c>
      <c r="F2088" s="18">
        <f>E2088* 0.083479491676667</f>
        <v>0.75131542509000304</v>
      </c>
      <c r="G2088" s="18">
        <f>E2088* 0.913505030924029</f>
        <v>8.2215452783162615</v>
      </c>
      <c r="H2088" s="18">
        <f>E2088* 0.00292316686667282</f>
        <v>2.6308501800055381E-2</v>
      </c>
    </row>
    <row r="2089" spans="1:8" ht="15.75" hidden="1" customHeight="1" x14ac:dyDescent="0.25">
      <c r="A2089" s="15" t="s">
        <v>224</v>
      </c>
      <c r="B2089" s="11" t="s">
        <v>233</v>
      </c>
      <c r="C2089" s="15"/>
      <c r="D2089" s="16" t="s">
        <v>17</v>
      </c>
      <c r="E2089" s="23">
        <v>19</v>
      </c>
      <c r="F2089" s="18">
        <f>E2089* 0.752045572242362</f>
        <v>14.288865872604879</v>
      </c>
      <c r="G2089" s="18">
        <f>E2089* 0.185827723114103</f>
        <v>3.5307267391679571</v>
      </c>
      <c r="H2089" s="18">
        <f>E2089* 0.0620921802175039</f>
        <v>1.1797514241325742</v>
      </c>
    </row>
    <row r="2090" spans="1:8" ht="15.75" hidden="1" customHeight="1" x14ac:dyDescent="0.25">
      <c r="A2090" s="15" t="s">
        <v>224</v>
      </c>
      <c r="B2090" s="11" t="s">
        <v>233</v>
      </c>
      <c r="C2090" s="15"/>
      <c r="D2090" s="16" t="s">
        <v>31</v>
      </c>
      <c r="E2090" s="23">
        <v>0</v>
      </c>
      <c r="F2090" s="18">
        <f>E2090* 0.929131175468484</f>
        <v>0</v>
      </c>
      <c r="G2090" s="18">
        <f>E2090* 0.0477001703577513</f>
        <v>0</v>
      </c>
      <c r="H2090" s="18">
        <f>E2090* 0.0231686541737649</f>
        <v>0</v>
      </c>
    </row>
    <row r="2091" spans="1:8" ht="15.75" hidden="1" customHeight="1" x14ac:dyDescent="0.25">
      <c r="A2091" s="15" t="s">
        <v>224</v>
      </c>
      <c r="B2091" s="11" t="s">
        <v>233</v>
      </c>
      <c r="C2091" s="15"/>
      <c r="D2091" s="16" t="s">
        <v>18</v>
      </c>
      <c r="E2091" s="23">
        <v>4</v>
      </c>
      <c r="F2091" s="18">
        <f>E2091* 0.893702527830246</f>
        <v>3.5748101113209838</v>
      </c>
      <c r="G2091" s="18">
        <f>E2091* 0.0946831169875015</f>
        <v>0.37873246795000598</v>
      </c>
      <c r="H2091" s="18">
        <f>E2091* 0.0116143551822529</f>
        <v>4.64574207290116E-2</v>
      </c>
    </row>
    <row r="2092" spans="1:8" ht="15.75" hidden="1" customHeight="1" x14ac:dyDescent="0.25">
      <c r="A2092" s="15" t="s">
        <v>224</v>
      </c>
      <c r="B2092" s="11" t="s">
        <v>233</v>
      </c>
      <c r="C2092" s="15"/>
      <c r="D2092" s="16" t="s">
        <v>20</v>
      </c>
      <c r="E2092" s="23">
        <v>0</v>
      </c>
      <c r="F2092" s="18">
        <f>E2092* 0.734251968503937</f>
        <v>0</v>
      </c>
      <c r="G2092" s="18">
        <f>E2092* 0.158017179670723</f>
        <v>0</v>
      </c>
      <c r="H2092" s="18">
        <f>E2092* 0.107551896921976</f>
        <v>0</v>
      </c>
    </row>
    <row r="2093" spans="1:8" ht="15.75" hidden="1" customHeight="1" x14ac:dyDescent="0.25">
      <c r="A2093" s="15" t="s">
        <v>224</v>
      </c>
      <c r="B2093" s="11" t="s">
        <v>233</v>
      </c>
      <c r="C2093" s="15"/>
      <c r="D2093" s="16" t="s">
        <v>21</v>
      </c>
      <c r="E2093" s="23">
        <v>139</v>
      </c>
      <c r="F2093" s="18">
        <f>E2093* 0.999727092353423</f>
        <v>138.96206583712581</v>
      </c>
      <c r="G2093" s="18">
        <f>E2093* 0.0000516311763794744</f>
        <v>7.1767335167469415E-3</v>
      </c>
      <c r="H2093" s="18">
        <f>E2093* 0.000132765882118648</f>
        <v>1.8454457614492072E-2</v>
      </c>
    </row>
    <row r="2094" spans="1:8" ht="15.75" hidden="1" customHeight="1" x14ac:dyDescent="0.25">
      <c r="A2094" s="15" t="s">
        <v>224</v>
      </c>
      <c r="B2094" s="11" t="s">
        <v>233</v>
      </c>
      <c r="C2094" s="15"/>
      <c r="D2094" s="16" t="s">
        <v>36</v>
      </c>
      <c r="E2094" s="23">
        <v>1</v>
      </c>
      <c r="F2094" s="18">
        <f>E2094* 0.995894428152493</f>
        <v>0.99589442815249296</v>
      </c>
      <c r="G2094" s="18">
        <f>E2094* 0.000586510263929619</f>
        <v>5.8651026392961898E-4</v>
      </c>
      <c r="H2094" s="18">
        <f>E2094* 0.00351906158357771</f>
        <v>3.51906158357771E-3</v>
      </c>
    </row>
    <row r="2095" spans="1:8" ht="15.75" hidden="1" customHeight="1" x14ac:dyDescent="0.25">
      <c r="A2095" s="15" t="s">
        <v>224</v>
      </c>
      <c r="B2095" s="11" t="s">
        <v>233</v>
      </c>
      <c r="C2095" s="15"/>
      <c r="D2095" s="16" t="s">
        <v>148</v>
      </c>
      <c r="E2095" s="23">
        <v>1</v>
      </c>
      <c r="F2095" s="18">
        <f>E2095* 0.00302222222222222</f>
        <v>3.02222222222222E-3</v>
      </c>
      <c r="G2095" s="18">
        <f>E2095* 0.996622222222222</f>
        <v>0.99662222222222197</v>
      </c>
      <c r="H2095" s="18">
        <f>E2095* 0.000355555555555556</f>
        <v>3.5555555555555601E-4</v>
      </c>
    </row>
    <row r="2096" spans="1:8" ht="15.75" hidden="1" customHeight="1" x14ac:dyDescent="0.25">
      <c r="A2096" s="15" t="s">
        <v>224</v>
      </c>
      <c r="B2096" s="11" t="s">
        <v>233</v>
      </c>
      <c r="C2096" s="15"/>
      <c r="D2096" s="16" t="s">
        <v>12</v>
      </c>
      <c r="E2096" s="23">
        <v>9</v>
      </c>
      <c r="F2096" s="18">
        <f>E2096* 0.802335182557089</f>
        <v>7.221016643013801</v>
      </c>
      <c r="G2096" s="18">
        <f>E2096* 0.124687137143594</f>
        <v>1.122184234292346</v>
      </c>
      <c r="H2096" s="18">
        <f>E2096* 0.0729583279576829</f>
        <v>0.65662495161914602</v>
      </c>
    </row>
    <row r="2097" spans="1:8" ht="15.75" hidden="1" customHeight="1" x14ac:dyDescent="0.25">
      <c r="A2097" s="15" t="s">
        <v>224</v>
      </c>
      <c r="B2097" s="8"/>
      <c r="C2097" s="8"/>
      <c r="D2097" s="9"/>
      <c r="E2097" s="29"/>
    </row>
    <row r="2098" spans="1:8" ht="15.75" hidden="1" customHeight="1" x14ac:dyDescent="0.25">
      <c r="A2098" s="15" t="s">
        <v>224</v>
      </c>
      <c r="B2098" s="11" t="s">
        <v>234</v>
      </c>
      <c r="C2098" s="12" t="str">
        <f>B2098&amp;"_"&amp;A2098</f>
        <v>Cotoca_Santa Cruz</v>
      </c>
      <c r="E2098" s="22">
        <v>9029</v>
      </c>
      <c r="F2098" s="14">
        <f t="shared" ref="F2098:H2098" si="191">SUM(F2099:F2111)</f>
        <v>7960.6565608304263</v>
      </c>
      <c r="G2098" s="14">
        <f t="shared" si="191"/>
        <v>850.9386126247</v>
      </c>
      <c r="H2098" s="14">
        <f t="shared" si="191"/>
        <v>216.84967824946824</v>
      </c>
    </row>
    <row r="2099" spans="1:8" ht="15.75" hidden="1" customHeight="1" x14ac:dyDescent="0.25">
      <c r="A2099" s="15" t="s">
        <v>224</v>
      </c>
      <c r="B2099" s="11" t="s">
        <v>234</v>
      </c>
      <c r="C2099" s="15"/>
      <c r="D2099" s="16" t="s">
        <v>14</v>
      </c>
      <c r="E2099" s="23">
        <v>0</v>
      </c>
      <c r="F2099" s="20">
        <v>0</v>
      </c>
      <c r="G2099" s="24">
        <f>E2099</f>
        <v>0</v>
      </c>
      <c r="H2099" s="20">
        <v>0</v>
      </c>
    </row>
    <row r="2100" spans="1:8" ht="15.75" hidden="1" customHeight="1" x14ac:dyDescent="0.25">
      <c r="A2100" s="15" t="s">
        <v>224</v>
      </c>
      <c r="B2100" s="11" t="s">
        <v>234</v>
      </c>
      <c r="C2100" s="15"/>
      <c r="D2100" s="16" t="s">
        <v>15</v>
      </c>
      <c r="E2100" s="23">
        <v>829</v>
      </c>
      <c r="F2100" s="18">
        <f>E2100* 0.932303048052446</f>
        <v>772.87922683547777</v>
      </c>
      <c r="G2100" s="18">
        <f>E2100* 0.0217058280204555</f>
        <v>17.994131428957608</v>
      </c>
      <c r="H2100" s="18">
        <f>E2100* 0.0459798598751943</f>
        <v>38.117303836536074</v>
      </c>
    </row>
    <row r="2101" spans="1:8" ht="15.75" hidden="1" customHeight="1" x14ac:dyDescent="0.25">
      <c r="A2101" s="15" t="s">
        <v>224</v>
      </c>
      <c r="B2101" s="11" t="s">
        <v>234</v>
      </c>
      <c r="C2101" s="15"/>
      <c r="D2101" s="16" t="s">
        <v>16</v>
      </c>
      <c r="E2101" s="23">
        <v>13</v>
      </c>
      <c r="F2101" s="18">
        <f>E2101* 0.293894936109797</f>
        <v>3.8206341694273611</v>
      </c>
      <c r="G2101" s="18">
        <f>E2101* 0.663038334122101</f>
        <v>8.6194983435873134</v>
      </c>
      <c r="H2101" s="18">
        <f>E2101* 0.0430667297681022</f>
        <v>0.55986748698532862</v>
      </c>
    </row>
    <row r="2102" spans="1:8" ht="15.75" hidden="1" customHeight="1" x14ac:dyDescent="0.25">
      <c r="A2102" s="15" t="s">
        <v>224</v>
      </c>
      <c r="B2102" s="11" t="s">
        <v>234</v>
      </c>
      <c r="C2102" s="15"/>
      <c r="D2102" s="16" t="s">
        <v>11</v>
      </c>
      <c r="E2102" s="23">
        <v>424</v>
      </c>
      <c r="F2102" s="18">
        <f>E2102* 0.083479491676667</f>
        <v>35.395304470906808</v>
      </c>
      <c r="G2102" s="18">
        <f>E2102* 0.913505030924029</f>
        <v>387.32613311178829</v>
      </c>
      <c r="H2102" s="18">
        <f>E2102* 0.00292316686667282</f>
        <v>1.2394227514692757</v>
      </c>
    </row>
    <row r="2103" spans="1:8" ht="15.75" hidden="1" customHeight="1" x14ac:dyDescent="0.25">
      <c r="A2103" s="15" t="s">
        <v>224</v>
      </c>
      <c r="B2103" s="11" t="s">
        <v>234</v>
      </c>
      <c r="C2103" s="15"/>
      <c r="D2103" s="16" t="s">
        <v>17</v>
      </c>
      <c r="E2103" s="23">
        <v>374</v>
      </c>
      <c r="F2103" s="18">
        <f>E2103* 0.752045572242362</f>
        <v>281.26504401864338</v>
      </c>
      <c r="G2103" s="18">
        <f>E2103* 0.185827723114103</f>
        <v>69.499568444674523</v>
      </c>
      <c r="H2103" s="18">
        <f>E2103* 0.0620921802175039</f>
        <v>23.222475401346458</v>
      </c>
    </row>
    <row r="2104" spans="1:8" ht="15.75" hidden="1" customHeight="1" x14ac:dyDescent="0.25">
      <c r="A2104" s="15" t="s">
        <v>224</v>
      </c>
      <c r="B2104" s="11" t="s">
        <v>234</v>
      </c>
      <c r="C2104" s="15"/>
      <c r="D2104" s="16" t="s">
        <v>31</v>
      </c>
      <c r="E2104" s="23">
        <v>22</v>
      </c>
      <c r="F2104" s="18">
        <f>E2104* 0.929131175468484</f>
        <v>20.440885860306647</v>
      </c>
      <c r="G2104" s="18">
        <f>E2104* 0.0477001703577513</f>
        <v>1.0494037478705287</v>
      </c>
      <c r="H2104" s="18">
        <f>E2104* 0.0231686541737649</f>
        <v>0.50971039182282774</v>
      </c>
    </row>
    <row r="2105" spans="1:8" ht="15.75" hidden="1" customHeight="1" x14ac:dyDescent="0.25">
      <c r="A2105" s="15" t="s">
        <v>224</v>
      </c>
      <c r="B2105" s="11" t="s">
        <v>234</v>
      </c>
      <c r="C2105" s="15"/>
      <c r="D2105" s="16" t="s">
        <v>18</v>
      </c>
      <c r="E2105" s="23">
        <v>196</v>
      </c>
      <c r="F2105" s="18">
        <f>E2105* 0.893702527830246</f>
        <v>175.16569545472819</v>
      </c>
      <c r="G2105" s="18">
        <f>E2105* 0.0946831169875015</f>
        <v>18.557890929550293</v>
      </c>
      <c r="H2105" s="18">
        <f>E2105* 0.0116143551822529</f>
        <v>2.2764136157215686</v>
      </c>
    </row>
    <row r="2106" spans="1:8" ht="15.75" hidden="1" customHeight="1" x14ac:dyDescent="0.25">
      <c r="A2106" s="15" t="s">
        <v>224</v>
      </c>
      <c r="B2106" s="11" t="s">
        <v>234</v>
      </c>
      <c r="C2106" s="15"/>
      <c r="D2106" s="16" t="s">
        <v>19</v>
      </c>
      <c r="E2106" s="23">
        <v>45</v>
      </c>
      <c r="F2106" s="18">
        <f>E2106* 0.0299845873616365</f>
        <v>1.3493064312736425</v>
      </c>
      <c r="G2106" s="18">
        <f>E2106* 0.96385035729298</f>
        <v>43.373266078184102</v>
      </c>
      <c r="H2106" s="18">
        <f>E2106* 0.00616505534538321</f>
        <v>0.27742749054224447</v>
      </c>
    </row>
    <row r="2107" spans="1:8" ht="15.75" hidden="1" customHeight="1" x14ac:dyDescent="0.25">
      <c r="A2107" s="15" t="s">
        <v>224</v>
      </c>
      <c r="B2107" s="11" t="s">
        <v>234</v>
      </c>
      <c r="C2107" s="15"/>
      <c r="D2107" s="16" t="s">
        <v>20</v>
      </c>
      <c r="E2107" s="23">
        <v>65</v>
      </c>
      <c r="F2107" s="18">
        <f>E2107* 0.734251968503937</f>
        <v>47.726377952755911</v>
      </c>
      <c r="G2107" s="18">
        <f>E2107* 0.158017179670723</f>
        <v>10.271116678596997</v>
      </c>
      <c r="H2107" s="18">
        <f>E2107* 0.107551896921976</f>
        <v>6.99087329992844</v>
      </c>
    </row>
    <row r="2108" spans="1:8" ht="15.75" hidden="1" customHeight="1" x14ac:dyDescent="0.25">
      <c r="A2108" s="15" t="s">
        <v>224</v>
      </c>
      <c r="B2108" s="11" t="s">
        <v>234</v>
      </c>
      <c r="C2108" s="15"/>
      <c r="D2108" s="16" t="s">
        <v>21</v>
      </c>
      <c r="E2108" s="23">
        <v>5019</v>
      </c>
      <c r="F2108" s="18">
        <f>E2108* 0.999727092353423</f>
        <v>5017.6302765218306</v>
      </c>
      <c r="G2108" s="18">
        <f>E2108* 0.0000516311763794744</f>
        <v>0.25913687424858201</v>
      </c>
      <c r="H2108" s="18">
        <f>E2108* 0.000132765882118648</f>
        <v>0.66635196235349436</v>
      </c>
    </row>
    <row r="2109" spans="1:8" ht="15.75" hidden="1" customHeight="1" x14ac:dyDescent="0.25">
      <c r="A2109" s="15" t="s">
        <v>224</v>
      </c>
      <c r="B2109" s="11" t="s">
        <v>234</v>
      </c>
      <c r="C2109" s="15"/>
      <c r="D2109" s="16" t="s">
        <v>36</v>
      </c>
      <c r="E2109" s="23">
        <v>34</v>
      </c>
      <c r="F2109" s="18">
        <f>E2109* 0.995894428152493</f>
        <v>33.860410557184764</v>
      </c>
      <c r="G2109" s="18">
        <f>E2109* 0.000586510263929619</f>
        <v>1.9941348973607047E-2</v>
      </c>
      <c r="H2109" s="18">
        <f>E2109* 0.00351906158357771</f>
        <v>0.11964809384164214</v>
      </c>
    </row>
    <row r="2110" spans="1:8" ht="15.75" hidden="1" customHeight="1" x14ac:dyDescent="0.25">
      <c r="A2110" s="15" t="s">
        <v>224</v>
      </c>
      <c r="B2110" s="11" t="s">
        <v>234</v>
      </c>
      <c r="C2110" s="15"/>
      <c r="D2110" s="16" t="s">
        <v>148</v>
      </c>
      <c r="E2110" s="23">
        <v>50</v>
      </c>
      <c r="F2110" s="18">
        <f>E2110* 0.00302222222222222</f>
        <v>0.151111111111111</v>
      </c>
      <c r="G2110" s="18">
        <f>E2110* 0.996622222222222</f>
        <v>49.831111111111099</v>
      </c>
      <c r="H2110" s="18">
        <f>E2110* 0.000355555555555556</f>
        <v>1.7777777777777802E-2</v>
      </c>
    </row>
    <row r="2111" spans="1:8" ht="15.75" hidden="1" customHeight="1" x14ac:dyDescent="0.25">
      <c r="A2111" s="15" t="s">
        <v>224</v>
      </c>
      <c r="B2111" s="11" t="s">
        <v>234</v>
      </c>
      <c r="C2111" s="15"/>
      <c r="D2111" s="16" t="s">
        <v>12</v>
      </c>
      <c r="E2111" s="23">
        <v>1958</v>
      </c>
      <c r="F2111" s="18">
        <f>E2111* 0.802335182557089</f>
        <v>1570.9722874467802</v>
      </c>
      <c r="G2111" s="18">
        <f>E2111* 0.124687137143594</f>
        <v>244.13741452715706</v>
      </c>
      <c r="H2111" s="18">
        <f>E2111* 0.0729583279576829</f>
        <v>142.85240614114312</v>
      </c>
    </row>
    <row r="2112" spans="1:8" ht="15.75" hidden="1" customHeight="1" x14ac:dyDescent="0.25">
      <c r="A2112" s="15" t="s">
        <v>224</v>
      </c>
      <c r="B2112" s="21"/>
      <c r="C2112" s="21"/>
      <c r="D2112" s="16"/>
      <c r="E2112" s="29"/>
    </row>
    <row r="2113" spans="1:8" ht="15.75" hidden="1" customHeight="1" x14ac:dyDescent="0.25">
      <c r="A2113" s="15" t="s">
        <v>224</v>
      </c>
      <c r="B2113" s="11" t="s">
        <v>235</v>
      </c>
      <c r="C2113" s="12" t="str">
        <f>B2113&amp;"_"&amp;A2113</f>
        <v>Cuatro Cañadas_Santa Cruz</v>
      </c>
      <c r="E2113" s="22">
        <v>962</v>
      </c>
      <c r="F2113" s="14">
        <f t="shared" ref="F2113:H2113" si="192">SUM(F2114:F2126)</f>
        <v>798.12331969525792</v>
      </c>
      <c r="G2113" s="14">
        <f t="shared" si="192"/>
        <v>126.33050033118204</v>
      </c>
      <c r="H2113" s="14">
        <f t="shared" si="192"/>
        <v>37.495104911366624</v>
      </c>
    </row>
    <row r="2114" spans="1:8" ht="15.75" hidden="1" customHeight="1" x14ac:dyDescent="0.25">
      <c r="A2114" s="15" t="s">
        <v>224</v>
      </c>
      <c r="B2114" s="11" t="s">
        <v>235</v>
      </c>
      <c r="C2114" s="15"/>
      <c r="D2114" s="16" t="s">
        <v>14</v>
      </c>
      <c r="E2114" s="23">
        <v>0</v>
      </c>
      <c r="F2114" s="20">
        <v>0</v>
      </c>
      <c r="G2114" s="24">
        <f>E2114</f>
        <v>0</v>
      </c>
      <c r="H2114" s="20">
        <v>0</v>
      </c>
    </row>
    <row r="2115" spans="1:8" ht="15.75" hidden="1" customHeight="1" x14ac:dyDescent="0.25">
      <c r="A2115" s="15" t="s">
        <v>224</v>
      </c>
      <c r="B2115" s="11" t="s">
        <v>235</v>
      </c>
      <c r="C2115" s="15"/>
      <c r="D2115" s="16" t="s">
        <v>15</v>
      </c>
      <c r="E2115" s="23">
        <v>25</v>
      </c>
      <c r="F2115" s="18">
        <f>E2115* 0.932303048052446</f>
        <v>23.30757620131115</v>
      </c>
      <c r="G2115" s="18">
        <f>E2115* 0.0217058280204555</f>
        <v>0.5426457005113875</v>
      </c>
      <c r="H2115" s="18">
        <f>E2115* 0.0459798598751943</f>
        <v>1.1494964968798573</v>
      </c>
    </row>
    <row r="2116" spans="1:8" ht="15.75" hidden="1" customHeight="1" x14ac:dyDescent="0.25">
      <c r="A2116" s="15" t="s">
        <v>224</v>
      </c>
      <c r="B2116" s="11" t="s">
        <v>235</v>
      </c>
      <c r="C2116" s="15"/>
      <c r="D2116" s="16" t="s">
        <v>16</v>
      </c>
      <c r="E2116" s="23">
        <v>0</v>
      </c>
      <c r="F2116" s="18">
        <f>E2116* 0.293894936109797</f>
        <v>0</v>
      </c>
      <c r="G2116" s="18">
        <f>E2116* 0.663038334122101</f>
        <v>0</v>
      </c>
      <c r="H2116" s="18">
        <f>E2116* 0.0430667297681022</f>
        <v>0</v>
      </c>
    </row>
    <row r="2117" spans="1:8" ht="15.75" hidden="1" customHeight="1" x14ac:dyDescent="0.25">
      <c r="A2117" s="15" t="s">
        <v>224</v>
      </c>
      <c r="B2117" s="11" t="s">
        <v>235</v>
      </c>
      <c r="C2117" s="15"/>
      <c r="D2117" s="16" t="s">
        <v>11</v>
      </c>
      <c r="E2117" s="23">
        <v>61</v>
      </c>
      <c r="F2117" s="18">
        <f>E2117* 0.083479491676667</f>
        <v>5.0922489922766871</v>
      </c>
      <c r="G2117" s="18">
        <f>E2117* 0.913505030924029</f>
        <v>55.723806886365772</v>
      </c>
      <c r="H2117" s="18">
        <f>E2117* 0.00292316686667282</f>
        <v>0.17831317886704201</v>
      </c>
    </row>
    <row r="2118" spans="1:8" ht="15.75" hidden="1" customHeight="1" x14ac:dyDescent="0.25">
      <c r="A2118" s="15" t="s">
        <v>224</v>
      </c>
      <c r="B2118" s="11" t="s">
        <v>235</v>
      </c>
      <c r="C2118" s="15"/>
      <c r="D2118" s="16" t="s">
        <v>17</v>
      </c>
      <c r="E2118" s="23">
        <v>65</v>
      </c>
      <c r="F2118" s="18">
        <f>E2118* 0.752045572242362</f>
        <v>48.882962195753528</v>
      </c>
      <c r="G2118" s="18">
        <f>E2118* 0.185827723114103</f>
        <v>12.078802002416696</v>
      </c>
      <c r="H2118" s="18">
        <f>E2118* 0.0620921802175039</f>
        <v>4.0359917141377535</v>
      </c>
    </row>
    <row r="2119" spans="1:8" ht="15.75" hidden="1" customHeight="1" x14ac:dyDescent="0.25">
      <c r="A2119" s="15" t="s">
        <v>224</v>
      </c>
      <c r="B2119" s="11" t="s">
        <v>235</v>
      </c>
      <c r="C2119" s="15"/>
      <c r="D2119" s="16" t="s">
        <v>31</v>
      </c>
      <c r="E2119" s="23">
        <v>1</v>
      </c>
      <c r="F2119" s="18">
        <f>E2119* 0.929131175468484</f>
        <v>0.92913117546848401</v>
      </c>
      <c r="G2119" s="18">
        <f>E2119* 0.0477001703577513</f>
        <v>4.7700170357751301E-2</v>
      </c>
      <c r="H2119" s="18">
        <f>E2119* 0.0231686541737649</f>
        <v>2.3168654173764899E-2</v>
      </c>
    </row>
    <row r="2120" spans="1:8" ht="15.75" hidden="1" customHeight="1" x14ac:dyDescent="0.25">
      <c r="A2120" s="15" t="s">
        <v>224</v>
      </c>
      <c r="B2120" s="11" t="s">
        <v>235</v>
      </c>
      <c r="C2120" s="15"/>
      <c r="D2120" s="16" t="s">
        <v>18</v>
      </c>
      <c r="E2120" s="23">
        <v>7</v>
      </c>
      <c r="F2120" s="18">
        <f>E2120* 0.893702527830246</f>
        <v>6.2559176948117212</v>
      </c>
      <c r="G2120" s="18">
        <f>E2120* 0.0946831169875015</f>
        <v>0.66278181891251042</v>
      </c>
      <c r="H2120" s="18">
        <f>E2120* 0.0116143551822529</f>
        <v>8.1300486275770301E-2</v>
      </c>
    </row>
    <row r="2121" spans="1:8" ht="15.75" hidden="1" customHeight="1" x14ac:dyDescent="0.25">
      <c r="A2121" s="15" t="s">
        <v>224</v>
      </c>
      <c r="B2121" s="11" t="s">
        <v>235</v>
      </c>
      <c r="C2121" s="15"/>
      <c r="D2121" s="16" t="s">
        <v>19</v>
      </c>
      <c r="E2121" s="23">
        <v>1</v>
      </c>
      <c r="F2121" s="18">
        <f>E2121* 0.0299845873616365</f>
        <v>2.9984587361636499E-2</v>
      </c>
      <c r="G2121" s="18">
        <f>E2121* 0.96385035729298</f>
        <v>0.96385035729297996</v>
      </c>
      <c r="H2121" s="18">
        <f>E2121* 0.00616505534538321</f>
        <v>6.1650553453832099E-3</v>
      </c>
    </row>
    <row r="2122" spans="1:8" ht="15.75" hidden="1" customHeight="1" x14ac:dyDescent="0.25">
      <c r="A2122" s="15" t="s">
        <v>224</v>
      </c>
      <c r="B2122" s="11" t="s">
        <v>235</v>
      </c>
      <c r="C2122" s="15"/>
      <c r="D2122" s="16" t="s">
        <v>20</v>
      </c>
      <c r="E2122" s="23">
        <v>13</v>
      </c>
      <c r="F2122" s="18">
        <f>E2122* 0.734251968503937</f>
        <v>9.5452755905511815</v>
      </c>
      <c r="G2122" s="18">
        <f>E2122* 0.158017179670723</f>
        <v>2.0542233357193993</v>
      </c>
      <c r="H2122" s="18">
        <f>E2122* 0.107551896921976</f>
        <v>1.3981746599856881</v>
      </c>
    </row>
    <row r="2123" spans="1:8" ht="15.75" hidden="1" customHeight="1" x14ac:dyDescent="0.25">
      <c r="A2123" s="15" t="s">
        <v>224</v>
      </c>
      <c r="B2123" s="11" t="s">
        <v>235</v>
      </c>
      <c r="C2123" s="15"/>
      <c r="D2123" s="16" t="s">
        <v>21</v>
      </c>
      <c r="E2123" s="23">
        <v>367</v>
      </c>
      <c r="F2123" s="18">
        <f>E2123* 0.999727092353423</f>
        <v>366.89984289370625</v>
      </c>
      <c r="G2123" s="18">
        <f>E2123* 0.0000516311763794744</f>
        <v>1.8948641731267105E-2</v>
      </c>
      <c r="H2123" s="18">
        <f>E2123* 0.000132765882118648</f>
        <v>4.8725078737543816E-2</v>
      </c>
    </row>
    <row r="2124" spans="1:8" ht="15.75" hidden="1" customHeight="1" x14ac:dyDescent="0.25">
      <c r="A2124" s="15" t="s">
        <v>224</v>
      </c>
      <c r="B2124" s="11" t="s">
        <v>235</v>
      </c>
      <c r="C2124" s="15"/>
      <c r="D2124" s="16" t="s">
        <v>36</v>
      </c>
      <c r="E2124" s="23">
        <v>1</v>
      </c>
      <c r="F2124" s="18">
        <f>E2124* 0.995894428152493</f>
        <v>0.99589442815249296</v>
      </c>
      <c r="G2124" s="18">
        <f>E2124* 0.000586510263929619</f>
        <v>5.8651026392961898E-4</v>
      </c>
      <c r="H2124" s="18">
        <f>E2124* 0.00351906158357771</f>
        <v>3.51906158357771E-3</v>
      </c>
    </row>
    <row r="2125" spans="1:8" ht="15.75" hidden="1" customHeight="1" x14ac:dyDescent="0.25">
      <c r="A2125" s="15" t="s">
        <v>224</v>
      </c>
      <c r="B2125" s="11" t="s">
        <v>235</v>
      </c>
      <c r="C2125" s="15"/>
      <c r="D2125" s="16" t="s">
        <v>148</v>
      </c>
      <c r="E2125" s="23">
        <v>2</v>
      </c>
      <c r="F2125" s="18">
        <f>E2125* 0.00302222222222222</f>
        <v>6.04444444444444E-3</v>
      </c>
      <c r="G2125" s="18">
        <f>E2125* 0.996622222222222</f>
        <v>1.9932444444444439</v>
      </c>
      <c r="H2125" s="18">
        <f>E2125* 0.000355555555555556</f>
        <v>7.1111111111111201E-4</v>
      </c>
    </row>
    <row r="2126" spans="1:8" ht="15.75" hidden="1" customHeight="1" x14ac:dyDescent="0.25">
      <c r="A2126" s="15" t="s">
        <v>224</v>
      </c>
      <c r="B2126" s="11" t="s">
        <v>235</v>
      </c>
      <c r="C2126" s="15"/>
      <c r="D2126" s="16" t="s">
        <v>12</v>
      </c>
      <c r="E2126" s="23">
        <v>419</v>
      </c>
      <c r="F2126" s="18">
        <f>E2126* 0.802335182557089</f>
        <v>336.1784414914203</v>
      </c>
      <c r="G2126" s="18">
        <f>E2126* 0.124687137143594</f>
        <v>52.243910463165889</v>
      </c>
      <c r="H2126" s="18">
        <f>E2126* 0.0729583279576829</f>
        <v>30.569539414269133</v>
      </c>
    </row>
    <row r="2127" spans="1:8" ht="15.75" hidden="1" customHeight="1" x14ac:dyDescent="0.25">
      <c r="A2127" s="15" t="s">
        <v>224</v>
      </c>
      <c r="B2127" s="8"/>
      <c r="C2127" s="8"/>
      <c r="D2127" s="9"/>
      <c r="E2127" s="29"/>
    </row>
    <row r="2128" spans="1:8" ht="15.75" hidden="1" customHeight="1" x14ac:dyDescent="0.25">
      <c r="A2128" s="15" t="s">
        <v>224</v>
      </c>
      <c r="B2128" s="11" t="s">
        <v>236</v>
      </c>
      <c r="C2128" s="12" t="str">
        <f>B2128&amp;"_"&amp;A2128</f>
        <v>Cuevo_Santa Cruz</v>
      </c>
      <c r="E2128" s="22">
        <v>1</v>
      </c>
      <c r="F2128" s="14">
        <f t="shared" ref="F2128:H2128" si="193">SUM(F2129:F2136)</f>
        <v>0.80233518255708902</v>
      </c>
      <c r="G2128" s="14">
        <f t="shared" si="193"/>
        <v>0.124687137143594</v>
      </c>
      <c r="H2128" s="14">
        <f t="shared" si="193"/>
        <v>7.2958327957682895E-2</v>
      </c>
    </row>
    <row r="2129" spans="1:8" ht="15.75" hidden="1" customHeight="1" x14ac:dyDescent="0.25">
      <c r="A2129" s="15" t="s">
        <v>224</v>
      </c>
      <c r="B2129" s="11" t="s">
        <v>236</v>
      </c>
      <c r="C2129" s="15"/>
      <c r="D2129" s="16" t="s">
        <v>15</v>
      </c>
      <c r="E2129" s="23">
        <v>0</v>
      </c>
      <c r="F2129" s="18">
        <f>E2129* 0.932303048052446</f>
        <v>0</v>
      </c>
      <c r="G2129" s="18">
        <f>E2129* 0.0217058280204555</f>
        <v>0</v>
      </c>
      <c r="H2129" s="18">
        <f>E2129* 0.0459798598751943</f>
        <v>0</v>
      </c>
    </row>
    <row r="2130" spans="1:8" ht="15.75" hidden="1" customHeight="1" x14ac:dyDescent="0.25">
      <c r="A2130" s="15" t="s">
        <v>224</v>
      </c>
      <c r="B2130" s="11" t="s">
        <v>236</v>
      </c>
      <c r="C2130" s="15"/>
      <c r="D2130" s="16" t="s">
        <v>11</v>
      </c>
      <c r="E2130" s="23">
        <v>0</v>
      </c>
      <c r="F2130" s="18">
        <f>E2130* 0.083479491676667</f>
        <v>0</v>
      </c>
      <c r="G2130" s="18">
        <f>E2130* 0.913505030924029</f>
        <v>0</v>
      </c>
      <c r="H2130" s="18">
        <f>E2130* 0.00292316686667282</f>
        <v>0</v>
      </c>
    </row>
    <row r="2131" spans="1:8" ht="15.75" hidden="1" customHeight="1" x14ac:dyDescent="0.25">
      <c r="A2131" s="15" t="s">
        <v>224</v>
      </c>
      <c r="B2131" s="11" t="s">
        <v>236</v>
      </c>
      <c r="C2131" s="15"/>
      <c r="D2131" s="16" t="s">
        <v>17</v>
      </c>
      <c r="E2131" s="23">
        <v>0</v>
      </c>
      <c r="F2131" s="18">
        <f>E2131* 0.752045572242362</f>
        <v>0</v>
      </c>
      <c r="G2131" s="18">
        <f>E2131* 0.185827723114103</f>
        <v>0</v>
      </c>
      <c r="H2131" s="18">
        <f>E2131* 0.0620921802175039</f>
        <v>0</v>
      </c>
    </row>
    <row r="2132" spans="1:8" ht="15.75" hidden="1" customHeight="1" x14ac:dyDescent="0.25">
      <c r="A2132" s="15" t="s">
        <v>224</v>
      </c>
      <c r="B2132" s="11" t="s">
        <v>236</v>
      </c>
      <c r="C2132" s="15"/>
      <c r="D2132" s="16" t="s">
        <v>31</v>
      </c>
      <c r="E2132" s="23">
        <v>0</v>
      </c>
      <c r="F2132" s="18">
        <f>E2132* 0.929131175468484</f>
        <v>0</v>
      </c>
      <c r="G2132" s="18">
        <f>E2132* 0.0477001703577513</f>
        <v>0</v>
      </c>
      <c r="H2132" s="18">
        <f>E2132* 0.0231686541737649</f>
        <v>0</v>
      </c>
    </row>
    <row r="2133" spans="1:8" ht="15.75" hidden="1" customHeight="1" x14ac:dyDescent="0.25">
      <c r="A2133" s="15" t="s">
        <v>224</v>
      </c>
      <c r="B2133" s="11" t="s">
        <v>236</v>
      </c>
      <c r="C2133" s="15"/>
      <c r="D2133" s="16" t="s">
        <v>18</v>
      </c>
      <c r="E2133" s="23">
        <v>0</v>
      </c>
      <c r="F2133" s="18">
        <f>E2133* 0.893702527830246</f>
        <v>0</v>
      </c>
      <c r="G2133" s="18">
        <f>E2133* 0.0946831169875015</f>
        <v>0</v>
      </c>
      <c r="H2133" s="18">
        <f>E2133* 0.0116143551822529</f>
        <v>0</v>
      </c>
    </row>
    <row r="2134" spans="1:8" ht="15.75" hidden="1" customHeight="1" x14ac:dyDescent="0.25">
      <c r="A2134" s="15" t="s">
        <v>224</v>
      </c>
      <c r="B2134" s="11" t="s">
        <v>236</v>
      </c>
      <c r="C2134" s="15"/>
      <c r="D2134" s="16" t="s">
        <v>20</v>
      </c>
      <c r="E2134" s="23">
        <v>0</v>
      </c>
      <c r="F2134" s="18">
        <f>E2134* 0.734251968503937</f>
        <v>0</v>
      </c>
      <c r="G2134" s="18">
        <f>E2134* 0.158017179670723</f>
        <v>0</v>
      </c>
      <c r="H2134" s="18">
        <f>E2134* 0.107551896921976</f>
        <v>0</v>
      </c>
    </row>
    <row r="2135" spans="1:8" ht="15.75" hidden="1" customHeight="1" x14ac:dyDescent="0.25">
      <c r="A2135" s="15" t="s">
        <v>224</v>
      </c>
      <c r="B2135" s="11" t="s">
        <v>236</v>
      </c>
      <c r="C2135" s="15"/>
      <c r="D2135" s="16" t="s">
        <v>21</v>
      </c>
      <c r="E2135" s="23">
        <v>0</v>
      </c>
      <c r="F2135" s="18">
        <f>E2135* 0.999727092353423</f>
        <v>0</v>
      </c>
      <c r="G2135" s="18">
        <f>E2135* 0.0000516311763794744</f>
        <v>0</v>
      </c>
      <c r="H2135" s="18">
        <f>E2135* 0.000132765882118648</f>
        <v>0</v>
      </c>
    </row>
    <row r="2136" spans="1:8" ht="15.75" hidden="1" customHeight="1" x14ac:dyDescent="0.25">
      <c r="A2136" s="15" t="s">
        <v>224</v>
      </c>
      <c r="B2136" s="11" t="s">
        <v>236</v>
      </c>
      <c r="C2136" s="15"/>
      <c r="D2136" s="16" t="s">
        <v>12</v>
      </c>
      <c r="E2136" s="23">
        <v>1</v>
      </c>
      <c r="F2136" s="18">
        <f>E2136* 0.802335182557089</f>
        <v>0.80233518255708902</v>
      </c>
      <c r="G2136" s="18">
        <f>E2136* 0.124687137143594</f>
        <v>0.124687137143594</v>
      </c>
      <c r="H2136" s="18">
        <f>E2136* 0.0729583279576829</f>
        <v>7.2958327957682895E-2</v>
      </c>
    </row>
    <row r="2137" spans="1:8" ht="15.75" hidden="1" customHeight="1" x14ac:dyDescent="0.25">
      <c r="A2137" s="15" t="s">
        <v>224</v>
      </c>
      <c r="B2137" s="8"/>
      <c r="C2137" s="8"/>
      <c r="D2137" s="9"/>
      <c r="E2137" s="29"/>
    </row>
    <row r="2138" spans="1:8" ht="15.75" hidden="1" customHeight="1" x14ac:dyDescent="0.25">
      <c r="A2138" s="15" t="s">
        <v>224</v>
      </c>
      <c r="B2138" s="11" t="s">
        <v>237</v>
      </c>
      <c r="C2138" s="12" t="str">
        <f>B2138&amp;"_"&amp;A2138</f>
        <v>El Torno_Santa Cruz</v>
      </c>
      <c r="E2138" s="22">
        <v>6068</v>
      </c>
      <c r="F2138" s="14">
        <f t="shared" ref="F2138:H2138" si="194">SUM(F2139:F2151)</f>
        <v>5228.9106184398315</v>
      </c>
      <c r="G2138" s="14">
        <f t="shared" si="194"/>
        <v>720.47079762266821</v>
      </c>
      <c r="H2138" s="14">
        <f t="shared" si="194"/>
        <v>118.20720794096405</v>
      </c>
    </row>
    <row r="2139" spans="1:8" ht="15.75" hidden="1" customHeight="1" x14ac:dyDescent="0.25">
      <c r="A2139" s="15" t="s">
        <v>224</v>
      </c>
      <c r="B2139" s="11" t="s">
        <v>237</v>
      </c>
      <c r="C2139" s="15"/>
      <c r="D2139" s="16" t="s">
        <v>14</v>
      </c>
      <c r="E2139" s="23">
        <v>0</v>
      </c>
      <c r="F2139" s="20">
        <v>0</v>
      </c>
      <c r="G2139" s="24">
        <f>E2139</f>
        <v>0</v>
      </c>
      <c r="H2139" s="20">
        <v>0</v>
      </c>
    </row>
    <row r="2140" spans="1:8" ht="15.75" hidden="1" customHeight="1" x14ac:dyDescent="0.25">
      <c r="A2140" s="15" t="s">
        <v>224</v>
      </c>
      <c r="B2140" s="11" t="s">
        <v>237</v>
      </c>
      <c r="C2140" s="15"/>
      <c r="D2140" s="16" t="s">
        <v>15</v>
      </c>
      <c r="E2140" s="23">
        <v>212</v>
      </c>
      <c r="F2140" s="18">
        <f>E2140* 0.932303048052446</f>
        <v>197.64824618711856</v>
      </c>
      <c r="G2140" s="18">
        <f>E2140* 0.0217058280204555</f>
        <v>4.6016355403365656</v>
      </c>
      <c r="H2140" s="18">
        <f>E2140* 0.0459798598751943</f>
        <v>9.7477302935411902</v>
      </c>
    </row>
    <row r="2141" spans="1:8" ht="15.75" hidden="1" customHeight="1" x14ac:dyDescent="0.25">
      <c r="A2141" s="15" t="s">
        <v>224</v>
      </c>
      <c r="B2141" s="11" t="s">
        <v>237</v>
      </c>
      <c r="C2141" s="15"/>
      <c r="D2141" s="16" t="s">
        <v>16</v>
      </c>
      <c r="E2141" s="23">
        <v>14</v>
      </c>
      <c r="F2141" s="18">
        <f>E2141* 0.293894936109797</f>
        <v>4.1145291055371578</v>
      </c>
      <c r="G2141" s="18">
        <f>E2141* 0.663038334122101</f>
        <v>9.2825366777094143</v>
      </c>
      <c r="H2141" s="18">
        <f>E2141* 0.0430667297681022</f>
        <v>0.60293421675343073</v>
      </c>
    </row>
    <row r="2142" spans="1:8" ht="15.75" hidden="1" customHeight="1" x14ac:dyDescent="0.25">
      <c r="A2142" s="15" t="s">
        <v>224</v>
      </c>
      <c r="B2142" s="11" t="s">
        <v>237</v>
      </c>
      <c r="C2142" s="15"/>
      <c r="D2142" s="16" t="s">
        <v>11</v>
      </c>
      <c r="E2142" s="23">
        <v>475</v>
      </c>
      <c r="F2142" s="18">
        <f>E2142* 0.083479491676667</f>
        <v>39.652758546416827</v>
      </c>
      <c r="G2142" s="18">
        <f>E2142* 0.913505030924029</f>
        <v>433.91488968891377</v>
      </c>
      <c r="H2142" s="18">
        <f>E2142* 0.00292316686667282</f>
        <v>1.3885042616695895</v>
      </c>
    </row>
    <row r="2143" spans="1:8" ht="15.75" hidden="1" customHeight="1" x14ac:dyDescent="0.25">
      <c r="A2143" s="15" t="s">
        <v>224</v>
      </c>
      <c r="B2143" s="11" t="s">
        <v>237</v>
      </c>
      <c r="C2143" s="15"/>
      <c r="D2143" s="16" t="s">
        <v>17</v>
      </c>
      <c r="E2143" s="23">
        <v>211</v>
      </c>
      <c r="F2143" s="18">
        <f>E2143* 0.752045572242362</f>
        <v>158.68161574313839</v>
      </c>
      <c r="G2143" s="18">
        <f>E2143* 0.185827723114103</f>
        <v>39.209649577075737</v>
      </c>
      <c r="H2143" s="18">
        <f>E2143* 0.0620921802175039</f>
        <v>13.101450025893323</v>
      </c>
    </row>
    <row r="2144" spans="1:8" ht="15.75" hidden="1" customHeight="1" x14ac:dyDescent="0.25">
      <c r="A2144" s="15" t="s">
        <v>224</v>
      </c>
      <c r="B2144" s="11" t="s">
        <v>237</v>
      </c>
      <c r="C2144" s="15"/>
      <c r="D2144" s="16" t="s">
        <v>31</v>
      </c>
      <c r="E2144" s="23">
        <v>1</v>
      </c>
      <c r="F2144" s="18">
        <f>E2144* 0.929131175468484</f>
        <v>0.92913117546848401</v>
      </c>
      <c r="G2144" s="18">
        <f>E2144* 0.0477001703577513</f>
        <v>4.7700170357751301E-2</v>
      </c>
      <c r="H2144" s="18">
        <f>E2144* 0.0231686541737649</f>
        <v>2.3168654173764899E-2</v>
      </c>
    </row>
    <row r="2145" spans="1:8" ht="15.75" hidden="1" customHeight="1" x14ac:dyDescent="0.25">
      <c r="A2145" s="15" t="s">
        <v>224</v>
      </c>
      <c r="B2145" s="11" t="s">
        <v>237</v>
      </c>
      <c r="C2145" s="15"/>
      <c r="D2145" s="16" t="s">
        <v>18</v>
      </c>
      <c r="E2145" s="23">
        <v>93</v>
      </c>
      <c r="F2145" s="18">
        <f>E2145* 0.893702527830246</f>
        <v>83.114335088212869</v>
      </c>
      <c r="G2145" s="18">
        <f>E2145* 0.0946831169875015</f>
        <v>8.8055298798376391</v>
      </c>
      <c r="H2145" s="18">
        <f>E2145* 0.0116143551822529</f>
        <v>1.0801350319495198</v>
      </c>
    </row>
    <row r="2146" spans="1:8" ht="15.75" hidden="1" customHeight="1" x14ac:dyDescent="0.25">
      <c r="A2146" s="15" t="s">
        <v>224</v>
      </c>
      <c r="B2146" s="11" t="s">
        <v>237</v>
      </c>
      <c r="C2146" s="15"/>
      <c r="D2146" s="16" t="s">
        <v>19</v>
      </c>
      <c r="E2146" s="23">
        <v>39</v>
      </c>
      <c r="F2146" s="18">
        <f>E2146* 0.0299845873616365</f>
        <v>1.1693989071038235</v>
      </c>
      <c r="G2146" s="18">
        <f>E2146* 0.96385035729298</f>
        <v>37.590163934426215</v>
      </c>
      <c r="H2146" s="18">
        <f>E2146* 0.00616505534538321</f>
        <v>0.24043715846994518</v>
      </c>
    </row>
    <row r="2147" spans="1:8" ht="15.75" hidden="1" customHeight="1" x14ac:dyDescent="0.25">
      <c r="A2147" s="15" t="s">
        <v>224</v>
      </c>
      <c r="B2147" s="11" t="s">
        <v>237</v>
      </c>
      <c r="C2147" s="15"/>
      <c r="D2147" s="16" t="s">
        <v>20</v>
      </c>
      <c r="E2147" s="23">
        <v>17</v>
      </c>
      <c r="F2147" s="18">
        <f>E2147* 0.734251968503937</f>
        <v>12.48228346456693</v>
      </c>
      <c r="G2147" s="18">
        <f>E2147* 0.158017179670723</f>
        <v>2.686292054402291</v>
      </c>
      <c r="H2147" s="18">
        <f>E2147* 0.107551896921976</f>
        <v>1.828382247673592</v>
      </c>
    </row>
    <row r="2148" spans="1:8" ht="15.75" hidden="1" customHeight="1" x14ac:dyDescent="0.25">
      <c r="A2148" s="15" t="s">
        <v>224</v>
      </c>
      <c r="B2148" s="11" t="s">
        <v>237</v>
      </c>
      <c r="C2148" s="15"/>
      <c r="D2148" s="16" t="s">
        <v>21</v>
      </c>
      <c r="E2148" s="23">
        <v>3740</v>
      </c>
      <c r="F2148" s="18">
        <f>E2148* 0.999727092353423</f>
        <v>3738.9793254018023</v>
      </c>
      <c r="G2148" s="18">
        <f>E2148* 0.0000516311763794744</f>
        <v>0.19310059965923426</v>
      </c>
      <c r="H2148" s="18">
        <f>E2148* 0.000132765882118648</f>
        <v>0.49654439912374354</v>
      </c>
    </row>
    <row r="2149" spans="1:8" ht="15.75" hidden="1" customHeight="1" x14ac:dyDescent="0.25">
      <c r="A2149" s="15" t="s">
        <v>224</v>
      </c>
      <c r="B2149" s="11" t="s">
        <v>237</v>
      </c>
      <c r="C2149" s="15"/>
      <c r="D2149" s="16" t="s">
        <v>36</v>
      </c>
      <c r="E2149" s="23">
        <v>6</v>
      </c>
      <c r="F2149" s="18">
        <f>E2149* 0.995894428152493</f>
        <v>5.975366568914958</v>
      </c>
      <c r="G2149" s="18">
        <f>E2149* 0.000586510263929619</f>
        <v>3.5190615835777139E-3</v>
      </c>
      <c r="H2149" s="18">
        <f>E2149* 0.00351906158357771</f>
        <v>2.1114369501466258E-2</v>
      </c>
    </row>
    <row r="2150" spans="1:8" ht="15.75" hidden="1" customHeight="1" x14ac:dyDescent="0.25">
      <c r="A2150" s="15" t="s">
        <v>224</v>
      </c>
      <c r="B2150" s="11" t="s">
        <v>237</v>
      </c>
      <c r="C2150" s="15"/>
      <c r="D2150" s="16" t="s">
        <v>28</v>
      </c>
      <c r="E2150" s="23">
        <v>31</v>
      </c>
      <c r="F2150" s="18">
        <f>E2150* 0.00302222222222222</f>
        <v>9.3688888888888822E-2</v>
      </c>
      <c r="G2150" s="18">
        <f>E2150* 0.996622222222222</f>
        <v>30.895288888888881</v>
      </c>
      <c r="H2150" s="18">
        <f>E2150* 0.000355555555555556</f>
        <v>1.1022222222222235E-2</v>
      </c>
    </row>
    <row r="2151" spans="1:8" ht="15.75" hidden="1" customHeight="1" x14ac:dyDescent="0.25">
      <c r="A2151" s="15" t="s">
        <v>224</v>
      </c>
      <c r="B2151" s="11" t="s">
        <v>237</v>
      </c>
      <c r="C2151" s="15"/>
      <c r="D2151" s="16" t="s">
        <v>12</v>
      </c>
      <c r="E2151" s="23">
        <v>1229</v>
      </c>
      <c r="F2151" s="18">
        <f>E2151* 0.802335182557089</f>
        <v>986.06993936266235</v>
      </c>
      <c r="G2151" s="18">
        <f>E2151* 0.124687137143594</f>
        <v>153.24049154947701</v>
      </c>
      <c r="H2151" s="18">
        <f>E2151* 0.0729583279576829</f>
        <v>89.665785059992274</v>
      </c>
    </row>
    <row r="2152" spans="1:8" ht="15.75" hidden="1" customHeight="1" x14ac:dyDescent="0.25">
      <c r="A2152" s="15" t="s">
        <v>224</v>
      </c>
      <c r="B2152" s="8"/>
      <c r="C2152" s="8"/>
      <c r="D2152" s="9"/>
      <c r="E2152" s="29"/>
    </row>
    <row r="2153" spans="1:8" ht="15.75" hidden="1" customHeight="1" x14ac:dyDescent="0.25">
      <c r="A2153" s="15" t="s">
        <v>224</v>
      </c>
      <c r="B2153" s="11" t="s">
        <v>238</v>
      </c>
      <c r="C2153" s="12" t="str">
        <f>B2153&amp;"_"&amp;A2153</f>
        <v>Fernández Alonso_Santa Cruz</v>
      </c>
      <c r="E2153" s="22">
        <v>940</v>
      </c>
      <c r="F2153" s="14">
        <f t="shared" ref="F2153:H2153" si="195">SUM(F2154:F2164)</f>
        <v>784.08714777083651</v>
      </c>
      <c r="G2153" s="14">
        <f t="shared" si="195"/>
        <v>138.57461103458672</v>
      </c>
      <c r="H2153" s="14">
        <f t="shared" si="195"/>
        <v>17.272930094555317</v>
      </c>
    </row>
    <row r="2154" spans="1:8" ht="15.75" hidden="1" customHeight="1" x14ac:dyDescent="0.25">
      <c r="A2154" s="15" t="s">
        <v>224</v>
      </c>
      <c r="B2154" s="11" t="s">
        <v>238</v>
      </c>
      <c r="C2154" s="15"/>
      <c r="D2154" s="16" t="s">
        <v>14</v>
      </c>
      <c r="E2154" s="23">
        <v>0</v>
      </c>
      <c r="F2154" s="20">
        <v>0</v>
      </c>
      <c r="G2154" s="24">
        <f>E2154</f>
        <v>0</v>
      </c>
      <c r="H2154" s="20">
        <v>0</v>
      </c>
    </row>
    <row r="2155" spans="1:8" ht="15.75" hidden="1" customHeight="1" x14ac:dyDescent="0.25">
      <c r="A2155" s="15" t="s">
        <v>224</v>
      </c>
      <c r="B2155" s="11" t="s">
        <v>238</v>
      </c>
      <c r="C2155" s="15"/>
      <c r="D2155" s="16" t="s">
        <v>15</v>
      </c>
      <c r="E2155" s="23">
        <v>21</v>
      </c>
      <c r="F2155" s="18">
        <f>E2155* 0.932303048052446</f>
        <v>19.578364009101367</v>
      </c>
      <c r="G2155" s="18">
        <f>E2155* 0.0217058280204555</f>
        <v>0.45582238842956546</v>
      </c>
      <c r="H2155" s="18">
        <f>E2155* 0.0459798598751943</f>
        <v>0.96557705737908028</v>
      </c>
    </row>
    <row r="2156" spans="1:8" ht="15.75" hidden="1" customHeight="1" x14ac:dyDescent="0.25">
      <c r="A2156" s="15" t="s">
        <v>224</v>
      </c>
      <c r="B2156" s="11" t="s">
        <v>238</v>
      </c>
      <c r="C2156" s="15"/>
      <c r="D2156" s="16" t="s">
        <v>11</v>
      </c>
      <c r="E2156" s="23">
        <v>101</v>
      </c>
      <c r="F2156" s="18">
        <f>E2156* 0.083479491676667</f>
        <v>8.4314286593433678</v>
      </c>
      <c r="G2156" s="18">
        <f>E2156* 0.913505030924029</f>
        <v>92.264008123326931</v>
      </c>
      <c r="H2156" s="18">
        <f>E2156* 0.00292316686667282</f>
        <v>0.29523985353395482</v>
      </c>
    </row>
    <row r="2157" spans="1:8" ht="15.75" hidden="1" customHeight="1" x14ac:dyDescent="0.25">
      <c r="A2157" s="15" t="s">
        <v>224</v>
      </c>
      <c r="B2157" s="11" t="s">
        <v>238</v>
      </c>
      <c r="C2157" s="15"/>
      <c r="D2157" s="16" t="s">
        <v>17</v>
      </c>
      <c r="E2157" s="23">
        <v>83</v>
      </c>
      <c r="F2157" s="18">
        <f>E2157* 0.752045572242362</f>
        <v>62.419782496116049</v>
      </c>
      <c r="G2157" s="18">
        <f>E2157* 0.185827723114103</f>
        <v>15.423701018470549</v>
      </c>
      <c r="H2157" s="18">
        <f>E2157* 0.0620921802175039</f>
        <v>5.1536509580528236</v>
      </c>
    </row>
    <row r="2158" spans="1:8" ht="15.75" hidden="1" customHeight="1" x14ac:dyDescent="0.25">
      <c r="A2158" s="15" t="s">
        <v>224</v>
      </c>
      <c r="B2158" s="11" t="s">
        <v>238</v>
      </c>
      <c r="C2158" s="15"/>
      <c r="D2158" s="16" t="s">
        <v>31</v>
      </c>
      <c r="E2158" s="23">
        <v>0</v>
      </c>
      <c r="F2158" s="18">
        <f>E2158* 0.929131175468484</f>
        <v>0</v>
      </c>
      <c r="G2158" s="18">
        <f>E2158* 0.0477001703577513</f>
        <v>0</v>
      </c>
      <c r="H2158" s="18">
        <f>E2158* 0.0231686541737649</f>
        <v>0</v>
      </c>
    </row>
    <row r="2159" spans="1:8" ht="15.75" hidden="1" customHeight="1" x14ac:dyDescent="0.25">
      <c r="A2159" s="15" t="s">
        <v>224</v>
      </c>
      <c r="B2159" s="11" t="s">
        <v>238</v>
      </c>
      <c r="C2159" s="15"/>
      <c r="D2159" s="16" t="s">
        <v>18</v>
      </c>
      <c r="E2159" s="23">
        <v>14</v>
      </c>
      <c r="F2159" s="18">
        <f>E2159* 0.893702527830246</f>
        <v>12.511835389623442</v>
      </c>
      <c r="G2159" s="18">
        <f>E2159* 0.0946831169875015</f>
        <v>1.3255636378250208</v>
      </c>
      <c r="H2159" s="18">
        <f>E2159* 0.0116143551822529</f>
        <v>0.1626009725515406</v>
      </c>
    </row>
    <row r="2160" spans="1:8" ht="15.75" hidden="1" customHeight="1" x14ac:dyDescent="0.25">
      <c r="A2160" s="15" t="s">
        <v>224</v>
      </c>
      <c r="B2160" s="11" t="s">
        <v>238</v>
      </c>
      <c r="C2160" s="15"/>
      <c r="D2160" s="16" t="s">
        <v>20</v>
      </c>
      <c r="E2160" s="23">
        <v>1</v>
      </c>
      <c r="F2160" s="18">
        <f>E2160* 0.734251968503937</f>
        <v>0.73425196850393704</v>
      </c>
      <c r="G2160" s="18">
        <f>E2160* 0.158017179670723</f>
        <v>0.15801717967072301</v>
      </c>
      <c r="H2160" s="18">
        <f>E2160* 0.107551896921976</f>
        <v>0.107551896921976</v>
      </c>
    </row>
    <row r="2161" spans="1:8" ht="15.75" hidden="1" customHeight="1" x14ac:dyDescent="0.25">
      <c r="A2161" s="15" t="s">
        <v>224</v>
      </c>
      <c r="B2161" s="11" t="s">
        <v>238</v>
      </c>
      <c r="C2161" s="15"/>
      <c r="D2161" s="16" t="s">
        <v>21</v>
      </c>
      <c r="E2161" s="23">
        <v>564</v>
      </c>
      <c r="F2161" s="18">
        <f>E2161* 0.999727092353423</f>
        <v>563.84608008733062</v>
      </c>
      <c r="G2161" s="18">
        <f>E2161* 0.0000516311763794744</f>
        <v>2.9119983478023564E-2</v>
      </c>
      <c r="H2161" s="18">
        <f>E2161* 0.000132765882118648</f>
        <v>7.4879957514917481E-2</v>
      </c>
    </row>
    <row r="2162" spans="1:8" ht="15.75" hidden="1" customHeight="1" x14ac:dyDescent="0.25">
      <c r="A2162" s="15" t="s">
        <v>224</v>
      </c>
      <c r="B2162" s="11" t="s">
        <v>238</v>
      </c>
      <c r="C2162" s="15"/>
      <c r="D2162" s="16" t="s">
        <v>36</v>
      </c>
      <c r="E2162" s="23">
        <v>1</v>
      </c>
      <c r="F2162" s="18">
        <f>E2162* 0.995894428152493</f>
        <v>0.99589442815249296</v>
      </c>
      <c r="G2162" s="18">
        <f>E2162* 0.000586510263929619</f>
        <v>5.8651026392961898E-4</v>
      </c>
      <c r="H2162" s="18">
        <f>E2162* 0.00351906158357771</f>
        <v>3.51906158357771E-3</v>
      </c>
    </row>
    <row r="2163" spans="1:8" ht="15.75" hidden="1" customHeight="1" x14ac:dyDescent="0.25">
      <c r="A2163" s="15" t="s">
        <v>224</v>
      </c>
      <c r="B2163" s="11" t="s">
        <v>238</v>
      </c>
      <c r="C2163" s="15"/>
      <c r="D2163" s="16" t="s">
        <v>148</v>
      </c>
      <c r="E2163" s="23">
        <v>11</v>
      </c>
      <c r="F2163" s="18">
        <f>E2163* 0.00302222222222222</f>
        <v>3.3244444444444417E-2</v>
      </c>
      <c r="G2163" s="18">
        <f>E2163* 0.996622222222222</f>
        <v>10.962844444444441</v>
      </c>
      <c r="H2163" s="18">
        <f>E2163* 0.000355555555555556</f>
        <v>3.9111111111111161E-3</v>
      </c>
    </row>
    <row r="2164" spans="1:8" ht="15.75" hidden="1" customHeight="1" x14ac:dyDescent="0.25">
      <c r="A2164" s="15" t="s">
        <v>224</v>
      </c>
      <c r="B2164" s="11" t="s">
        <v>238</v>
      </c>
      <c r="C2164" s="15"/>
      <c r="D2164" s="16" t="s">
        <v>12</v>
      </c>
      <c r="E2164" s="23">
        <v>144</v>
      </c>
      <c r="F2164" s="18">
        <f>E2164* 0.802335182557089</f>
        <v>115.53626628822082</v>
      </c>
      <c r="G2164" s="18">
        <f>E2164* 0.124687137143594</f>
        <v>17.954947748677537</v>
      </c>
      <c r="H2164" s="18">
        <f>E2164* 0.0729583279576829</f>
        <v>10.505999225906336</v>
      </c>
    </row>
    <row r="2165" spans="1:8" ht="15.75" hidden="1" customHeight="1" x14ac:dyDescent="0.25">
      <c r="A2165" s="15" t="s">
        <v>224</v>
      </c>
      <c r="B2165" s="8"/>
      <c r="C2165" s="8"/>
      <c r="D2165" s="9"/>
      <c r="E2165" s="29"/>
    </row>
    <row r="2166" spans="1:8" ht="15.75" hidden="1" customHeight="1" x14ac:dyDescent="0.25">
      <c r="A2166" s="15" t="s">
        <v>224</v>
      </c>
      <c r="B2166" s="11" t="s">
        <v>239</v>
      </c>
      <c r="C2166" s="12" t="str">
        <f>B2166&amp;"_"&amp;A2166</f>
        <v>Gral. Saavedra_Santa Cruz</v>
      </c>
      <c r="E2166" s="22">
        <v>1402</v>
      </c>
      <c r="F2166" s="14">
        <f t="shared" ref="F2166:H2166" si="196">SUM(F2167:F2180)</f>
        <v>1048.3669157336515</v>
      </c>
      <c r="G2166" s="14">
        <f t="shared" si="196"/>
        <v>328.50284759257266</v>
      </c>
      <c r="H2166" s="14">
        <f t="shared" si="196"/>
        <v>25.03293377778725</v>
      </c>
    </row>
    <row r="2167" spans="1:8" ht="15.75" hidden="1" customHeight="1" x14ac:dyDescent="0.25">
      <c r="A2167" s="15" t="s">
        <v>224</v>
      </c>
      <c r="B2167" s="11" t="s">
        <v>239</v>
      </c>
      <c r="C2167" s="15"/>
      <c r="D2167" s="16" t="s">
        <v>14</v>
      </c>
      <c r="E2167" s="23">
        <v>0</v>
      </c>
      <c r="F2167" s="20">
        <v>0</v>
      </c>
      <c r="G2167" s="24">
        <f>E2167</f>
        <v>0</v>
      </c>
      <c r="H2167" s="20">
        <v>0</v>
      </c>
    </row>
    <row r="2168" spans="1:8" ht="15.75" hidden="1" customHeight="1" x14ac:dyDescent="0.25">
      <c r="A2168" s="15" t="s">
        <v>224</v>
      </c>
      <c r="B2168" s="11" t="s">
        <v>239</v>
      </c>
      <c r="C2168" s="15"/>
      <c r="D2168" s="16" t="s">
        <v>15</v>
      </c>
      <c r="E2168" s="23">
        <v>76</v>
      </c>
      <c r="F2168" s="18">
        <f>E2168* 0.932303048052446</f>
        <v>70.855031651985897</v>
      </c>
      <c r="G2168" s="18">
        <f>E2168* 0.0217058280204555</f>
        <v>1.6496429295546178</v>
      </c>
      <c r="H2168" s="18">
        <f>E2168* 0.0459798598751943</f>
        <v>3.4944693505147666</v>
      </c>
    </row>
    <row r="2169" spans="1:8" ht="15.75" hidden="1" customHeight="1" x14ac:dyDescent="0.25">
      <c r="A2169" s="15" t="s">
        <v>224</v>
      </c>
      <c r="B2169" s="11" t="s">
        <v>239</v>
      </c>
      <c r="C2169" s="15"/>
      <c r="D2169" s="16" t="s">
        <v>16</v>
      </c>
      <c r="E2169" s="23">
        <v>0</v>
      </c>
      <c r="F2169" s="18">
        <f>E2169* 0.293894936109797</f>
        <v>0</v>
      </c>
      <c r="G2169" s="18">
        <f>E2169* 0.663038334122101</f>
        <v>0</v>
      </c>
      <c r="H2169" s="18">
        <f>E2169* 0.0430667297681022</f>
        <v>0</v>
      </c>
    </row>
    <row r="2170" spans="1:8" ht="15.75" hidden="1" customHeight="1" x14ac:dyDescent="0.25">
      <c r="A2170" s="15" t="s">
        <v>224</v>
      </c>
      <c r="B2170" s="11" t="s">
        <v>239</v>
      </c>
      <c r="C2170" s="15"/>
      <c r="D2170" s="16" t="s">
        <v>11</v>
      </c>
      <c r="E2170" s="23">
        <v>294</v>
      </c>
      <c r="F2170" s="18">
        <f>E2170* 0.083479491676667</f>
        <v>24.542970552940098</v>
      </c>
      <c r="G2170" s="18">
        <f>E2170* 0.913505030924029</f>
        <v>268.57047909166454</v>
      </c>
      <c r="H2170" s="18">
        <f>E2170* 0.00292316686667282</f>
        <v>0.85941105880180901</v>
      </c>
    </row>
    <row r="2171" spans="1:8" ht="15.75" hidden="1" customHeight="1" x14ac:dyDescent="0.25">
      <c r="A2171" s="15" t="s">
        <v>224</v>
      </c>
      <c r="B2171" s="11" t="s">
        <v>239</v>
      </c>
      <c r="C2171" s="15"/>
      <c r="D2171" s="16" t="s">
        <v>17</v>
      </c>
      <c r="E2171" s="23">
        <v>120</v>
      </c>
      <c r="F2171" s="18">
        <f>E2171* 0.752045572242362</f>
        <v>90.245468669083436</v>
      </c>
      <c r="G2171" s="18">
        <f>E2171* 0.185827723114103</f>
        <v>22.299326773692361</v>
      </c>
      <c r="H2171" s="18">
        <f>E2171* 0.0620921802175039</f>
        <v>7.4510616261004685</v>
      </c>
    </row>
    <row r="2172" spans="1:8" ht="15.75" hidden="1" customHeight="1" x14ac:dyDescent="0.25">
      <c r="A2172" s="15" t="s">
        <v>224</v>
      </c>
      <c r="B2172" s="11" t="s">
        <v>239</v>
      </c>
      <c r="C2172" s="15"/>
      <c r="D2172" s="16" t="s">
        <v>31</v>
      </c>
      <c r="E2172" s="23">
        <v>0</v>
      </c>
      <c r="F2172" s="18">
        <f>E2172* 0.929131175468484</f>
        <v>0</v>
      </c>
      <c r="G2172" s="18">
        <f>E2172* 0.0477001703577513</f>
        <v>0</v>
      </c>
      <c r="H2172" s="18">
        <f>E2172* 0.0231686541737649</f>
        <v>0</v>
      </c>
    </row>
    <row r="2173" spans="1:8" ht="15.75" hidden="1" customHeight="1" x14ac:dyDescent="0.25">
      <c r="A2173" s="15" t="s">
        <v>224</v>
      </c>
      <c r="B2173" s="11" t="s">
        <v>239</v>
      </c>
      <c r="C2173" s="15"/>
      <c r="D2173" s="16" t="s">
        <v>18</v>
      </c>
      <c r="E2173" s="23">
        <v>35</v>
      </c>
      <c r="F2173" s="18">
        <f>E2173* 0.893702527830246</f>
        <v>31.27958847405861</v>
      </c>
      <c r="G2173" s="18">
        <f>E2173* 0.0946831169875015</f>
        <v>3.3139090945625522</v>
      </c>
      <c r="H2173" s="18">
        <f>E2173* 0.0116143551822529</f>
        <v>0.4065024313788515</v>
      </c>
    </row>
    <row r="2174" spans="1:8" ht="15.75" hidden="1" customHeight="1" x14ac:dyDescent="0.25">
      <c r="A2174" s="15" t="s">
        <v>224</v>
      </c>
      <c r="B2174" s="11" t="s">
        <v>239</v>
      </c>
      <c r="C2174" s="15"/>
      <c r="D2174" s="16" t="s">
        <v>35</v>
      </c>
      <c r="E2174" s="23">
        <v>0</v>
      </c>
      <c r="F2174" s="20">
        <v>0</v>
      </c>
      <c r="G2174" s="24">
        <f>E2174</f>
        <v>0</v>
      </c>
      <c r="H2174" s="20">
        <v>0</v>
      </c>
    </row>
    <row r="2175" spans="1:8" ht="15.75" hidden="1" customHeight="1" x14ac:dyDescent="0.25">
      <c r="A2175" s="15" t="s">
        <v>224</v>
      </c>
      <c r="B2175" s="11" t="s">
        <v>239</v>
      </c>
      <c r="C2175" s="15"/>
      <c r="D2175" s="16" t="s">
        <v>19</v>
      </c>
      <c r="E2175" s="23">
        <v>0</v>
      </c>
      <c r="F2175" s="18">
        <f>E2175* 0.0299845873616365</f>
        <v>0</v>
      </c>
      <c r="G2175" s="18">
        <f>E2175* 0.96385035729298</f>
        <v>0</v>
      </c>
      <c r="H2175" s="18">
        <f>E2175* 0.00616505534538321</f>
        <v>0</v>
      </c>
    </row>
    <row r="2176" spans="1:8" ht="15.75" hidden="1" customHeight="1" x14ac:dyDescent="0.25">
      <c r="A2176" s="15" t="s">
        <v>224</v>
      </c>
      <c r="B2176" s="11" t="s">
        <v>239</v>
      </c>
      <c r="C2176" s="15"/>
      <c r="D2176" s="16" t="s">
        <v>20</v>
      </c>
      <c r="E2176" s="23">
        <v>3</v>
      </c>
      <c r="F2176" s="18">
        <f>E2176* 0.734251968503937</f>
        <v>2.2027559055118111</v>
      </c>
      <c r="G2176" s="18">
        <f>E2176* 0.158017179670723</f>
        <v>0.47405153901216901</v>
      </c>
      <c r="H2176" s="18">
        <f>E2176* 0.107551896921976</f>
        <v>0.32265569076592804</v>
      </c>
    </row>
    <row r="2177" spans="1:8" ht="15.75" hidden="1" customHeight="1" x14ac:dyDescent="0.25">
      <c r="A2177" s="15" t="s">
        <v>224</v>
      </c>
      <c r="B2177" s="11" t="s">
        <v>239</v>
      </c>
      <c r="C2177" s="15"/>
      <c r="D2177" s="16" t="s">
        <v>21</v>
      </c>
      <c r="E2177" s="23">
        <v>693</v>
      </c>
      <c r="F2177" s="18">
        <f>E2177* 0.999727092353423</f>
        <v>692.81087500092212</v>
      </c>
      <c r="G2177" s="18">
        <f>E2177* 0.0000516311763794744</f>
        <v>3.5780405230975761E-2</v>
      </c>
      <c r="H2177" s="18">
        <f>E2177* 0.000132765882118648</f>
        <v>9.2006756308223067E-2</v>
      </c>
    </row>
    <row r="2178" spans="1:8" ht="15.75" hidden="1" customHeight="1" x14ac:dyDescent="0.25">
      <c r="A2178" s="15" t="s">
        <v>224</v>
      </c>
      <c r="B2178" s="11" t="s">
        <v>239</v>
      </c>
      <c r="C2178" s="15"/>
      <c r="D2178" s="16" t="s">
        <v>36</v>
      </c>
      <c r="E2178" s="23">
        <v>0</v>
      </c>
      <c r="F2178" s="18">
        <f>E2178* 0.995894428152493</f>
        <v>0</v>
      </c>
      <c r="G2178" s="18">
        <f>E2178* 0.000586510263929619</f>
        <v>0</v>
      </c>
      <c r="H2178" s="18">
        <f>E2178* 0.00351906158357771</f>
        <v>0</v>
      </c>
    </row>
    <row r="2179" spans="1:8" ht="15.75" hidden="1" customHeight="1" x14ac:dyDescent="0.25">
      <c r="A2179" s="15" t="s">
        <v>224</v>
      </c>
      <c r="B2179" s="11" t="s">
        <v>239</v>
      </c>
      <c r="C2179" s="15"/>
      <c r="D2179" s="16" t="s">
        <v>28</v>
      </c>
      <c r="E2179" s="23">
        <v>11</v>
      </c>
      <c r="F2179" s="18">
        <f>E2179* 0.00302222222222222</f>
        <v>3.3244444444444417E-2</v>
      </c>
      <c r="G2179" s="18">
        <f>E2179* 0.996622222222222</f>
        <v>10.962844444444441</v>
      </c>
      <c r="H2179" s="18">
        <f>E2179* 0.000355555555555556</f>
        <v>3.9111111111111161E-3</v>
      </c>
    </row>
    <row r="2180" spans="1:8" ht="15.75" hidden="1" customHeight="1" x14ac:dyDescent="0.25">
      <c r="A2180" s="15" t="s">
        <v>224</v>
      </c>
      <c r="B2180" s="11" t="s">
        <v>239</v>
      </c>
      <c r="C2180" s="15"/>
      <c r="D2180" s="16" t="s">
        <v>12</v>
      </c>
      <c r="E2180" s="23">
        <v>170</v>
      </c>
      <c r="F2180" s="18">
        <f>E2180* 0.802335182557089</f>
        <v>136.39698103470514</v>
      </c>
      <c r="G2180" s="18">
        <f>E2180* 0.124687137143594</f>
        <v>21.196813314410981</v>
      </c>
      <c r="H2180" s="18">
        <f>E2180* 0.0729583279576829</f>
        <v>12.402915752806091</v>
      </c>
    </row>
    <row r="2181" spans="1:8" ht="15.75" hidden="1" customHeight="1" x14ac:dyDescent="0.25">
      <c r="A2181" s="15" t="s">
        <v>224</v>
      </c>
      <c r="B2181" s="8"/>
      <c r="C2181" s="8"/>
      <c r="D2181" s="9"/>
      <c r="E2181" s="29"/>
    </row>
    <row r="2182" spans="1:8" ht="15.75" hidden="1" customHeight="1" x14ac:dyDescent="0.25">
      <c r="A2182" s="15" t="s">
        <v>224</v>
      </c>
      <c r="B2182" s="11" t="s">
        <v>240</v>
      </c>
      <c r="C2182" s="12" t="str">
        <f>B2182&amp;"_"&amp;A2182</f>
        <v>Gutiérrez_Santa Cruz</v>
      </c>
      <c r="E2182" s="22">
        <v>1</v>
      </c>
      <c r="F2182" s="14">
        <f t="shared" ref="F2182:H2182" si="197">F2183</f>
        <v>0.75204557224236201</v>
      </c>
      <c r="G2182" s="14">
        <f t="shared" si="197"/>
        <v>0.18582772311410301</v>
      </c>
      <c r="H2182" s="14">
        <f t="shared" si="197"/>
        <v>6.2092180217503901E-2</v>
      </c>
    </row>
    <row r="2183" spans="1:8" ht="15.75" hidden="1" customHeight="1" x14ac:dyDescent="0.25">
      <c r="A2183" s="15" t="s">
        <v>224</v>
      </c>
      <c r="B2183" s="11" t="s">
        <v>240</v>
      </c>
      <c r="C2183" s="15"/>
      <c r="D2183" s="16" t="s">
        <v>17</v>
      </c>
      <c r="E2183" s="23">
        <v>1</v>
      </c>
      <c r="F2183" s="18">
        <f>E2183* 0.752045572242362</f>
        <v>0.75204557224236201</v>
      </c>
      <c r="G2183" s="18">
        <f>E2183* 0.185827723114103</f>
        <v>0.18582772311410301</v>
      </c>
      <c r="H2183" s="18">
        <f>E2183* 0.0620921802175039</f>
        <v>6.2092180217503901E-2</v>
      </c>
    </row>
    <row r="2184" spans="1:8" ht="15.75" hidden="1" customHeight="1" x14ac:dyDescent="0.25">
      <c r="A2184" s="15" t="s">
        <v>224</v>
      </c>
      <c r="B2184" s="8"/>
      <c r="C2184" s="8"/>
      <c r="D2184" s="9"/>
      <c r="E2184" s="29"/>
    </row>
    <row r="2185" spans="1:8" ht="15.75" hidden="1" customHeight="1" x14ac:dyDescent="0.25">
      <c r="A2185" s="15" t="s">
        <v>224</v>
      </c>
      <c r="B2185" s="11" t="s">
        <v>241</v>
      </c>
      <c r="C2185" s="12" t="str">
        <f>B2185&amp;"_"&amp;A2185</f>
        <v>La Guardia_Santa Cruz</v>
      </c>
      <c r="E2185" s="22">
        <v>11450</v>
      </c>
      <c r="F2185" s="14">
        <f t="shared" ref="F2185:H2185" si="198">SUM(F2186:F2198)</f>
        <v>9623.5484657486795</v>
      </c>
      <c r="G2185" s="14">
        <f t="shared" si="198"/>
        <v>1486.2222456538093</v>
      </c>
      <c r="H2185" s="14">
        <f t="shared" si="198"/>
        <v>339.53577531807787</v>
      </c>
    </row>
    <row r="2186" spans="1:8" ht="15.75" hidden="1" customHeight="1" x14ac:dyDescent="0.25">
      <c r="A2186" s="15" t="s">
        <v>224</v>
      </c>
      <c r="B2186" s="11" t="s">
        <v>241</v>
      </c>
      <c r="C2186" s="15"/>
      <c r="D2186" s="16" t="s">
        <v>14</v>
      </c>
      <c r="E2186" s="23">
        <v>0</v>
      </c>
      <c r="F2186" s="20">
        <v>0</v>
      </c>
      <c r="G2186" s="24">
        <f>E2186</f>
        <v>0</v>
      </c>
      <c r="H2186" s="20">
        <v>0</v>
      </c>
    </row>
    <row r="2187" spans="1:8" ht="15.75" hidden="1" customHeight="1" x14ac:dyDescent="0.25">
      <c r="A2187" s="15" t="s">
        <v>224</v>
      </c>
      <c r="B2187" s="11" t="s">
        <v>241</v>
      </c>
      <c r="C2187" s="15"/>
      <c r="D2187" s="16" t="s">
        <v>15</v>
      </c>
      <c r="E2187" s="23">
        <v>897</v>
      </c>
      <c r="F2187" s="18">
        <f>E2187* 0.932303048052446</f>
        <v>836.27583410304408</v>
      </c>
      <c r="G2187" s="18">
        <f>E2187* 0.0217058280204555</f>
        <v>19.470127734348583</v>
      </c>
      <c r="H2187" s="18">
        <f>E2187* 0.0459798598751943</f>
        <v>41.243934308049283</v>
      </c>
    </row>
    <row r="2188" spans="1:8" ht="15.75" hidden="1" customHeight="1" x14ac:dyDescent="0.25">
      <c r="A2188" s="15" t="s">
        <v>224</v>
      </c>
      <c r="B2188" s="11" t="s">
        <v>241</v>
      </c>
      <c r="C2188" s="15"/>
      <c r="D2188" s="16" t="s">
        <v>16</v>
      </c>
      <c r="E2188" s="23">
        <v>37</v>
      </c>
      <c r="F2188" s="18">
        <f>E2188* 0.293894936109797</f>
        <v>10.874112636062488</v>
      </c>
      <c r="G2188" s="18">
        <f>E2188* 0.663038334122101</f>
        <v>24.532418362517738</v>
      </c>
      <c r="H2188" s="18">
        <f>E2188* 0.0430667297681022</f>
        <v>1.5934690014197814</v>
      </c>
    </row>
    <row r="2189" spans="1:8" ht="15.75" hidden="1" customHeight="1" x14ac:dyDescent="0.25">
      <c r="A2189" s="15" t="s">
        <v>224</v>
      </c>
      <c r="B2189" s="11" t="s">
        <v>241</v>
      </c>
      <c r="C2189" s="15"/>
      <c r="D2189" s="16" t="s">
        <v>11</v>
      </c>
      <c r="E2189" s="23">
        <v>702</v>
      </c>
      <c r="F2189" s="18">
        <f>E2189* 0.083479491676667</f>
        <v>58.602603157020233</v>
      </c>
      <c r="G2189" s="18">
        <f>E2189* 0.913505030924029</f>
        <v>641.28053170866838</v>
      </c>
      <c r="H2189" s="18">
        <f>E2189* 0.00292316686667282</f>
        <v>2.0520631404043197</v>
      </c>
    </row>
    <row r="2190" spans="1:8" ht="15.75" hidden="1" customHeight="1" x14ac:dyDescent="0.25">
      <c r="A2190" s="15" t="s">
        <v>224</v>
      </c>
      <c r="B2190" s="11" t="s">
        <v>241</v>
      </c>
      <c r="C2190" s="15"/>
      <c r="D2190" s="16" t="s">
        <v>17</v>
      </c>
      <c r="E2190" s="23">
        <v>543</v>
      </c>
      <c r="F2190" s="18">
        <f>E2190* 0.752045572242362</f>
        <v>408.36074572760259</v>
      </c>
      <c r="G2190" s="18">
        <f>E2190* 0.185827723114103</f>
        <v>100.90445365095793</v>
      </c>
      <c r="H2190" s="18">
        <f>E2190* 0.0620921802175039</f>
        <v>33.716053858104615</v>
      </c>
    </row>
    <row r="2191" spans="1:8" ht="15.75" hidden="1" customHeight="1" x14ac:dyDescent="0.25">
      <c r="A2191" s="15" t="s">
        <v>224</v>
      </c>
      <c r="B2191" s="11" t="s">
        <v>241</v>
      </c>
      <c r="C2191" s="15"/>
      <c r="D2191" s="16" t="s">
        <v>31</v>
      </c>
      <c r="E2191" s="23">
        <v>130</v>
      </c>
      <c r="F2191" s="18">
        <f>E2191* 0.929131175468484</f>
        <v>120.78705281090292</v>
      </c>
      <c r="G2191" s="18">
        <f>E2191* 0.0477001703577513</f>
        <v>6.2010221465076691</v>
      </c>
      <c r="H2191" s="18">
        <f>E2191* 0.0231686541737649</f>
        <v>3.0119250425894366</v>
      </c>
    </row>
    <row r="2192" spans="1:8" ht="15.75" hidden="1" customHeight="1" x14ac:dyDescent="0.25">
      <c r="A2192" s="15" t="s">
        <v>224</v>
      </c>
      <c r="B2192" s="11" t="s">
        <v>241</v>
      </c>
      <c r="C2192" s="15"/>
      <c r="D2192" s="16" t="s">
        <v>18</v>
      </c>
      <c r="E2192" s="23">
        <v>262</v>
      </c>
      <c r="F2192" s="18">
        <f>E2192* 0.893702527830246</f>
        <v>234.15006229152445</v>
      </c>
      <c r="G2192" s="18">
        <f>E2192* 0.0946831169875015</f>
        <v>24.806976650725392</v>
      </c>
      <c r="H2192" s="18">
        <f>E2192* 0.0116143551822529</f>
        <v>3.0429610577502597</v>
      </c>
    </row>
    <row r="2193" spans="1:8" ht="15.75" hidden="1" customHeight="1" x14ac:dyDescent="0.25">
      <c r="A2193" s="15" t="s">
        <v>224</v>
      </c>
      <c r="B2193" s="11" t="s">
        <v>241</v>
      </c>
      <c r="C2193" s="15"/>
      <c r="D2193" s="16" t="s">
        <v>19</v>
      </c>
      <c r="E2193" s="23">
        <v>94</v>
      </c>
      <c r="F2193" s="18">
        <f>E2193* 0.0299845873616365</f>
        <v>2.8185512119938307</v>
      </c>
      <c r="G2193" s="18">
        <f>E2193* 0.96385035729298</f>
        <v>90.60193358554011</v>
      </c>
      <c r="H2193" s="18">
        <f>E2193* 0.00616505534538321</f>
        <v>0.57951520246602173</v>
      </c>
    </row>
    <row r="2194" spans="1:8" ht="15.75" hidden="1" customHeight="1" x14ac:dyDescent="0.25">
      <c r="A2194" s="15" t="s">
        <v>224</v>
      </c>
      <c r="B2194" s="11" t="s">
        <v>241</v>
      </c>
      <c r="C2194" s="15"/>
      <c r="D2194" s="16" t="s">
        <v>20</v>
      </c>
      <c r="E2194" s="23">
        <v>407</v>
      </c>
      <c r="F2194" s="18">
        <f>E2194* 0.734251968503937</f>
        <v>298.8405511811024</v>
      </c>
      <c r="G2194" s="18">
        <f>E2194* 0.158017179670723</f>
        <v>64.312992125984266</v>
      </c>
      <c r="H2194" s="18">
        <f>E2194* 0.107551896921976</f>
        <v>43.773622047244231</v>
      </c>
    </row>
    <row r="2195" spans="1:8" ht="15.75" hidden="1" customHeight="1" x14ac:dyDescent="0.25">
      <c r="A2195" s="15" t="s">
        <v>224</v>
      </c>
      <c r="B2195" s="11" t="s">
        <v>241</v>
      </c>
      <c r="C2195" s="15"/>
      <c r="D2195" s="16" t="s">
        <v>21</v>
      </c>
      <c r="E2195" s="23">
        <v>5326</v>
      </c>
      <c r="F2195" s="18">
        <f>E2195* 0.999727092353423</f>
        <v>5324.5464938743307</v>
      </c>
      <c r="G2195" s="18">
        <f>E2195* 0.0000516311763794744</f>
        <v>0.27498764539708065</v>
      </c>
      <c r="H2195" s="18">
        <f>E2195* 0.000132765882118648</f>
        <v>0.70711108816391932</v>
      </c>
    </row>
    <row r="2196" spans="1:8" ht="15.75" hidden="1" customHeight="1" x14ac:dyDescent="0.25">
      <c r="A2196" s="15" t="s">
        <v>224</v>
      </c>
      <c r="B2196" s="11" t="s">
        <v>241</v>
      </c>
      <c r="C2196" s="15"/>
      <c r="D2196" s="16" t="s">
        <v>36</v>
      </c>
      <c r="E2196" s="23">
        <v>22</v>
      </c>
      <c r="F2196" s="18">
        <f>E2196* 0.995894428152493</f>
        <v>21.909677419354846</v>
      </c>
      <c r="G2196" s="18">
        <f>E2196* 0.000586510263929619</f>
        <v>1.2903225806451618E-2</v>
      </c>
      <c r="H2196" s="18">
        <f>E2196* 0.00351906158357771</f>
        <v>7.7419354838709625E-2</v>
      </c>
    </row>
    <row r="2197" spans="1:8" ht="15.75" hidden="1" customHeight="1" x14ac:dyDescent="0.25">
      <c r="A2197" s="15" t="s">
        <v>224</v>
      </c>
      <c r="B2197" s="11" t="s">
        <v>241</v>
      </c>
      <c r="C2197" s="15"/>
      <c r="D2197" s="16" t="s">
        <v>28</v>
      </c>
      <c r="E2197" s="23">
        <v>156</v>
      </c>
      <c r="F2197" s="18">
        <f>E2197* 0.00302222222222222</f>
        <v>0.47146666666666631</v>
      </c>
      <c r="G2197" s="18">
        <f>E2197* 0.996622222222222</f>
        <v>155.47306666666663</v>
      </c>
      <c r="H2197" s="18">
        <f>E2197* 0.000355555555555556</f>
        <v>5.5466666666666734E-2</v>
      </c>
    </row>
    <row r="2198" spans="1:8" ht="15.75" hidden="1" customHeight="1" x14ac:dyDescent="0.25">
      <c r="A2198" s="15" t="s">
        <v>224</v>
      </c>
      <c r="B2198" s="11" t="s">
        <v>241</v>
      </c>
      <c r="C2198" s="15"/>
      <c r="D2198" s="16" t="s">
        <v>12</v>
      </c>
      <c r="E2198" s="23">
        <v>2874</v>
      </c>
      <c r="F2198" s="18">
        <f>E2198* 0.802335182557089</f>
        <v>2305.9113146690738</v>
      </c>
      <c r="G2198" s="18">
        <f>E2198* 0.124687137143594</f>
        <v>358.35083215068914</v>
      </c>
      <c r="H2198" s="18">
        <f>E2198* 0.0729583279576829</f>
        <v>209.68223455038063</v>
      </c>
    </row>
    <row r="2199" spans="1:8" ht="15.75" hidden="1" customHeight="1" x14ac:dyDescent="0.25">
      <c r="A2199" s="15" t="s">
        <v>224</v>
      </c>
      <c r="B2199" s="8"/>
      <c r="C2199" s="8"/>
      <c r="D2199" s="9"/>
      <c r="E2199" s="29"/>
    </row>
    <row r="2200" spans="1:8" ht="15.75" hidden="1" customHeight="1" x14ac:dyDescent="0.25">
      <c r="A2200" s="15" t="s">
        <v>224</v>
      </c>
      <c r="B2200" s="11" t="s">
        <v>242</v>
      </c>
      <c r="C2200" s="12" t="str">
        <f>B2200&amp;"_"&amp;A2200</f>
        <v>Lagunillas_Santa Cruz</v>
      </c>
      <c r="E2200" s="22">
        <v>1</v>
      </c>
      <c r="F2200" s="14">
        <f t="shared" ref="F2200:H2200" si="199">F2201</f>
        <v>0.75204557224236201</v>
      </c>
      <c r="G2200" s="14">
        <f t="shared" si="199"/>
        <v>0.18582772311410301</v>
      </c>
      <c r="H2200" s="14">
        <f t="shared" si="199"/>
        <v>6.2092180217503901E-2</v>
      </c>
    </row>
    <row r="2201" spans="1:8" ht="15.75" hidden="1" customHeight="1" x14ac:dyDescent="0.25">
      <c r="A2201" s="15" t="s">
        <v>224</v>
      </c>
      <c r="B2201" s="11" t="s">
        <v>242</v>
      </c>
      <c r="C2201" s="15"/>
      <c r="D2201" s="16" t="s">
        <v>17</v>
      </c>
      <c r="E2201" s="23">
        <v>1</v>
      </c>
      <c r="F2201" s="18">
        <f>E2201* 0.752045572242362</f>
        <v>0.75204557224236201</v>
      </c>
      <c r="G2201" s="18">
        <f>E2201* 0.185827723114103</f>
        <v>0.18582772311410301</v>
      </c>
      <c r="H2201" s="18">
        <f>E2201* 0.0620921802175039</f>
        <v>6.2092180217503901E-2</v>
      </c>
    </row>
    <row r="2202" spans="1:8" ht="15.75" hidden="1" customHeight="1" x14ac:dyDescent="0.25">
      <c r="A2202" s="15" t="s">
        <v>224</v>
      </c>
      <c r="B2202" s="8"/>
      <c r="C2202" s="8"/>
      <c r="D2202" s="9"/>
      <c r="E2202" s="29"/>
    </row>
    <row r="2203" spans="1:8" ht="15.75" hidden="1" customHeight="1" x14ac:dyDescent="0.25">
      <c r="A2203" s="15" t="s">
        <v>224</v>
      </c>
      <c r="B2203" s="11" t="s">
        <v>243</v>
      </c>
      <c r="C2203" s="12" t="str">
        <f>B2203&amp;"_"&amp;A2203</f>
        <v>Mairana_Santa Cruz</v>
      </c>
      <c r="E2203" s="22">
        <v>85</v>
      </c>
      <c r="F2203" s="14">
        <f t="shared" ref="F2203:H2203" si="200">SUM(F2204:F2212)</f>
        <v>57.378473211681289</v>
      </c>
      <c r="G2203" s="14">
        <f t="shared" si="200"/>
        <v>24.490875831114373</v>
      </c>
      <c r="H2203" s="14">
        <f t="shared" si="200"/>
        <v>3.1258759638727032</v>
      </c>
    </row>
    <row r="2204" spans="1:8" ht="15.75" hidden="1" customHeight="1" x14ac:dyDescent="0.25">
      <c r="A2204" s="15" t="s">
        <v>224</v>
      </c>
      <c r="B2204" s="11" t="s">
        <v>243</v>
      </c>
      <c r="C2204" s="15"/>
      <c r="D2204" s="16" t="s">
        <v>15</v>
      </c>
      <c r="E2204" s="23">
        <v>4</v>
      </c>
      <c r="F2204" s="18">
        <f>E2204* 0.932303048052446</f>
        <v>3.7292121922097841</v>
      </c>
      <c r="G2204" s="18">
        <f>E2204* 0.0217058280204555</f>
        <v>8.6823312081821993E-2</v>
      </c>
      <c r="H2204" s="18">
        <f>E2204* 0.0459798598751943</f>
        <v>0.18391943950077719</v>
      </c>
    </row>
    <row r="2205" spans="1:8" ht="15.75" hidden="1" customHeight="1" x14ac:dyDescent="0.25">
      <c r="A2205" s="15" t="s">
        <v>224</v>
      </c>
      <c r="B2205" s="11" t="s">
        <v>243</v>
      </c>
      <c r="C2205" s="15"/>
      <c r="D2205" s="16" t="s">
        <v>16</v>
      </c>
      <c r="E2205" s="23">
        <v>0</v>
      </c>
      <c r="F2205" s="18">
        <f>E2205* 0.293894936109797</f>
        <v>0</v>
      </c>
      <c r="G2205" s="18">
        <f>E2205* 0.663038334122101</f>
        <v>0</v>
      </c>
      <c r="H2205" s="18">
        <f>E2205* 0.0430667297681022</f>
        <v>0</v>
      </c>
    </row>
    <row r="2206" spans="1:8" ht="15.75" hidden="1" customHeight="1" x14ac:dyDescent="0.25">
      <c r="A2206" s="15" t="s">
        <v>224</v>
      </c>
      <c r="B2206" s="11" t="s">
        <v>243</v>
      </c>
      <c r="C2206" s="15"/>
      <c r="D2206" s="16" t="s">
        <v>11</v>
      </c>
      <c r="E2206" s="23">
        <v>20</v>
      </c>
      <c r="F2206" s="18">
        <f>E2206* 0.083479491676667</f>
        <v>1.6695898335333401</v>
      </c>
      <c r="G2206" s="18">
        <f>E2206* 0.913505030924029</f>
        <v>18.27010061848058</v>
      </c>
      <c r="H2206" s="18">
        <f>E2206* 0.00292316686667282</f>
        <v>5.8463337333456399E-2</v>
      </c>
    </row>
    <row r="2207" spans="1:8" ht="15.75" hidden="1" customHeight="1" x14ac:dyDescent="0.25">
      <c r="A2207" s="15" t="s">
        <v>224</v>
      </c>
      <c r="B2207" s="11" t="s">
        <v>243</v>
      </c>
      <c r="C2207" s="15"/>
      <c r="D2207" s="16" t="s">
        <v>17</v>
      </c>
      <c r="E2207" s="23">
        <v>13</v>
      </c>
      <c r="F2207" s="18">
        <f>E2207* 0.752045572242362</f>
        <v>9.776592439150706</v>
      </c>
      <c r="G2207" s="18">
        <f>E2207* 0.185827723114103</f>
        <v>2.4157604004833391</v>
      </c>
      <c r="H2207" s="18">
        <f>E2207* 0.0620921802175039</f>
        <v>0.80719834282755065</v>
      </c>
    </row>
    <row r="2208" spans="1:8" ht="15.75" hidden="1" customHeight="1" x14ac:dyDescent="0.25">
      <c r="A2208" s="15" t="s">
        <v>224</v>
      </c>
      <c r="B2208" s="11" t="s">
        <v>243</v>
      </c>
      <c r="C2208" s="15"/>
      <c r="D2208" s="16" t="s">
        <v>18</v>
      </c>
      <c r="E2208" s="23">
        <v>3</v>
      </c>
      <c r="F2208" s="18">
        <f>E2208* 0.893702527830246</f>
        <v>2.6811075834907379</v>
      </c>
      <c r="G2208" s="18">
        <f>E2208* 0.0946831169875015</f>
        <v>0.2840493509625045</v>
      </c>
      <c r="H2208" s="18">
        <f>E2208* 0.0116143551822529</f>
        <v>3.48430655467587E-2</v>
      </c>
    </row>
    <row r="2209" spans="1:8" ht="15.75" hidden="1" customHeight="1" x14ac:dyDescent="0.25">
      <c r="A2209" s="15" t="s">
        <v>224</v>
      </c>
      <c r="B2209" s="11" t="s">
        <v>243</v>
      </c>
      <c r="C2209" s="15"/>
      <c r="D2209" s="16" t="s">
        <v>19</v>
      </c>
      <c r="E2209" s="23">
        <v>0</v>
      </c>
      <c r="F2209" s="18">
        <f>E2209* 0.0299845873616365</f>
        <v>0</v>
      </c>
      <c r="G2209" s="18">
        <f>E2209* 0.96385035729298</f>
        <v>0</v>
      </c>
      <c r="H2209" s="18">
        <f>E2209* 0.00616505534538321</f>
        <v>0</v>
      </c>
    </row>
    <row r="2210" spans="1:8" ht="15.75" hidden="1" customHeight="1" x14ac:dyDescent="0.25">
      <c r="A2210" s="15" t="s">
        <v>224</v>
      </c>
      <c r="B2210" s="11" t="s">
        <v>243</v>
      </c>
      <c r="C2210" s="15"/>
      <c r="D2210" s="16" t="s">
        <v>20</v>
      </c>
      <c r="E2210" s="23">
        <v>2</v>
      </c>
      <c r="F2210" s="18">
        <f>E2210* 0.734251968503937</f>
        <v>1.4685039370078741</v>
      </c>
      <c r="G2210" s="18">
        <f>E2210* 0.158017179670723</f>
        <v>0.31603435934144603</v>
      </c>
      <c r="H2210" s="18">
        <f>E2210* 0.107551896921976</f>
        <v>0.21510379384395201</v>
      </c>
    </row>
    <row r="2211" spans="1:8" ht="15.75" hidden="1" customHeight="1" x14ac:dyDescent="0.25">
      <c r="A2211" s="15" t="s">
        <v>224</v>
      </c>
      <c r="B2211" s="11" t="s">
        <v>243</v>
      </c>
      <c r="C2211" s="15"/>
      <c r="D2211" s="16" t="s">
        <v>21</v>
      </c>
      <c r="E2211" s="23">
        <v>18</v>
      </c>
      <c r="F2211" s="18">
        <f>E2211* 0.999727092353423</f>
        <v>17.995087662361616</v>
      </c>
      <c r="G2211" s="18">
        <f>E2211* 0.0000516311763794744</f>
        <v>9.2936117483053923E-4</v>
      </c>
      <c r="H2211" s="18">
        <f>E2211* 0.000132765882118648</f>
        <v>2.3897858781356642E-3</v>
      </c>
    </row>
    <row r="2212" spans="1:8" ht="15.75" hidden="1" customHeight="1" x14ac:dyDescent="0.25">
      <c r="A2212" s="15" t="s">
        <v>224</v>
      </c>
      <c r="B2212" s="11" t="s">
        <v>243</v>
      </c>
      <c r="C2212" s="15"/>
      <c r="D2212" s="16" t="s">
        <v>12</v>
      </c>
      <c r="E2212" s="23">
        <v>25</v>
      </c>
      <c r="F2212" s="18">
        <f>E2212* 0.802335182557089</f>
        <v>20.058379563927225</v>
      </c>
      <c r="G2212" s="18">
        <f>E2212* 0.124687137143594</f>
        <v>3.1171784285898498</v>
      </c>
      <c r="H2212" s="18">
        <f>E2212* 0.0729583279576829</f>
        <v>1.8239581989420723</v>
      </c>
    </row>
    <row r="2213" spans="1:8" ht="15.75" hidden="1" customHeight="1" x14ac:dyDescent="0.25">
      <c r="A2213" s="15" t="s">
        <v>224</v>
      </c>
      <c r="B2213" s="21"/>
      <c r="C2213" s="21"/>
      <c r="D2213" s="16"/>
      <c r="E2213" s="29"/>
    </row>
    <row r="2214" spans="1:8" ht="15.75" hidden="1" customHeight="1" x14ac:dyDescent="0.25">
      <c r="A2214" s="15" t="s">
        <v>224</v>
      </c>
      <c r="B2214" s="11" t="s">
        <v>244</v>
      </c>
      <c r="C2214" s="12" t="str">
        <f>B2214&amp;"_"&amp;A2214</f>
        <v>Mineros_Santa Cruz</v>
      </c>
      <c r="E2214" s="22">
        <v>2581</v>
      </c>
      <c r="F2214" s="14">
        <f t="shared" ref="F2214:H2214" si="201">SUM(F2215:F2228)</f>
        <v>2146.3012953165107</v>
      </c>
      <c r="G2214" s="14">
        <f t="shared" si="201"/>
        <v>387.63224660241059</v>
      </c>
      <c r="H2214" s="14">
        <f t="shared" si="201"/>
        <v>46.889697828556592</v>
      </c>
    </row>
    <row r="2215" spans="1:8" ht="15.75" hidden="1" customHeight="1" x14ac:dyDescent="0.25">
      <c r="A2215" s="15" t="s">
        <v>224</v>
      </c>
      <c r="B2215" s="11" t="s">
        <v>244</v>
      </c>
      <c r="C2215" s="15"/>
      <c r="D2215" s="16" t="s">
        <v>14</v>
      </c>
      <c r="E2215" s="23">
        <v>0</v>
      </c>
      <c r="F2215" s="20">
        <v>0</v>
      </c>
      <c r="G2215" s="24">
        <f>E2215</f>
        <v>0</v>
      </c>
      <c r="H2215" s="20">
        <v>0</v>
      </c>
    </row>
    <row r="2216" spans="1:8" ht="15.75" hidden="1" customHeight="1" x14ac:dyDescent="0.25">
      <c r="A2216" s="15" t="s">
        <v>224</v>
      </c>
      <c r="B2216" s="11" t="s">
        <v>244</v>
      </c>
      <c r="C2216" s="15"/>
      <c r="D2216" s="16" t="s">
        <v>15</v>
      </c>
      <c r="E2216" s="23">
        <v>145</v>
      </c>
      <c r="F2216" s="18">
        <f>E2216* 0.932303048052446</f>
        <v>135.18394196760468</v>
      </c>
      <c r="G2216" s="18">
        <f>E2216* 0.0217058280204555</f>
        <v>3.1473450629660471</v>
      </c>
      <c r="H2216" s="18">
        <f>E2216* 0.0459798598751943</f>
        <v>6.6670796819031732</v>
      </c>
    </row>
    <row r="2217" spans="1:8" ht="15.75" hidden="1" customHeight="1" x14ac:dyDescent="0.25">
      <c r="A2217" s="15" t="s">
        <v>224</v>
      </c>
      <c r="B2217" s="11" t="s">
        <v>244</v>
      </c>
      <c r="C2217" s="15"/>
      <c r="D2217" s="16" t="s">
        <v>16</v>
      </c>
      <c r="E2217" s="23">
        <v>1</v>
      </c>
      <c r="F2217" s="18">
        <f>E2217* 0.293894936109797</f>
        <v>0.293894936109797</v>
      </c>
      <c r="G2217" s="18">
        <f>E2217* 0.663038334122101</f>
        <v>0.663038334122101</v>
      </c>
      <c r="H2217" s="18">
        <f>E2217* 0.0430667297681022</f>
        <v>4.3066729768102198E-2</v>
      </c>
    </row>
    <row r="2218" spans="1:8" ht="15.75" hidden="1" customHeight="1" x14ac:dyDescent="0.25">
      <c r="A2218" s="15" t="s">
        <v>224</v>
      </c>
      <c r="B2218" s="11" t="s">
        <v>244</v>
      </c>
      <c r="C2218" s="15"/>
      <c r="D2218" s="16" t="s">
        <v>11</v>
      </c>
      <c r="E2218" s="23">
        <v>309</v>
      </c>
      <c r="F2218" s="18">
        <f>E2218* 0.083479491676667</f>
        <v>25.795162928090104</v>
      </c>
      <c r="G2218" s="18">
        <f>E2218* 0.913505030924029</f>
        <v>282.27305455552499</v>
      </c>
      <c r="H2218" s="18">
        <f>E2218* 0.00292316686667282</f>
        <v>0.90325856180190134</v>
      </c>
    </row>
    <row r="2219" spans="1:8" ht="15.75" hidden="1" customHeight="1" x14ac:dyDescent="0.25">
      <c r="A2219" s="15" t="s">
        <v>224</v>
      </c>
      <c r="B2219" s="11" t="s">
        <v>244</v>
      </c>
      <c r="C2219" s="15"/>
      <c r="D2219" s="16" t="s">
        <v>17</v>
      </c>
      <c r="E2219" s="23">
        <v>164</v>
      </c>
      <c r="F2219" s="18">
        <f>E2219* 0.752045572242362</f>
        <v>123.33547384774737</v>
      </c>
      <c r="G2219" s="18">
        <f>E2219* 0.185827723114103</f>
        <v>30.475746590712895</v>
      </c>
      <c r="H2219" s="18">
        <f>E2219* 0.0620921802175039</f>
        <v>10.183117555670639</v>
      </c>
    </row>
    <row r="2220" spans="1:8" ht="15.75" hidden="1" customHeight="1" x14ac:dyDescent="0.25">
      <c r="A2220" s="15" t="s">
        <v>224</v>
      </c>
      <c r="B2220" s="11" t="s">
        <v>244</v>
      </c>
      <c r="C2220" s="15"/>
      <c r="D2220" s="16" t="s">
        <v>31</v>
      </c>
      <c r="E2220" s="23">
        <v>1</v>
      </c>
      <c r="F2220" s="18">
        <f>E2220* 0.929131175468484</f>
        <v>0.92913117546848401</v>
      </c>
      <c r="G2220" s="18">
        <f>E2220* 0.0477001703577513</f>
        <v>4.7700170357751301E-2</v>
      </c>
      <c r="H2220" s="18">
        <f>E2220* 0.0231686541737649</f>
        <v>2.3168654173764899E-2</v>
      </c>
    </row>
    <row r="2221" spans="1:8" ht="15.75" hidden="1" customHeight="1" x14ac:dyDescent="0.25">
      <c r="A2221" s="15" t="s">
        <v>224</v>
      </c>
      <c r="B2221" s="11" t="s">
        <v>244</v>
      </c>
      <c r="C2221" s="15"/>
      <c r="D2221" s="16" t="s">
        <v>18</v>
      </c>
      <c r="E2221" s="23">
        <v>54</v>
      </c>
      <c r="F2221" s="18">
        <f>E2221* 0.893702527830246</f>
        <v>48.259936502833284</v>
      </c>
      <c r="G2221" s="18">
        <f>E2221* 0.0946831169875015</f>
        <v>5.1128883173250808</v>
      </c>
      <c r="H2221" s="18">
        <f>E2221* 0.0116143551822529</f>
        <v>0.6271751798416566</v>
      </c>
    </row>
    <row r="2222" spans="1:8" ht="15.75" hidden="1" customHeight="1" x14ac:dyDescent="0.25">
      <c r="A2222" s="15" t="s">
        <v>224</v>
      </c>
      <c r="B2222" s="11" t="s">
        <v>244</v>
      </c>
      <c r="C2222" s="15"/>
      <c r="D2222" s="16" t="s">
        <v>35</v>
      </c>
      <c r="E2222" s="23">
        <v>0</v>
      </c>
      <c r="F2222" s="20">
        <v>0</v>
      </c>
      <c r="G2222" s="24">
        <f>E2222</f>
        <v>0</v>
      </c>
      <c r="H2222" s="20">
        <v>0</v>
      </c>
    </row>
    <row r="2223" spans="1:8" ht="15.75" hidden="1" customHeight="1" x14ac:dyDescent="0.25">
      <c r="A2223" s="15" t="s">
        <v>224</v>
      </c>
      <c r="B2223" s="11" t="s">
        <v>244</v>
      </c>
      <c r="C2223" s="15"/>
      <c r="D2223" s="16" t="s">
        <v>19</v>
      </c>
      <c r="E2223" s="23">
        <v>3</v>
      </c>
      <c r="F2223" s="18">
        <f>E2223* 0.0299845873616365</f>
        <v>8.9953762084909489E-2</v>
      </c>
      <c r="G2223" s="18">
        <f>E2223* 0.96385035729298</f>
        <v>2.8915510718789399</v>
      </c>
      <c r="H2223" s="18">
        <f>E2223* 0.00616505534538321</f>
        <v>1.8495166036149629E-2</v>
      </c>
    </row>
    <row r="2224" spans="1:8" ht="15.75" hidden="1" customHeight="1" x14ac:dyDescent="0.25">
      <c r="A2224" s="15" t="s">
        <v>224</v>
      </c>
      <c r="B2224" s="11" t="s">
        <v>244</v>
      </c>
      <c r="C2224" s="15"/>
      <c r="D2224" s="16" t="s">
        <v>20</v>
      </c>
      <c r="E2224" s="23">
        <v>7</v>
      </c>
      <c r="F2224" s="18">
        <f>E2224* 0.734251968503937</f>
        <v>5.1397637795275593</v>
      </c>
      <c r="G2224" s="18">
        <f>E2224* 0.158017179670723</f>
        <v>1.1061202576950611</v>
      </c>
      <c r="H2224" s="18">
        <f>E2224* 0.107551896921976</f>
        <v>0.75286327845383205</v>
      </c>
    </row>
    <row r="2225" spans="1:8" ht="15.75" hidden="1" customHeight="1" x14ac:dyDescent="0.25">
      <c r="A2225" s="15" t="s">
        <v>224</v>
      </c>
      <c r="B2225" s="11" t="s">
        <v>244</v>
      </c>
      <c r="C2225" s="15"/>
      <c r="D2225" s="16" t="s">
        <v>21</v>
      </c>
      <c r="E2225" s="23">
        <v>1496</v>
      </c>
      <c r="F2225" s="18">
        <f>E2225* 0.999727092353423</f>
        <v>1495.591730160721</v>
      </c>
      <c r="G2225" s="18">
        <f>E2225* 0.0000516311763794744</f>
        <v>7.7240239863693702E-2</v>
      </c>
      <c r="H2225" s="18">
        <f>E2225* 0.000132765882118648</f>
        <v>0.19861775964949741</v>
      </c>
    </row>
    <row r="2226" spans="1:8" ht="15.75" hidden="1" customHeight="1" x14ac:dyDescent="0.25">
      <c r="A2226" s="15" t="s">
        <v>224</v>
      </c>
      <c r="B2226" s="11" t="s">
        <v>244</v>
      </c>
      <c r="C2226" s="15"/>
      <c r="D2226" s="16" t="s">
        <v>36</v>
      </c>
      <c r="E2226" s="23">
        <v>10</v>
      </c>
      <c r="F2226" s="18">
        <f>E2226* 0.995894428152493</f>
        <v>9.9589442815249303</v>
      </c>
      <c r="G2226" s="18">
        <f>E2226* 0.000586510263929619</f>
        <v>5.8651026392961894E-3</v>
      </c>
      <c r="H2226" s="18">
        <f>E2226* 0.00351906158357771</f>
        <v>3.5190615835777102E-2</v>
      </c>
    </row>
    <row r="2227" spans="1:8" ht="15.75" hidden="1" customHeight="1" x14ac:dyDescent="0.25">
      <c r="A2227" s="15" t="s">
        <v>224</v>
      </c>
      <c r="B2227" s="11" t="s">
        <v>244</v>
      </c>
      <c r="C2227" s="15"/>
      <c r="D2227" s="16" t="s">
        <v>28</v>
      </c>
      <c r="E2227" s="23">
        <v>15</v>
      </c>
      <c r="F2227" s="18">
        <f>E2227* 0.00302222222222222</f>
        <v>4.5333333333333302E-2</v>
      </c>
      <c r="G2227" s="18">
        <f>E2227* 0.996622222222222</f>
        <v>14.94933333333333</v>
      </c>
      <c r="H2227" s="18">
        <f>E2227* 0.000355555555555556</f>
        <v>5.3333333333333401E-3</v>
      </c>
    </row>
    <row r="2228" spans="1:8" ht="15.75" hidden="1" customHeight="1" x14ac:dyDescent="0.25">
      <c r="A2228" s="15" t="s">
        <v>224</v>
      </c>
      <c r="B2228" s="11" t="s">
        <v>244</v>
      </c>
      <c r="C2228" s="15"/>
      <c r="D2228" s="16" t="s">
        <v>12</v>
      </c>
      <c r="E2228" s="23">
        <v>376</v>
      </c>
      <c r="F2228" s="18">
        <f>E2228* 0.802335182557089</f>
        <v>301.67802864146546</v>
      </c>
      <c r="G2228" s="18">
        <f>E2228* 0.124687137143594</f>
        <v>46.882363565991348</v>
      </c>
      <c r="H2228" s="18">
        <f>E2228* 0.0729583279576829</f>
        <v>27.432331312088767</v>
      </c>
    </row>
    <row r="2229" spans="1:8" ht="15.75" hidden="1" customHeight="1" x14ac:dyDescent="0.25">
      <c r="A2229" s="15" t="s">
        <v>224</v>
      </c>
      <c r="B2229" s="8"/>
      <c r="C2229" s="8"/>
      <c r="D2229" s="9"/>
      <c r="E2229" s="29"/>
    </row>
    <row r="2230" spans="1:8" ht="15.75" hidden="1" customHeight="1" x14ac:dyDescent="0.25">
      <c r="A2230" s="15" t="s">
        <v>224</v>
      </c>
      <c r="B2230" s="11" t="s">
        <v>245</v>
      </c>
      <c r="C2230" s="12" t="str">
        <f>B2230&amp;"_"&amp;A2230</f>
        <v>Montero_Santa Cruz</v>
      </c>
      <c r="E2230" s="22">
        <v>80442</v>
      </c>
      <c r="F2230" s="14">
        <f t="shared" ref="F2230:H2230" si="202">SUM(F2231:F2245)</f>
        <v>72642.323518536214</v>
      </c>
      <c r="G2230" s="14">
        <f t="shared" si="202"/>
        <v>6483.5600098389041</v>
      </c>
      <c r="H2230" s="14">
        <f t="shared" si="202"/>
        <v>1310.442313205413</v>
      </c>
    </row>
    <row r="2231" spans="1:8" ht="15.75" hidden="1" customHeight="1" x14ac:dyDescent="0.25">
      <c r="A2231" s="15" t="s">
        <v>224</v>
      </c>
      <c r="B2231" s="11" t="s">
        <v>245</v>
      </c>
      <c r="C2231" s="15"/>
      <c r="D2231" s="16" t="s">
        <v>14</v>
      </c>
      <c r="E2231" s="23">
        <v>0</v>
      </c>
      <c r="F2231" s="20">
        <v>0</v>
      </c>
      <c r="G2231" s="24">
        <f>E2231</f>
        <v>0</v>
      </c>
      <c r="H2231" s="20">
        <v>0</v>
      </c>
    </row>
    <row r="2232" spans="1:8" ht="15.75" hidden="1" customHeight="1" x14ac:dyDescent="0.25">
      <c r="A2232" s="15" t="s">
        <v>224</v>
      </c>
      <c r="B2232" s="11" t="s">
        <v>245</v>
      </c>
      <c r="C2232" s="15"/>
      <c r="D2232" s="16" t="s">
        <v>15</v>
      </c>
      <c r="E2232" s="23">
        <v>4823</v>
      </c>
      <c r="F2232" s="18">
        <f>E2232* 0.932303048052446</f>
        <v>4496.4976007569476</v>
      </c>
      <c r="G2232" s="18">
        <f>E2232* 0.0217058280204555</f>
        <v>104.68720854265686</v>
      </c>
      <c r="H2232" s="18">
        <f>E2232* 0.0459798598751943</f>
        <v>221.76086417806209</v>
      </c>
    </row>
    <row r="2233" spans="1:8" ht="15.75" hidden="1" customHeight="1" x14ac:dyDescent="0.25">
      <c r="A2233" s="15" t="s">
        <v>224</v>
      </c>
      <c r="B2233" s="11" t="s">
        <v>245</v>
      </c>
      <c r="C2233" s="15"/>
      <c r="D2233" s="16" t="s">
        <v>16</v>
      </c>
      <c r="E2233" s="23">
        <v>144</v>
      </c>
      <c r="F2233" s="18">
        <f>E2233* 0.293894936109797</f>
        <v>42.32087079981077</v>
      </c>
      <c r="G2233" s="18">
        <f>E2233* 0.663038334122101</f>
        <v>95.477520113582543</v>
      </c>
      <c r="H2233" s="18">
        <f>E2233* 0.0430667297681022</f>
        <v>6.2016090866067168</v>
      </c>
    </row>
    <row r="2234" spans="1:8" ht="15.75" hidden="1" customHeight="1" x14ac:dyDescent="0.25">
      <c r="A2234" s="15" t="s">
        <v>224</v>
      </c>
      <c r="B2234" s="11" t="s">
        <v>245</v>
      </c>
      <c r="C2234" s="15"/>
      <c r="D2234" s="16" t="s">
        <v>11</v>
      </c>
      <c r="E2234" s="23">
        <v>3445</v>
      </c>
      <c r="F2234" s="18">
        <f>E2234* 0.083479491676667</f>
        <v>287.58684882611783</v>
      </c>
      <c r="G2234" s="18">
        <f>E2234* 0.913505030924029</f>
        <v>3147.0248315332801</v>
      </c>
      <c r="H2234" s="18">
        <f>E2234* 0.00292316686667282</f>
        <v>10.070309855687865</v>
      </c>
    </row>
    <row r="2235" spans="1:8" ht="15.75" hidden="1" customHeight="1" x14ac:dyDescent="0.25">
      <c r="A2235" s="15" t="s">
        <v>224</v>
      </c>
      <c r="B2235" s="11" t="s">
        <v>245</v>
      </c>
      <c r="C2235" s="15"/>
      <c r="D2235" s="16" t="s">
        <v>17</v>
      </c>
      <c r="E2235" s="23">
        <v>4276</v>
      </c>
      <c r="F2235" s="18">
        <f>E2235* 0.752045572242362</f>
        <v>3215.7468669083401</v>
      </c>
      <c r="G2235" s="18">
        <f>E2235* 0.185827723114103</f>
        <v>794.59934403590444</v>
      </c>
      <c r="H2235" s="18">
        <f>E2235* 0.0620921802175039</f>
        <v>265.50616261004666</v>
      </c>
    </row>
    <row r="2236" spans="1:8" ht="15.75" hidden="1" customHeight="1" x14ac:dyDescent="0.25">
      <c r="A2236" s="15" t="s">
        <v>224</v>
      </c>
      <c r="B2236" s="11" t="s">
        <v>245</v>
      </c>
      <c r="C2236" s="15"/>
      <c r="D2236" s="16" t="s">
        <v>31</v>
      </c>
      <c r="E2236" s="23">
        <v>46</v>
      </c>
      <c r="F2236" s="18">
        <f>E2236* 0.929131175468484</f>
        <v>42.740034071550262</v>
      </c>
      <c r="G2236" s="18">
        <f>E2236* 0.0477001703577513</f>
        <v>2.19420783645656</v>
      </c>
      <c r="H2236" s="18">
        <f>E2236* 0.0231686541737649</f>
        <v>1.0657580919931853</v>
      </c>
    </row>
    <row r="2237" spans="1:8" ht="15.75" hidden="1" customHeight="1" x14ac:dyDescent="0.25">
      <c r="A2237" s="15" t="s">
        <v>224</v>
      </c>
      <c r="B2237" s="11" t="s">
        <v>245</v>
      </c>
      <c r="C2237" s="15"/>
      <c r="D2237" s="16" t="s">
        <v>18</v>
      </c>
      <c r="E2237" s="23">
        <v>1158</v>
      </c>
      <c r="F2237" s="18">
        <f>E2237* 0.893702527830246</f>
        <v>1034.9075272274249</v>
      </c>
      <c r="G2237" s="18">
        <f>E2237* 0.0946831169875015</f>
        <v>109.64304947152674</v>
      </c>
      <c r="H2237" s="18">
        <f>E2237* 0.0116143551822529</f>
        <v>13.449423301048858</v>
      </c>
    </row>
    <row r="2238" spans="1:8" ht="15.75" hidden="1" customHeight="1" x14ac:dyDescent="0.25">
      <c r="A2238" s="15" t="s">
        <v>224</v>
      </c>
      <c r="B2238" s="11" t="s">
        <v>245</v>
      </c>
      <c r="C2238" s="15"/>
      <c r="D2238" s="16" t="s">
        <v>19</v>
      </c>
      <c r="E2238" s="23">
        <v>256</v>
      </c>
      <c r="F2238" s="18">
        <f>E2238* 0.0299845873616365</f>
        <v>7.6760543645789436</v>
      </c>
      <c r="G2238" s="18">
        <f>E2238* 0.96385035729298</f>
        <v>246.74569146700287</v>
      </c>
      <c r="H2238" s="18">
        <f>E2238* 0.00616505534538321</f>
        <v>1.5782541684181017</v>
      </c>
    </row>
    <row r="2239" spans="1:8" ht="15.75" hidden="1" customHeight="1" x14ac:dyDescent="0.25">
      <c r="A2239" s="15" t="s">
        <v>224</v>
      </c>
      <c r="B2239" s="11" t="s">
        <v>245</v>
      </c>
      <c r="C2239" s="15"/>
      <c r="D2239" s="16" t="s">
        <v>20</v>
      </c>
      <c r="E2239" s="23">
        <v>489</v>
      </c>
      <c r="F2239" s="18">
        <f>E2239* 0.734251968503937</f>
        <v>359.04921259842519</v>
      </c>
      <c r="G2239" s="18">
        <f>E2239* 0.158017179670723</f>
        <v>77.27040085898355</v>
      </c>
      <c r="H2239" s="18">
        <f>E2239* 0.107551896921976</f>
        <v>52.592877594846264</v>
      </c>
    </row>
    <row r="2240" spans="1:8" ht="15.75" hidden="1" customHeight="1" x14ac:dyDescent="0.25">
      <c r="A2240" s="15" t="s">
        <v>224</v>
      </c>
      <c r="B2240" s="11" t="s">
        <v>245</v>
      </c>
      <c r="C2240" s="15"/>
      <c r="D2240" s="16" t="s">
        <v>21</v>
      </c>
      <c r="E2240" s="23">
        <v>55055</v>
      </c>
      <c r="F2240" s="18">
        <f>E2240* 0.999727092353423</f>
        <v>55039.975069517706</v>
      </c>
      <c r="G2240" s="18">
        <f>E2240* 0.0000516311763794744</f>
        <v>2.8425544155719633</v>
      </c>
      <c r="H2240" s="18">
        <f>E2240* 0.000132765882118648</f>
        <v>7.309425640042166</v>
      </c>
    </row>
    <row r="2241" spans="1:8" ht="15.75" hidden="1" customHeight="1" x14ac:dyDescent="0.25">
      <c r="A2241" s="15" t="s">
        <v>224</v>
      </c>
      <c r="B2241" s="11" t="s">
        <v>245</v>
      </c>
      <c r="C2241" s="15"/>
      <c r="D2241" s="16" t="s">
        <v>36</v>
      </c>
      <c r="E2241" s="23">
        <v>82</v>
      </c>
      <c r="F2241" s="18">
        <f>E2241* 0.995894428152493</f>
        <v>81.663343108504421</v>
      </c>
      <c r="G2241" s="18">
        <f>E2241* 0.000586510263929619</f>
        <v>4.8093841642228755E-2</v>
      </c>
      <c r="H2241" s="18">
        <f>E2241* 0.00351906158357771</f>
        <v>0.28856304985337222</v>
      </c>
    </row>
    <row r="2242" spans="1:8" ht="15.75" hidden="1" customHeight="1" x14ac:dyDescent="0.25">
      <c r="A2242" s="15" t="s">
        <v>224</v>
      </c>
      <c r="B2242" s="11" t="s">
        <v>245</v>
      </c>
      <c r="C2242" s="15"/>
      <c r="D2242" s="16" t="s">
        <v>37</v>
      </c>
      <c r="E2242" s="23">
        <v>1</v>
      </c>
      <c r="F2242" s="20">
        <v>0</v>
      </c>
      <c r="G2242" s="24">
        <f>E2242</f>
        <v>1</v>
      </c>
      <c r="H2242" s="20">
        <v>0</v>
      </c>
    </row>
    <row r="2243" spans="1:8" ht="15.75" hidden="1" customHeight="1" x14ac:dyDescent="0.25">
      <c r="A2243" s="15" t="s">
        <v>224</v>
      </c>
      <c r="B2243" s="11" t="s">
        <v>245</v>
      </c>
      <c r="C2243" s="15"/>
      <c r="D2243" s="16" t="s">
        <v>28</v>
      </c>
      <c r="E2243" s="23">
        <v>656</v>
      </c>
      <c r="F2243" s="18">
        <f>E2243* 0.00302222222222222</f>
        <v>1.9825777777777762</v>
      </c>
      <c r="G2243" s="18">
        <f>E2243* 0.996622222222222</f>
        <v>653.78417777777759</v>
      </c>
      <c r="H2243" s="18">
        <f>E2243* 0.000355555555555556</f>
        <v>0.23324444444444475</v>
      </c>
    </row>
    <row r="2244" spans="1:8" ht="15.75" hidden="1" customHeight="1" x14ac:dyDescent="0.25">
      <c r="A2244" s="15" t="s">
        <v>224</v>
      </c>
      <c r="B2244" s="11" t="s">
        <v>245</v>
      </c>
      <c r="C2244" s="15"/>
      <c r="D2244" s="16" t="s">
        <v>84</v>
      </c>
      <c r="E2244" s="23">
        <v>0</v>
      </c>
      <c r="F2244" s="24">
        <f>E2244</f>
        <v>0</v>
      </c>
      <c r="G2244" s="20">
        <v>0</v>
      </c>
      <c r="H2244" s="20">
        <v>0</v>
      </c>
    </row>
    <row r="2245" spans="1:8" ht="15.75" hidden="1" customHeight="1" x14ac:dyDescent="0.25">
      <c r="A2245" s="15" t="s">
        <v>224</v>
      </c>
      <c r="B2245" s="11" t="s">
        <v>245</v>
      </c>
      <c r="C2245" s="15"/>
      <c r="D2245" s="16" t="s">
        <v>12</v>
      </c>
      <c r="E2245" s="23">
        <v>10011</v>
      </c>
      <c r="F2245" s="18">
        <f>E2245* 0.802335182557089</f>
        <v>8032.1775125790182</v>
      </c>
      <c r="G2245" s="18">
        <f>E2245* 0.124687137143594</f>
        <v>1248.2429299445196</v>
      </c>
      <c r="H2245" s="18">
        <f>E2245* 0.0729583279576829</f>
        <v>730.38582118436341</v>
      </c>
    </row>
    <row r="2246" spans="1:8" ht="15.75" hidden="1" customHeight="1" x14ac:dyDescent="0.25">
      <c r="A2246" s="15" t="s">
        <v>224</v>
      </c>
      <c r="B2246" s="8"/>
      <c r="C2246" s="8"/>
      <c r="D2246" s="9"/>
      <c r="E2246" s="29"/>
    </row>
    <row r="2247" spans="1:8" ht="15.75" hidden="1" customHeight="1" x14ac:dyDescent="0.25">
      <c r="A2247" s="15" t="s">
        <v>224</v>
      </c>
      <c r="B2247" s="11" t="s">
        <v>246</v>
      </c>
      <c r="C2247" s="12" t="str">
        <f>B2247&amp;"_"&amp;A2247</f>
        <v>Moromoro_Santa Cruz</v>
      </c>
      <c r="E2247" s="22">
        <v>25</v>
      </c>
      <c r="F2247" s="14">
        <f t="shared" ref="F2247:H2247" si="203">SUM(F2248:F2252)</f>
        <v>17.026409566589578</v>
      </c>
      <c r="G2247" s="14">
        <f t="shared" si="203"/>
        <v>7.0999184214429771</v>
      </c>
      <c r="H2247" s="14">
        <f t="shared" si="203"/>
        <v>0.87223600238670418</v>
      </c>
    </row>
    <row r="2248" spans="1:8" ht="15.75" hidden="1" customHeight="1" x14ac:dyDescent="0.25">
      <c r="A2248" s="15" t="s">
        <v>224</v>
      </c>
      <c r="B2248" s="11" t="s">
        <v>246</v>
      </c>
      <c r="C2248" s="15"/>
      <c r="D2248" s="16" t="s">
        <v>14</v>
      </c>
      <c r="E2248" s="23">
        <v>0</v>
      </c>
      <c r="F2248" s="20">
        <v>0</v>
      </c>
      <c r="G2248" s="24">
        <f>E2248</f>
        <v>0</v>
      </c>
      <c r="H2248" s="20">
        <v>0</v>
      </c>
    </row>
    <row r="2249" spans="1:8" ht="15.75" hidden="1" customHeight="1" x14ac:dyDescent="0.25">
      <c r="A2249" s="15" t="s">
        <v>224</v>
      </c>
      <c r="B2249" s="11" t="s">
        <v>246</v>
      </c>
      <c r="C2249" s="15"/>
      <c r="D2249" s="16" t="s">
        <v>11</v>
      </c>
      <c r="E2249" s="23">
        <v>6</v>
      </c>
      <c r="F2249" s="18">
        <f>E2249* 0.083479491676667</f>
        <v>0.50087695006000199</v>
      </c>
      <c r="G2249" s="18">
        <f>E2249* 0.913505030924029</f>
        <v>5.4810301855441743</v>
      </c>
      <c r="H2249" s="18">
        <f>E2249* 0.00292316686667282</f>
        <v>1.753900120003692E-2</v>
      </c>
    </row>
    <row r="2250" spans="1:8" ht="15.75" hidden="1" customHeight="1" x14ac:dyDescent="0.25">
      <c r="A2250" s="15" t="s">
        <v>224</v>
      </c>
      <c r="B2250" s="11" t="s">
        <v>246</v>
      </c>
      <c r="C2250" s="15"/>
      <c r="D2250" s="16" t="s">
        <v>17</v>
      </c>
      <c r="E2250" s="23">
        <v>2</v>
      </c>
      <c r="F2250" s="18">
        <f>E2250* 0.752045572242362</f>
        <v>1.504091144484724</v>
      </c>
      <c r="G2250" s="18">
        <f>E2250* 0.185827723114103</f>
        <v>0.37165544622820601</v>
      </c>
      <c r="H2250" s="18">
        <f>E2250* 0.0620921802175039</f>
        <v>0.1241843604350078</v>
      </c>
    </row>
    <row r="2251" spans="1:8" ht="15.75" hidden="1" customHeight="1" x14ac:dyDescent="0.25">
      <c r="A2251" s="15" t="s">
        <v>224</v>
      </c>
      <c r="B2251" s="11" t="s">
        <v>246</v>
      </c>
      <c r="C2251" s="15"/>
      <c r="D2251" s="16" t="s">
        <v>21</v>
      </c>
      <c r="E2251" s="23">
        <v>7</v>
      </c>
      <c r="F2251" s="18">
        <f>E2251* 0.999727092353423</f>
        <v>6.9980896464739617</v>
      </c>
      <c r="G2251" s="18">
        <f>E2251* 0.0000516311763794744</f>
        <v>3.6141823465632081E-4</v>
      </c>
      <c r="H2251" s="18">
        <f>E2251* 0.000132765882118648</f>
        <v>9.2936117483053598E-4</v>
      </c>
    </row>
    <row r="2252" spans="1:8" ht="15.75" hidden="1" customHeight="1" x14ac:dyDescent="0.25">
      <c r="A2252" s="15" t="s">
        <v>224</v>
      </c>
      <c r="B2252" s="11" t="s">
        <v>246</v>
      </c>
      <c r="C2252" s="15"/>
      <c r="D2252" s="16" t="s">
        <v>12</v>
      </c>
      <c r="E2252" s="23">
        <v>10</v>
      </c>
      <c r="F2252" s="18">
        <f>E2252* 0.802335182557089</f>
        <v>8.0233518255708898</v>
      </c>
      <c r="G2252" s="18">
        <f>E2252* 0.124687137143594</f>
        <v>1.2468713714359401</v>
      </c>
      <c r="H2252" s="18">
        <f>E2252* 0.0729583279576829</f>
        <v>0.72958327957682889</v>
      </c>
    </row>
    <row r="2253" spans="1:8" ht="15.75" hidden="1" customHeight="1" x14ac:dyDescent="0.25">
      <c r="A2253" s="15" t="s">
        <v>224</v>
      </c>
      <c r="B2253" s="8"/>
      <c r="C2253" s="8"/>
      <c r="D2253" s="9"/>
      <c r="E2253" s="29"/>
    </row>
    <row r="2254" spans="1:8" ht="15.75" hidden="1" customHeight="1" x14ac:dyDescent="0.25">
      <c r="A2254" s="15" t="s">
        <v>224</v>
      </c>
      <c r="B2254" s="11" t="s">
        <v>247</v>
      </c>
      <c r="C2254" s="12" t="str">
        <f>B2254&amp;"_"&amp;A2254</f>
        <v>Okinawa_Santa Cruz</v>
      </c>
      <c r="E2254" s="22">
        <v>1106</v>
      </c>
      <c r="F2254" s="14">
        <f t="shared" ref="F2254:H2254" si="204">SUM(F2255:F2267)</f>
        <v>915.23056514142581</v>
      </c>
      <c r="G2254" s="14">
        <f t="shared" si="204"/>
        <v>164.74771542929781</v>
      </c>
      <c r="H2254" s="14">
        <f t="shared" si="204"/>
        <v>25.950332745191155</v>
      </c>
    </row>
    <row r="2255" spans="1:8" ht="15.75" hidden="1" customHeight="1" x14ac:dyDescent="0.25">
      <c r="A2255" s="15" t="s">
        <v>224</v>
      </c>
      <c r="B2255" s="11" t="s">
        <v>247</v>
      </c>
      <c r="C2255" s="15"/>
      <c r="D2255" s="16" t="s">
        <v>14</v>
      </c>
      <c r="E2255" s="23">
        <v>0</v>
      </c>
      <c r="F2255" s="20">
        <v>0</v>
      </c>
      <c r="G2255" s="24">
        <f>E2255</f>
        <v>0</v>
      </c>
      <c r="H2255" s="20">
        <v>0</v>
      </c>
    </row>
    <row r="2256" spans="1:8" ht="15.75" hidden="1" customHeight="1" x14ac:dyDescent="0.25">
      <c r="A2256" s="15" t="s">
        <v>224</v>
      </c>
      <c r="B2256" s="11" t="s">
        <v>247</v>
      </c>
      <c r="C2256" s="15"/>
      <c r="D2256" s="16" t="s">
        <v>15</v>
      </c>
      <c r="E2256" s="23">
        <v>23</v>
      </c>
      <c r="F2256" s="18">
        <f>E2256* 0.932303048052446</f>
        <v>21.442970105206257</v>
      </c>
      <c r="G2256" s="18">
        <f>E2256* 0.0217058280204555</f>
        <v>0.49923404447047648</v>
      </c>
      <c r="H2256" s="18">
        <f>E2256* 0.0459798598751943</f>
        <v>1.0575367771294688</v>
      </c>
    </row>
    <row r="2257" spans="1:8" ht="15.75" hidden="1" customHeight="1" x14ac:dyDescent="0.25">
      <c r="A2257" s="15" t="s">
        <v>224</v>
      </c>
      <c r="B2257" s="11" t="s">
        <v>247</v>
      </c>
      <c r="C2257" s="15"/>
      <c r="D2257" s="16" t="s">
        <v>16</v>
      </c>
      <c r="E2257" s="23">
        <v>1</v>
      </c>
      <c r="F2257" s="18">
        <f>E2257* 0.293894936109797</f>
        <v>0.293894936109797</v>
      </c>
      <c r="G2257" s="18">
        <f>E2257* 0.663038334122101</f>
        <v>0.663038334122101</v>
      </c>
      <c r="H2257" s="18">
        <f>E2257* 0.0430667297681022</f>
        <v>4.3066729768102198E-2</v>
      </c>
    </row>
    <row r="2258" spans="1:8" ht="15.75" hidden="1" customHeight="1" x14ac:dyDescent="0.25">
      <c r="A2258" s="15" t="s">
        <v>224</v>
      </c>
      <c r="B2258" s="11" t="s">
        <v>247</v>
      </c>
      <c r="C2258" s="15"/>
      <c r="D2258" s="16" t="s">
        <v>11</v>
      </c>
      <c r="E2258" s="23">
        <v>110</v>
      </c>
      <c r="F2258" s="18">
        <f>E2258* 0.083479491676667</f>
        <v>9.1827440844333701</v>
      </c>
      <c r="G2258" s="18">
        <f>E2258* 0.913505030924029</f>
        <v>100.48555340164319</v>
      </c>
      <c r="H2258" s="18">
        <f>E2258* 0.00292316686667282</f>
        <v>0.32154835533401022</v>
      </c>
    </row>
    <row r="2259" spans="1:8" ht="15.75" hidden="1" customHeight="1" x14ac:dyDescent="0.25">
      <c r="A2259" s="15" t="s">
        <v>224</v>
      </c>
      <c r="B2259" s="11" t="s">
        <v>247</v>
      </c>
      <c r="C2259" s="15"/>
      <c r="D2259" s="16" t="s">
        <v>17</v>
      </c>
      <c r="E2259" s="23">
        <v>180</v>
      </c>
      <c r="F2259" s="18">
        <f>E2259* 0.752045572242362</f>
        <v>135.36820300362515</v>
      </c>
      <c r="G2259" s="18">
        <f>E2259* 0.185827723114103</f>
        <v>33.448990160538543</v>
      </c>
      <c r="H2259" s="18">
        <f>E2259* 0.0620921802175039</f>
        <v>11.176592439150703</v>
      </c>
    </row>
    <row r="2260" spans="1:8" ht="15.75" hidden="1" customHeight="1" x14ac:dyDescent="0.25">
      <c r="A2260" s="15" t="s">
        <v>224</v>
      </c>
      <c r="B2260" s="11" t="s">
        <v>247</v>
      </c>
      <c r="C2260" s="15"/>
      <c r="D2260" s="16" t="s">
        <v>31</v>
      </c>
      <c r="E2260" s="23">
        <v>2</v>
      </c>
      <c r="F2260" s="18">
        <f>E2260* 0.929131175468484</f>
        <v>1.858262350936968</v>
      </c>
      <c r="G2260" s="18">
        <f>E2260* 0.0477001703577513</f>
        <v>9.5400340715502602E-2</v>
      </c>
      <c r="H2260" s="18">
        <f>E2260* 0.0231686541737649</f>
        <v>4.6337308347529797E-2</v>
      </c>
    </row>
    <row r="2261" spans="1:8" ht="15.75" hidden="1" customHeight="1" x14ac:dyDescent="0.25">
      <c r="A2261" s="15" t="s">
        <v>224</v>
      </c>
      <c r="B2261" s="11" t="s">
        <v>247</v>
      </c>
      <c r="C2261" s="15"/>
      <c r="D2261" s="16" t="s">
        <v>18</v>
      </c>
      <c r="E2261" s="23">
        <v>28</v>
      </c>
      <c r="F2261" s="18">
        <f>E2261* 0.893702527830246</f>
        <v>25.023670779246885</v>
      </c>
      <c r="G2261" s="18">
        <f>E2261* 0.0946831169875015</f>
        <v>2.6511272756500417</v>
      </c>
      <c r="H2261" s="18">
        <f>E2261* 0.0116143551822529</f>
        <v>0.3252019451030812</v>
      </c>
    </row>
    <row r="2262" spans="1:8" ht="15.75" hidden="1" customHeight="1" x14ac:dyDescent="0.25">
      <c r="A2262" s="15" t="s">
        <v>224</v>
      </c>
      <c r="B2262" s="11" t="s">
        <v>247</v>
      </c>
      <c r="C2262" s="15"/>
      <c r="D2262" s="16" t="s">
        <v>19</v>
      </c>
      <c r="E2262" s="23">
        <v>1</v>
      </c>
      <c r="F2262" s="18">
        <f>E2262* 0.0299845873616365</f>
        <v>2.9984587361636499E-2</v>
      </c>
      <c r="G2262" s="18">
        <f>E2262* 0.96385035729298</f>
        <v>0.96385035729297996</v>
      </c>
      <c r="H2262" s="18">
        <f>E2262* 0.00616505534538321</f>
        <v>6.1650553453832099E-3</v>
      </c>
    </row>
    <row r="2263" spans="1:8" ht="15.75" hidden="1" customHeight="1" x14ac:dyDescent="0.25">
      <c r="A2263" s="15" t="s">
        <v>224</v>
      </c>
      <c r="B2263" s="11" t="s">
        <v>247</v>
      </c>
      <c r="C2263" s="15"/>
      <c r="D2263" s="16" t="s">
        <v>20</v>
      </c>
      <c r="E2263" s="23">
        <v>3</v>
      </c>
      <c r="F2263" s="18">
        <f>E2263* 0.734251968503937</f>
        <v>2.2027559055118111</v>
      </c>
      <c r="G2263" s="18">
        <f>E2263* 0.158017179670723</f>
        <v>0.47405153901216901</v>
      </c>
      <c r="H2263" s="18">
        <f>E2263* 0.107551896921976</f>
        <v>0.32265569076592804</v>
      </c>
    </row>
    <row r="2264" spans="1:8" ht="15.75" hidden="1" customHeight="1" x14ac:dyDescent="0.25">
      <c r="A2264" s="15" t="s">
        <v>224</v>
      </c>
      <c r="B2264" s="11" t="s">
        <v>247</v>
      </c>
      <c r="C2264" s="15"/>
      <c r="D2264" s="16" t="s">
        <v>21</v>
      </c>
      <c r="E2264" s="23">
        <v>575</v>
      </c>
      <c r="F2264" s="18">
        <f>E2264* 0.999727092353423</f>
        <v>574.8430781032182</v>
      </c>
      <c r="G2264" s="18">
        <f>E2264* 0.0000516311763794744</f>
        <v>2.9687926418197782E-2</v>
      </c>
      <c r="H2264" s="18">
        <f>E2264* 0.000132765882118648</f>
        <v>7.6340382218222605E-2</v>
      </c>
    </row>
    <row r="2265" spans="1:8" ht="15.75" hidden="1" customHeight="1" x14ac:dyDescent="0.25">
      <c r="A2265" s="15" t="s">
        <v>224</v>
      </c>
      <c r="B2265" s="11" t="s">
        <v>247</v>
      </c>
      <c r="C2265" s="15"/>
      <c r="D2265" s="16" t="s">
        <v>36</v>
      </c>
      <c r="E2265" s="23">
        <v>7</v>
      </c>
      <c r="F2265" s="18">
        <f>E2265* 0.995894428152493</f>
        <v>6.9712609970674508</v>
      </c>
      <c r="G2265" s="18">
        <f>E2265* 0.000586510263929619</f>
        <v>4.1055718475073331E-3</v>
      </c>
      <c r="H2265" s="18">
        <f>E2265* 0.00351906158357771</f>
        <v>2.4633431085043969E-2</v>
      </c>
    </row>
    <row r="2266" spans="1:8" ht="15.75" hidden="1" customHeight="1" x14ac:dyDescent="0.25">
      <c r="A2266" s="15" t="s">
        <v>224</v>
      </c>
      <c r="B2266" s="11" t="s">
        <v>247</v>
      </c>
      <c r="C2266" s="15"/>
      <c r="D2266" s="16" t="s">
        <v>28</v>
      </c>
      <c r="E2266" s="23">
        <v>4</v>
      </c>
      <c r="F2266" s="18">
        <f>E2266* 0.00302222222222222</f>
        <v>1.208888888888888E-2</v>
      </c>
      <c r="G2266" s="18">
        <f>E2266* 0.996622222222222</f>
        <v>3.9864888888888879</v>
      </c>
      <c r="H2266" s="18">
        <f>E2266* 0.000355555555555556</f>
        <v>1.422222222222224E-3</v>
      </c>
    </row>
    <row r="2267" spans="1:8" ht="15.75" hidden="1" customHeight="1" x14ac:dyDescent="0.25">
      <c r="A2267" s="15" t="s">
        <v>224</v>
      </c>
      <c r="B2267" s="11" t="s">
        <v>247</v>
      </c>
      <c r="C2267" s="15"/>
      <c r="D2267" s="16" t="s">
        <v>12</v>
      </c>
      <c r="E2267" s="23">
        <v>172</v>
      </c>
      <c r="F2267" s="18">
        <f>E2267* 0.802335182557089</f>
        <v>138.00165139981931</v>
      </c>
      <c r="G2267" s="18">
        <f>E2267* 0.124687137143594</f>
        <v>21.446187588698169</v>
      </c>
      <c r="H2267" s="18">
        <f>E2267* 0.0729583279576829</f>
        <v>12.548832408721458</v>
      </c>
    </row>
    <row r="2268" spans="1:8" ht="15.75" hidden="1" customHeight="1" x14ac:dyDescent="0.25">
      <c r="A2268" s="15" t="s">
        <v>224</v>
      </c>
      <c r="B2268" s="8"/>
      <c r="C2268" s="8"/>
      <c r="D2268" s="9"/>
      <c r="E2268" s="29"/>
    </row>
    <row r="2269" spans="1:8" ht="15.75" hidden="1" customHeight="1" x14ac:dyDescent="0.25">
      <c r="A2269" s="15" t="s">
        <v>224</v>
      </c>
      <c r="B2269" s="11" t="s">
        <v>248</v>
      </c>
      <c r="C2269" s="12" t="str">
        <f>B2269&amp;"_"&amp;A2269</f>
        <v>Pailón_Santa Cruz</v>
      </c>
      <c r="E2269" s="22">
        <v>1008</v>
      </c>
      <c r="F2269" s="14">
        <f t="shared" ref="F2269:H2269" si="205">SUM(F2270:F2281)</f>
        <v>869.6960100580518</v>
      </c>
      <c r="G2269" s="14">
        <f t="shared" si="205"/>
        <v>112.43307789048946</v>
      </c>
      <c r="H2269" s="14">
        <f t="shared" si="205"/>
        <v>25.807426742620883</v>
      </c>
    </row>
    <row r="2270" spans="1:8" ht="15.75" hidden="1" customHeight="1" x14ac:dyDescent="0.25">
      <c r="A2270" s="15" t="s">
        <v>224</v>
      </c>
      <c r="B2270" s="11" t="s">
        <v>248</v>
      </c>
      <c r="C2270" s="15"/>
      <c r="D2270" s="16" t="s">
        <v>14</v>
      </c>
      <c r="E2270" s="23">
        <v>0</v>
      </c>
      <c r="F2270" s="20">
        <v>0</v>
      </c>
      <c r="G2270" s="24">
        <f>E2270</f>
        <v>0</v>
      </c>
      <c r="H2270" s="20">
        <v>0</v>
      </c>
    </row>
    <row r="2271" spans="1:8" ht="15.75" hidden="1" customHeight="1" x14ac:dyDescent="0.25">
      <c r="A2271" s="15" t="s">
        <v>224</v>
      </c>
      <c r="B2271" s="11" t="s">
        <v>248</v>
      </c>
      <c r="C2271" s="15"/>
      <c r="D2271" s="16" t="s">
        <v>15</v>
      </c>
      <c r="E2271" s="23">
        <v>61</v>
      </c>
      <c r="F2271" s="18">
        <f>E2271* 0.932303048052446</f>
        <v>56.870485931199205</v>
      </c>
      <c r="G2271" s="18">
        <f>E2271* 0.0217058280204555</f>
        <v>1.3240555092477855</v>
      </c>
      <c r="H2271" s="18">
        <f>E2271* 0.0459798598751943</f>
        <v>2.8047714523868521</v>
      </c>
    </row>
    <row r="2272" spans="1:8" ht="15.75" hidden="1" customHeight="1" x14ac:dyDescent="0.25">
      <c r="A2272" s="15" t="s">
        <v>224</v>
      </c>
      <c r="B2272" s="11" t="s">
        <v>248</v>
      </c>
      <c r="C2272" s="15"/>
      <c r="D2272" s="16" t="s">
        <v>16</v>
      </c>
      <c r="E2272" s="23">
        <v>0</v>
      </c>
      <c r="F2272" s="18">
        <f>E2272* 0.293894936109797</f>
        <v>0</v>
      </c>
      <c r="G2272" s="18">
        <f>E2272* 0.663038334122101</f>
        <v>0</v>
      </c>
      <c r="H2272" s="18">
        <f>E2272* 0.0430667297681022</f>
        <v>0</v>
      </c>
    </row>
    <row r="2273" spans="1:8" ht="15.75" hidden="1" customHeight="1" x14ac:dyDescent="0.25">
      <c r="A2273" s="15" t="s">
        <v>224</v>
      </c>
      <c r="B2273" s="11" t="s">
        <v>248</v>
      </c>
      <c r="C2273" s="15"/>
      <c r="D2273" s="16" t="s">
        <v>11</v>
      </c>
      <c r="E2273" s="23">
        <v>49</v>
      </c>
      <c r="F2273" s="18">
        <f>E2273* 0.083479491676667</f>
        <v>4.0904950921566829</v>
      </c>
      <c r="G2273" s="18">
        <f>E2273* 0.913505030924029</f>
        <v>44.761746515277423</v>
      </c>
      <c r="H2273" s="18">
        <f>E2273* 0.00292316686667282</f>
        <v>0.14323517646696818</v>
      </c>
    </row>
    <row r="2274" spans="1:8" ht="15.75" hidden="1" customHeight="1" x14ac:dyDescent="0.25">
      <c r="A2274" s="15" t="s">
        <v>224</v>
      </c>
      <c r="B2274" s="11" t="s">
        <v>248</v>
      </c>
      <c r="C2274" s="15"/>
      <c r="D2274" s="16" t="s">
        <v>17</v>
      </c>
      <c r="E2274" s="23">
        <v>89</v>
      </c>
      <c r="F2274" s="18">
        <f>E2274* 0.752045572242362</f>
        <v>66.932055929570225</v>
      </c>
      <c r="G2274" s="18">
        <f>E2274* 0.185827723114103</f>
        <v>16.538667357155166</v>
      </c>
      <c r="H2274" s="18">
        <f>E2274* 0.0620921802175039</f>
        <v>5.5262040393578475</v>
      </c>
    </row>
    <row r="2275" spans="1:8" ht="15.75" hidden="1" customHeight="1" x14ac:dyDescent="0.25">
      <c r="A2275" s="15" t="s">
        <v>224</v>
      </c>
      <c r="B2275" s="11" t="s">
        <v>248</v>
      </c>
      <c r="C2275" s="15"/>
      <c r="D2275" s="16" t="s">
        <v>31</v>
      </c>
      <c r="E2275" s="23">
        <v>2</v>
      </c>
      <c r="F2275" s="18">
        <f>E2275* 0.929131175468484</f>
        <v>1.858262350936968</v>
      </c>
      <c r="G2275" s="18">
        <f>E2275* 0.0477001703577513</f>
        <v>9.5400340715502602E-2</v>
      </c>
      <c r="H2275" s="18">
        <f>E2275* 0.0231686541737649</f>
        <v>4.6337308347529797E-2</v>
      </c>
    </row>
    <row r="2276" spans="1:8" ht="15.75" hidden="1" customHeight="1" x14ac:dyDescent="0.25">
      <c r="A2276" s="15" t="s">
        <v>224</v>
      </c>
      <c r="B2276" s="11" t="s">
        <v>248</v>
      </c>
      <c r="C2276" s="15"/>
      <c r="D2276" s="16" t="s">
        <v>18</v>
      </c>
      <c r="E2276" s="23">
        <v>10</v>
      </c>
      <c r="F2276" s="18">
        <f>E2276* 0.893702527830246</f>
        <v>8.9370252783024604</v>
      </c>
      <c r="G2276" s="18">
        <f>E2276* 0.0946831169875015</f>
        <v>0.94683116987501492</v>
      </c>
      <c r="H2276" s="18">
        <f>E2276* 0.0116143551822529</f>
        <v>0.116143551822529</v>
      </c>
    </row>
    <row r="2277" spans="1:8" ht="15.75" hidden="1" customHeight="1" x14ac:dyDescent="0.25">
      <c r="A2277" s="15" t="s">
        <v>224</v>
      </c>
      <c r="B2277" s="11" t="s">
        <v>248</v>
      </c>
      <c r="C2277" s="15"/>
      <c r="D2277" s="16" t="s">
        <v>20</v>
      </c>
      <c r="E2277" s="23">
        <v>15</v>
      </c>
      <c r="F2277" s="18">
        <f>E2277* 0.734251968503937</f>
        <v>11.013779527559056</v>
      </c>
      <c r="G2277" s="18">
        <f>E2277* 0.158017179670723</f>
        <v>2.3702576950608454</v>
      </c>
      <c r="H2277" s="18">
        <f>E2277* 0.107551896921976</f>
        <v>1.6132784538296401</v>
      </c>
    </row>
    <row r="2278" spans="1:8" ht="15.75" hidden="1" customHeight="1" x14ac:dyDescent="0.25">
      <c r="A2278" s="15" t="s">
        <v>224</v>
      </c>
      <c r="B2278" s="11" t="s">
        <v>248</v>
      </c>
      <c r="C2278" s="15"/>
      <c r="D2278" s="16" t="s">
        <v>21</v>
      </c>
      <c r="E2278" s="23">
        <v>547</v>
      </c>
      <c r="F2278" s="18">
        <f>E2278* 0.999727092353423</f>
        <v>546.85071951732243</v>
      </c>
      <c r="G2278" s="18">
        <f>E2278* 0.0000516311763794744</f>
        <v>2.8242253479572498E-2</v>
      </c>
      <c r="H2278" s="18">
        <f>E2278* 0.000132765882118648</f>
        <v>7.2622937518900463E-2</v>
      </c>
    </row>
    <row r="2279" spans="1:8" ht="15.75" hidden="1" customHeight="1" x14ac:dyDescent="0.25">
      <c r="A2279" s="15" t="s">
        <v>224</v>
      </c>
      <c r="B2279" s="11" t="s">
        <v>248</v>
      </c>
      <c r="C2279" s="15"/>
      <c r="D2279" s="16" t="s">
        <v>36</v>
      </c>
      <c r="E2279" s="23">
        <v>3</v>
      </c>
      <c r="F2279" s="18">
        <f>E2279* 0.995894428152493</f>
        <v>2.987683284457479</v>
      </c>
      <c r="G2279" s="18">
        <f>E2279* 0.000586510263929619</f>
        <v>1.759530791788857E-3</v>
      </c>
      <c r="H2279" s="18">
        <f>E2279* 0.00351906158357771</f>
        <v>1.0557184750733129E-2</v>
      </c>
    </row>
    <row r="2280" spans="1:8" ht="15.75" hidden="1" customHeight="1" x14ac:dyDescent="0.25">
      <c r="A2280" s="15" t="s">
        <v>224</v>
      </c>
      <c r="B2280" s="11" t="s">
        <v>248</v>
      </c>
      <c r="C2280" s="15"/>
      <c r="D2280" s="16" t="s">
        <v>28</v>
      </c>
      <c r="E2280" s="23">
        <v>20</v>
      </c>
      <c r="F2280" s="18">
        <f>E2280* 0.00302222222222222</f>
        <v>6.0444444444444398E-2</v>
      </c>
      <c r="G2280" s="18">
        <f>E2280* 0.996622222222222</f>
        <v>19.932444444444439</v>
      </c>
      <c r="H2280" s="18">
        <f>E2280* 0.000355555555555556</f>
        <v>7.1111111111111201E-3</v>
      </c>
    </row>
    <row r="2281" spans="1:8" ht="15.75" hidden="1" customHeight="1" x14ac:dyDescent="0.25">
      <c r="A2281" s="15" t="s">
        <v>224</v>
      </c>
      <c r="B2281" s="11" t="s">
        <v>248</v>
      </c>
      <c r="C2281" s="15"/>
      <c r="D2281" s="16" t="s">
        <v>12</v>
      </c>
      <c r="E2281" s="23">
        <v>212</v>
      </c>
      <c r="F2281" s="18">
        <f>E2281* 0.802335182557089</f>
        <v>170.09505870210288</v>
      </c>
      <c r="G2281" s="18">
        <f>E2281* 0.124687137143594</f>
        <v>26.433673074441927</v>
      </c>
      <c r="H2281" s="18">
        <f>E2281* 0.0729583279576829</f>
        <v>15.467165527028774</v>
      </c>
    </row>
    <row r="2282" spans="1:8" ht="15.75" hidden="1" customHeight="1" x14ac:dyDescent="0.25">
      <c r="A2282" s="15" t="s">
        <v>224</v>
      </c>
      <c r="B2282" s="8"/>
      <c r="C2282" s="8"/>
      <c r="D2282" s="9"/>
      <c r="E2282" s="29"/>
    </row>
    <row r="2283" spans="1:8" ht="15.75" hidden="1" customHeight="1" x14ac:dyDescent="0.25">
      <c r="A2283" s="15" t="s">
        <v>224</v>
      </c>
      <c r="B2283" s="11" t="s">
        <v>249</v>
      </c>
      <c r="C2283" s="12" t="str">
        <f>B2283&amp;"_"&amp;A2283</f>
        <v>Pampa Grande_Santa Cruz</v>
      </c>
      <c r="E2283" s="22">
        <v>6</v>
      </c>
      <c r="F2283" s="18">
        <f t="shared" ref="F2283:H2283" si="206">SUM(F2284:F2292)</f>
        <v>3.4676670588548473</v>
      </c>
      <c r="G2283" s="18">
        <f t="shared" si="206"/>
        <v>2.2957545902663417</v>
      </c>
      <c r="H2283" s="18">
        <f t="shared" si="206"/>
        <v>0.23633567278864723</v>
      </c>
    </row>
    <row r="2284" spans="1:8" ht="15.75" hidden="1" customHeight="1" x14ac:dyDescent="0.25">
      <c r="A2284" s="15" t="s">
        <v>224</v>
      </c>
      <c r="B2284" s="11" t="s">
        <v>249</v>
      </c>
      <c r="C2284" s="15"/>
      <c r="D2284" s="16" t="s">
        <v>14</v>
      </c>
      <c r="E2284" s="40"/>
      <c r="F2284" s="20">
        <v>0</v>
      </c>
      <c r="G2284" s="24">
        <f>E2284</f>
        <v>0</v>
      </c>
      <c r="H2284" s="20">
        <v>0</v>
      </c>
    </row>
    <row r="2285" spans="1:8" ht="15.75" hidden="1" customHeight="1" x14ac:dyDescent="0.25">
      <c r="A2285" s="15" t="s">
        <v>224</v>
      </c>
      <c r="B2285" s="11" t="s">
        <v>249</v>
      </c>
      <c r="C2285" s="15"/>
      <c r="D2285" s="16" t="s">
        <v>15</v>
      </c>
      <c r="E2285" s="23">
        <v>0</v>
      </c>
      <c r="F2285" s="18">
        <f>E2285* 0.932303048052446</f>
        <v>0</v>
      </c>
      <c r="G2285" s="18">
        <f>E2285* 0.0217058280204555</f>
        <v>0</v>
      </c>
      <c r="H2285" s="18">
        <f>E2285* 0.0459798598751943</f>
        <v>0</v>
      </c>
    </row>
    <row r="2286" spans="1:8" ht="15.75" hidden="1" customHeight="1" x14ac:dyDescent="0.25">
      <c r="A2286" s="15" t="s">
        <v>224</v>
      </c>
      <c r="B2286" s="11" t="s">
        <v>249</v>
      </c>
      <c r="C2286" s="15"/>
      <c r="D2286" s="16" t="s">
        <v>11</v>
      </c>
      <c r="E2286" s="23">
        <v>2</v>
      </c>
      <c r="F2286" s="18">
        <f>E2286* 0.083479491676667</f>
        <v>0.16695898335333401</v>
      </c>
      <c r="G2286" s="18">
        <f>E2286* 0.913505030924029</f>
        <v>1.827010061848058</v>
      </c>
      <c r="H2286" s="18">
        <f>E2286* 0.00292316686667282</f>
        <v>5.8463337333456399E-3</v>
      </c>
    </row>
    <row r="2287" spans="1:8" ht="15.75" hidden="1" customHeight="1" x14ac:dyDescent="0.25">
      <c r="A2287" s="15" t="s">
        <v>224</v>
      </c>
      <c r="B2287" s="11" t="s">
        <v>249</v>
      </c>
      <c r="C2287" s="15"/>
      <c r="D2287" s="16" t="s">
        <v>17</v>
      </c>
      <c r="E2287" s="23">
        <v>0</v>
      </c>
      <c r="F2287" s="18">
        <f>E2287* 0.752045572242362</f>
        <v>0</v>
      </c>
      <c r="G2287" s="18">
        <f>E2287* 0.185827723114103</f>
        <v>0</v>
      </c>
      <c r="H2287" s="18">
        <f>E2287* 0.0620921802175039</f>
        <v>0</v>
      </c>
    </row>
    <row r="2288" spans="1:8" ht="15.75" hidden="1" customHeight="1" x14ac:dyDescent="0.25">
      <c r="A2288" s="15" t="s">
        <v>224</v>
      </c>
      <c r="B2288" s="11" t="s">
        <v>249</v>
      </c>
      <c r="C2288" s="15"/>
      <c r="D2288" s="16" t="s">
        <v>18</v>
      </c>
      <c r="E2288" s="23">
        <v>1</v>
      </c>
      <c r="F2288" s="18">
        <f>E2288* 0.893702527830246</f>
        <v>0.89370252783024595</v>
      </c>
      <c r="G2288" s="18">
        <f>E2288* 0.0946831169875015</f>
        <v>9.4683116987501495E-2</v>
      </c>
      <c r="H2288" s="18">
        <f>E2288* 0.0116143551822529</f>
        <v>1.16143551822529E-2</v>
      </c>
    </row>
    <row r="2289" spans="1:8" ht="15.75" hidden="1" customHeight="1" x14ac:dyDescent="0.25">
      <c r="A2289" s="15" t="s">
        <v>224</v>
      </c>
      <c r="B2289" s="11" t="s">
        <v>249</v>
      </c>
      <c r="C2289" s="15"/>
      <c r="D2289" s="16" t="s">
        <v>35</v>
      </c>
      <c r="E2289" s="23">
        <v>0</v>
      </c>
      <c r="F2289" s="20">
        <v>0</v>
      </c>
      <c r="G2289" s="24">
        <f>E2289</f>
        <v>0</v>
      </c>
      <c r="H2289" s="20">
        <v>0</v>
      </c>
    </row>
    <row r="2290" spans="1:8" ht="15.75" hidden="1" customHeight="1" x14ac:dyDescent="0.25">
      <c r="A2290" s="15" t="s">
        <v>224</v>
      </c>
      <c r="B2290" s="11" t="s">
        <v>249</v>
      </c>
      <c r="C2290" s="15"/>
      <c r="D2290" s="16" t="s">
        <v>20</v>
      </c>
      <c r="E2290" s="23">
        <v>0</v>
      </c>
      <c r="F2290" s="18">
        <f>E2290* 0.734251968503937</f>
        <v>0</v>
      </c>
      <c r="G2290" s="18">
        <f>E2290* 0.158017179670723</f>
        <v>0</v>
      </c>
      <c r="H2290" s="18">
        <f>E2290* 0.107551896921976</f>
        <v>0</v>
      </c>
    </row>
    <row r="2291" spans="1:8" ht="15.75" hidden="1" customHeight="1" x14ac:dyDescent="0.25">
      <c r="A2291" s="15" t="s">
        <v>224</v>
      </c>
      <c r="B2291" s="11" t="s">
        <v>249</v>
      </c>
      <c r="C2291" s="15"/>
      <c r="D2291" s="16" t="s">
        <v>21</v>
      </c>
      <c r="E2291" s="23">
        <v>0</v>
      </c>
      <c r="F2291" s="18">
        <f>E2291* 0.999727092353423</f>
        <v>0</v>
      </c>
      <c r="G2291" s="18">
        <f>E2291* 0.0000516311763794744</f>
        <v>0</v>
      </c>
      <c r="H2291" s="18">
        <f>E2291* 0.000132765882118648</f>
        <v>0</v>
      </c>
    </row>
    <row r="2292" spans="1:8" ht="15.75" hidden="1" customHeight="1" x14ac:dyDescent="0.25">
      <c r="A2292" s="15" t="s">
        <v>224</v>
      </c>
      <c r="B2292" s="11" t="s">
        <v>249</v>
      </c>
      <c r="C2292" s="15"/>
      <c r="D2292" s="16" t="s">
        <v>12</v>
      </c>
      <c r="E2292" s="23">
        <v>3</v>
      </c>
      <c r="F2292" s="18">
        <f>E2292* 0.802335182557089</f>
        <v>2.4070055476712673</v>
      </c>
      <c r="G2292" s="18">
        <f>E2292* 0.124687137143594</f>
        <v>0.37406141143078198</v>
      </c>
      <c r="H2292" s="18">
        <f>E2292* 0.0729583279576829</f>
        <v>0.21887498387304868</v>
      </c>
    </row>
    <row r="2293" spans="1:8" ht="15.75" hidden="1" customHeight="1" x14ac:dyDescent="0.25">
      <c r="A2293" s="15" t="s">
        <v>224</v>
      </c>
      <c r="B2293" s="8"/>
      <c r="C2293" s="8"/>
      <c r="D2293" s="9"/>
      <c r="E2293" s="29"/>
    </row>
    <row r="2294" spans="1:8" ht="15.75" hidden="1" customHeight="1" x14ac:dyDescent="0.25">
      <c r="A2294" s="15" t="s">
        <v>224</v>
      </c>
      <c r="B2294" s="11" t="s">
        <v>250</v>
      </c>
      <c r="C2294" s="12" t="str">
        <f>B2294&amp;"_"&amp;A2294</f>
        <v>Porongo (Ayacucho)_Santa Cruz</v>
      </c>
      <c r="E2294" s="22">
        <v>215</v>
      </c>
      <c r="F2294" s="14">
        <f t="shared" ref="F2294:H2294" si="207">SUM(F2295:F2308)</f>
        <v>168.28307543782552</v>
      </c>
      <c r="G2294" s="14">
        <f t="shared" si="207"/>
        <v>38.203411408006964</v>
      </c>
      <c r="H2294" s="14">
        <f t="shared" si="207"/>
        <v>8.504740751839492</v>
      </c>
    </row>
    <row r="2295" spans="1:8" ht="15.75" hidden="1" customHeight="1" x14ac:dyDescent="0.25">
      <c r="A2295" s="15" t="s">
        <v>224</v>
      </c>
      <c r="B2295" s="11" t="s">
        <v>250</v>
      </c>
      <c r="C2295" s="15"/>
      <c r="D2295" s="16" t="s">
        <v>14</v>
      </c>
      <c r="E2295" s="23">
        <v>0</v>
      </c>
      <c r="F2295" s="20">
        <v>0</v>
      </c>
      <c r="G2295" s="24">
        <f>E2295</f>
        <v>0</v>
      </c>
      <c r="H2295" s="20">
        <v>0</v>
      </c>
    </row>
    <row r="2296" spans="1:8" ht="15.75" hidden="1" customHeight="1" x14ac:dyDescent="0.25">
      <c r="A2296" s="15" t="s">
        <v>224</v>
      </c>
      <c r="B2296" s="11" t="s">
        <v>250</v>
      </c>
      <c r="C2296" s="15"/>
      <c r="D2296" s="16" t="s">
        <v>15</v>
      </c>
      <c r="E2296" s="23">
        <v>35</v>
      </c>
      <c r="F2296" s="18">
        <f>E2296* 0.932303048052446</f>
        <v>32.630606681835609</v>
      </c>
      <c r="G2296" s="18">
        <f>E2296* 0.0217058280204555</f>
        <v>0.75970398071594247</v>
      </c>
      <c r="H2296" s="18">
        <f>E2296* 0.0459798598751943</f>
        <v>1.6092950956318004</v>
      </c>
    </row>
    <row r="2297" spans="1:8" ht="15.75" hidden="1" customHeight="1" x14ac:dyDescent="0.25">
      <c r="A2297" s="15" t="s">
        <v>224</v>
      </c>
      <c r="B2297" s="11" t="s">
        <v>250</v>
      </c>
      <c r="C2297" s="15"/>
      <c r="D2297" s="16" t="s">
        <v>16</v>
      </c>
      <c r="E2297" s="23">
        <v>2</v>
      </c>
      <c r="F2297" s="18">
        <f>E2297* 0.293894936109797</f>
        <v>0.587789872219594</v>
      </c>
      <c r="G2297" s="18">
        <f>E2297* 0.663038334122101</f>
        <v>1.326076668244202</v>
      </c>
      <c r="H2297" s="18">
        <f>E2297* 0.0430667297681022</f>
        <v>8.6133459536204396E-2</v>
      </c>
    </row>
    <row r="2298" spans="1:8" ht="15.75" hidden="1" customHeight="1" x14ac:dyDescent="0.25">
      <c r="A2298" s="15" t="s">
        <v>224</v>
      </c>
      <c r="B2298" s="11" t="s">
        <v>250</v>
      </c>
      <c r="C2298" s="15"/>
      <c r="D2298" s="16" t="s">
        <v>11</v>
      </c>
      <c r="E2298" s="23">
        <v>16</v>
      </c>
      <c r="F2298" s="18">
        <f>E2298* 0.083479491676667</f>
        <v>1.335671866826672</v>
      </c>
      <c r="G2298" s="18">
        <f>E2298* 0.913505030924029</f>
        <v>14.616080494784464</v>
      </c>
      <c r="H2298" s="18">
        <f>E2298* 0.00292316686667282</f>
        <v>4.6770669866765119E-2</v>
      </c>
    </row>
    <row r="2299" spans="1:8" ht="15.75" hidden="1" customHeight="1" x14ac:dyDescent="0.25">
      <c r="A2299" s="15" t="s">
        <v>224</v>
      </c>
      <c r="B2299" s="11" t="s">
        <v>250</v>
      </c>
      <c r="C2299" s="15"/>
      <c r="D2299" s="16" t="s">
        <v>17</v>
      </c>
      <c r="E2299" s="23">
        <v>50</v>
      </c>
      <c r="F2299" s="18">
        <f>E2299* 0.752045572242362</f>
        <v>37.602278612118099</v>
      </c>
      <c r="G2299" s="18">
        <f>E2299* 0.185827723114103</f>
        <v>9.2913861557051511</v>
      </c>
      <c r="H2299" s="18">
        <f>E2299* 0.0620921802175039</f>
        <v>3.1046090108751949</v>
      </c>
    </row>
    <row r="2300" spans="1:8" ht="15.75" hidden="1" customHeight="1" x14ac:dyDescent="0.25">
      <c r="A2300" s="15" t="s">
        <v>224</v>
      </c>
      <c r="B2300" s="11" t="s">
        <v>250</v>
      </c>
      <c r="C2300" s="15"/>
      <c r="D2300" s="16" t="s">
        <v>31</v>
      </c>
      <c r="E2300" s="23">
        <v>0</v>
      </c>
      <c r="F2300" s="18">
        <f>E2300* 0.929131175468484</f>
        <v>0</v>
      </c>
      <c r="G2300" s="18">
        <f>E2300* 0.0477001703577513</f>
        <v>0</v>
      </c>
      <c r="H2300" s="18">
        <f>E2300* 0.0231686541737649</f>
        <v>0</v>
      </c>
    </row>
    <row r="2301" spans="1:8" ht="15.75" hidden="1" customHeight="1" x14ac:dyDescent="0.25">
      <c r="A2301" s="15" t="s">
        <v>224</v>
      </c>
      <c r="B2301" s="11" t="s">
        <v>250</v>
      </c>
      <c r="C2301" s="15"/>
      <c r="D2301" s="16" t="s">
        <v>18</v>
      </c>
      <c r="E2301" s="23">
        <v>15</v>
      </c>
      <c r="F2301" s="18">
        <f>E2301* 0.893702527830246</f>
        <v>13.405537917453689</v>
      </c>
      <c r="G2301" s="18">
        <f>E2301* 0.0946831169875015</f>
        <v>1.4202467548125224</v>
      </c>
      <c r="H2301" s="18">
        <f>E2301* 0.0116143551822529</f>
        <v>0.1742153277337935</v>
      </c>
    </row>
    <row r="2302" spans="1:8" ht="15.75" hidden="1" customHeight="1" x14ac:dyDescent="0.25">
      <c r="A2302" s="15" t="s">
        <v>224</v>
      </c>
      <c r="B2302" s="11" t="s">
        <v>250</v>
      </c>
      <c r="C2302" s="15"/>
      <c r="D2302" s="16" t="s">
        <v>19</v>
      </c>
      <c r="E2302" s="23">
        <v>1</v>
      </c>
      <c r="F2302" s="18">
        <f>E2302* 0.0299845873616365</f>
        <v>2.9984587361636499E-2</v>
      </c>
      <c r="G2302" s="18">
        <f>E2302* 0.96385035729298</f>
        <v>0.96385035729297996</v>
      </c>
      <c r="H2302" s="18">
        <f>E2302* 0.00616505534538321</f>
        <v>6.1650553453832099E-3</v>
      </c>
    </row>
    <row r="2303" spans="1:8" ht="15.75" hidden="1" customHeight="1" x14ac:dyDescent="0.25">
      <c r="A2303" s="15" t="s">
        <v>224</v>
      </c>
      <c r="B2303" s="11" t="s">
        <v>250</v>
      </c>
      <c r="C2303" s="15"/>
      <c r="D2303" s="16" t="s">
        <v>20</v>
      </c>
      <c r="E2303" s="23">
        <v>3</v>
      </c>
      <c r="F2303" s="18">
        <f>E2303* 0.734251968503937</f>
        <v>2.2027559055118111</v>
      </c>
      <c r="G2303" s="18">
        <f>E2303* 0.158017179670723</f>
        <v>0.47405153901216901</v>
      </c>
      <c r="H2303" s="18">
        <f>E2303* 0.107551896921976</f>
        <v>0.32265569076592804</v>
      </c>
    </row>
    <row r="2304" spans="1:8" ht="15.75" hidden="1" customHeight="1" x14ac:dyDescent="0.25">
      <c r="A2304" s="15" t="s">
        <v>224</v>
      </c>
      <c r="B2304" s="11" t="s">
        <v>250</v>
      </c>
      <c r="C2304" s="15"/>
      <c r="D2304" s="16" t="s">
        <v>21</v>
      </c>
      <c r="E2304" s="23">
        <v>43</v>
      </c>
      <c r="F2304" s="18">
        <f>E2304* 0.999727092353423</f>
        <v>42.988264971197189</v>
      </c>
      <c r="G2304" s="18">
        <f>E2304* 0.0000516311763794744</f>
        <v>2.2201405843173994E-3</v>
      </c>
      <c r="H2304" s="18">
        <f>E2304* 0.000132765882118648</f>
        <v>5.7089329311018639E-3</v>
      </c>
    </row>
    <row r="2305" spans="1:8" ht="15.75" hidden="1" customHeight="1" x14ac:dyDescent="0.25">
      <c r="A2305" s="15" t="s">
        <v>224</v>
      </c>
      <c r="B2305" s="11" t="s">
        <v>250</v>
      </c>
      <c r="C2305" s="15"/>
      <c r="D2305" s="16" t="s">
        <v>36</v>
      </c>
      <c r="E2305" s="23">
        <v>3</v>
      </c>
      <c r="F2305" s="18">
        <f>E2305* 0.995894428152493</f>
        <v>2.987683284457479</v>
      </c>
      <c r="G2305" s="18">
        <f>E2305* 0.000586510263929619</f>
        <v>1.759530791788857E-3</v>
      </c>
      <c r="H2305" s="18">
        <f>E2305* 0.00351906158357771</f>
        <v>1.0557184750733129E-2</v>
      </c>
    </row>
    <row r="2306" spans="1:8" ht="15.75" hidden="1" customHeight="1" x14ac:dyDescent="0.25">
      <c r="A2306" s="15" t="s">
        <v>224</v>
      </c>
      <c r="B2306" s="11" t="s">
        <v>250</v>
      </c>
      <c r="C2306" s="15"/>
      <c r="D2306" s="16" t="s">
        <v>28</v>
      </c>
      <c r="E2306" s="23">
        <v>4</v>
      </c>
      <c r="F2306" s="18">
        <f>E2306* 0.00302222222222222</f>
        <v>1.208888888888888E-2</v>
      </c>
      <c r="G2306" s="18">
        <f>E2306* 0.996622222222222</f>
        <v>3.9864888888888879</v>
      </c>
      <c r="H2306" s="18">
        <f>E2306* 0.000355555555555556</f>
        <v>1.422222222222224E-3</v>
      </c>
    </row>
    <row r="2307" spans="1:8" ht="15.75" hidden="1" customHeight="1" x14ac:dyDescent="0.25">
      <c r="A2307" s="15" t="s">
        <v>224</v>
      </c>
      <c r="B2307" s="11" t="s">
        <v>250</v>
      </c>
      <c r="C2307" s="15"/>
      <c r="D2307" s="16" t="s">
        <v>84</v>
      </c>
      <c r="E2307" s="23">
        <v>0</v>
      </c>
      <c r="F2307" s="24">
        <f>E2307</f>
        <v>0</v>
      </c>
      <c r="G2307" s="20">
        <v>0</v>
      </c>
      <c r="H2307" s="20">
        <v>0</v>
      </c>
    </row>
    <row r="2308" spans="1:8" ht="15.75" hidden="1" customHeight="1" x14ac:dyDescent="0.25">
      <c r="A2308" s="15" t="s">
        <v>224</v>
      </c>
      <c r="B2308" s="11" t="s">
        <v>250</v>
      </c>
      <c r="C2308" s="15"/>
      <c r="D2308" s="16" t="s">
        <v>12</v>
      </c>
      <c r="E2308" s="23">
        <v>43</v>
      </c>
      <c r="F2308" s="18">
        <f>E2308* 0.802335182557089</f>
        <v>34.500412849954827</v>
      </c>
      <c r="G2308" s="18">
        <f>E2308* 0.124687137143594</f>
        <v>5.3615468971745424</v>
      </c>
      <c r="H2308" s="18">
        <f>E2308* 0.0729583279576829</f>
        <v>3.1372081021803644</v>
      </c>
    </row>
    <row r="2309" spans="1:8" ht="15.75" hidden="1" customHeight="1" x14ac:dyDescent="0.25">
      <c r="A2309" s="15" t="s">
        <v>224</v>
      </c>
      <c r="B2309" s="8"/>
      <c r="C2309" s="8"/>
      <c r="D2309" s="9"/>
      <c r="E2309" s="29"/>
    </row>
    <row r="2310" spans="1:8" ht="15.75" hidden="1" customHeight="1" x14ac:dyDescent="0.25">
      <c r="A2310" s="15" t="s">
        <v>224</v>
      </c>
      <c r="B2310" s="11" t="s">
        <v>251</v>
      </c>
      <c r="C2310" s="12" t="str">
        <f>B2310&amp;"_"&amp;A2310</f>
        <v>Portachuelo_Santa Cruz</v>
      </c>
      <c r="E2310" s="22">
        <v>5478</v>
      </c>
      <c r="F2310" s="14">
        <f t="shared" ref="F2310:H2310" si="208">SUM(F2311:F2324)</f>
        <v>4597.6207614439209</v>
      </c>
      <c r="G2310" s="14">
        <f t="shared" si="208"/>
        <v>710.05782014089823</v>
      </c>
      <c r="H2310" s="14">
        <f t="shared" si="208"/>
        <v>170.03307161426011</v>
      </c>
    </row>
    <row r="2311" spans="1:8" ht="15.75" hidden="1" customHeight="1" x14ac:dyDescent="0.25">
      <c r="A2311" s="15" t="s">
        <v>224</v>
      </c>
      <c r="B2311" s="11" t="s">
        <v>251</v>
      </c>
      <c r="C2311" s="15"/>
      <c r="D2311" s="16" t="s">
        <v>14</v>
      </c>
      <c r="E2311" s="23">
        <v>0</v>
      </c>
      <c r="F2311" s="20">
        <v>0</v>
      </c>
      <c r="G2311" s="24">
        <f>E2311</f>
        <v>0</v>
      </c>
      <c r="H2311" s="20">
        <v>0</v>
      </c>
    </row>
    <row r="2312" spans="1:8" ht="15.75" hidden="1" customHeight="1" x14ac:dyDescent="0.25">
      <c r="A2312" s="15" t="s">
        <v>224</v>
      </c>
      <c r="B2312" s="11" t="s">
        <v>251</v>
      </c>
      <c r="C2312" s="15"/>
      <c r="D2312" s="16" t="s">
        <v>15</v>
      </c>
      <c r="E2312" s="23">
        <v>646</v>
      </c>
      <c r="F2312" s="18">
        <f>E2312* 0.932303048052446</f>
        <v>602.26776904188011</v>
      </c>
      <c r="G2312" s="18">
        <f>E2312* 0.0217058280204555</f>
        <v>14.021964901214252</v>
      </c>
      <c r="H2312" s="18">
        <f>E2312* 0.0459798598751943</f>
        <v>29.702989479375514</v>
      </c>
    </row>
    <row r="2313" spans="1:8" ht="15.75" hidden="1" customHeight="1" x14ac:dyDescent="0.25">
      <c r="A2313" s="15" t="s">
        <v>224</v>
      </c>
      <c r="B2313" s="11" t="s">
        <v>251</v>
      </c>
      <c r="C2313" s="15"/>
      <c r="D2313" s="16" t="s">
        <v>16</v>
      </c>
      <c r="E2313" s="23">
        <v>13</v>
      </c>
      <c r="F2313" s="18">
        <f>E2313* 0.293894936109797</f>
        <v>3.8206341694273611</v>
      </c>
      <c r="G2313" s="18">
        <f>E2313* 0.663038334122101</f>
        <v>8.6194983435873134</v>
      </c>
      <c r="H2313" s="18">
        <f>E2313* 0.0430667297681022</f>
        <v>0.55986748698532862</v>
      </c>
    </row>
    <row r="2314" spans="1:8" ht="15.75" hidden="1" customHeight="1" x14ac:dyDescent="0.25">
      <c r="A2314" s="15" t="s">
        <v>224</v>
      </c>
      <c r="B2314" s="11" t="s">
        <v>251</v>
      </c>
      <c r="C2314" s="15"/>
      <c r="D2314" s="16" t="s">
        <v>11</v>
      </c>
      <c r="E2314" s="23">
        <v>306</v>
      </c>
      <c r="F2314" s="18">
        <f>E2314* 0.083479491676667</f>
        <v>25.544724453060102</v>
      </c>
      <c r="G2314" s="18">
        <f>E2314* 0.913505030924029</f>
        <v>279.53253946275288</v>
      </c>
      <c r="H2314" s="18">
        <f>E2314* 0.00292316686667282</f>
        <v>0.89448906120188287</v>
      </c>
    </row>
    <row r="2315" spans="1:8" ht="15.75" hidden="1" customHeight="1" x14ac:dyDescent="0.25">
      <c r="A2315" s="15" t="s">
        <v>224</v>
      </c>
      <c r="B2315" s="11" t="s">
        <v>251</v>
      </c>
      <c r="C2315" s="15"/>
      <c r="D2315" s="16" t="s">
        <v>17</v>
      </c>
      <c r="E2315" s="23">
        <v>573</v>
      </c>
      <c r="F2315" s="18">
        <f>E2315* 0.752045572242362</f>
        <v>430.92211289487341</v>
      </c>
      <c r="G2315" s="18">
        <f>E2315* 0.185827723114103</f>
        <v>106.47928534438103</v>
      </c>
      <c r="H2315" s="18">
        <f>E2315* 0.0620921802175039</f>
        <v>35.578819264629736</v>
      </c>
    </row>
    <row r="2316" spans="1:8" ht="15.75" hidden="1" customHeight="1" x14ac:dyDescent="0.25">
      <c r="A2316" s="15" t="s">
        <v>224</v>
      </c>
      <c r="B2316" s="11" t="s">
        <v>251</v>
      </c>
      <c r="C2316" s="15"/>
      <c r="D2316" s="16" t="s">
        <v>31</v>
      </c>
      <c r="E2316" s="23">
        <v>44</v>
      </c>
      <c r="F2316" s="18">
        <f>E2316* 0.929131175468484</f>
        <v>40.881771720613294</v>
      </c>
      <c r="G2316" s="18">
        <f>E2316* 0.0477001703577513</f>
        <v>2.0988074957410574</v>
      </c>
      <c r="H2316" s="18">
        <f>E2316* 0.0231686541737649</f>
        <v>1.0194207836456555</v>
      </c>
    </row>
    <row r="2317" spans="1:8" ht="15.75" hidden="1" customHeight="1" x14ac:dyDescent="0.25">
      <c r="A2317" s="15" t="s">
        <v>224</v>
      </c>
      <c r="B2317" s="11" t="s">
        <v>251</v>
      </c>
      <c r="C2317" s="15"/>
      <c r="D2317" s="16" t="s">
        <v>18</v>
      </c>
      <c r="E2317" s="23">
        <v>187</v>
      </c>
      <c r="F2317" s="18">
        <f>E2317* 0.893702527830246</f>
        <v>167.12237270425598</v>
      </c>
      <c r="G2317" s="18">
        <f>E2317* 0.0946831169875015</f>
        <v>17.705742876662779</v>
      </c>
      <c r="H2317" s="18">
        <f>E2317* 0.0116143551822529</f>
        <v>2.1718844190812923</v>
      </c>
    </row>
    <row r="2318" spans="1:8" ht="15.75" hidden="1" customHeight="1" x14ac:dyDescent="0.25">
      <c r="A2318" s="15" t="s">
        <v>224</v>
      </c>
      <c r="B2318" s="11" t="s">
        <v>251</v>
      </c>
      <c r="C2318" s="15"/>
      <c r="D2318" s="16" t="s">
        <v>19</v>
      </c>
      <c r="E2318" s="23">
        <v>24</v>
      </c>
      <c r="F2318" s="18">
        <f>E2318* 0.0299845873616365</f>
        <v>0.71963009667927591</v>
      </c>
      <c r="G2318" s="18">
        <f>E2318* 0.96385035729298</f>
        <v>23.132408575031519</v>
      </c>
      <c r="H2318" s="18">
        <f>E2318* 0.00616505534538321</f>
        <v>0.14796132828919703</v>
      </c>
    </row>
    <row r="2319" spans="1:8" ht="15.75" hidden="1" customHeight="1" x14ac:dyDescent="0.25">
      <c r="A2319" s="15" t="s">
        <v>224</v>
      </c>
      <c r="B2319" s="11" t="s">
        <v>251</v>
      </c>
      <c r="C2319" s="15"/>
      <c r="D2319" s="16" t="s">
        <v>20</v>
      </c>
      <c r="E2319" s="23">
        <v>58</v>
      </c>
      <c r="F2319" s="18">
        <f>E2319* 0.734251968503937</f>
        <v>42.586614173228348</v>
      </c>
      <c r="G2319" s="18">
        <f>E2319* 0.158017179670723</f>
        <v>9.1649964209019341</v>
      </c>
      <c r="H2319" s="18">
        <f>E2319* 0.107551896921976</f>
        <v>6.2380100214746079</v>
      </c>
    </row>
    <row r="2320" spans="1:8" ht="15.75" hidden="1" customHeight="1" x14ac:dyDescent="0.25">
      <c r="A2320" s="15" t="s">
        <v>224</v>
      </c>
      <c r="B2320" s="11" t="s">
        <v>251</v>
      </c>
      <c r="C2320" s="15"/>
      <c r="D2320" s="16" t="s">
        <v>21</v>
      </c>
      <c r="E2320" s="23">
        <v>2236</v>
      </c>
      <c r="F2320" s="18">
        <f>E2320* 0.999727092353423</f>
        <v>2235.3897785022541</v>
      </c>
      <c r="G2320" s="18">
        <f>E2320* 0.0000516311763794744</f>
        <v>0.11544731038450476</v>
      </c>
      <c r="H2320" s="18">
        <f>E2320* 0.000132765882118648</f>
        <v>0.29686451241729694</v>
      </c>
    </row>
    <row r="2321" spans="1:8" ht="15.75" hidden="1" customHeight="1" x14ac:dyDescent="0.25">
      <c r="A2321" s="15" t="s">
        <v>224</v>
      </c>
      <c r="B2321" s="11" t="s">
        <v>251</v>
      </c>
      <c r="C2321" s="15"/>
      <c r="D2321" s="16" t="s">
        <v>36</v>
      </c>
      <c r="E2321" s="23">
        <v>22</v>
      </c>
      <c r="F2321" s="18">
        <f>E2321* 0.995894428152493</f>
        <v>21.909677419354846</v>
      </c>
      <c r="G2321" s="18">
        <f>E2321* 0.000586510263929619</f>
        <v>1.2903225806451618E-2</v>
      </c>
      <c r="H2321" s="18">
        <f>E2321* 0.00351906158357771</f>
        <v>7.7419354838709625E-2</v>
      </c>
    </row>
    <row r="2322" spans="1:8" ht="15.75" hidden="1" customHeight="1" x14ac:dyDescent="0.25">
      <c r="A2322" s="15" t="s">
        <v>224</v>
      </c>
      <c r="B2322" s="11" t="s">
        <v>251</v>
      </c>
      <c r="C2322" s="15"/>
      <c r="D2322" s="16" t="s">
        <v>37</v>
      </c>
      <c r="E2322" s="23">
        <v>1</v>
      </c>
      <c r="F2322" s="20">
        <v>0</v>
      </c>
      <c r="G2322" s="24">
        <f>E2322</f>
        <v>1</v>
      </c>
      <c r="H2322" s="20">
        <v>0</v>
      </c>
    </row>
    <row r="2323" spans="1:8" ht="15.75" hidden="1" customHeight="1" x14ac:dyDescent="0.25">
      <c r="A2323" s="15" t="s">
        <v>224</v>
      </c>
      <c r="B2323" s="11" t="s">
        <v>251</v>
      </c>
      <c r="C2323" s="15"/>
      <c r="D2323" s="16" t="s">
        <v>28</v>
      </c>
      <c r="E2323" s="23">
        <v>89</v>
      </c>
      <c r="F2323" s="18">
        <f>E2323* 0.00302222222222222</f>
        <v>0.26897777777777759</v>
      </c>
      <c r="G2323" s="18">
        <f>E2323* 0.996622222222222</f>
        <v>88.699377777777755</v>
      </c>
      <c r="H2323" s="18">
        <f>E2323* 0.000355555555555556</f>
        <v>3.1644444444444482E-2</v>
      </c>
    </row>
    <row r="2324" spans="1:8" ht="15.75" hidden="1" customHeight="1" x14ac:dyDescent="0.25">
      <c r="A2324" s="15" t="s">
        <v>224</v>
      </c>
      <c r="B2324" s="11" t="s">
        <v>251</v>
      </c>
      <c r="C2324" s="15"/>
      <c r="D2324" s="16" t="s">
        <v>12</v>
      </c>
      <c r="E2324" s="23">
        <v>1279</v>
      </c>
      <c r="F2324" s="18">
        <f>E2324* 0.802335182557089</f>
        <v>1026.1866984905168</v>
      </c>
      <c r="G2324" s="18">
        <f>E2324* 0.124687137143594</f>
        <v>159.47484840665672</v>
      </c>
      <c r="H2324" s="18">
        <f>E2324* 0.0729583279576829</f>
        <v>93.313701457876419</v>
      </c>
    </row>
    <row r="2325" spans="1:8" ht="15.75" hidden="1" customHeight="1" x14ac:dyDescent="0.25">
      <c r="A2325" s="15" t="s">
        <v>224</v>
      </c>
      <c r="B2325" s="8"/>
      <c r="C2325" s="8"/>
      <c r="D2325" s="9"/>
      <c r="E2325" s="29"/>
    </row>
    <row r="2326" spans="1:8" ht="15.75" hidden="1" customHeight="1" x14ac:dyDescent="0.25">
      <c r="A2326" s="15" t="s">
        <v>224</v>
      </c>
      <c r="B2326" s="11" t="s">
        <v>252</v>
      </c>
      <c r="C2326" s="12" t="str">
        <f>B2326&amp;"_"&amp;A2326</f>
        <v>Puerto Quijarro_Santa Cruz</v>
      </c>
      <c r="E2326" s="22">
        <v>1295</v>
      </c>
      <c r="F2326" s="14">
        <f t="shared" ref="F2326:H2326" si="209">SUM(F2327:F2337)</f>
        <v>1118.364239293935</v>
      </c>
      <c r="G2326" s="14">
        <f t="shared" si="209"/>
        <v>124.99148668442309</v>
      </c>
      <c r="H2326" s="14">
        <f t="shared" si="209"/>
        <v>51.587023891714608</v>
      </c>
    </row>
    <row r="2327" spans="1:8" ht="15.75" hidden="1" customHeight="1" x14ac:dyDescent="0.25">
      <c r="A2327" s="15" t="s">
        <v>224</v>
      </c>
      <c r="B2327" s="11" t="s">
        <v>252</v>
      </c>
      <c r="C2327" s="15"/>
      <c r="D2327" s="16" t="s">
        <v>14</v>
      </c>
      <c r="E2327" s="23">
        <v>0</v>
      </c>
      <c r="F2327" s="20">
        <v>0</v>
      </c>
      <c r="G2327" s="24">
        <f>E2327</f>
        <v>0</v>
      </c>
      <c r="H2327" s="20">
        <v>0</v>
      </c>
    </row>
    <row r="2328" spans="1:8" ht="15.75" hidden="1" customHeight="1" x14ac:dyDescent="0.25">
      <c r="A2328" s="15" t="s">
        <v>224</v>
      </c>
      <c r="B2328" s="11" t="s">
        <v>252</v>
      </c>
      <c r="C2328" s="15"/>
      <c r="D2328" s="16" t="s">
        <v>15</v>
      </c>
      <c r="E2328" s="23">
        <v>184</v>
      </c>
      <c r="F2328" s="18">
        <f>E2328* 0.932303048052446</f>
        <v>171.54376084165006</v>
      </c>
      <c r="G2328" s="18">
        <f>E2328* 0.0217058280204555</f>
        <v>3.9938723557638118</v>
      </c>
      <c r="H2328" s="18">
        <f>E2328* 0.0459798598751943</f>
        <v>8.4602942170357505</v>
      </c>
    </row>
    <row r="2329" spans="1:8" ht="15.75" hidden="1" customHeight="1" x14ac:dyDescent="0.25">
      <c r="A2329" s="15" t="s">
        <v>224</v>
      </c>
      <c r="B2329" s="11" t="s">
        <v>252</v>
      </c>
      <c r="C2329" s="15"/>
      <c r="D2329" s="16" t="s">
        <v>16</v>
      </c>
      <c r="E2329" s="23">
        <v>0</v>
      </c>
      <c r="F2329" s="18">
        <f>E2329* 0.293894936109797</f>
        <v>0</v>
      </c>
      <c r="G2329" s="18">
        <f>E2329* 0.663038334122101</f>
        <v>0</v>
      </c>
      <c r="H2329" s="18">
        <f>E2329* 0.0430667297681022</f>
        <v>0</v>
      </c>
    </row>
    <row r="2330" spans="1:8" ht="15.75" hidden="1" customHeight="1" x14ac:dyDescent="0.25">
      <c r="A2330" s="15" t="s">
        <v>224</v>
      </c>
      <c r="B2330" s="11" t="s">
        <v>252</v>
      </c>
      <c r="C2330" s="15"/>
      <c r="D2330" s="16" t="s">
        <v>11</v>
      </c>
      <c r="E2330" s="23">
        <v>37</v>
      </c>
      <c r="F2330" s="18">
        <f>E2330* 0.083479491676667</f>
        <v>3.0887411920366792</v>
      </c>
      <c r="G2330" s="18">
        <f>E2330* 0.913505030924029</f>
        <v>33.799686144189074</v>
      </c>
      <c r="H2330" s="18">
        <f>E2330* 0.00292316686667282</f>
        <v>0.10815717406689433</v>
      </c>
    </row>
    <row r="2331" spans="1:8" ht="15.75" hidden="1" customHeight="1" x14ac:dyDescent="0.25">
      <c r="A2331" s="15" t="s">
        <v>224</v>
      </c>
      <c r="B2331" s="11" t="s">
        <v>252</v>
      </c>
      <c r="C2331" s="15"/>
      <c r="D2331" s="16" t="s">
        <v>17</v>
      </c>
      <c r="E2331" s="23">
        <v>59</v>
      </c>
      <c r="F2331" s="18">
        <f>E2331* 0.752045572242362</f>
        <v>44.370688762299359</v>
      </c>
      <c r="G2331" s="18">
        <f>E2331* 0.185827723114103</f>
        <v>10.963835663732077</v>
      </c>
      <c r="H2331" s="18">
        <f>E2331* 0.0620921802175039</f>
        <v>3.66343863283273</v>
      </c>
    </row>
    <row r="2332" spans="1:8" ht="15.75" hidden="1" customHeight="1" x14ac:dyDescent="0.25">
      <c r="A2332" s="15" t="s">
        <v>224</v>
      </c>
      <c r="B2332" s="11" t="s">
        <v>252</v>
      </c>
      <c r="C2332" s="15"/>
      <c r="D2332" s="16" t="s">
        <v>31</v>
      </c>
      <c r="E2332" s="23">
        <v>11</v>
      </c>
      <c r="F2332" s="18">
        <f>E2332* 0.929131175468484</f>
        <v>10.220442930153324</v>
      </c>
      <c r="G2332" s="18">
        <f>E2332* 0.0477001703577513</f>
        <v>0.52470187393526435</v>
      </c>
      <c r="H2332" s="18">
        <f>E2332* 0.0231686541737649</f>
        <v>0.25485519591141387</v>
      </c>
    </row>
    <row r="2333" spans="1:8" ht="15.75" hidden="1" customHeight="1" x14ac:dyDescent="0.25">
      <c r="A2333" s="15" t="s">
        <v>224</v>
      </c>
      <c r="B2333" s="11" t="s">
        <v>252</v>
      </c>
      <c r="C2333" s="15"/>
      <c r="D2333" s="16" t="s">
        <v>18</v>
      </c>
      <c r="E2333" s="23">
        <v>43</v>
      </c>
      <c r="F2333" s="18">
        <f>E2333* 0.893702527830246</f>
        <v>38.429208696700577</v>
      </c>
      <c r="G2333" s="18">
        <f>E2333* 0.0946831169875015</f>
        <v>4.0713740304625645</v>
      </c>
      <c r="H2333" s="18">
        <f>E2333* 0.0116143551822529</f>
        <v>0.4994172728368747</v>
      </c>
    </row>
    <row r="2334" spans="1:8" ht="15.75" hidden="1" customHeight="1" x14ac:dyDescent="0.25">
      <c r="A2334" s="15" t="s">
        <v>224</v>
      </c>
      <c r="B2334" s="11" t="s">
        <v>252</v>
      </c>
      <c r="C2334" s="15"/>
      <c r="D2334" s="16" t="s">
        <v>20</v>
      </c>
      <c r="E2334" s="23">
        <v>9</v>
      </c>
      <c r="F2334" s="18">
        <f>E2334* 0.734251968503937</f>
        <v>6.6082677165354333</v>
      </c>
      <c r="G2334" s="18">
        <f>E2334* 0.158017179670723</f>
        <v>1.4221546170365071</v>
      </c>
      <c r="H2334" s="18">
        <f>E2334* 0.107551896921976</f>
        <v>0.967967072297784</v>
      </c>
    </row>
    <row r="2335" spans="1:8" ht="15.75" hidden="1" customHeight="1" x14ac:dyDescent="0.25">
      <c r="A2335" s="15" t="s">
        <v>224</v>
      </c>
      <c r="B2335" s="11" t="s">
        <v>252</v>
      </c>
      <c r="C2335" s="15"/>
      <c r="D2335" s="16" t="s">
        <v>21</v>
      </c>
      <c r="E2335" s="23">
        <v>431</v>
      </c>
      <c r="F2335" s="18">
        <f>E2335* 0.999727092353423</f>
        <v>430.88237680432536</v>
      </c>
      <c r="G2335" s="18">
        <f>E2335* 0.0000516311763794744</f>
        <v>2.2253037019553466E-2</v>
      </c>
      <c r="H2335" s="18">
        <f>E2335* 0.000132765882118648</f>
        <v>5.7222095193137291E-2</v>
      </c>
    </row>
    <row r="2336" spans="1:8" ht="15.75" hidden="1" customHeight="1" x14ac:dyDescent="0.25">
      <c r="A2336" s="15" t="s">
        <v>224</v>
      </c>
      <c r="B2336" s="11" t="s">
        <v>252</v>
      </c>
      <c r="C2336" s="15"/>
      <c r="D2336" s="16" t="s">
        <v>28</v>
      </c>
      <c r="E2336" s="23">
        <v>6</v>
      </c>
      <c r="F2336" s="18">
        <f>E2336* 0.00302222222222222</f>
        <v>1.8133333333333321E-2</v>
      </c>
      <c r="G2336" s="18">
        <f>E2336* 0.996622222222222</f>
        <v>5.979733333333332</v>
      </c>
      <c r="H2336" s="18">
        <f>E2336* 0.000355555555555556</f>
        <v>2.133333333333336E-3</v>
      </c>
    </row>
    <row r="2337" spans="1:8" ht="15.75" hidden="1" customHeight="1" x14ac:dyDescent="0.25">
      <c r="A2337" s="15" t="s">
        <v>224</v>
      </c>
      <c r="B2337" s="11" t="s">
        <v>252</v>
      </c>
      <c r="C2337" s="15"/>
      <c r="D2337" s="16" t="s">
        <v>12</v>
      </c>
      <c r="E2337" s="23">
        <v>515</v>
      </c>
      <c r="F2337" s="18">
        <f>E2337* 0.802335182557089</f>
        <v>413.20261901690083</v>
      </c>
      <c r="G2337" s="18">
        <f>E2337* 0.124687137143594</f>
        <v>64.213875628950916</v>
      </c>
      <c r="H2337" s="18">
        <f>E2337* 0.0729583279576829</f>
        <v>37.573538898206692</v>
      </c>
    </row>
    <row r="2338" spans="1:8" ht="15.75" hidden="1" customHeight="1" x14ac:dyDescent="0.25">
      <c r="A2338" s="15" t="s">
        <v>224</v>
      </c>
      <c r="B2338" s="8"/>
      <c r="C2338" s="8"/>
      <c r="D2338" s="9"/>
      <c r="E2338" s="29"/>
    </row>
    <row r="2339" spans="1:8" ht="15.75" hidden="1" customHeight="1" x14ac:dyDescent="0.25">
      <c r="A2339" s="15" t="s">
        <v>224</v>
      </c>
      <c r="B2339" s="11" t="s">
        <v>253</v>
      </c>
      <c r="C2339" s="12" t="str">
        <f>B2339&amp;"_"&amp;A2339</f>
        <v>Puerto Suárez_Santa Cruz</v>
      </c>
      <c r="E2339" s="22">
        <v>334</v>
      </c>
      <c r="F2339" s="14">
        <f t="shared" ref="F2339:H2339" si="210">SUM(F2340:F2351)</f>
        <v>285.51754876545311</v>
      </c>
      <c r="G2339" s="14">
        <f t="shared" si="210"/>
        <v>33.313639671709176</v>
      </c>
      <c r="H2339" s="14">
        <f t="shared" si="210"/>
        <v>15.158401891597723</v>
      </c>
    </row>
    <row r="2340" spans="1:8" ht="15.75" hidden="1" customHeight="1" x14ac:dyDescent="0.25">
      <c r="A2340" s="15" t="s">
        <v>224</v>
      </c>
      <c r="B2340" s="11" t="s">
        <v>253</v>
      </c>
      <c r="C2340" s="15"/>
      <c r="D2340" s="16" t="s">
        <v>14</v>
      </c>
      <c r="E2340" s="23">
        <v>0</v>
      </c>
      <c r="F2340" s="20">
        <v>0</v>
      </c>
      <c r="G2340" s="24">
        <f>E2340</f>
        <v>0</v>
      </c>
      <c r="H2340" s="20">
        <v>0</v>
      </c>
    </row>
    <row r="2341" spans="1:8" ht="15.75" hidden="1" customHeight="1" x14ac:dyDescent="0.25">
      <c r="A2341" s="15" t="s">
        <v>224</v>
      </c>
      <c r="B2341" s="11" t="s">
        <v>253</v>
      </c>
      <c r="C2341" s="15"/>
      <c r="D2341" s="16" t="s">
        <v>15</v>
      </c>
      <c r="E2341" s="23">
        <v>88</v>
      </c>
      <c r="F2341" s="18">
        <f>E2341* 0.932303048052446</f>
        <v>82.042668228615256</v>
      </c>
      <c r="G2341" s="18">
        <f>E2341* 0.0217058280204555</f>
        <v>1.9101128658000839</v>
      </c>
      <c r="H2341" s="18">
        <f>E2341* 0.0459798598751943</f>
        <v>4.0462276690170977</v>
      </c>
    </row>
    <row r="2342" spans="1:8" ht="15.75" hidden="1" customHeight="1" x14ac:dyDescent="0.25">
      <c r="A2342" s="15" t="s">
        <v>224</v>
      </c>
      <c r="B2342" s="11" t="s">
        <v>253</v>
      </c>
      <c r="C2342" s="15"/>
      <c r="D2342" s="16" t="s">
        <v>16</v>
      </c>
      <c r="E2342" s="23">
        <v>0</v>
      </c>
      <c r="F2342" s="18">
        <f>E2342* 0.293894936109797</f>
        <v>0</v>
      </c>
      <c r="G2342" s="18">
        <f>E2342* 0.663038334122101</f>
        <v>0</v>
      </c>
      <c r="H2342" s="18">
        <f>E2342* 0.0430667297681022</f>
        <v>0</v>
      </c>
    </row>
    <row r="2343" spans="1:8" ht="15.75" hidden="1" customHeight="1" x14ac:dyDescent="0.25">
      <c r="A2343" s="15" t="s">
        <v>224</v>
      </c>
      <c r="B2343" s="11" t="s">
        <v>253</v>
      </c>
      <c r="C2343" s="15"/>
      <c r="D2343" s="16" t="s">
        <v>11</v>
      </c>
      <c r="E2343" s="23">
        <v>10</v>
      </c>
      <c r="F2343" s="18">
        <f>E2343* 0.083479491676667</f>
        <v>0.83479491676667006</v>
      </c>
      <c r="G2343" s="18">
        <f>E2343* 0.913505030924029</f>
        <v>9.1350503092402899</v>
      </c>
      <c r="H2343" s="18">
        <f>E2343* 0.00292316686667282</f>
        <v>2.9231668666728199E-2</v>
      </c>
    </row>
    <row r="2344" spans="1:8" ht="15.75" hidden="1" customHeight="1" x14ac:dyDescent="0.25">
      <c r="A2344" s="15" t="s">
        <v>224</v>
      </c>
      <c r="B2344" s="11" t="s">
        <v>253</v>
      </c>
      <c r="C2344" s="15"/>
      <c r="D2344" s="16" t="s">
        <v>17</v>
      </c>
      <c r="E2344" s="23">
        <v>21</v>
      </c>
      <c r="F2344" s="18">
        <f>E2344* 0.752045572242362</f>
        <v>15.792957017089602</v>
      </c>
      <c r="G2344" s="18">
        <f>E2344* 0.185827723114103</f>
        <v>3.9023821853961631</v>
      </c>
      <c r="H2344" s="18">
        <f>E2344* 0.0620921802175039</f>
        <v>1.3039357845675819</v>
      </c>
    </row>
    <row r="2345" spans="1:8" ht="15.75" hidden="1" customHeight="1" x14ac:dyDescent="0.25">
      <c r="A2345" s="15" t="s">
        <v>224</v>
      </c>
      <c r="B2345" s="11" t="s">
        <v>253</v>
      </c>
      <c r="C2345" s="15"/>
      <c r="D2345" s="16" t="s">
        <v>31</v>
      </c>
      <c r="E2345" s="23">
        <v>6</v>
      </c>
      <c r="F2345" s="18">
        <f>E2345* 0.929131175468484</f>
        <v>5.5747870528109038</v>
      </c>
      <c r="G2345" s="18">
        <f>E2345* 0.0477001703577513</f>
        <v>0.28620102214650778</v>
      </c>
      <c r="H2345" s="18">
        <f>E2345* 0.0231686541737649</f>
        <v>0.13901192504258938</v>
      </c>
    </row>
    <row r="2346" spans="1:8" ht="15.75" hidden="1" customHeight="1" x14ac:dyDescent="0.25">
      <c r="A2346" s="15" t="s">
        <v>224</v>
      </c>
      <c r="B2346" s="11" t="s">
        <v>253</v>
      </c>
      <c r="C2346" s="15"/>
      <c r="D2346" s="16" t="s">
        <v>18</v>
      </c>
      <c r="E2346" s="23">
        <v>22</v>
      </c>
      <c r="F2346" s="18">
        <f>E2346* 0.893702527830246</f>
        <v>19.66145561226541</v>
      </c>
      <c r="G2346" s="18">
        <f>E2346* 0.0946831169875015</f>
        <v>2.0830285737250329</v>
      </c>
      <c r="H2346" s="18">
        <f>E2346* 0.0116143551822529</f>
        <v>0.2555158140095638</v>
      </c>
    </row>
    <row r="2347" spans="1:8" ht="15.75" hidden="1" customHeight="1" x14ac:dyDescent="0.25">
      <c r="A2347" s="15" t="s">
        <v>224</v>
      </c>
      <c r="B2347" s="11" t="s">
        <v>253</v>
      </c>
      <c r="C2347" s="15"/>
      <c r="D2347" s="16" t="s">
        <v>20</v>
      </c>
      <c r="E2347" s="23">
        <v>1</v>
      </c>
      <c r="F2347" s="18">
        <f>E2347* 0.734251968503937</f>
        <v>0.73425196850393704</v>
      </c>
      <c r="G2347" s="18">
        <f>E2347* 0.158017179670723</f>
        <v>0.15801717967072301</v>
      </c>
      <c r="H2347" s="18">
        <f>E2347* 0.107551896921976</f>
        <v>0.107551896921976</v>
      </c>
    </row>
    <row r="2348" spans="1:8" ht="15.75" hidden="1" customHeight="1" x14ac:dyDescent="0.25">
      <c r="A2348" s="15" t="s">
        <v>224</v>
      </c>
      <c r="B2348" s="11" t="s">
        <v>253</v>
      </c>
      <c r="C2348" s="15"/>
      <c r="D2348" s="16" t="s">
        <v>21</v>
      </c>
      <c r="E2348" s="23">
        <v>58</v>
      </c>
      <c r="F2348" s="18">
        <f>E2348* 0.999727092353423</f>
        <v>57.984171356498535</v>
      </c>
      <c r="G2348" s="18">
        <f>E2348* 0.0000516311763794744</f>
        <v>2.9946082300095151E-3</v>
      </c>
      <c r="H2348" s="18">
        <f>E2348* 0.000132765882118648</f>
        <v>7.7004211628815839E-3</v>
      </c>
    </row>
    <row r="2349" spans="1:8" ht="15.75" hidden="1" customHeight="1" x14ac:dyDescent="0.25">
      <c r="A2349" s="15" t="s">
        <v>224</v>
      </c>
      <c r="B2349" s="11" t="s">
        <v>253</v>
      </c>
      <c r="C2349" s="15"/>
      <c r="D2349" s="16" t="s">
        <v>36</v>
      </c>
      <c r="E2349" s="23">
        <v>1</v>
      </c>
      <c r="F2349" s="18">
        <f>E2349* 0.995894428152493</f>
        <v>0.99589442815249296</v>
      </c>
      <c r="G2349" s="18">
        <f>E2349* 0.000586510263929619</f>
        <v>5.8651026392961898E-4</v>
      </c>
      <c r="H2349" s="18">
        <f>E2349* 0.00351906158357771</f>
        <v>3.51906158357771E-3</v>
      </c>
    </row>
    <row r="2350" spans="1:8" ht="15.75" hidden="1" customHeight="1" x14ac:dyDescent="0.25">
      <c r="A2350" s="15" t="s">
        <v>224</v>
      </c>
      <c r="B2350" s="11" t="s">
        <v>253</v>
      </c>
      <c r="C2350" s="15"/>
      <c r="D2350" s="16" t="s">
        <v>148</v>
      </c>
      <c r="E2350" s="23">
        <v>0</v>
      </c>
      <c r="F2350" s="18">
        <f>E2350* 0.00302222222222222</f>
        <v>0</v>
      </c>
      <c r="G2350" s="18">
        <f>E2350* 0.996622222222222</f>
        <v>0</v>
      </c>
      <c r="H2350" s="18">
        <f>E2350* 0.000355555555555556</f>
        <v>0</v>
      </c>
    </row>
    <row r="2351" spans="1:8" ht="15.75" hidden="1" customHeight="1" x14ac:dyDescent="0.25">
      <c r="A2351" s="15" t="s">
        <v>224</v>
      </c>
      <c r="B2351" s="11" t="s">
        <v>253</v>
      </c>
      <c r="C2351" s="15"/>
      <c r="D2351" s="16" t="s">
        <v>12</v>
      </c>
      <c r="E2351" s="23">
        <v>127</v>
      </c>
      <c r="F2351" s="18">
        <f>E2351* 0.802335182557089</f>
        <v>101.89656818475031</v>
      </c>
      <c r="G2351" s="18">
        <f>E2351* 0.124687137143594</f>
        <v>15.835266417236438</v>
      </c>
      <c r="H2351" s="18">
        <f>E2351* 0.0729583279576829</f>
        <v>9.2657076506257283</v>
      </c>
    </row>
    <row r="2352" spans="1:8" ht="15.75" hidden="1" customHeight="1" x14ac:dyDescent="0.25">
      <c r="A2352" s="15" t="s">
        <v>224</v>
      </c>
      <c r="B2352" s="8"/>
      <c r="C2352" s="8"/>
      <c r="D2352" s="9"/>
      <c r="E2352" s="29"/>
    </row>
    <row r="2353" spans="1:8" ht="15.75" hidden="1" customHeight="1" x14ac:dyDescent="0.25">
      <c r="A2353" s="15" t="s">
        <v>224</v>
      </c>
      <c r="B2353" s="11" t="s">
        <v>254</v>
      </c>
      <c r="C2353" s="12" t="str">
        <f>B2353&amp;"_"&amp;A2353</f>
        <v>Roboré_Santa Cruz</v>
      </c>
      <c r="E2353" s="22">
        <v>2</v>
      </c>
      <c r="F2353" s="14">
        <f t="shared" ref="F2353:H2353" si="211">SUM(F2354:F2356)</f>
        <v>0.97718201950691297</v>
      </c>
      <c r="G2353" s="14">
        <f t="shared" si="211"/>
        <v>1.0081881479115304</v>
      </c>
      <c r="H2353" s="14">
        <f t="shared" si="211"/>
        <v>1.453752204892572E-2</v>
      </c>
    </row>
    <row r="2354" spans="1:8" ht="15.75" hidden="1" customHeight="1" x14ac:dyDescent="0.25">
      <c r="A2354" s="15" t="s">
        <v>224</v>
      </c>
      <c r="B2354" s="11" t="s">
        <v>254</v>
      </c>
      <c r="C2354" s="15"/>
      <c r="D2354" s="16" t="s">
        <v>11</v>
      </c>
      <c r="E2354" s="23">
        <v>1</v>
      </c>
      <c r="F2354" s="18">
        <f>E2354* 0.083479491676667</f>
        <v>8.3479491676667003E-2</v>
      </c>
      <c r="G2354" s="18">
        <f>E2354* 0.913505030924029</f>
        <v>0.91350503092402902</v>
      </c>
      <c r="H2354" s="18">
        <f>E2354* 0.00292316686667282</f>
        <v>2.9231668666728199E-3</v>
      </c>
    </row>
    <row r="2355" spans="1:8" ht="15.75" hidden="1" customHeight="1" x14ac:dyDescent="0.25">
      <c r="A2355" s="15" t="s">
        <v>224</v>
      </c>
      <c r="B2355" s="11" t="s">
        <v>254</v>
      </c>
      <c r="C2355" s="15"/>
      <c r="D2355" s="16" t="s">
        <v>17</v>
      </c>
      <c r="E2355" s="23">
        <v>0</v>
      </c>
      <c r="F2355" s="18">
        <f>E2355* 0.752045572242362</f>
        <v>0</v>
      </c>
      <c r="G2355" s="18">
        <f>E2355* 0.185827723114103</f>
        <v>0</v>
      </c>
      <c r="H2355" s="18">
        <f>E2355* 0.0620921802175039</f>
        <v>0</v>
      </c>
    </row>
    <row r="2356" spans="1:8" ht="15.75" hidden="1" customHeight="1" x14ac:dyDescent="0.25">
      <c r="A2356" s="15" t="s">
        <v>224</v>
      </c>
      <c r="B2356" s="11" t="s">
        <v>254</v>
      </c>
      <c r="C2356" s="15"/>
      <c r="D2356" s="16" t="s">
        <v>18</v>
      </c>
      <c r="E2356" s="23">
        <v>1</v>
      </c>
      <c r="F2356" s="18">
        <f>E2356* 0.893702527830246</f>
        <v>0.89370252783024595</v>
      </c>
      <c r="G2356" s="18">
        <f>E2356* 0.0946831169875015</f>
        <v>9.4683116987501495E-2</v>
      </c>
      <c r="H2356" s="18">
        <f>E2356* 0.0116143551822529</f>
        <v>1.16143551822529E-2</v>
      </c>
    </row>
    <row r="2357" spans="1:8" ht="15.75" hidden="1" customHeight="1" x14ac:dyDescent="0.25">
      <c r="A2357" s="15" t="s">
        <v>224</v>
      </c>
      <c r="B2357" s="8"/>
      <c r="C2357" s="8"/>
      <c r="D2357" s="9"/>
      <c r="E2357" s="29"/>
    </row>
    <row r="2358" spans="1:8" ht="15.75" hidden="1" customHeight="1" x14ac:dyDescent="0.25">
      <c r="A2358" s="15" t="s">
        <v>224</v>
      </c>
      <c r="B2358" s="11" t="s">
        <v>255</v>
      </c>
      <c r="C2358" s="12" t="str">
        <f>B2358&amp;"_"&amp;A2358</f>
        <v>Saipina_Santa Cruz</v>
      </c>
      <c r="E2358" s="22">
        <v>126</v>
      </c>
      <c r="F2358" s="14">
        <f t="shared" ref="F2358:H2358" si="212">SUM(F2359:F2366)</f>
        <v>88.378205812309517</v>
      </c>
      <c r="G2358" s="14">
        <f t="shared" si="212"/>
        <v>31.565925214964857</v>
      </c>
      <c r="H2358" s="14">
        <f t="shared" si="212"/>
        <v>6.0506007883961681</v>
      </c>
    </row>
    <row r="2359" spans="1:8" ht="15.75" hidden="1" customHeight="1" x14ac:dyDescent="0.25">
      <c r="A2359" s="15" t="s">
        <v>224</v>
      </c>
      <c r="B2359" s="11" t="s">
        <v>255</v>
      </c>
      <c r="C2359" s="15"/>
      <c r="D2359" s="16" t="s">
        <v>15</v>
      </c>
      <c r="E2359" s="23">
        <v>1</v>
      </c>
      <c r="F2359" s="18">
        <f>E2359* 0.932303048052446</f>
        <v>0.93230304805244602</v>
      </c>
      <c r="G2359" s="18">
        <f>E2359* 0.0217058280204555</f>
        <v>2.1705828020455498E-2</v>
      </c>
      <c r="H2359" s="18">
        <f>E2359* 0.0459798598751943</f>
        <v>4.5979859875194297E-2</v>
      </c>
    </row>
    <row r="2360" spans="1:8" ht="15.75" hidden="1" customHeight="1" x14ac:dyDescent="0.25">
      <c r="A2360" s="15" t="s">
        <v>224</v>
      </c>
      <c r="B2360" s="11" t="s">
        <v>255</v>
      </c>
      <c r="C2360" s="15"/>
      <c r="D2360" s="16" t="s">
        <v>16</v>
      </c>
      <c r="E2360" s="23">
        <v>2</v>
      </c>
      <c r="F2360" s="18">
        <f>E2360* 0.293894936109797</f>
        <v>0.587789872219594</v>
      </c>
      <c r="G2360" s="18">
        <f>E2360* 0.663038334122101</f>
        <v>1.326076668244202</v>
      </c>
      <c r="H2360" s="18">
        <f>E2360* 0.0430667297681022</f>
        <v>8.6133459536204396E-2</v>
      </c>
    </row>
    <row r="2361" spans="1:8" ht="15.75" hidden="1" customHeight="1" x14ac:dyDescent="0.25">
      <c r="A2361" s="15" t="s">
        <v>224</v>
      </c>
      <c r="B2361" s="11" t="s">
        <v>255</v>
      </c>
      <c r="C2361" s="15"/>
      <c r="D2361" s="16" t="s">
        <v>11</v>
      </c>
      <c r="E2361" s="23">
        <v>21</v>
      </c>
      <c r="F2361" s="18">
        <f>E2361* 0.083479491676667</f>
        <v>1.7530693252100071</v>
      </c>
      <c r="G2361" s="18">
        <f>E2361* 0.913505030924029</f>
        <v>19.183605649404608</v>
      </c>
      <c r="H2361" s="18">
        <f>E2361* 0.00292316686667282</f>
        <v>6.138650420012922E-2</v>
      </c>
    </row>
    <row r="2362" spans="1:8" ht="15.75" hidden="1" customHeight="1" x14ac:dyDescent="0.25">
      <c r="A2362" s="15" t="s">
        <v>224</v>
      </c>
      <c r="B2362" s="11" t="s">
        <v>255</v>
      </c>
      <c r="C2362" s="15"/>
      <c r="D2362" s="16" t="s">
        <v>17</v>
      </c>
      <c r="E2362" s="23">
        <v>0</v>
      </c>
      <c r="F2362" s="18">
        <f>E2362* 0.752045572242362</f>
        <v>0</v>
      </c>
      <c r="G2362" s="18">
        <f>E2362* 0.185827723114103</f>
        <v>0</v>
      </c>
      <c r="H2362" s="18">
        <f>E2362* 0.0620921802175039</f>
        <v>0</v>
      </c>
    </row>
    <row r="2363" spans="1:8" ht="15.75" hidden="1" customHeight="1" x14ac:dyDescent="0.25">
      <c r="A2363" s="15" t="s">
        <v>224</v>
      </c>
      <c r="B2363" s="11" t="s">
        <v>255</v>
      </c>
      <c r="C2363" s="15"/>
      <c r="D2363" s="16" t="s">
        <v>18</v>
      </c>
      <c r="E2363" s="23">
        <v>1</v>
      </c>
      <c r="F2363" s="18">
        <f>E2363* 0.893702527830246</f>
        <v>0.89370252783024595</v>
      </c>
      <c r="G2363" s="18">
        <f>E2363* 0.0946831169875015</f>
        <v>9.4683116987501495E-2</v>
      </c>
      <c r="H2363" s="18">
        <f>E2363* 0.0116143551822529</f>
        <v>1.16143551822529E-2</v>
      </c>
    </row>
    <row r="2364" spans="1:8" ht="15.75" hidden="1" customHeight="1" x14ac:dyDescent="0.25">
      <c r="A2364" s="15" t="s">
        <v>224</v>
      </c>
      <c r="B2364" s="11" t="s">
        <v>255</v>
      </c>
      <c r="C2364" s="15"/>
      <c r="D2364" s="16" t="s">
        <v>19</v>
      </c>
      <c r="E2364" s="23">
        <v>1</v>
      </c>
      <c r="F2364" s="18">
        <f>E2364* 0.0299845873616365</f>
        <v>2.9984587361636499E-2</v>
      </c>
      <c r="G2364" s="18">
        <f>E2364* 0.96385035729298</f>
        <v>0.96385035729297996</v>
      </c>
      <c r="H2364" s="18">
        <f>E2364* 0.00616505534538321</f>
        <v>6.1650553453832099E-3</v>
      </c>
    </row>
    <row r="2365" spans="1:8" ht="15.75" hidden="1" customHeight="1" x14ac:dyDescent="0.25">
      <c r="A2365" s="15" t="s">
        <v>224</v>
      </c>
      <c r="B2365" s="11" t="s">
        <v>255</v>
      </c>
      <c r="C2365" s="15"/>
      <c r="D2365" s="16" t="s">
        <v>21</v>
      </c>
      <c r="E2365" s="23">
        <v>20</v>
      </c>
      <c r="F2365" s="18">
        <f>E2365* 0.999727092353423</f>
        <v>19.994541847068461</v>
      </c>
      <c r="G2365" s="18">
        <f>E2365* 0.0000516311763794744</f>
        <v>1.032623527589488E-3</v>
      </c>
      <c r="H2365" s="18">
        <f>E2365* 0.000132765882118648</f>
        <v>2.6553176423729603E-3</v>
      </c>
    </row>
    <row r="2366" spans="1:8" ht="15.75" hidden="1" customHeight="1" x14ac:dyDescent="0.25">
      <c r="A2366" s="15" t="s">
        <v>224</v>
      </c>
      <c r="B2366" s="11" t="s">
        <v>255</v>
      </c>
      <c r="C2366" s="15"/>
      <c r="D2366" s="16" t="s">
        <v>12</v>
      </c>
      <c r="E2366" s="23">
        <v>80</v>
      </c>
      <c r="F2366" s="18">
        <f>E2366* 0.802335182557089</f>
        <v>64.186814604567118</v>
      </c>
      <c r="G2366" s="18">
        <f>E2366* 0.124687137143594</f>
        <v>9.9749709714875205</v>
      </c>
      <c r="H2366" s="18">
        <f>E2366* 0.0729583279576829</f>
        <v>5.8366662366146311</v>
      </c>
    </row>
    <row r="2367" spans="1:8" ht="15.75" hidden="1" customHeight="1" x14ac:dyDescent="0.25">
      <c r="A2367" s="15" t="s">
        <v>224</v>
      </c>
      <c r="B2367" s="8"/>
      <c r="C2367" s="8"/>
      <c r="D2367" s="9"/>
      <c r="E2367" s="29"/>
    </row>
    <row r="2368" spans="1:8" ht="15.75" hidden="1" customHeight="1" x14ac:dyDescent="0.25">
      <c r="A2368" s="15" t="s">
        <v>224</v>
      </c>
      <c r="B2368" s="11" t="s">
        <v>256</v>
      </c>
      <c r="C2368" s="12" t="str">
        <f>B2368&amp;"_"&amp;A2368</f>
        <v>Samaipata_Santa Cruz</v>
      </c>
      <c r="E2368" s="22">
        <v>49</v>
      </c>
      <c r="F2368" s="14">
        <f t="shared" ref="F2368:H2368" si="213">SUM(F2369:F2375)</f>
        <v>28.671797145800479</v>
      </c>
      <c r="G2368" s="14">
        <f t="shared" si="213"/>
        <v>18.234828447398417</v>
      </c>
      <c r="H2368" s="14">
        <f t="shared" si="213"/>
        <v>2.0912249422827394</v>
      </c>
    </row>
    <row r="2369" spans="1:8" ht="15.75" hidden="1" customHeight="1" x14ac:dyDescent="0.25">
      <c r="A2369" s="15" t="s">
        <v>224</v>
      </c>
      <c r="B2369" s="11" t="s">
        <v>256</v>
      </c>
      <c r="C2369" s="15"/>
      <c r="D2369" s="16" t="s">
        <v>15</v>
      </c>
      <c r="E2369" s="23">
        <v>4</v>
      </c>
      <c r="F2369" s="18">
        <f>E2369* 0.932303048052446</f>
        <v>3.7292121922097841</v>
      </c>
      <c r="G2369" s="18">
        <f>E2369* 0.0217058280204555</f>
        <v>8.6823312081821993E-2</v>
      </c>
      <c r="H2369" s="18">
        <f>E2369* 0.0459798598751943</f>
        <v>0.18391943950077719</v>
      </c>
    </row>
    <row r="2370" spans="1:8" ht="15.75" hidden="1" customHeight="1" x14ac:dyDescent="0.25">
      <c r="A2370" s="15" t="s">
        <v>224</v>
      </c>
      <c r="B2370" s="11" t="s">
        <v>256</v>
      </c>
      <c r="C2370" s="15"/>
      <c r="D2370" s="16" t="s">
        <v>11</v>
      </c>
      <c r="E2370" s="23">
        <v>15</v>
      </c>
      <c r="F2370" s="18">
        <f>E2370* 0.083479491676667</f>
        <v>1.252192375150005</v>
      </c>
      <c r="G2370" s="18">
        <f>E2370* 0.913505030924029</f>
        <v>13.702575463860436</v>
      </c>
      <c r="H2370" s="18">
        <f>E2370* 0.00292316686667282</f>
        <v>4.3847503000092297E-2</v>
      </c>
    </row>
    <row r="2371" spans="1:8" ht="15.75" hidden="1" customHeight="1" x14ac:dyDescent="0.25">
      <c r="A2371" s="15" t="s">
        <v>224</v>
      </c>
      <c r="B2371" s="11" t="s">
        <v>256</v>
      </c>
      <c r="C2371" s="15"/>
      <c r="D2371" s="16" t="s">
        <v>17</v>
      </c>
      <c r="E2371" s="23">
        <v>13</v>
      </c>
      <c r="F2371" s="18">
        <f>E2371* 0.752045572242362</f>
        <v>9.776592439150706</v>
      </c>
      <c r="G2371" s="18">
        <f>E2371* 0.185827723114103</f>
        <v>2.4157604004833391</v>
      </c>
      <c r="H2371" s="18">
        <f>E2371* 0.0620921802175039</f>
        <v>0.80719834282755065</v>
      </c>
    </row>
    <row r="2372" spans="1:8" ht="15.75" hidden="1" customHeight="1" x14ac:dyDescent="0.25">
      <c r="A2372" s="15" t="s">
        <v>224</v>
      </c>
      <c r="B2372" s="11" t="s">
        <v>256</v>
      </c>
      <c r="C2372" s="15"/>
      <c r="D2372" s="16" t="s">
        <v>18</v>
      </c>
      <c r="E2372" s="23">
        <v>3</v>
      </c>
      <c r="F2372" s="18">
        <f>E2372* 0.893702527830246</f>
        <v>2.6811075834907379</v>
      </c>
      <c r="G2372" s="18">
        <f>E2372* 0.0946831169875015</f>
        <v>0.2840493509625045</v>
      </c>
      <c r="H2372" s="18">
        <f>E2372* 0.0116143551822529</f>
        <v>3.48430655467587E-2</v>
      </c>
    </row>
    <row r="2373" spans="1:8" ht="15.75" hidden="1" customHeight="1" x14ac:dyDescent="0.25">
      <c r="A2373" s="15" t="s">
        <v>224</v>
      </c>
      <c r="B2373" s="11" t="s">
        <v>256</v>
      </c>
      <c r="C2373" s="15"/>
      <c r="D2373" s="16" t="s">
        <v>19</v>
      </c>
      <c r="E2373" s="23">
        <v>0</v>
      </c>
      <c r="F2373" s="18">
        <f>E2373* 0.0299845873616365</f>
        <v>0</v>
      </c>
      <c r="G2373" s="18">
        <f>E2373* 0.96385035729298</f>
        <v>0</v>
      </c>
      <c r="H2373" s="18">
        <f>E2373* 0.00616505534538321</f>
        <v>0</v>
      </c>
    </row>
    <row r="2374" spans="1:8" ht="15.75" hidden="1" customHeight="1" x14ac:dyDescent="0.25">
      <c r="A2374" s="15" t="s">
        <v>224</v>
      </c>
      <c r="B2374" s="11" t="s">
        <v>256</v>
      </c>
      <c r="C2374" s="15"/>
      <c r="D2374" s="16" t="s">
        <v>20</v>
      </c>
      <c r="E2374" s="23">
        <v>0</v>
      </c>
      <c r="F2374" s="18">
        <f>E2374* 0.734251968503937</f>
        <v>0</v>
      </c>
      <c r="G2374" s="18">
        <f>E2374* 0.158017179670723</f>
        <v>0</v>
      </c>
      <c r="H2374" s="18">
        <f>E2374* 0.107551896921976</f>
        <v>0</v>
      </c>
    </row>
    <row r="2375" spans="1:8" ht="15.75" hidden="1" customHeight="1" x14ac:dyDescent="0.25">
      <c r="A2375" s="15" t="s">
        <v>224</v>
      </c>
      <c r="B2375" s="11" t="s">
        <v>256</v>
      </c>
      <c r="C2375" s="15"/>
      <c r="D2375" s="16" t="s">
        <v>12</v>
      </c>
      <c r="E2375" s="23">
        <v>14</v>
      </c>
      <c r="F2375" s="18">
        <f>E2375* 0.802335182557089</f>
        <v>11.232692555799247</v>
      </c>
      <c r="G2375" s="18">
        <f>E2375* 0.124687137143594</f>
        <v>1.745619920010316</v>
      </c>
      <c r="H2375" s="18">
        <f>E2375* 0.0729583279576829</f>
        <v>1.0214165914075606</v>
      </c>
    </row>
    <row r="2376" spans="1:8" ht="15.75" hidden="1" customHeight="1" x14ac:dyDescent="0.25">
      <c r="A2376" s="15" t="s">
        <v>224</v>
      </c>
      <c r="B2376" s="8"/>
      <c r="C2376" s="8"/>
      <c r="D2376" s="9"/>
      <c r="E2376" s="29"/>
    </row>
    <row r="2377" spans="1:8" ht="15.75" hidden="1" customHeight="1" x14ac:dyDescent="0.25">
      <c r="A2377" s="15" t="s">
        <v>224</v>
      </c>
      <c r="B2377" s="11" t="s">
        <v>257</v>
      </c>
      <c r="C2377" s="12" t="str">
        <f>B2377&amp;"_"&amp;A2377</f>
        <v>San Carlos_Santa Cruz</v>
      </c>
      <c r="E2377" s="22">
        <v>294</v>
      </c>
      <c r="F2377" s="14">
        <f t="shared" ref="F2377:H2377" si="214">SUM(F2378:F2391)</f>
        <v>238.30063272109285</v>
      </c>
      <c r="G2377" s="14">
        <f t="shared" si="214"/>
        <v>47.63817982224046</v>
      </c>
      <c r="H2377" s="14">
        <f t="shared" si="214"/>
        <v>8.0436301061676261</v>
      </c>
    </row>
    <row r="2378" spans="1:8" ht="15.75" hidden="1" customHeight="1" x14ac:dyDescent="0.25">
      <c r="A2378" s="15" t="s">
        <v>224</v>
      </c>
      <c r="B2378" s="11" t="s">
        <v>257</v>
      </c>
      <c r="C2378" s="15"/>
      <c r="D2378" s="16" t="s">
        <v>14</v>
      </c>
      <c r="E2378" s="23">
        <v>0</v>
      </c>
      <c r="F2378" s="20">
        <v>0</v>
      </c>
      <c r="G2378" s="24">
        <f>E2378</f>
        <v>0</v>
      </c>
      <c r="H2378" s="20">
        <v>0</v>
      </c>
    </row>
    <row r="2379" spans="1:8" ht="15.75" hidden="1" customHeight="1" x14ac:dyDescent="0.25">
      <c r="A2379" s="15" t="s">
        <v>224</v>
      </c>
      <c r="B2379" s="11" t="s">
        <v>257</v>
      </c>
      <c r="C2379" s="15"/>
      <c r="D2379" s="16" t="s">
        <v>15</v>
      </c>
      <c r="E2379" s="23">
        <v>19</v>
      </c>
      <c r="F2379" s="18">
        <f>E2379* 0.932303048052446</f>
        <v>17.713757912996474</v>
      </c>
      <c r="G2379" s="18">
        <f>E2379* 0.0217058280204555</f>
        <v>0.41241073238865444</v>
      </c>
      <c r="H2379" s="18">
        <f>E2379* 0.0459798598751943</f>
        <v>0.87361733762869165</v>
      </c>
    </row>
    <row r="2380" spans="1:8" ht="15.75" hidden="1" customHeight="1" x14ac:dyDescent="0.25">
      <c r="A2380" s="15" t="s">
        <v>224</v>
      </c>
      <c r="B2380" s="11" t="s">
        <v>257</v>
      </c>
      <c r="C2380" s="15"/>
      <c r="D2380" s="16" t="s">
        <v>16</v>
      </c>
      <c r="E2380" s="23">
        <v>1</v>
      </c>
      <c r="F2380" s="18">
        <f>E2380* 0.293894936109797</f>
        <v>0.293894936109797</v>
      </c>
      <c r="G2380" s="18">
        <f>E2380* 0.663038334122101</f>
        <v>0.663038334122101</v>
      </c>
      <c r="H2380" s="18">
        <f>E2380* 0.0430667297681022</f>
        <v>4.3066729768102198E-2</v>
      </c>
    </row>
    <row r="2381" spans="1:8" ht="15.75" hidden="1" customHeight="1" x14ac:dyDescent="0.25">
      <c r="A2381" s="15" t="s">
        <v>224</v>
      </c>
      <c r="B2381" s="11" t="s">
        <v>257</v>
      </c>
      <c r="C2381" s="15"/>
      <c r="D2381" s="16" t="s">
        <v>11</v>
      </c>
      <c r="E2381" s="23">
        <v>33</v>
      </c>
      <c r="F2381" s="18">
        <f>E2381* 0.083479491676667</f>
        <v>2.7548232253300111</v>
      </c>
      <c r="G2381" s="18">
        <f>E2381* 0.913505030924029</f>
        <v>30.145666020492957</v>
      </c>
      <c r="H2381" s="18">
        <f>E2381* 0.00292316686667282</f>
        <v>9.6464506600203059E-2</v>
      </c>
    </row>
    <row r="2382" spans="1:8" ht="15.75" hidden="1" customHeight="1" x14ac:dyDescent="0.25">
      <c r="A2382" s="15" t="s">
        <v>224</v>
      </c>
      <c r="B2382" s="11" t="s">
        <v>257</v>
      </c>
      <c r="C2382" s="15"/>
      <c r="D2382" s="16" t="s">
        <v>17</v>
      </c>
      <c r="E2382" s="23">
        <v>48</v>
      </c>
      <c r="F2382" s="18">
        <f>E2382* 0.752045572242362</f>
        <v>36.09818746763338</v>
      </c>
      <c r="G2382" s="18">
        <f>E2382* 0.185827723114103</f>
        <v>8.9197307094769442</v>
      </c>
      <c r="H2382" s="18">
        <f>E2382* 0.0620921802175039</f>
        <v>2.9804246504401872</v>
      </c>
    </row>
    <row r="2383" spans="1:8" ht="15.75" hidden="1" customHeight="1" x14ac:dyDescent="0.25">
      <c r="A2383" s="15" t="s">
        <v>224</v>
      </c>
      <c r="B2383" s="11" t="s">
        <v>257</v>
      </c>
      <c r="C2383" s="15"/>
      <c r="D2383" s="16" t="s">
        <v>31</v>
      </c>
      <c r="E2383" s="23">
        <v>0</v>
      </c>
      <c r="F2383" s="18">
        <f>E2383* 0.929131175468484</f>
        <v>0</v>
      </c>
      <c r="G2383" s="18">
        <f>E2383* 0.0477001703577513</f>
        <v>0</v>
      </c>
      <c r="H2383" s="18">
        <f>E2383* 0.0231686541737649</f>
        <v>0</v>
      </c>
    </row>
    <row r="2384" spans="1:8" ht="15.75" hidden="1" customHeight="1" x14ac:dyDescent="0.25">
      <c r="A2384" s="15" t="s">
        <v>224</v>
      </c>
      <c r="B2384" s="11" t="s">
        <v>257</v>
      </c>
      <c r="C2384" s="15"/>
      <c r="D2384" s="16" t="s">
        <v>18</v>
      </c>
      <c r="E2384" s="23">
        <v>8</v>
      </c>
      <c r="F2384" s="18">
        <f>E2384* 0.893702527830246</f>
        <v>7.1496202226419676</v>
      </c>
      <c r="G2384" s="18">
        <f>E2384* 0.0946831169875015</f>
        <v>0.75746493590001196</v>
      </c>
      <c r="H2384" s="18">
        <f>E2384* 0.0116143551822529</f>
        <v>9.2914841458023201E-2</v>
      </c>
    </row>
    <row r="2385" spans="1:8" ht="15.75" hidden="1" customHeight="1" x14ac:dyDescent="0.25">
      <c r="A2385" s="15" t="s">
        <v>224</v>
      </c>
      <c r="B2385" s="11" t="s">
        <v>257</v>
      </c>
      <c r="C2385" s="15"/>
      <c r="D2385" s="16" t="s">
        <v>35</v>
      </c>
      <c r="E2385" s="23">
        <v>0</v>
      </c>
      <c r="F2385" s="20">
        <v>0</v>
      </c>
      <c r="G2385" s="24">
        <f>E2385</f>
        <v>0</v>
      </c>
      <c r="H2385" s="20">
        <v>0</v>
      </c>
    </row>
    <row r="2386" spans="1:8" ht="15.75" hidden="1" customHeight="1" x14ac:dyDescent="0.25">
      <c r="A2386" s="15" t="s">
        <v>224</v>
      </c>
      <c r="B2386" s="11" t="s">
        <v>257</v>
      </c>
      <c r="C2386" s="15"/>
      <c r="D2386" s="16" t="s">
        <v>19</v>
      </c>
      <c r="E2386" s="23">
        <v>0</v>
      </c>
      <c r="F2386" s="18">
        <f>E2386* 0.0299845873616365</f>
        <v>0</v>
      </c>
      <c r="G2386" s="18">
        <f>E2386* 0.96385035729298</f>
        <v>0</v>
      </c>
      <c r="H2386" s="18">
        <f>E2386* 0.00616505534538321</f>
        <v>0</v>
      </c>
    </row>
    <row r="2387" spans="1:8" ht="15.75" hidden="1" customHeight="1" x14ac:dyDescent="0.25">
      <c r="A2387" s="15" t="s">
        <v>224</v>
      </c>
      <c r="B2387" s="11" t="s">
        <v>257</v>
      </c>
      <c r="C2387" s="15"/>
      <c r="D2387" s="16" t="s">
        <v>20</v>
      </c>
      <c r="E2387" s="23">
        <v>0</v>
      </c>
      <c r="F2387" s="18">
        <f>E2387* 0.734251968503937</f>
        <v>0</v>
      </c>
      <c r="G2387" s="18">
        <f>E2387* 0.158017179670723</f>
        <v>0</v>
      </c>
      <c r="H2387" s="18">
        <f>E2387* 0.107551896921976</f>
        <v>0</v>
      </c>
    </row>
    <row r="2388" spans="1:8" ht="15.75" hidden="1" customHeight="1" x14ac:dyDescent="0.25">
      <c r="A2388" s="15" t="s">
        <v>224</v>
      </c>
      <c r="B2388" s="11" t="s">
        <v>257</v>
      </c>
      <c r="C2388" s="15"/>
      <c r="D2388" s="16" t="s">
        <v>21</v>
      </c>
      <c r="E2388" s="23">
        <v>131</v>
      </c>
      <c r="F2388" s="18">
        <f>E2388* 0.999727092353423</f>
        <v>130.96424909829841</v>
      </c>
      <c r="G2388" s="18">
        <f>E2388* 0.0000516311763794744</f>
        <v>6.7636841057111463E-3</v>
      </c>
      <c r="H2388" s="18">
        <f>E2388* 0.000132765882118648</f>
        <v>1.7392330557542888E-2</v>
      </c>
    </row>
    <row r="2389" spans="1:8" ht="15.75" hidden="1" customHeight="1" x14ac:dyDescent="0.25">
      <c r="A2389" s="15" t="s">
        <v>224</v>
      </c>
      <c r="B2389" s="11" t="s">
        <v>257</v>
      </c>
      <c r="C2389" s="15"/>
      <c r="D2389" s="16" t="s">
        <v>36</v>
      </c>
      <c r="E2389" s="23">
        <v>0</v>
      </c>
      <c r="F2389" s="18">
        <f>E2389* 0.995894428152493</f>
        <v>0</v>
      </c>
      <c r="G2389" s="18">
        <f>E2389* 0.000586510263929619</f>
        <v>0</v>
      </c>
      <c r="H2389" s="18">
        <f>E2389* 0.00351906158357771</f>
        <v>0</v>
      </c>
    </row>
    <row r="2390" spans="1:8" ht="15.75" hidden="1" customHeight="1" x14ac:dyDescent="0.25">
      <c r="A2390" s="15" t="s">
        <v>224</v>
      </c>
      <c r="B2390" s="11" t="s">
        <v>257</v>
      </c>
      <c r="C2390" s="15"/>
      <c r="D2390" s="16" t="s">
        <v>28</v>
      </c>
      <c r="E2390" s="23">
        <v>0</v>
      </c>
      <c r="F2390" s="18">
        <f>E2390* 0.00302222222222222</f>
        <v>0</v>
      </c>
      <c r="G2390" s="18">
        <f>E2390* 0.996622222222222</f>
        <v>0</v>
      </c>
      <c r="H2390" s="18">
        <f>E2390* 0.000355555555555556</f>
        <v>0</v>
      </c>
    </row>
    <row r="2391" spans="1:8" ht="15.75" hidden="1" customHeight="1" x14ac:dyDescent="0.25">
      <c r="A2391" s="15" t="s">
        <v>224</v>
      </c>
      <c r="B2391" s="11" t="s">
        <v>257</v>
      </c>
      <c r="C2391" s="15"/>
      <c r="D2391" s="16" t="s">
        <v>12</v>
      </c>
      <c r="E2391" s="23">
        <v>54</v>
      </c>
      <c r="F2391" s="18">
        <f>E2391* 0.802335182557089</f>
        <v>43.326099858082806</v>
      </c>
      <c r="G2391" s="18">
        <f>E2391* 0.124687137143594</f>
        <v>6.7331054057540758</v>
      </c>
      <c r="H2391" s="18">
        <f>E2391* 0.0729583279576829</f>
        <v>3.9397497097148761</v>
      </c>
    </row>
    <row r="2392" spans="1:8" ht="15.75" hidden="1" customHeight="1" x14ac:dyDescent="0.25">
      <c r="A2392" s="15" t="s">
        <v>224</v>
      </c>
      <c r="B2392" s="8"/>
      <c r="C2392" s="8"/>
      <c r="D2392" s="9"/>
      <c r="E2392" s="29"/>
    </row>
    <row r="2393" spans="1:8" ht="15.75" hidden="1" customHeight="1" x14ac:dyDescent="0.25">
      <c r="A2393" s="15" t="s">
        <v>224</v>
      </c>
      <c r="B2393" s="11" t="s">
        <v>258</v>
      </c>
      <c r="C2393" s="12" t="str">
        <f>B2393&amp;"_"&amp;A2393</f>
        <v>San Ignacio (Santa Cruz)_Santa Cruz</v>
      </c>
      <c r="E2393" s="22">
        <v>1266</v>
      </c>
      <c r="F2393" s="14">
        <f t="shared" ref="F2393:H2393" si="215">SUM(F2394:F2406)</f>
        <v>1230.8515365378737</v>
      </c>
      <c r="G2393" s="14">
        <f t="shared" si="215"/>
        <v>27.138421366853649</v>
      </c>
      <c r="H2393" s="14">
        <f t="shared" si="215"/>
        <v>7.906719368129969</v>
      </c>
    </row>
    <row r="2394" spans="1:8" ht="15.75" hidden="1" customHeight="1" x14ac:dyDescent="0.25">
      <c r="A2394" s="15" t="s">
        <v>224</v>
      </c>
      <c r="B2394" s="11" t="s">
        <v>258</v>
      </c>
      <c r="C2394" s="15"/>
      <c r="D2394" s="16" t="s">
        <v>14</v>
      </c>
      <c r="E2394" s="23">
        <v>0</v>
      </c>
      <c r="F2394" s="20">
        <v>0</v>
      </c>
      <c r="G2394" s="24">
        <f>E2394</f>
        <v>0</v>
      </c>
      <c r="H2394" s="20">
        <v>0</v>
      </c>
    </row>
    <row r="2395" spans="1:8" ht="15.75" hidden="1" customHeight="1" x14ac:dyDescent="0.25">
      <c r="A2395" s="15" t="s">
        <v>224</v>
      </c>
      <c r="B2395" s="11" t="s">
        <v>258</v>
      </c>
      <c r="C2395" s="15"/>
      <c r="D2395" s="16" t="s">
        <v>15</v>
      </c>
      <c r="E2395" s="23">
        <v>7</v>
      </c>
      <c r="F2395" s="18">
        <f>E2395* 0.932303048052446</f>
        <v>6.5261213363671224</v>
      </c>
      <c r="G2395" s="18">
        <f>E2395* 0.0217058280204555</f>
        <v>0.15194079614318848</v>
      </c>
      <c r="H2395" s="18">
        <f>E2395* 0.0459798598751943</f>
        <v>0.32185901912636006</v>
      </c>
    </row>
    <row r="2396" spans="1:8" ht="15.75" hidden="1" customHeight="1" x14ac:dyDescent="0.25">
      <c r="A2396" s="15" t="s">
        <v>224</v>
      </c>
      <c r="B2396" s="11" t="s">
        <v>258</v>
      </c>
      <c r="C2396" s="15"/>
      <c r="D2396" s="16" t="s">
        <v>16</v>
      </c>
      <c r="E2396" s="23">
        <v>0</v>
      </c>
      <c r="F2396" s="18">
        <f>E2396* 0.293894936109797</f>
        <v>0</v>
      </c>
      <c r="G2396" s="18">
        <f>E2396* 0.663038334122101</f>
        <v>0</v>
      </c>
      <c r="H2396" s="18">
        <f>E2396* 0.0430667297681022</f>
        <v>0</v>
      </c>
    </row>
    <row r="2397" spans="1:8" ht="15.75" hidden="1" customHeight="1" x14ac:dyDescent="0.25">
      <c r="A2397" s="15" t="s">
        <v>224</v>
      </c>
      <c r="B2397" s="11" t="s">
        <v>258</v>
      </c>
      <c r="C2397" s="15"/>
      <c r="D2397" s="16" t="s">
        <v>11</v>
      </c>
      <c r="E2397" s="23">
        <v>11</v>
      </c>
      <c r="F2397" s="18">
        <f>E2397* 0.083479491676667</f>
        <v>0.91827440844333708</v>
      </c>
      <c r="G2397" s="18">
        <f>E2397* 0.913505030924029</f>
        <v>10.048555340164318</v>
      </c>
      <c r="H2397" s="18">
        <f>E2397* 0.00292316686667282</f>
        <v>3.2154835533401017E-2</v>
      </c>
    </row>
    <row r="2398" spans="1:8" ht="15.75" hidden="1" customHeight="1" x14ac:dyDescent="0.25">
      <c r="A2398" s="15" t="s">
        <v>224</v>
      </c>
      <c r="B2398" s="11" t="s">
        <v>258</v>
      </c>
      <c r="C2398" s="15"/>
      <c r="D2398" s="16" t="s">
        <v>17</v>
      </c>
      <c r="E2398" s="23">
        <v>41</v>
      </c>
      <c r="F2398" s="18">
        <f>E2398* 0.752045572242362</f>
        <v>30.833868461936841</v>
      </c>
      <c r="G2398" s="18">
        <f>E2398* 0.185827723114103</f>
        <v>7.6189366476782237</v>
      </c>
      <c r="H2398" s="18">
        <f>E2398* 0.0620921802175039</f>
        <v>2.5457793889176599</v>
      </c>
    </row>
    <row r="2399" spans="1:8" ht="15.75" hidden="1" customHeight="1" x14ac:dyDescent="0.25">
      <c r="A2399" s="15" t="s">
        <v>224</v>
      </c>
      <c r="B2399" s="11" t="s">
        <v>258</v>
      </c>
      <c r="C2399" s="15"/>
      <c r="D2399" s="16" t="s">
        <v>31</v>
      </c>
      <c r="E2399" s="23">
        <v>1</v>
      </c>
      <c r="F2399" s="18">
        <f>E2399* 0.929131175468484</f>
        <v>0.92913117546848401</v>
      </c>
      <c r="G2399" s="18">
        <f>E2399* 0.0477001703577513</f>
        <v>4.7700170357751301E-2</v>
      </c>
      <c r="H2399" s="18">
        <f>E2399* 0.0231686541737649</f>
        <v>2.3168654173764899E-2</v>
      </c>
    </row>
    <row r="2400" spans="1:8" ht="15.75" hidden="1" customHeight="1" x14ac:dyDescent="0.25">
      <c r="A2400" s="15" t="s">
        <v>224</v>
      </c>
      <c r="B2400" s="11" t="s">
        <v>258</v>
      </c>
      <c r="C2400" s="15"/>
      <c r="D2400" s="16" t="s">
        <v>18</v>
      </c>
      <c r="E2400" s="23">
        <v>13</v>
      </c>
      <c r="F2400" s="18">
        <f>E2400* 0.893702527830246</f>
        <v>11.618132861793198</v>
      </c>
      <c r="G2400" s="18">
        <f>E2400* 0.0946831169875015</f>
        <v>1.2308805208375195</v>
      </c>
      <c r="H2400" s="18">
        <f>E2400* 0.0116143551822529</f>
        <v>0.1509866173692877</v>
      </c>
    </row>
    <row r="2401" spans="1:8" ht="15.75" hidden="1" customHeight="1" x14ac:dyDescent="0.25">
      <c r="A2401" s="15" t="s">
        <v>224</v>
      </c>
      <c r="B2401" s="11" t="s">
        <v>258</v>
      </c>
      <c r="C2401" s="15"/>
      <c r="D2401" s="16" t="s">
        <v>35</v>
      </c>
      <c r="E2401" s="23">
        <v>0</v>
      </c>
      <c r="F2401" s="20">
        <v>0</v>
      </c>
      <c r="G2401" s="24">
        <f>E2401</f>
        <v>0</v>
      </c>
      <c r="H2401" s="20">
        <v>0</v>
      </c>
    </row>
    <row r="2402" spans="1:8" ht="15.75" hidden="1" customHeight="1" x14ac:dyDescent="0.25">
      <c r="A2402" s="15" t="s">
        <v>224</v>
      </c>
      <c r="B2402" s="11" t="s">
        <v>258</v>
      </c>
      <c r="C2402" s="15"/>
      <c r="D2402" s="16" t="s">
        <v>20</v>
      </c>
      <c r="E2402" s="23">
        <v>0</v>
      </c>
      <c r="F2402" s="18">
        <f>E2402* 0.734251968503937</f>
        <v>0</v>
      </c>
      <c r="G2402" s="18">
        <f>E2402* 0.158017179670723</f>
        <v>0</v>
      </c>
      <c r="H2402" s="18">
        <f>E2402* 0.107551896921976</f>
        <v>0</v>
      </c>
    </row>
    <row r="2403" spans="1:8" ht="15.75" hidden="1" customHeight="1" x14ac:dyDescent="0.25">
      <c r="A2403" s="15" t="s">
        <v>224</v>
      </c>
      <c r="B2403" s="11" t="s">
        <v>258</v>
      </c>
      <c r="C2403" s="15"/>
      <c r="D2403" s="16" t="s">
        <v>21</v>
      </c>
      <c r="E2403" s="23">
        <v>1125</v>
      </c>
      <c r="F2403" s="18">
        <f>E2403* 0.999727092353423</f>
        <v>1124.6929788976008</v>
      </c>
      <c r="G2403" s="18">
        <f>E2403* 0.0000516311763794744</f>
        <v>5.8085073426908704E-2</v>
      </c>
      <c r="H2403" s="18">
        <f>E2403* 0.000132765882118648</f>
        <v>0.149361617383479</v>
      </c>
    </row>
    <row r="2404" spans="1:8" ht="15.75" hidden="1" customHeight="1" x14ac:dyDescent="0.25">
      <c r="A2404" s="15" t="s">
        <v>224</v>
      </c>
      <c r="B2404" s="11" t="s">
        <v>258</v>
      </c>
      <c r="C2404" s="15"/>
      <c r="D2404" s="16" t="s">
        <v>36</v>
      </c>
      <c r="E2404" s="23">
        <v>4</v>
      </c>
      <c r="F2404" s="18">
        <f>E2404* 0.995894428152493</f>
        <v>3.9835777126099718</v>
      </c>
      <c r="G2404" s="18">
        <f>E2404* 0.000586510263929619</f>
        <v>2.3460410557184759E-3</v>
      </c>
      <c r="H2404" s="18">
        <f>E2404* 0.00351906158357771</f>
        <v>1.407624633431084E-2</v>
      </c>
    </row>
    <row r="2405" spans="1:8" ht="15.75" hidden="1" customHeight="1" x14ac:dyDescent="0.25">
      <c r="A2405" s="15" t="s">
        <v>224</v>
      </c>
      <c r="B2405" s="11" t="s">
        <v>258</v>
      </c>
      <c r="C2405" s="15"/>
      <c r="D2405" s="16" t="s">
        <v>28</v>
      </c>
      <c r="E2405" s="23">
        <v>0</v>
      </c>
      <c r="F2405" s="18">
        <f>E2405* 0.00302222222222222</f>
        <v>0</v>
      </c>
      <c r="G2405" s="18">
        <f>E2405* 0.996622222222222</f>
        <v>0</v>
      </c>
      <c r="H2405" s="18">
        <f>E2405* 0.000355555555555556</f>
        <v>0</v>
      </c>
    </row>
    <row r="2406" spans="1:8" ht="15.75" hidden="1" customHeight="1" x14ac:dyDescent="0.25">
      <c r="A2406" s="15" t="s">
        <v>224</v>
      </c>
      <c r="B2406" s="11" t="s">
        <v>258</v>
      </c>
      <c r="C2406" s="15"/>
      <c r="D2406" s="16" t="s">
        <v>12</v>
      </c>
      <c r="E2406" s="23">
        <v>64</v>
      </c>
      <c r="F2406" s="18">
        <f>E2406* 0.802335182557089</f>
        <v>51.349451683653697</v>
      </c>
      <c r="G2406" s="18">
        <f>E2406* 0.124687137143594</f>
        <v>7.9799767771900161</v>
      </c>
      <c r="H2406" s="18">
        <f>E2406* 0.0729583279576829</f>
        <v>4.6693329892917053</v>
      </c>
    </row>
    <row r="2407" spans="1:8" ht="15.75" hidden="1" customHeight="1" x14ac:dyDescent="0.25">
      <c r="A2407" s="15" t="s">
        <v>224</v>
      </c>
      <c r="B2407" s="8"/>
      <c r="C2407" s="8"/>
      <c r="D2407" s="9"/>
      <c r="E2407" s="29"/>
    </row>
    <row r="2408" spans="1:8" ht="15.75" hidden="1" customHeight="1" x14ac:dyDescent="0.25">
      <c r="A2408" s="15" t="s">
        <v>224</v>
      </c>
      <c r="B2408" s="11" t="s">
        <v>259</v>
      </c>
      <c r="C2408" s="12" t="str">
        <f>B2408&amp;"_"&amp;A2408</f>
        <v>San Javier (SCZ)_Santa Cruz</v>
      </c>
      <c r="E2408" s="22">
        <v>101</v>
      </c>
      <c r="F2408" s="14">
        <f t="shared" ref="F2408:H2408" si="216">SUM(F2409:F2416)</f>
        <v>74.413214553904893</v>
      </c>
      <c r="G2408" s="14">
        <f t="shared" si="216"/>
        <v>17.542861151337931</v>
      </c>
      <c r="H2408" s="14">
        <f t="shared" si="216"/>
        <v>9.0308439048407774</v>
      </c>
    </row>
    <row r="2409" spans="1:8" ht="15.75" hidden="1" customHeight="1" x14ac:dyDescent="0.25">
      <c r="A2409" s="15" t="s">
        <v>224</v>
      </c>
      <c r="B2409" s="11" t="s">
        <v>259</v>
      </c>
      <c r="C2409" s="15"/>
      <c r="D2409" s="16" t="s">
        <v>14</v>
      </c>
      <c r="E2409" s="23">
        <v>0</v>
      </c>
      <c r="F2409" s="20">
        <v>0</v>
      </c>
      <c r="G2409" s="24">
        <f>E2409</f>
        <v>0</v>
      </c>
      <c r="H2409" s="20">
        <v>0</v>
      </c>
    </row>
    <row r="2410" spans="1:8" ht="15.75" hidden="1" customHeight="1" x14ac:dyDescent="0.25">
      <c r="A2410" s="15" t="s">
        <v>224</v>
      </c>
      <c r="B2410" s="11" t="s">
        <v>259</v>
      </c>
      <c r="C2410" s="15"/>
      <c r="D2410" s="16" t="s">
        <v>15</v>
      </c>
      <c r="E2410" s="23">
        <v>2</v>
      </c>
      <c r="F2410" s="18">
        <f>E2410* 0.932303048052446</f>
        <v>1.864606096104892</v>
      </c>
      <c r="G2410" s="18">
        <f>E2410* 0.0217058280204555</f>
        <v>4.3411656040910997E-2</v>
      </c>
      <c r="H2410" s="18">
        <f>E2410* 0.0459798598751943</f>
        <v>9.1959719750388594E-2</v>
      </c>
    </row>
    <row r="2411" spans="1:8" ht="15.75" hidden="1" customHeight="1" x14ac:dyDescent="0.25">
      <c r="A2411" s="15" t="s">
        <v>224</v>
      </c>
      <c r="B2411" s="11" t="s">
        <v>259</v>
      </c>
      <c r="C2411" s="15"/>
      <c r="D2411" s="16" t="s">
        <v>11</v>
      </c>
      <c r="E2411" s="23">
        <v>3</v>
      </c>
      <c r="F2411" s="18">
        <f>E2411* 0.083479491676667</f>
        <v>0.250438475030001</v>
      </c>
      <c r="G2411" s="18">
        <f>E2411* 0.913505030924029</f>
        <v>2.7405150927720872</v>
      </c>
      <c r="H2411" s="18">
        <f>E2411* 0.00292316686667282</f>
        <v>8.7695006000184598E-3</v>
      </c>
    </row>
    <row r="2412" spans="1:8" ht="15.75" hidden="1" customHeight="1" x14ac:dyDescent="0.25">
      <c r="A2412" s="15" t="s">
        <v>224</v>
      </c>
      <c r="B2412" s="11" t="s">
        <v>259</v>
      </c>
      <c r="C2412" s="15"/>
      <c r="D2412" s="16" t="s">
        <v>17</v>
      </c>
      <c r="E2412" s="23">
        <v>11</v>
      </c>
      <c r="F2412" s="18">
        <f>E2412* 0.752045572242362</f>
        <v>8.2725012946659824</v>
      </c>
      <c r="G2412" s="18">
        <f>E2412* 0.185827723114103</f>
        <v>2.0441049542551331</v>
      </c>
      <c r="H2412" s="18">
        <f>E2412* 0.0620921802175039</f>
        <v>0.68301398239254296</v>
      </c>
    </row>
    <row r="2413" spans="1:8" ht="15.75" hidden="1" customHeight="1" x14ac:dyDescent="0.25">
      <c r="A2413" s="15" t="s">
        <v>224</v>
      </c>
      <c r="B2413" s="11" t="s">
        <v>259</v>
      </c>
      <c r="C2413" s="15"/>
      <c r="D2413" s="16" t="s">
        <v>18</v>
      </c>
      <c r="E2413" s="23">
        <v>5</v>
      </c>
      <c r="F2413" s="18">
        <f>E2413* 0.893702527830246</f>
        <v>4.4685126391512302</v>
      </c>
      <c r="G2413" s="18">
        <f>E2413* 0.0946831169875015</f>
        <v>0.47341558493750746</v>
      </c>
      <c r="H2413" s="18">
        <f>E2413* 0.0116143551822529</f>
        <v>5.80717759112645E-2</v>
      </c>
    </row>
    <row r="2414" spans="1:8" ht="15.75" hidden="1" customHeight="1" x14ac:dyDescent="0.25">
      <c r="A2414" s="15" t="s">
        <v>224</v>
      </c>
      <c r="B2414" s="11" t="s">
        <v>259</v>
      </c>
      <c r="C2414" s="15"/>
      <c r="D2414" s="16" t="s">
        <v>20</v>
      </c>
      <c r="E2414" s="23">
        <v>68</v>
      </c>
      <c r="F2414" s="18">
        <f>E2414* 0.734251968503937</f>
        <v>49.929133858267718</v>
      </c>
      <c r="G2414" s="18">
        <f>E2414* 0.158017179670723</f>
        <v>10.745168217609164</v>
      </c>
      <c r="H2414" s="18">
        <f>E2414* 0.107551896921976</f>
        <v>7.3135289906943681</v>
      </c>
    </row>
    <row r="2415" spans="1:8" ht="15.75" hidden="1" customHeight="1" x14ac:dyDescent="0.25">
      <c r="A2415" s="15" t="s">
        <v>224</v>
      </c>
      <c r="B2415" s="11" t="s">
        <v>259</v>
      </c>
      <c r="C2415" s="15"/>
      <c r="D2415" s="16" t="s">
        <v>21</v>
      </c>
      <c r="E2415" s="23">
        <v>0</v>
      </c>
      <c r="F2415" s="18">
        <f>E2415* 0.999727092353423</f>
        <v>0</v>
      </c>
      <c r="G2415" s="18">
        <f>E2415* 0.0000516311763794744</f>
        <v>0</v>
      </c>
      <c r="H2415" s="18">
        <f>E2415* 0.000132765882118648</f>
        <v>0</v>
      </c>
    </row>
    <row r="2416" spans="1:8" ht="15.75" hidden="1" customHeight="1" x14ac:dyDescent="0.25">
      <c r="A2416" s="15" t="s">
        <v>224</v>
      </c>
      <c r="B2416" s="11" t="s">
        <v>259</v>
      </c>
      <c r="C2416" s="15"/>
      <c r="D2416" s="16" t="s">
        <v>12</v>
      </c>
      <c r="E2416" s="23">
        <v>12</v>
      </c>
      <c r="F2416" s="18">
        <f>E2416* 0.802335182557089</f>
        <v>9.6280221906850691</v>
      </c>
      <c r="G2416" s="18">
        <f>E2416* 0.124687137143594</f>
        <v>1.4962456457231279</v>
      </c>
      <c r="H2416" s="18">
        <f>E2416* 0.0729583279576829</f>
        <v>0.87549993549219474</v>
      </c>
    </row>
    <row r="2417" spans="1:8" ht="15.75" hidden="1" customHeight="1" x14ac:dyDescent="0.25">
      <c r="A2417" s="15" t="s">
        <v>224</v>
      </c>
      <c r="B2417" s="8"/>
      <c r="C2417" s="8"/>
      <c r="D2417" s="9"/>
      <c r="E2417" s="29"/>
    </row>
    <row r="2418" spans="1:8" ht="15.75" hidden="1" customHeight="1" x14ac:dyDescent="0.25">
      <c r="A2418" s="15" t="s">
        <v>224</v>
      </c>
      <c r="B2418" s="11" t="s">
        <v>260</v>
      </c>
      <c r="C2418" s="12" t="str">
        <f>B2418&amp;"_"&amp;A2418</f>
        <v>San José_Santa Cruz</v>
      </c>
      <c r="E2418" s="22">
        <v>604</v>
      </c>
      <c r="F2418" s="14">
        <f t="shared" ref="F2418:H2418" si="217">SUM(F2419:F2430)</f>
        <v>571.58984431178476</v>
      </c>
      <c r="G2418" s="14">
        <f t="shared" si="217"/>
        <v>22.742828440958746</v>
      </c>
      <c r="H2418" s="14">
        <f t="shared" si="217"/>
        <v>9.6204135243790567</v>
      </c>
    </row>
    <row r="2419" spans="1:8" ht="15.75" hidden="1" customHeight="1" x14ac:dyDescent="0.25">
      <c r="A2419" s="15" t="s">
        <v>224</v>
      </c>
      <c r="B2419" s="11" t="s">
        <v>260</v>
      </c>
      <c r="C2419" s="15"/>
      <c r="D2419" s="16" t="s">
        <v>14</v>
      </c>
      <c r="E2419" s="23">
        <v>0</v>
      </c>
      <c r="F2419" s="20">
        <v>0</v>
      </c>
      <c r="G2419" s="24">
        <f>E2419</f>
        <v>0</v>
      </c>
      <c r="H2419" s="20">
        <v>0</v>
      </c>
    </row>
    <row r="2420" spans="1:8" ht="15.75" hidden="1" customHeight="1" x14ac:dyDescent="0.25">
      <c r="A2420" s="15" t="s">
        <v>224</v>
      </c>
      <c r="B2420" s="11" t="s">
        <v>260</v>
      </c>
      <c r="C2420" s="15"/>
      <c r="D2420" s="16" t="s">
        <v>15</v>
      </c>
      <c r="E2420" s="23">
        <v>4</v>
      </c>
      <c r="F2420" s="18">
        <f>E2420* 0.932303048052446</f>
        <v>3.7292121922097841</v>
      </c>
      <c r="G2420" s="18">
        <f>E2420* 0.0217058280204555</f>
        <v>8.6823312081821993E-2</v>
      </c>
      <c r="H2420" s="18">
        <f>E2420* 0.0459798598751943</f>
        <v>0.18391943950077719</v>
      </c>
    </row>
    <row r="2421" spans="1:8" ht="15.75" hidden="1" customHeight="1" x14ac:dyDescent="0.25">
      <c r="A2421" s="15" t="s">
        <v>224</v>
      </c>
      <c r="B2421" s="11" t="s">
        <v>260</v>
      </c>
      <c r="C2421" s="15"/>
      <c r="D2421" s="16" t="s">
        <v>16</v>
      </c>
      <c r="E2421" s="23">
        <v>0</v>
      </c>
      <c r="F2421" s="18">
        <f>E2421* 0.293894936109797</f>
        <v>0</v>
      </c>
      <c r="G2421" s="18">
        <f>E2421* 0.663038334122101</f>
        <v>0</v>
      </c>
      <c r="H2421" s="18">
        <f>E2421* 0.0430667297681022</f>
        <v>0</v>
      </c>
    </row>
    <row r="2422" spans="1:8" ht="15.75" hidden="1" customHeight="1" x14ac:dyDescent="0.25">
      <c r="A2422" s="15" t="s">
        <v>224</v>
      </c>
      <c r="B2422" s="11" t="s">
        <v>260</v>
      </c>
      <c r="C2422" s="15"/>
      <c r="D2422" s="16" t="s">
        <v>11</v>
      </c>
      <c r="E2422" s="23">
        <v>6</v>
      </c>
      <c r="F2422" s="18">
        <f>E2422* 0.083479491676667</f>
        <v>0.50087695006000199</v>
      </c>
      <c r="G2422" s="18">
        <f>E2422* 0.913505030924029</f>
        <v>5.4810301855441743</v>
      </c>
      <c r="H2422" s="18">
        <f>E2422* 0.00292316686667282</f>
        <v>1.753900120003692E-2</v>
      </c>
    </row>
    <row r="2423" spans="1:8" ht="15.75" hidden="1" customHeight="1" x14ac:dyDescent="0.25">
      <c r="A2423" s="15" t="s">
        <v>224</v>
      </c>
      <c r="B2423" s="11" t="s">
        <v>260</v>
      </c>
      <c r="C2423" s="15"/>
      <c r="D2423" s="16" t="s">
        <v>17</v>
      </c>
      <c r="E2423" s="23">
        <v>16</v>
      </c>
      <c r="F2423" s="18">
        <f>E2423* 0.752045572242362</f>
        <v>12.032729155877792</v>
      </c>
      <c r="G2423" s="18">
        <f>E2423* 0.185827723114103</f>
        <v>2.9732435698256481</v>
      </c>
      <c r="H2423" s="18">
        <f>E2423* 0.0620921802175039</f>
        <v>0.99347488348006241</v>
      </c>
    </row>
    <row r="2424" spans="1:8" ht="15.75" hidden="1" customHeight="1" x14ac:dyDescent="0.25">
      <c r="A2424" s="15" t="s">
        <v>224</v>
      </c>
      <c r="B2424" s="11" t="s">
        <v>260</v>
      </c>
      <c r="C2424" s="15"/>
      <c r="D2424" s="16" t="s">
        <v>31</v>
      </c>
      <c r="E2424" s="23">
        <v>1</v>
      </c>
      <c r="F2424" s="18">
        <f>E2424* 0.929131175468484</f>
        <v>0.92913117546848401</v>
      </c>
      <c r="G2424" s="18">
        <f>E2424* 0.0477001703577513</f>
        <v>4.7700170357751301E-2</v>
      </c>
      <c r="H2424" s="18">
        <f>E2424* 0.0231686541737649</f>
        <v>2.3168654173764899E-2</v>
      </c>
    </row>
    <row r="2425" spans="1:8" ht="15.75" hidden="1" customHeight="1" x14ac:dyDescent="0.25">
      <c r="A2425" s="15" t="s">
        <v>224</v>
      </c>
      <c r="B2425" s="11" t="s">
        <v>260</v>
      </c>
      <c r="C2425" s="15"/>
      <c r="D2425" s="16" t="s">
        <v>18</v>
      </c>
      <c r="E2425" s="23">
        <v>4</v>
      </c>
      <c r="F2425" s="18">
        <f>E2425* 0.893702527830246</f>
        <v>3.5748101113209838</v>
      </c>
      <c r="G2425" s="18">
        <f>E2425* 0.0946831169875015</f>
        <v>0.37873246795000598</v>
      </c>
      <c r="H2425" s="18">
        <f>E2425* 0.0116143551822529</f>
        <v>4.64574207290116E-2</v>
      </c>
    </row>
    <row r="2426" spans="1:8" ht="15.75" hidden="1" customHeight="1" x14ac:dyDescent="0.25">
      <c r="A2426" s="15" t="s">
        <v>224</v>
      </c>
      <c r="B2426" s="11" t="s">
        <v>260</v>
      </c>
      <c r="C2426" s="15"/>
      <c r="D2426" s="16" t="s">
        <v>19</v>
      </c>
      <c r="E2426" s="23">
        <v>0</v>
      </c>
      <c r="F2426" s="18">
        <f>E2426* 0.0299845873616365</f>
        <v>0</v>
      </c>
      <c r="G2426" s="18">
        <f>E2426* 0.96385035729298</f>
        <v>0</v>
      </c>
      <c r="H2426" s="18">
        <f>E2426* 0.00616505534538321</f>
        <v>0</v>
      </c>
    </row>
    <row r="2427" spans="1:8" ht="15.75" hidden="1" customHeight="1" x14ac:dyDescent="0.25">
      <c r="A2427" s="15" t="s">
        <v>224</v>
      </c>
      <c r="B2427" s="11" t="s">
        <v>260</v>
      </c>
      <c r="C2427" s="15"/>
      <c r="D2427" s="16" t="s">
        <v>20</v>
      </c>
      <c r="E2427" s="23">
        <v>16</v>
      </c>
      <c r="F2427" s="18">
        <f>E2427* 0.734251968503937</f>
        <v>11.748031496062993</v>
      </c>
      <c r="G2427" s="18">
        <f>E2427* 0.158017179670723</f>
        <v>2.5282748747315682</v>
      </c>
      <c r="H2427" s="18">
        <f>E2427* 0.107551896921976</f>
        <v>1.7208303507516161</v>
      </c>
    </row>
    <row r="2428" spans="1:8" ht="15.75" hidden="1" customHeight="1" x14ac:dyDescent="0.25">
      <c r="A2428" s="15" t="s">
        <v>224</v>
      </c>
      <c r="B2428" s="11" t="s">
        <v>260</v>
      </c>
      <c r="C2428" s="15"/>
      <c r="D2428" s="16" t="s">
        <v>21</v>
      </c>
      <c r="E2428" s="23">
        <v>465</v>
      </c>
      <c r="F2428" s="18">
        <f>E2428* 0.999727092353423</f>
        <v>464.87309794434174</v>
      </c>
      <c r="G2428" s="18">
        <f>E2428* 0.0000516311763794744</f>
        <v>2.4008497016455597E-2</v>
      </c>
      <c r="H2428" s="18">
        <f>E2428* 0.000132765882118648</f>
        <v>6.173613518517132E-2</v>
      </c>
    </row>
    <row r="2429" spans="1:8" ht="15.75" hidden="1" customHeight="1" x14ac:dyDescent="0.25">
      <c r="A2429" s="15" t="s">
        <v>224</v>
      </c>
      <c r="B2429" s="11" t="s">
        <v>260</v>
      </c>
      <c r="C2429" s="15"/>
      <c r="D2429" s="16" t="s">
        <v>36</v>
      </c>
      <c r="E2429" s="23">
        <v>2</v>
      </c>
      <c r="F2429" s="18">
        <f>E2429* 0.995894428152493</f>
        <v>1.9917888563049859</v>
      </c>
      <c r="G2429" s="18">
        <f>E2429* 0.000586510263929619</f>
        <v>1.173020527859238E-3</v>
      </c>
      <c r="H2429" s="18">
        <f>E2429* 0.00351906158357771</f>
        <v>7.03812316715542E-3</v>
      </c>
    </row>
    <row r="2430" spans="1:8" ht="15.75" hidden="1" customHeight="1" x14ac:dyDescent="0.25">
      <c r="A2430" s="15" t="s">
        <v>224</v>
      </c>
      <c r="B2430" s="11" t="s">
        <v>260</v>
      </c>
      <c r="C2430" s="15"/>
      <c r="D2430" s="16" t="s">
        <v>12</v>
      </c>
      <c r="E2430" s="23">
        <v>90</v>
      </c>
      <c r="F2430" s="18">
        <f>E2430* 0.802335182557089</f>
        <v>72.210166430138017</v>
      </c>
      <c r="G2430" s="18">
        <f>E2430* 0.124687137143594</f>
        <v>11.221842342923461</v>
      </c>
      <c r="H2430" s="18">
        <f>E2430* 0.0729583279576829</f>
        <v>6.5662495161914602</v>
      </c>
    </row>
    <row r="2431" spans="1:8" ht="15.75" hidden="1" customHeight="1" x14ac:dyDescent="0.25">
      <c r="A2431" s="15" t="s">
        <v>224</v>
      </c>
      <c r="B2431" s="8"/>
      <c r="C2431" s="8"/>
      <c r="D2431" s="9"/>
      <c r="E2431" s="29"/>
    </row>
    <row r="2432" spans="1:8" ht="15.75" hidden="1" customHeight="1" x14ac:dyDescent="0.25">
      <c r="A2432" s="15" t="s">
        <v>224</v>
      </c>
      <c r="B2432" s="11" t="s">
        <v>261</v>
      </c>
      <c r="C2432" s="12" t="str">
        <f>B2432&amp;"_"&amp;A2432</f>
        <v>San Juan_Santa Cruz</v>
      </c>
      <c r="E2432" s="22">
        <v>906</v>
      </c>
      <c r="F2432" s="14">
        <f t="shared" ref="F2432:H2432" si="218">SUM(F2433:F2446)</f>
        <v>726.72448290717318</v>
      </c>
      <c r="G2432" s="14">
        <f t="shared" si="218"/>
        <v>148.65429943989406</v>
      </c>
      <c r="H2432" s="14">
        <f t="shared" si="218"/>
        <v>30.573842807594797</v>
      </c>
    </row>
    <row r="2433" spans="1:8" ht="15.75" hidden="1" customHeight="1" x14ac:dyDescent="0.25">
      <c r="A2433" s="15" t="s">
        <v>224</v>
      </c>
      <c r="B2433" s="11" t="s">
        <v>261</v>
      </c>
      <c r="C2433" s="15"/>
      <c r="D2433" s="16" t="s">
        <v>14</v>
      </c>
      <c r="E2433" s="23">
        <v>0</v>
      </c>
      <c r="F2433" s="20">
        <v>0</v>
      </c>
      <c r="G2433" s="24">
        <f>E2433</f>
        <v>0</v>
      </c>
      <c r="H2433" s="20">
        <v>0</v>
      </c>
    </row>
    <row r="2434" spans="1:8" ht="15.75" hidden="1" customHeight="1" x14ac:dyDescent="0.25">
      <c r="A2434" s="15" t="s">
        <v>224</v>
      </c>
      <c r="B2434" s="11" t="s">
        <v>261</v>
      </c>
      <c r="C2434" s="15"/>
      <c r="D2434" s="16" t="s">
        <v>15</v>
      </c>
      <c r="E2434" s="23">
        <v>48</v>
      </c>
      <c r="F2434" s="18">
        <f>E2434* 0.932303048052446</f>
        <v>44.750546306517407</v>
      </c>
      <c r="G2434" s="18">
        <f>E2434* 0.0217058280204555</f>
        <v>1.041879744981864</v>
      </c>
      <c r="H2434" s="18">
        <f>E2434* 0.0459798598751943</f>
        <v>2.2070332740093264</v>
      </c>
    </row>
    <row r="2435" spans="1:8" ht="15.75" hidden="1" customHeight="1" x14ac:dyDescent="0.25">
      <c r="A2435" s="15" t="s">
        <v>224</v>
      </c>
      <c r="B2435" s="11" t="s">
        <v>261</v>
      </c>
      <c r="C2435" s="15"/>
      <c r="D2435" s="16" t="s">
        <v>16</v>
      </c>
      <c r="E2435" s="23">
        <v>3</v>
      </c>
      <c r="F2435" s="18">
        <f>E2435* 0.293894936109797</f>
        <v>0.881684808329391</v>
      </c>
      <c r="G2435" s="18">
        <f>E2435* 0.663038334122101</f>
        <v>1.9891150023663031</v>
      </c>
      <c r="H2435" s="18">
        <f>E2435* 0.0430667297681022</f>
        <v>0.1292001893043066</v>
      </c>
    </row>
    <row r="2436" spans="1:8" ht="15.75" hidden="1" customHeight="1" x14ac:dyDescent="0.25">
      <c r="A2436" s="15" t="s">
        <v>224</v>
      </c>
      <c r="B2436" s="11" t="s">
        <v>261</v>
      </c>
      <c r="C2436" s="15"/>
      <c r="D2436" s="16" t="s">
        <v>11</v>
      </c>
      <c r="E2436" s="23">
        <v>70</v>
      </c>
      <c r="F2436" s="18">
        <f>E2436* 0.083479491676667</f>
        <v>5.8435644173666903</v>
      </c>
      <c r="G2436" s="18">
        <f>E2436* 0.913505030924029</f>
        <v>63.945352164682028</v>
      </c>
      <c r="H2436" s="18">
        <f>E2436* 0.00292316686667282</f>
        <v>0.20462168066709741</v>
      </c>
    </row>
    <row r="2437" spans="1:8" ht="15.75" hidden="1" customHeight="1" x14ac:dyDescent="0.25">
      <c r="A2437" s="15" t="s">
        <v>224</v>
      </c>
      <c r="B2437" s="11" t="s">
        <v>261</v>
      </c>
      <c r="C2437" s="15"/>
      <c r="D2437" s="16" t="s">
        <v>17</v>
      </c>
      <c r="E2437" s="23">
        <v>220</v>
      </c>
      <c r="F2437" s="18">
        <f>E2437* 0.752045572242362</f>
        <v>165.45002589331963</v>
      </c>
      <c r="G2437" s="18">
        <f>E2437* 0.185827723114103</f>
        <v>40.882099085102659</v>
      </c>
      <c r="H2437" s="18">
        <f>E2437* 0.0620921802175039</f>
        <v>13.660279647850858</v>
      </c>
    </row>
    <row r="2438" spans="1:8" ht="15.75" hidden="1" customHeight="1" x14ac:dyDescent="0.25">
      <c r="A2438" s="15" t="s">
        <v>224</v>
      </c>
      <c r="B2438" s="11" t="s">
        <v>261</v>
      </c>
      <c r="C2438" s="15"/>
      <c r="D2438" s="16" t="s">
        <v>31</v>
      </c>
      <c r="E2438" s="23">
        <v>2</v>
      </c>
      <c r="F2438" s="18">
        <f>E2438* 0.929131175468484</f>
        <v>1.858262350936968</v>
      </c>
      <c r="G2438" s="18">
        <f>E2438* 0.0477001703577513</f>
        <v>9.5400340715502602E-2</v>
      </c>
      <c r="H2438" s="18">
        <f>E2438* 0.0231686541737649</f>
        <v>4.6337308347529797E-2</v>
      </c>
    </row>
    <row r="2439" spans="1:8" ht="15.75" hidden="1" customHeight="1" x14ac:dyDescent="0.25">
      <c r="A2439" s="15" t="s">
        <v>224</v>
      </c>
      <c r="B2439" s="11" t="s">
        <v>261</v>
      </c>
      <c r="C2439" s="15"/>
      <c r="D2439" s="16" t="s">
        <v>18</v>
      </c>
      <c r="E2439" s="23">
        <v>34</v>
      </c>
      <c r="F2439" s="18">
        <f>E2439* 0.893702527830246</f>
        <v>30.385885946228363</v>
      </c>
      <c r="G2439" s="18">
        <f>E2439* 0.0946831169875015</f>
        <v>3.2192259775750509</v>
      </c>
      <c r="H2439" s="18">
        <f>E2439* 0.0116143551822529</f>
        <v>0.3948880761965986</v>
      </c>
    </row>
    <row r="2440" spans="1:8" ht="15.75" hidden="1" customHeight="1" x14ac:dyDescent="0.25">
      <c r="A2440" s="15" t="s">
        <v>224</v>
      </c>
      <c r="B2440" s="11" t="s">
        <v>261</v>
      </c>
      <c r="C2440" s="15"/>
      <c r="D2440" s="16" t="s">
        <v>35</v>
      </c>
      <c r="E2440" s="23">
        <v>0</v>
      </c>
      <c r="F2440" s="20">
        <v>0</v>
      </c>
      <c r="G2440" s="24">
        <f>E2440</f>
        <v>0</v>
      </c>
      <c r="H2440" s="20">
        <v>0</v>
      </c>
    </row>
    <row r="2441" spans="1:8" ht="15.75" hidden="1" customHeight="1" x14ac:dyDescent="0.25">
      <c r="A2441" s="15" t="s">
        <v>224</v>
      </c>
      <c r="B2441" s="11" t="s">
        <v>261</v>
      </c>
      <c r="C2441" s="15"/>
      <c r="D2441" s="16" t="s">
        <v>19</v>
      </c>
      <c r="E2441" s="23">
        <v>2</v>
      </c>
      <c r="F2441" s="18">
        <f>E2441* 0.0299845873616365</f>
        <v>5.9969174723272997E-2</v>
      </c>
      <c r="G2441" s="18">
        <f>E2441* 0.96385035729298</f>
        <v>1.9277007145859599</v>
      </c>
      <c r="H2441" s="18">
        <f>E2441* 0.00616505534538321</f>
        <v>1.233011069076642E-2</v>
      </c>
    </row>
    <row r="2442" spans="1:8" ht="15.75" hidden="1" customHeight="1" x14ac:dyDescent="0.25">
      <c r="A2442" s="15" t="s">
        <v>224</v>
      </c>
      <c r="B2442" s="11" t="s">
        <v>261</v>
      </c>
      <c r="C2442" s="15"/>
      <c r="D2442" s="16" t="s">
        <v>20</v>
      </c>
      <c r="E2442" s="23">
        <v>4</v>
      </c>
      <c r="F2442" s="18">
        <f>E2442* 0.734251968503937</f>
        <v>2.9370078740157481</v>
      </c>
      <c r="G2442" s="18">
        <f>E2442* 0.158017179670723</f>
        <v>0.63206871868289205</v>
      </c>
      <c r="H2442" s="18">
        <f>E2442* 0.107551896921976</f>
        <v>0.43020758768790401</v>
      </c>
    </row>
    <row r="2443" spans="1:8" ht="15.75" hidden="1" customHeight="1" x14ac:dyDescent="0.25">
      <c r="A2443" s="15" t="s">
        <v>224</v>
      </c>
      <c r="B2443" s="11" t="s">
        <v>261</v>
      </c>
      <c r="C2443" s="15"/>
      <c r="D2443" s="16" t="s">
        <v>21</v>
      </c>
      <c r="E2443" s="23">
        <v>322</v>
      </c>
      <c r="F2443" s="18">
        <f>E2443* 0.999727092353423</f>
        <v>321.91212373780223</v>
      </c>
      <c r="G2443" s="18">
        <f>E2443* 0.0000516311763794744</f>
        <v>1.6625238794190759E-2</v>
      </c>
      <c r="H2443" s="18">
        <f>E2443* 0.000132765882118648</f>
        <v>4.2750614042204656E-2</v>
      </c>
    </row>
    <row r="2444" spans="1:8" ht="15.75" hidden="1" customHeight="1" x14ac:dyDescent="0.25">
      <c r="A2444" s="15" t="s">
        <v>224</v>
      </c>
      <c r="B2444" s="11" t="s">
        <v>261</v>
      </c>
      <c r="C2444" s="15"/>
      <c r="D2444" s="16" t="s">
        <v>36</v>
      </c>
      <c r="E2444" s="23">
        <v>5</v>
      </c>
      <c r="F2444" s="18">
        <f>E2444* 0.995894428152493</f>
        <v>4.9794721407624651</v>
      </c>
      <c r="G2444" s="18">
        <f>E2444* 0.000586510263929619</f>
        <v>2.9325513196480947E-3</v>
      </c>
      <c r="H2444" s="18">
        <f>E2444* 0.00351906158357771</f>
        <v>1.7595307917888551E-2</v>
      </c>
    </row>
    <row r="2445" spans="1:8" ht="15.75" hidden="1" customHeight="1" x14ac:dyDescent="0.25">
      <c r="A2445" s="15" t="s">
        <v>224</v>
      </c>
      <c r="B2445" s="11" t="s">
        <v>261</v>
      </c>
      <c r="C2445" s="15"/>
      <c r="D2445" s="16" t="s">
        <v>28</v>
      </c>
      <c r="E2445" s="23">
        <v>12</v>
      </c>
      <c r="F2445" s="18">
        <f>E2445* 0.00302222222222222</f>
        <v>3.6266666666666642E-2</v>
      </c>
      <c r="G2445" s="18">
        <f>E2445* 0.996622222222222</f>
        <v>11.959466666666664</v>
      </c>
      <c r="H2445" s="18">
        <f>E2445* 0.000355555555555556</f>
        <v>4.2666666666666721E-3</v>
      </c>
    </row>
    <row r="2446" spans="1:8" ht="15.75" hidden="1" customHeight="1" x14ac:dyDescent="0.25">
      <c r="A2446" s="15" t="s">
        <v>224</v>
      </c>
      <c r="B2446" s="11" t="s">
        <v>261</v>
      </c>
      <c r="C2446" s="15"/>
      <c r="D2446" s="16" t="s">
        <v>12</v>
      </c>
      <c r="E2446" s="23">
        <v>184</v>
      </c>
      <c r="F2446" s="18">
        <f>E2446* 0.802335182557089</f>
        <v>147.62967359050438</v>
      </c>
      <c r="G2446" s="18">
        <f>E2446* 0.124687137143594</f>
        <v>22.942433234421298</v>
      </c>
      <c r="H2446" s="18">
        <f>E2446* 0.0729583279576829</f>
        <v>13.424332344213653</v>
      </c>
    </row>
    <row r="2447" spans="1:8" ht="15.75" hidden="1" customHeight="1" x14ac:dyDescent="0.25">
      <c r="A2447" s="15" t="s">
        <v>224</v>
      </c>
      <c r="B2447" s="8"/>
      <c r="C2447" s="8"/>
      <c r="D2447" s="9"/>
      <c r="E2447" s="29"/>
    </row>
    <row r="2448" spans="1:8" ht="15.75" hidden="1" customHeight="1" x14ac:dyDescent="0.25">
      <c r="A2448" s="15" t="s">
        <v>224</v>
      </c>
      <c r="B2448" s="11" t="s">
        <v>262</v>
      </c>
      <c r="C2448" s="12" t="str">
        <f>B2448&amp;"_"&amp;A2448</f>
        <v>San Julián_Santa Cruz</v>
      </c>
      <c r="E2448" s="22">
        <v>3785</v>
      </c>
      <c r="F2448" s="14">
        <f t="shared" ref="F2448:H2448" si="219">SUM(F2449:F2460)</f>
        <v>3311.7657612266576</v>
      </c>
      <c r="G2448" s="14">
        <f t="shared" si="219"/>
        <v>383.93391600316829</v>
      </c>
      <c r="H2448" s="14">
        <f t="shared" si="219"/>
        <v>89.049378180853836</v>
      </c>
    </row>
    <row r="2449" spans="1:8" ht="15.75" hidden="1" customHeight="1" x14ac:dyDescent="0.25">
      <c r="A2449" s="15" t="s">
        <v>224</v>
      </c>
      <c r="B2449" s="11" t="s">
        <v>262</v>
      </c>
      <c r="C2449" s="15"/>
      <c r="D2449" s="16" t="s">
        <v>15</v>
      </c>
      <c r="E2449" s="23">
        <v>63</v>
      </c>
      <c r="F2449" s="18">
        <f>E2449* 0.932303048052446</f>
        <v>58.735092027304098</v>
      </c>
      <c r="G2449" s="18">
        <f>E2449* 0.0217058280204555</f>
        <v>1.3674671652886965</v>
      </c>
      <c r="H2449" s="18">
        <f>E2449* 0.0459798598751943</f>
        <v>2.8967311721372409</v>
      </c>
    </row>
    <row r="2450" spans="1:8" ht="15.75" hidden="1" customHeight="1" x14ac:dyDescent="0.25">
      <c r="A2450" s="15" t="s">
        <v>224</v>
      </c>
      <c r="B2450" s="11" t="s">
        <v>262</v>
      </c>
      <c r="C2450" s="15"/>
      <c r="D2450" s="16" t="s">
        <v>16</v>
      </c>
      <c r="E2450" s="23">
        <v>2</v>
      </c>
      <c r="F2450" s="18">
        <f>E2450* 0.293894936109797</f>
        <v>0.587789872219594</v>
      </c>
      <c r="G2450" s="18">
        <f>E2450* 0.663038334122101</f>
        <v>1.326076668244202</v>
      </c>
      <c r="H2450" s="18">
        <f>E2450* 0.0430667297681022</f>
        <v>8.6133459536204396E-2</v>
      </c>
    </row>
    <row r="2451" spans="1:8" ht="15.75" hidden="1" customHeight="1" x14ac:dyDescent="0.25">
      <c r="A2451" s="15" t="s">
        <v>224</v>
      </c>
      <c r="B2451" s="11" t="s">
        <v>262</v>
      </c>
      <c r="C2451" s="15"/>
      <c r="D2451" s="16" t="s">
        <v>11</v>
      </c>
      <c r="E2451" s="23">
        <v>210</v>
      </c>
      <c r="F2451" s="18">
        <f>E2451* 0.083479491676667</f>
        <v>17.530693252100072</v>
      </c>
      <c r="G2451" s="18">
        <f>E2451* 0.913505030924029</f>
        <v>191.83605649404609</v>
      </c>
      <c r="H2451" s="18">
        <f>E2451* 0.00292316686667282</f>
        <v>0.61386504200129222</v>
      </c>
    </row>
    <row r="2452" spans="1:8" ht="15.75" hidden="1" customHeight="1" x14ac:dyDescent="0.25">
      <c r="A2452" s="15" t="s">
        <v>224</v>
      </c>
      <c r="B2452" s="11" t="s">
        <v>262</v>
      </c>
      <c r="C2452" s="15"/>
      <c r="D2452" s="16" t="s">
        <v>17</v>
      </c>
      <c r="E2452" s="23">
        <v>229</v>
      </c>
      <c r="F2452" s="18">
        <f>E2452* 0.752045572242362</f>
        <v>172.2184360435009</v>
      </c>
      <c r="G2452" s="18">
        <f>E2452* 0.185827723114103</f>
        <v>42.554548593129589</v>
      </c>
      <c r="H2452" s="18">
        <f>E2452* 0.0620921802175039</f>
        <v>14.219109269808394</v>
      </c>
    </row>
    <row r="2453" spans="1:8" ht="15.75" hidden="1" customHeight="1" x14ac:dyDescent="0.25">
      <c r="A2453" s="15" t="s">
        <v>224</v>
      </c>
      <c r="B2453" s="11" t="s">
        <v>262</v>
      </c>
      <c r="C2453" s="15"/>
      <c r="D2453" s="16" t="s">
        <v>31</v>
      </c>
      <c r="E2453" s="23">
        <v>2</v>
      </c>
      <c r="F2453" s="18">
        <f>E2453* 0.929131175468484</f>
        <v>1.858262350936968</v>
      </c>
      <c r="G2453" s="18">
        <f>E2453* 0.0477001703577513</f>
        <v>9.5400340715502602E-2</v>
      </c>
      <c r="H2453" s="18">
        <f>E2453* 0.0231686541737649</f>
        <v>4.6337308347529797E-2</v>
      </c>
    </row>
    <row r="2454" spans="1:8" ht="15.75" hidden="1" customHeight="1" x14ac:dyDescent="0.25">
      <c r="A2454" s="15" t="s">
        <v>224</v>
      </c>
      <c r="B2454" s="11" t="s">
        <v>262</v>
      </c>
      <c r="C2454" s="15"/>
      <c r="D2454" s="16" t="s">
        <v>18</v>
      </c>
      <c r="E2454" s="23">
        <v>36</v>
      </c>
      <c r="F2454" s="18">
        <f>E2454* 0.893702527830246</f>
        <v>32.173291001888856</v>
      </c>
      <c r="G2454" s="18">
        <f>E2454* 0.0946831169875015</f>
        <v>3.408592211550054</v>
      </c>
      <c r="H2454" s="18">
        <f>E2454* 0.0116143551822529</f>
        <v>0.4181167865611044</v>
      </c>
    </row>
    <row r="2455" spans="1:8" ht="15.75" hidden="1" customHeight="1" x14ac:dyDescent="0.25">
      <c r="A2455" s="15" t="s">
        <v>224</v>
      </c>
      <c r="B2455" s="11" t="s">
        <v>262</v>
      </c>
      <c r="C2455" s="15"/>
      <c r="D2455" s="16" t="s">
        <v>19</v>
      </c>
      <c r="E2455" s="23">
        <v>9</v>
      </c>
      <c r="F2455" s="18">
        <f>E2455* 0.0299845873616365</f>
        <v>0.26986128625472849</v>
      </c>
      <c r="G2455" s="18">
        <f>E2455* 0.96385035729298</f>
        <v>8.6746532156368197</v>
      </c>
      <c r="H2455" s="18">
        <f>E2455* 0.00616505534538321</f>
        <v>5.548549810844889E-2</v>
      </c>
    </row>
    <row r="2456" spans="1:8" ht="15.75" hidden="1" customHeight="1" x14ac:dyDescent="0.25">
      <c r="A2456" s="15" t="s">
        <v>224</v>
      </c>
      <c r="B2456" s="11" t="s">
        <v>262</v>
      </c>
      <c r="C2456" s="15"/>
      <c r="D2456" s="16" t="s">
        <v>20</v>
      </c>
      <c r="E2456" s="23">
        <v>27</v>
      </c>
      <c r="F2456" s="18">
        <f>E2456* 0.734251968503937</f>
        <v>19.8248031496063</v>
      </c>
      <c r="G2456" s="18">
        <f>E2456* 0.158017179670723</f>
        <v>4.2664638511095214</v>
      </c>
      <c r="H2456" s="18">
        <f>E2456* 0.107551896921976</f>
        <v>2.903901216893352</v>
      </c>
    </row>
    <row r="2457" spans="1:8" ht="15.75" hidden="1" customHeight="1" x14ac:dyDescent="0.25">
      <c r="A2457" s="15" t="s">
        <v>224</v>
      </c>
      <c r="B2457" s="11" t="s">
        <v>262</v>
      </c>
      <c r="C2457" s="15"/>
      <c r="D2457" s="16" t="s">
        <v>21</v>
      </c>
      <c r="E2457" s="23">
        <v>2262</v>
      </c>
      <c r="F2457" s="18">
        <f>E2457* 0.999727092353423</f>
        <v>2261.3826829034429</v>
      </c>
      <c r="G2457" s="18">
        <f>E2457* 0.0000516311763794744</f>
        <v>0.1167897209703711</v>
      </c>
      <c r="H2457" s="18">
        <f>E2457* 0.000132765882118648</f>
        <v>0.30031642535238179</v>
      </c>
    </row>
    <row r="2458" spans="1:8" ht="15.75" hidden="1" customHeight="1" x14ac:dyDescent="0.25">
      <c r="A2458" s="15" t="s">
        <v>224</v>
      </c>
      <c r="B2458" s="11" t="s">
        <v>262</v>
      </c>
      <c r="C2458" s="15"/>
      <c r="D2458" s="16" t="s">
        <v>36</v>
      </c>
      <c r="E2458" s="23">
        <v>5</v>
      </c>
      <c r="F2458" s="18">
        <f>E2458* 0.995894428152493</f>
        <v>4.9794721407624651</v>
      </c>
      <c r="G2458" s="18">
        <f>E2458* 0.000586510263929619</f>
        <v>2.9325513196480947E-3</v>
      </c>
      <c r="H2458" s="18">
        <f>E2458* 0.00351906158357771</f>
        <v>1.7595307917888551E-2</v>
      </c>
    </row>
    <row r="2459" spans="1:8" ht="15.75" hidden="1" customHeight="1" x14ac:dyDescent="0.25">
      <c r="A2459" s="15" t="s">
        <v>224</v>
      </c>
      <c r="B2459" s="11" t="s">
        <v>262</v>
      </c>
      <c r="C2459" s="15"/>
      <c r="D2459" s="16" t="s">
        <v>148</v>
      </c>
      <c r="E2459" s="23">
        <v>15</v>
      </c>
      <c r="F2459" s="18">
        <f>E2459* 0.00302222222222222</f>
        <v>4.5333333333333302E-2</v>
      </c>
      <c r="G2459" s="18">
        <f>E2459* 0.996622222222222</f>
        <v>14.94933333333333</v>
      </c>
      <c r="H2459" s="18">
        <f>E2459* 0.000355555555555556</f>
        <v>5.3333333333333401E-3</v>
      </c>
    </row>
    <row r="2460" spans="1:8" ht="15.75" hidden="1" customHeight="1" x14ac:dyDescent="0.25">
      <c r="A2460" s="15" t="s">
        <v>224</v>
      </c>
      <c r="B2460" s="11" t="s">
        <v>262</v>
      </c>
      <c r="C2460" s="15"/>
      <c r="D2460" s="16" t="s">
        <v>12</v>
      </c>
      <c r="E2460" s="23">
        <v>925</v>
      </c>
      <c r="F2460" s="18">
        <f>E2460* 0.802335182557089</f>
        <v>742.16004386530733</v>
      </c>
      <c r="G2460" s="18">
        <f>E2460* 0.124687137143594</f>
        <v>115.33560185782446</v>
      </c>
      <c r="H2460" s="18">
        <f>E2460* 0.0729583279576829</f>
        <v>67.486453360856672</v>
      </c>
    </row>
    <row r="2461" spans="1:8" ht="15.75" hidden="1" customHeight="1" x14ac:dyDescent="0.25">
      <c r="A2461" s="15" t="s">
        <v>224</v>
      </c>
      <c r="B2461" s="8"/>
      <c r="C2461" s="8"/>
      <c r="D2461" s="9"/>
      <c r="E2461" s="29"/>
    </row>
    <row r="2462" spans="1:8" ht="15.75" hidden="1" customHeight="1" x14ac:dyDescent="0.25">
      <c r="A2462" s="15" t="s">
        <v>224</v>
      </c>
      <c r="B2462" s="11" t="s">
        <v>263</v>
      </c>
      <c r="C2462" s="12" t="str">
        <f>B2462&amp;"_"&amp;A2462</f>
        <v>San Matías_Santa Cruz</v>
      </c>
      <c r="E2462" s="22">
        <v>1</v>
      </c>
      <c r="F2462" s="14">
        <f t="shared" ref="F2462:H2462" si="220">F2463</f>
        <v>0.75204557224236201</v>
      </c>
      <c r="G2462" s="14">
        <f t="shared" si="220"/>
        <v>0.18582772311410301</v>
      </c>
      <c r="H2462" s="14">
        <f t="shared" si="220"/>
        <v>6.2092180217503901E-2</v>
      </c>
    </row>
    <row r="2463" spans="1:8" ht="15.75" hidden="1" customHeight="1" x14ac:dyDescent="0.25">
      <c r="A2463" s="15" t="s">
        <v>224</v>
      </c>
      <c r="B2463" s="11" t="s">
        <v>263</v>
      </c>
      <c r="C2463" s="15"/>
      <c r="D2463" s="16" t="s">
        <v>17</v>
      </c>
      <c r="E2463" s="23">
        <v>1</v>
      </c>
      <c r="F2463" s="18">
        <f>E2463* 0.752045572242362</f>
        <v>0.75204557224236201</v>
      </c>
      <c r="G2463" s="18">
        <f>E2463* 0.185827723114103</f>
        <v>0.18582772311410301</v>
      </c>
      <c r="H2463" s="18">
        <f>E2463* 0.0620921802175039</f>
        <v>6.2092180217503901E-2</v>
      </c>
    </row>
    <row r="2464" spans="1:8" ht="15.75" hidden="1" customHeight="1" x14ac:dyDescent="0.25">
      <c r="A2464" s="15" t="s">
        <v>224</v>
      </c>
      <c r="B2464" s="8"/>
      <c r="C2464" s="8"/>
      <c r="D2464" s="9"/>
      <c r="E2464" s="29"/>
    </row>
    <row r="2465" spans="1:8" ht="15.75" hidden="1" customHeight="1" x14ac:dyDescent="0.25">
      <c r="A2465" s="15" t="s">
        <v>224</v>
      </c>
      <c r="B2465" s="11" t="s">
        <v>264</v>
      </c>
      <c r="C2465" s="12" t="str">
        <f>B2465&amp;"_"&amp;A2465</f>
        <v>San Miguel_Santa Cruz</v>
      </c>
      <c r="E2465" s="22">
        <v>1</v>
      </c>
      <c r="F2465" s="14">
        <f t="shared" ref="F2465:H2465" si="221">SUM(F2466:F2471)</f>
        <v>0.75204557224236201</v>
      </c>
      <c r="G2465" s="14">
        <f t="shared" si="221"/>
        <v>0.18582772311410301</v>
      </c>
      <c r="H2465" s="14">
        <f t="shared" si="221"/>
        <v>6.2092180217503901E-2</v>
      </c>
    </row>
    <row r="2466" spans="1:8" ht="15.75" hidden="1" customHeight="1" x14ac:dyDescent="0.25">
      <c r="A2466" s="15" t="s">
        <v>224</v>
      </c>
      <c r="B2466" s="11" t="s">
        <v>264</v>
      </c>
      <c r="C2466" s="15"/>
      <c r="D2466" s="16" t="s">
        <v>14</v>
      </c>
      <c r="E2466" s="23">
        <v>0</v>
      </c>
      <c r="F2466" s="20">
        <v>0</v>
      </c>
      <c r="G2466" s="24">
        <f>E2466</f>
        <v>0</v>
      </c>
      <c r="H2466" s="20">
        <v>0</v>
      </c>
    </row>
    <row r="2467" spans="1:8" ht="15.75" hidden="1" customHeight="1" x14ac:dyDescent="0.25">
      <c r="A2467" s="15" t="s">
        <v>224</v>
      </c>
      <c r="B2467" s="11" t="s">
        <v>264</v>
      </c>
      <c r="C2467" s="15"/>
      <c r="D2467" s="16" t="s">
        <v>11</v>
      </c>
      <c r="E2467" s="23">
        <v>0</v>
      </c>
      <c r="F2467" s="18">
        <f>E2467* 0.083479491676667</f>
        <v>0</v>
      </c>
      <c r="G2467" s="18">
        <f>E2467* 0.913505030924029</f>
        <v>0</v>
      </c>
      <c r="H2467" s="18">
        <f>E2467* 0.00292316686667282</f>
        <v>0</v>
      </c>
    </row>
    <row r="2468" spans="1:8" ht="15.75" hidden="1" customHeight="1" x14ac:dyDescent="0.25">
      <c r="A2468" s="15" t="s">
        <v>224</v>
      </c>
      <c r="B2468" s="11" t="s">
        <v>264</v>
      </c>
      <c r="C2468" s="15"/>
      <c r="D2468" s="16" t="s">
        <v>17</v>
      </c>
      <c r="E2468" s="23">
        <v>1</v>
      </c>
      <c r="F2468" s="18">
        <f>E2468* 0.752045572242362</f>
        <v>0.75204557224236201</v>
      </c>
      <c r="G2468" s="18">
        <f>E2468* 0.185827723114103</f>
        <v>0.18582772311410301</v>
      </c>
      <c r="H2468" s="18">
        <f>E2468* 0.0620921802175039</f>
        <v>6.2092180217503901E-2</v>
      </c>
    </row>
    <row r="2469" spans="1:8" ht="15.75" hidden="1" customHeight="1" x14ac:dyDescent="0.25">
      <c r="A2469" s="15" t="s">
        <v>224</v>
      </c>
      <c r="B2469" s="11" t="s">
        <v>264</v>
      </c>
      <c r="C2469" s="15"/>
      <c r="D2469" s="16" t="s">
        <v>18</v>
      </c>
      <c r="E2469" s="23">
        <v>0</v>
      </c>
      <c r="F2469" s="18">
        <f>E2469* 0.893702527830246</f>
        <v>0</v>
      </c>
      <c r="G2469" s="18">
        <f>E2469* 0.0946831169875015</f>
        <v>0</v>
      </c>
      <c r="H2469" s="18">
        <f>E2469* 0.0116143551822529</f>
        <v>0</v>
      </c>
    </row>
    <row r="2470" spans="1:8" ht="15.75" hidden="1" customHeight="1" x14ac:dyDescent="0.25">
      <c r="A2470" s="15" t="s">
        <v>224</v>
      </c>
      <c r="B2470" s="11" t="s">
        <v>264</v>
      </c>
      <c r="C2470" s="15"/>
      <c r="D2470" s="16" t="s">
        <v>21</v>
      </c>
      <c r="E2470" s="23">
        <v>0</v>
      </c>
      <c r="F2470" s="18">
        <f>E2470* 0.999727092353423</f>
        <v>0</v>
      </c>
      <c r="G2470" s="18">
        <f>E2470* 0.0000516311763794744</f>
        <v>0</v>
      </c>
      <c r="H2470" s="18">
        <f>E2470* 0.000132765882118648</f>
        <v>0</v>
      </c>
    </row>
    <row r="2471" spans="1:8" ht="15.75" hidden="1" customHeight="1" x14ac:dyDescent="0.25">
      <c r="A2471" s="15" t="s">
        <v>224</v>
      </c>
      <c r="B2471" s="11" t="s">
        <v>264</v>
      </c>
      <c r="C2471" s="15"/>
      <c r="D2471" s="16" t="s">
        <v>12</v>
      </c>
      <c r="E2471" s="23">
        <v>0</v>
      </c>
      <c r="F2471" s="18">
        <f>E2471* 0.802335182557089</f>
        <v>0</v>
      </c>
      <c r="G2471" s="18">
        <f>E2471* 0.124687137143594</f>
        <v>0</v>
      </c>
      <c r="H2471" s="18">
        <f>E2471* 0.0729583279576829</f>
        <v>0</v>
      </c>
    </row>
    <row r="2472" spans="1:8" ht="15.75" hidden="1" customHeight="1" x14ac:dyDescent="0.25">
      <c r="A2472" s="15" t="s">
        <v>224</v>
      </c>
      <c r="B2472" s="8"/>
      <c r="C2472" s="8"/>
      <c r="D2472" s="9"/>
      <c r="E2472" s="29"/>
    </row>
    <row r="2473" spans="1:8" ht="15.75" hidden="1" customHeight="1" x14ac:dyDescent="0.25">
      <c r="A2473" s="15" t="s">
        <v>224</v>
      </c>
      <c r="B2473" s="11" t="s">
        <v>265</v>
      </c>
      <c r="C2473" s="12" t="str">
        <f>B2473&amp;"_"&amp;A2473</f>
        <v>San Pedro_Santa Cruz</v>
      </c>
      <c r="E2473" s="22">
        <v>666</v>
      </c>
      <c r="F2473" s="14">
        <f t="shared" ref="F2473:H2473" si="222">SUM(F2474:F2483)</f>
        <v>594.8187866441915</v>
      </c>
      <c r="G2473" s="14">
        <f t="shared" si="222"/>
        <v>60.076020037621007</v>
      </c>
      <c r="H2473" s="14">
        <f t="shared" si="222"/>
        <v>11.056731773595786</v>
      </c>
    </row>
    <row r="2474" spans="1:8" ht="15.75" hidden="1" customHeight="1" x14ac:dyDescent="0.25">
      <c r="A2474" s="15" t="s">
        <v>224</v>
      </c>
      <c r="B2474" s="11" t="s">
        <v>265</v>
      </c>
      <c r="C2474" s="15"/>
      <c r="D2474" s="16" t="s">
        <v>14</v>
      </c>
      <c r="E2474" s="23">
        <v>0</v>
      </c>
      <c r="F2474" s="20">
        <v>0</v>
      </c>
      <c r="G2474" s="24">
        <f>E2474</f>
        <v>0</v>
      </c>
      <c r="H2474" s="20">
        <v>0</v>
      </c>
    </row>
    <row r="2475" spans="1:8" ht="15.75" hidden="1" customHeight="1" x14ac:dyDescent="0.25">
      <c r="A2475" s="15" t="s">
        <v>224</v>
      </c>
      <c r="B2475" s="11" t="s">
        <v>265</v>
      </c>
      <c r="C2475" s="15"/>
      <c r="D2475" s="16" t="s">
        <v>15</v>
      </c>
      <c r="E2475" s="23">
        <v>6</v>
      </c>
      <c r="F2475" s="18">
        <f>E2475* 0.932303048052446</f>
        <v>5.5938182883146759</v>
      </c>
      <c r="G2475" s="18">
        <f>E2475* 0.0217058280204555</f>
        <v>0.130234968122733</v>
      </c>
      <c r="H2475" s="18">
        <f>E2475* 0.0459798598751943</f>
        <v>0.2758791592511658</v>
      </c>
    </row>
    <row r="2476" spans="1:8" ht="15.75" hidden="1" customHeight="1" x14ac:dyDescent="0.25">
      <c r="A2476" s="15" t="s">
        <v>224</v>
      </c>
      <c r="B2476" s="11" t="s">
        <v>265</v>
      </c>
      <c r="C2476" s="15"/>
      <c r="D2476" s="16" t="s">
        <v>11</v>
      </c>
      <c r="E2476" s="23">
        <v>38</v>
      </c>
      <c r="F2476" s="18">
        <f>E2476* 0.083479491676667</f>
        <v>3.1722206837133462</v>
      </c>
      <c r="G2476" s="18">
        <f>E2476* 0.913505030924029</f>
        <v>34.713191175113103</v>
      </c>
      <c r="H2476" s="18">
        <f>E2476* 0.00292316686667282</f>
        <v>0.11108034093356715</v>
      </c>
    </row>
    <row r="2477" spans="1:8" ht="15.75" hidden="1" customHeight="1" x14ac:dyDescent="0.25">
      <c r="A2477" s="15" t="s">
        <v>224</v>
      </c>
      <c r="B2477" s="11" t="s">
        <v>265</v>
      </c>
      <c r="C2477" s="15"/>
      <c r="D2477" s="16" t="s">
        <v>17</v>
      </c>
      <c r="E2477" s="23">
        <v>61</v>
      </c>
      <c r="F2477" s="18">
        <f>E2477* 0.752045572242362</f>
        <v>45.874779906784084</v>
      </c>
      <c r="G2477" s="18">
        <f>E2477* 0.185827723114103</f>
        <v>11.335491109960284</v>
      </c>
      <c r="H2477" s="18">
        <f>E2477* 0.0620921802175039</f>
        <v>3.7876229932677381</v>
      </c>
    </row>
    <row r="2478" spans="1:8" ht="15.75" hidden="1" customHeight="1" x14ac:dyDescent="0.25">
      <c r="A2478" s="15" t="s">
        <v>224</v>
      </c>
      <c r="B2478" s="11" t="s">
        <v>265</v>
      </c>
      <c r="C2478" s="15"/>
      <c r="D2478" s="16" t="s">
        <v>31</v>
      </c>
      <c r="E2478" s="23">
        <v>0</v>
      </c>
      <c r="F2478" s="18">
        <f>E2478* 0.929131175468484</f>
        <v>0</v>
      </c>
      <c r="G2478" s="18">
        <f>E2478* 0.0477001703577513</f>
        <v>0</v>
      </c>
      <c r="H2478" s="18">
        <f>E2478* 0.0231686541737649</f>
        <v>0</v>
      </c>
    </row>
    <row r="2479" spans="1:8" ht="15.75" hidden="1" customHeight="1" x14ac:dyDescent="0.25">
      <c r="A2479" s="15" t="s">
        <v>224</v>
      </c>
      <c r="B2479" s="11" t="s">
        <v>265</v>
      </c>
      <c r="C2479" s="15"/>
      <c r="D2479" s="16" t="s">
        <v>18</v>
      </c>
      <c r="E2479" s="23">
        <v>3</v>
      </c>
      <c r="F2479" s="18">
        <f>E2479* 0.893702527830246</f>
        <v>2.6811075834907379</v>
      </c>
      <c r="G2479" s="18">
        <f>E2479* 0.0946831169875015</f>
        <v>0.2840493509625045</v>
      </c>
      <c r="H2479" s="18">
        <f>E2479* 0.0116143551822529</f>
        <v>3.48430655467587E-2</v>
      </c>
    </row>
    <row r="2480" spans="1:8" ht="15.75" hidden="1" customHeight="1" x14ac:dyDescent="0.25">
      <c r="A2480" s="15" t="s">
        <v>224</v>
      </c>
      <c r="B2480" s="11" t="s">
        <v>265</v>
      </c>
      <c r="C2480" s="15"/>
      <c r="D2480" s="16" t="s">
        <v>20</v>
      </c>
      <c r="E2480" s="23">
        <v>0</v>
      </c>
      <c r="F2480" s="18">
        <f>E2480* 0.734251968503937</f>
        <v>0</v>
      </c>
      <c r="G2480" s="18">
        <f>E2480* 0.158017179670723</f>
        <v>0</v>
      </c>
      <c r="H2480" s="18">
        <f>E2480* 0.107551896921976</f>
        <v>0</v>
      </c>
    </row>
    <row r="2481" spans="1:8" ht="15.75" hidden="1" customHeight="1" x14ac:dyDescent="0.25">
      <c r="A2481" s="15" t="s">
        <v>224</v>
      </c>
      <c r="B2481" s="11" t="s">
        <v>265</v>
      </c>
      <c r="C2481" s="15"/>
      <c r="D2481" s="16" t="s">
        <v>21</v>
      </c>
      <c r="E2481" s="23">
        <v>463</v>
      </c>
      <c r="F2481" s="18">
        <f>E2481* 0.999727092353423</f>
        <v>462.87364375963489</v>
      </c>
      <c r="G2481" s="18">
        <f>E2481* 0.0000516311763794744</f>
        <v>2.3905234663696647E-2</v>
      </c>
      <c r="H2481" s="18">
        <f>E2481* 0.000132765882118648</f>
        <v>6.1470603420934029E-2</v>
      </c>
    </row>
    <row r="2482" spans="1:8" ht="15.75" hidden="1" customHeight="1" x14ac:dyDescent="0.25">
      <c r="A2482" s="15" t="s">
        <v>224</v>
      </c>
      <c r="B2482" s="11" t="s">
        <v>265</v>
      </c>
      <c r="C2482" s="15"/>
      <c r="D2482" s="16" t="s">
        <v>28</v>
      </c>
      <c r="E2482" s="23">
        <v>2</v>
      </c>
      <c r="F2482" s="18">
        <f>E2482* 0.00302222222222222</f>
        <v>6.04444444444444E-3</v>
      </c>
      <c r="G2482" s="18">
        <f>E2482* 0.996622222222222</f>
        <v>1.9932444444444439</v>
      </c>
      <c r="H2482" s="18">
        <f>E2482* 0.000355555555555556</f>
        <v>7.1111111111111201E-4</v>
      </c>
    </row>
    <row r="2483" spans="1:8" ht="15.75" hidden="1" customHeight="1" x14ac:dyDescent="0.25">
      <c r="A2483" s="15" t="s">
        <v>224</v>
      </c>
      <c r="B2483" s="11" t="s">
        <v>265</v>
      </c>
      <c r="C2483" s="15"/>
      <c r="D2483" s="16" t="s">
        <v>12</v>
      </c>
      <c r="E2483" s="23">
        <v>93</v>
      </c>
      <c r="F2483" s="18">
        <f>E2483* 0.802335182557089</f>
        <v>74.617171977809278</v>
      </c>
      <c r="G2483" s="18">
        <f>E2483* 0.124687137143594</f>
        <v>11.595903754354243</v>
      </c>
      <c r="H2483" s="18">
        <f>E2483* 0.0729583279576829</f>
        <v>6.7851245000645095</v>
      </c>
    </row>
    <row r="2484" spans="1:8" ht="15.75" hidden="1" customHeight="1" x14ac:dyDescent="0.25">
      <c r="A2484" s="15" t="s">
        <v>224</v>
      </c>
      <c r="B2484" s="8"/>
      <c r="C2484" s="8"/>
      <c r="D2484" s="9"/>
      <c r="E2484" s="29"/>
    </row>
    <row r="2485" spans="1:8" ht="15.75" hidden="1" customHeight="1" x14ac:dyDescent="0.25">
      <c r="A2485" s="15" t="s">
        <v>224</v>
      </c>
      <c r="B2485" s="11" t="s">
        <v>266</v>
      </c>
      <c r="C2485" s="12" t="str">
        <f>B2485&amp;"_"&amp;A2485</f>
        <v>San Ramón_Santa Cruz</v>
      </c>
      <c r="E2485" s="22">
        <v>63</v>
      </c>
      <c r="F2485" s="14">
        <f t="shared" ref="F2485:H2485" si="223">SUM(F2486:F2493)</f>
        <v>57.923655877627681</v>
      </c>
      <c r="G2485" s="14">
        <f t="shared" si="223"/>
        <v>4.6109967970563739</v>
      </c>
      <c r="H2485" s="14">
        <f t="shared" si="223"/>
        <v>0.46033655700374265</v>
      </c>
    </row>
    <row r="2486" spans="1:8" ht="15.75" hidden="1" customHeight="1" x14ac:dyDescent="0.25">
      <c r="A2486" s="15" t="s">
        <v>224</v>
      </c>
      <c r="B2486" s="11" t="s">
        <v>266</v>
      </c>
      <c r="C2486" s="15"/>
      <c r="D2486" s="16" t="s">
        <v>15</v>
      </c>
      <c r="E2486" s="23">
        <v>0</v>
      </c>
      <c r="F2486" s="18">
        <f>E2486* 0.932303048052446</f>
        <v>0</v>
      </c>
      <c r="G2486" s="18">
        <f>E2486* 0.0217058280204555</f>
        <v>0</v>
      </c>
      <c r="H2486" s="18">
        <f>E2486* 0.0459798598751943</f>
        <v>0</v>
      </c>
    </row>
    <row r="2487" spans="1:8" ht="15.75" hidden="1" customHeight="1" x14ac:dyDescent="0.25">
      <c r="A2487" s="15" t="s">
        <v>224</v>
      </c>
      <c r="B2487" s="11" t="s">
        <v>266</v>
      </c>
      <c r="C2487" s="15"/>
      <c r="D2487" s="16" t="s">
        <v>11</v>
      </c>
      <c r="E2487" s="23">
        <v>3</v>
      </c>
      <c r="F2487" s="18">
        <f>E2487* 0.083479491676667</f>
        <v>0.250438475030001</v>
      </c>
      <c r="G2487" s="18">
        <f>E2487* 0.913505030924029</f>
        <v>2.7405150927720872</v>
      </c>
      <c r="H2487" s="18">
        <f>E2487* 0.00292316686667282</f>
        <v>8.7695006000184598E-3</v>
      </c>
    </row>
    <row r="2488" spans="1:8" ht="15.75" hidden="1" customHeight="1" x14ac:dyDescent="0.25">
      <c r="A2488" s="15" t="s">
        <v>224</v>
      </c>
      <c r="B2488" s="11" t="s">
        <v>266</v>
      </c>
      <c r="C2488" s="15"/>
      <c r="D2488" s="16" t="s">
        <v>17</v>
      </c>
      <c r="E2488" s="23">
        <v>1</v>
      </c>
      <c r="F2488" s="18">
        <f>E2488* 0.752045572242362</f>
        <v>0.75204557224236201</v>
      </c>
      <c r="G2488" s="18">
        <f>E2488* 0.185827723114103</f>
        <v>0.18582772311410301</v>
      </c>
      <c r="H2488" s="18">
        <f>E2488* 0.0620921802175039</f>
        <v>6.2092180217503901E-2</v>
      </c>
    </row>
    <row r="2489" spans="1:8" ht="15.75" hidden="1" customHeight="1" x14ac:dyDescent="0.25">
      <c r="A2489" s="15" t="s">
        <v>224</v>
      </c>
      <c r="B2489" s="11" t="s">
        <v>266</v>
      </c>
      <c r="C2489" s="15"/>
      <c r="D2489" s="16" t="s">
        <v>18</v>
      </c>
      <c r="E2489" s="23">
        <v>1</v>
      </c>
      <c r="F2489" s="18">
        <f>E2489* 0.893702527830246</f>
        <v>0.89370252783024595</v>
      </c>
      <c r="G2489" s="18">
        <f>E2489* 0.0946831169875015</f>
        <v>9.4683116987501495E-2</v>
      </c>
      <c r="H2489" s="18">
        <f>E2489* 0.0116143551822529</f>
        <v>1.16143551822529E-2</v>
      </c>
    </row>
    <row r="2490" spans="1:8" ht="15.75" hidden="1" customHeight="1" x14ac:dyDescent="0.25">
      <c r="A2490" s="15" t="s">
        <v>224</v>
      </c>
      <c r="B2490" s="11" t="s">
        <v>266</v>
      </c>
      <c r="C2490" s="15"/>
      <c r="D2490" s="16" t="s">
        <v>19</v>
      </c>
      <c r="E2490" s="23">
        <v>1</v>
      </c>
      <c r="F2490" s="18">
        <f>E2490* 0.0299845873616365</f>
        <v>2.9984587361636499E-2</v>
      </c>
      <c r="G2490" s="18">
        <f>E2490* 0.96385035729298</f>
        <v>0.96385035729297996</v>
      </c>
      <c r="H2490" s="18">
        <f>E2490* 0.00616505534538321</f>
        <v>6.1650553453832099E-3</v>
      </c>
    </row>
    <row r="2491" spans="1:8" ht="15.75" hidden="1" customHeight="1" x14ac:dyDescent="0.25">
      <c r="A2491" s="15" t="s">
        <v>224</v>
      </c>
      <c r="B2491" s="11" t="s">
        <v>266</v>
      </c>
      <c r="C2491" s="15"/>
      <c r="D2491" s="16" t="s">
        <v>20</v>
      </c>
      <c r="E2491" s="23">
        <v>0</v>
      </c>
      <c r="F2491" s="18">
        <f>E2491* 0.734251968503937</f>
        <v>0</v>
      </c>
      <c r="G2491" s="18">
        <f>E2491* 0.158017179670723</f>
        <v>0</v>
      </c>
      <c r="H2491" s="18">
        <f>E2491* 0.107551896921976</f>
        <v>0</v>
      </c>
    </row>
    <row r="2492" spans="1:8" ht="15.75" hidden="1" customHeight="1" x14ac:dyDescent="0.25">
      <c r="A2492" s="15" t="s">
        <v>224</v>
      </c>
      <c r="B2492" s="11" t="s">
        <v>266</v>
      </c>
      <c r="C2492" s="15"/>
      <c r="D2492" s="16" t="s">
        <v>21</v>
      </c>
      <c r="E2492" s="23">
        <v>52</v>
      </c>
      <c r="F2492" s="18">
        <f>E2492* 0.999727092353423</f>
        <v>51.985808802377996</v>
      </c>
      <c r="G2492" s="18">
        <f>E2492* 0.0000516311763794744</f>
        <v>2.6848211717326689E-3</v>
      </c>
      <c r="H2492" s="18">
        <f>E2492* 0.000132765882118648</f>
        <v>6.9038258701696964E-3</v>
      </c>
    </row>
    <row r="2493" spans="1:8" ht="15.75" hidden="1" customHeight="1" x14ac:dyDescent="0.25">
      <c r="A2493" s="15" t="s">
        <v>224</v>
      </c>
      <c r="B2493" s="11" t="s">
        <v>266</v>
      </c>
      <c r="C2493" s="15"/>
      <c r="D2493" s="16" t="s">
        <v>12</v>
      </c>
      <c r="E2493" s="23">
        <v>5</v>
      </c>
      <c r="F2493" s="18">
        <f>E2493* 0.802335182557089</f>
        <v>4.0116759127854449</v>
      </c>
      <c r="G2493" s="18">
        <f>E2493* 0.124687137143594</f>
        <v>0.62343568571797003</v>
      </c>
      <c r="H2493" s="18">
        <f>E2493* 0.0729583279576829</f>
        <v>0.36479163978841445</v>
      </c>
    </row>
    <row r="2494" spans="1:8" ht="15.75" hidden="1" customHeight="1" x14ac:dyDescent="0.25">
      <c r="A2494" s="15" t="s">
        <v>224</v>
      </c>
      <c r="B2494" s="8"/>
      <c r="C2494" s="8"/>
      <c r="D2494" s="9"/>
      <c r="E2494" s="29"/>
    </row>
    <row r="2495" spans="1:8" ht="15.75" hidden="1" customHeight="1" x14ac:dyDescent="0.25">
      <c r="A2495" s="15" t="s">
        <v>224</v>
      </c>
      <c r="B2495" s="11" t="s">
        <v>267</v>
      </c>
      <c r="C2495" s="12" t="str">
        <f>B2495&amp;"_"&amp;A2495</f>
        <v>Santa Cruz de la Sierra_Santa Cruz</v>
      </c>
      <c r="E2495" s="22">
        <v>315393</v>
      </c>
      <c r="F2495" s="14">
        <f t="shared" ref="F2495:H2495" si="224">SUM(F2496:F2511)</f>
        <v>246737.65333928698</v>
      </c>
      <c r="G2495" s="14">
        <f t="shared" si="224"/>
        <v>53954.824118574135</v>
      </c>
      <c r="H2495" s="14">
        <f t="shared" si="224"/>
        <v>14690.488674565548</v>
      </c>
    </row>
    <row r="2496" spans="1:8" ht="15.75" hidden="1" customHeight="1" x14ac:dyDescent="0.25">
      <c r="A2496" s="15" t="s">
        <v>224</v>
      </c>
      <c r="B2496" s="11" t="s">
        <v>267</v>
      </c>
      <c r="C2496" s="15"/>
      <c r="D2496" s="16" t="s">
        <v>14</v>
      </c>
      <c r="E2496" s="23">
        <v>0</v>
      </c>
      <c r="F2496" s="20">
        <v>0</v>
      </c>
      <c r="G2496" s="24">
        <f>E2496</f>
        <v>0</v>
      </c>
      <c r="H2496" s="20">
        <v>0</v>
      </c>
    </row>
    <row r="2497" spans="1:8" ht="15.75" hidden="1" customHeight="1" x14ac:dyDescent="0.25">
      <c r="A2497" s="15" t="s">
        <v>224</v>
      </c>
      <c r="B2497" s="11" t="s">
        <v>267</v>
      </c>
      <c r="C2497" s="15"/>
      <c r="D2497" s="16" t="s">
        <v>15</v>
      </c>
      <c r="E2497" s="23">
        <v>69233</v>
      </c>
      <c r="F2497" s="18">
        <f>E2497* 0.932303048052446</f>
        <v>64546.136925814993</v>
      </c>
      <c r="G2497" s="18">
        <f>E2497* 0.0217058280204555</f>
        <v>1502.7595913401956</v>
      </c>
      <c r="H2497" s="18">
        <f>E2497* 0.0459798598751943</f>
        <v>3183.3236387393267</v>
      </c>
    </row>
    <row r="2498" spans="1:8" ht="15.75" hidden="1" customHeight="1" x14ac:dyDescent="0.25">
      <c r="A2498" s="15" t="s">
        <v>224</v>
      </c>
      <c r="B2498" s="11" t="s">
        <v>267</v>
      </c>
      <c r="C2498" s="15"/>
      <c r="D2498" s="16" t="s">
        <v>16</v>
      </c>
      <c r="E2498" s="23">
        <v>1560</v>
      </c>
      <c r="F2498" s="18">
        <f>E2498* 0.293894936109797</f>
        <v>458.47610033128331</v>
      </c>
      <c r="G2498" s="18">
        <f>E2498* 0.663038334122101</f>
        <v>1034.3398012304776</v>
      </c>
      <c r="H2498" s="18">
        <f>E2498* 0.0430667297681022</f>
        <v>67.184098438239431</v>
      </c>
    </row>
    <row r="2499" spans="1:8" ht="15.75" hidden="1" customHeight="1" x14ac:dyDescent="0.25">
      <c r="A2499" s="15" t="s">
        <v>224</v>
      </c>
      <c r="B2499" s="11" t="s">
        <v>267</v>
      </c>
      <c r="C2499" s="15"/>
      <c r="D2499" s="16" t="s">
        <v>11</v>
      </c>
      <c r="E2499" s="23">
        <v>20287</v>
      </c>
      <c r="F2499" s="18">
        <f>E2499* 0.083479491676667</f>
        <v>1693.5484476445436</v>
      </c>
      <c r="G2499" s="18">
        <f>E2499* 0.913505030924029</f>
        <v>18532.276562355775</v>
      </c>
      <c r="H2499" s="18">
        <f>E2499* 0.00292316686667282</f>
        <v>59.302286224191498</v>
      </c>
    </row>
    <row r="2500" spans="1:8" ht="15.75" hidden="1" customHeight="1" x14ac:dyDescent="0.25">
      <c r="A2500" s="15" t="s">
        <v>224</v>
      </c>
      <c r="B2500" s="11" t="s">
        <v>267</v>
      </c>
      <c r="C2500" s="15"/>
      <c r="D2500" s="16" t="s">
        <v>17</v>
      </c>
      <c r="E2500" s="23">
        <v>42032</v>
      </c>
      <c r="F2500" s="18">
        <f>E2500* 0.752045572242362</f>
        <v>31609.979492490962</v>
      </c>
      <c r="G2500" s="18">
        <f>E2500* 0.185827723114103</f>
        <v>7810.7108579319774</v>
      </c>
      <c r="H2500" s="18">
        <f>E2500* 0.0620921802175039</f>
        <v>2609.8585189021242</v>
      </c>
    </row>
    <row r="2501" spans="1:8" ht="15.75" hidden="1" customHeight="1" x14ac:dyDescent="0.25">
      <c r="A2501" s="15" t="s">
        <v>224</v>
      </c>
      <c r="B2501" s="11" t="s">
        <v>267</v>
      </c>
      <c r="C2501" s="15"/>
      <c r="D2501" s="16" t="s">
        <v>31</v>
      </c>
      <c r="E2501" s="23">
        <v>2397</v>
      </c>
      <c r="F2501" s="18">
        <f>E2501* 0.929131175468484</f>
        <v>2227.1274275979563</v>
      </c>
      <c r="G2501" s="18">
        <f>E2501* 0.0477001703577513</f>
        <v>114.33730834752987</v>
      </c>
      <c r="H2501" s="18">
        <f>E2501* 0.0231686541737649</f>
        <v>55.535264054514464</v>
      </c>
    </row>
    <row r="2502" spans="1:8" ht="15.75" hidden="1" customHeight="1" x14ac:dyDescent="0.25">
      <c r="A2502" s="15" t="s">
        <v>224</v>
      </c>
      <c r="B2502" s="11" t="s">
        <v>267</v>
      </c>
      <c r="C2502" s="15"/>
      <c r="D2502" s="16" t="s">
        <v>18</v>
      </c>
      <c r="E2502" s="23">
        <v>20082</v>
      </c>
      <c r="F2502" s="18">
        <f>E2502* 0.893702527830246</f>
        <v>17947.334163887001</v>
      </c>
      <c r="G2502" s="18">
        <f>E2502* 0.0946831169875015</f>
        <v>1901.4263553430051</v>
      </c>
      <c r="H2502" s="18">
        <f>E2502* 0.0116143551822529</f>
        <v>233.23948077000273</v>
      </c>
    </row>
    <row r="2503" spans="1:8" ht="15.75" hidden="1" customHeight="1" x14ac:dyDescent="0.25">
      <c r="A2503" s="15" t="s">
        <v>224</v>
      </c>
      <c r="B2503" s="11" t="s">
        <v>267</v>
      </c>
      <c r="C2503" s="15"/>
      <c r="D2503" s="16" t="s">
        <v>35</v>
      </c>
      <c r="E2503" s="23">
        <v>0</v>
      </c>
      <c r="F2503" s="20">
        <v>0</v>
      </c>
      <c r="G2503" s="24">
        <f>E2503</f>
        <v>0</v>
      </c>
      <c r="H2503" s="20">
        <v>0</v>
      </c>
    </row>
    <row r="2504" spans="1:8" ht="15.75" hidden="1" customHeight="1" x14ac:dyDescent="0.25">
      <c r="A2504" s="15" t="s">
        <v>224</v>
      </c>
      <c r="B2504" s="11" t="s">
        <v>267</v>
      </c>
      <c r="C2504" s="15"/>
      <c r="D2504" s="16" t="s">
        <v>19</v>
      </c>
      <c r="E2504" s="23">
        <v>6081</v>
      </c>
      <c r="F2504" s="18">
        <f>E2504* 0.0299845873616365</f>
        <v>182.33627574611154</v>
      </c>
      <c r="G2504" s="18">
        <f>E2504* 0.96385035729298</f>
        <v>5861.1740226986112</v>
      </c>
      <c r="H2504" s="18">
        <f>E2504* 0.00616505534538321</f>
        <v>37.489701555275296</v>
      </c>
    </row>
    <row r="2505" spans="1:8" ht="15.75" hidden="1" customHeight="1" x14ac:dyDescent="0.25">
      <c r="A2505" s="15" t="s">
        <v>224</v>
      </c>
      <c r="B2505" s="11" t="s">
        <v>267</v>
      </c>
      <c r="C2505" s="15"/>
      <c r="D2505" s="16" t="s">
        <v>20</v>
      </c>
      <c r="E2505" s="23">
        <v>3449</v>
      </c>
      <c r="F2505" s="18">
        <f>E2505* 0.734251968503937</f>
        <v>2532.4350393700788</v>
      </c>
      <c r="G2505" s="18">
        <f>E2505* 0.158017179670723</f>
        <v>545.00125268432362</v>
      </c>
      <c r="H2505" s="18">
        <f>E2505* 0.107551896921976</f>
        <v>370.94649248389521</v>
      </c>
    </row>
    <row r="2506" spans="1:8" ht="15.75" hidden="1" customHeight="1" x14ac:dyDescent="0.25">
      <c r="A2506" s="15" t="s">
        <v>224</v>
      </c>
      <c r="B2506" s="11" t="s">
        <v>267</v>
      </c>
      <c r="C2506" s="15"/>
      <c r="D2506" s="16" t="s">
        <v>21</v>
      </c>
      <c r="E2506" s="23">
        <v>35859</v>
      </c>
      <c r="F2506" s="18">
        <f>E2506* 0.999727092353423</f>
        <v>35849.213804701394</v>
      </c>
      <c r="G2506" s="18">
        <f>E2506* 0.0000516311763794744</f>
        <v>1.8514423537915725</v>
      </c>
      <c r="H2506" s="18">
        <f>E2506* 0.000132765882118648</f>
        <v>4.7608517668925989</v>
      </c>
    </row>
    <row r="2507" spans="1:8" ht="15.75" hidden="1" customHeight="1" x14ac:dyDescent="0.25">
      <c r="A2507" s="15" t="s">
        <v>224</v>
      </c>
      <c r="B2507" s="11" t="s">
        <v>267</v>
      </c>
      <c r="C2507" s="15"/>
      <c r="D2507" s="16" t="s">
        <v>36</v>
      </c>
      <c r="E2507" s="23">
        <v>1002</v>
      </c>
      <c r="F2507" s="18">
        <f>E2507* 0.995894428152493</f>
        <v>997.88621700879798</v>
      </c>
      <c r="G2507" s="18">
        <f>E2507* 0.000586510263929619</f>
        <v>0.58768328445747819</v>
      </c>
      <c r="H2507" s="18">
        <f>E2507* 0.00351906158357771</f>
        <v>3.5260997067448656</v>
      </c>
    </row>
    <row r="2508" spans="1:8" ht="15.75" hidden="1" customHeight="1" x14ac:dyDescent="0.25">
      <c r="A2508" s="15" t="s">
        <v>224</v>
      </c>
      <c r="B2508" s="11" t="s">
        <v>267</v>
      </c>
      <c r="C2508" s="15"/>
      <c r="D2508" s="16" t="s">
        <v>37</v>
      </c>
      <c r="E2508" s="23">
        <v>11</v>
      </c>
      <c r="F2508" s="20">
        <v>0</v>
      </c>
      <c r="G2508" s="24">
        <f>E2508</f>
        <v>11</v>
      </c>
      <c r="H2508" s="20">
        <v>0</v>
      </c>
    </row>
    <row r="2509" spans="1:8" ht="15.75" hidden="1" customHeight="1" x14ac:dyDescent="0.25">
      <c r="A2509" s="15" t="s">
        <v>224</v>
      </c>
      <c r="B2509" s="11" t="s">
        <v>267</v>
      </c>
      <c r="C2509" s="15"/>
      <c r="D2509" s="16" t="s">
        <v>84</v>
      </c>
      <c r="E2509" s="23">
        <v>0</v>
      </c>
      <c r="F2509" s="24">
        <f>E2509</f>
        <v>0</v>
      </c>
      <c r="G2509" s="20">
        <v>0</v>
      </c>
      <c r="H2509" s="20">
        <v>0</v>
      </c>
    </row>
    <row r="2510" spans="1:8" ht="15.75" hidden="1" customHeight="1" x14ac:dyDescent="0.25">
      <c r="A2510" s="15" t="s">
        <v>224</v>
      </c>
      <c r="B2510" s="11" t="s">
        <v>267</v>
      </c>
      <c r="C2510" s="15"/>
      <c r="D2510" s="16" t="s">
        <v>28</v>
      </c>
      <c r="E2510" s="23">
        <v>2867</v>
      </c>
      <c r="F2510" s="18">
        <f>E2510* 0.00302222222222222</f>
        <v>8.6647111111111048</v>
      </c>
      <c r="G2510" s="18">
        <f>E2510* 0.996622222222222</f>
        <v>2857.3159111111104</v>
      </c>
      <c r="H2510" s="18">
        <f>E2510* 0.000355555555555556</f>
        <v>1.019377777777779</v>
      </c>
    </row>
    <row r="2511" spans="1:8" ht="15.75" hidden="1" customHeight="1" x14ac:dyDescent="0.25">
      <c r="A2511" s="15" t="s">
        <v>224</v>
      </c>
      <c r="B2511" s="11" t="s">
        <v>267</v>
      </c>
      <c r="C2511" s="15"/>
      <c r="D2511" s="16" t="s">
        <v>12</v>
      </c>
      <c r="E2511" s="23">
        <v>110533</v>
      </c>
      <c r="F2511" s="18">
        <f>E2511* 0.802335182557089</f>
        <v>88684.514733582721</v>
      </c>
      <c r="G2511" s="18">
        <f>E2511* 0.124687137143594</f>
        <v>13782.043329892876</v>
      </c>
      <c r="H2511" s="18">
        <f>E2511* 0.0729583279576829</f>
        <v>8064.3028641465635</v>
      </c>
    </row>
    <row r="2512" spans="1:8" ht="15.75" hidden="1" customHeight="1" x14ac:dyDescent="0.25">
      <c r="A2512" s="15" t="s">
        <v>224</v>
      </c>
      <c r="B2512" s="8"/>
      <c r="C2512" s="8"/>
      <c r="D2512" s="9"/>
      <c r="E2512" s="29"/>
    </row>
    <row r="2513" spans="1:8" ht="15.75" hidden="1" customHeight="1" x14ac:dyDescent="0.25">
      <c r="A2513" s="15" t="s">
        <v>224</v>
      </c>
      <c r="B2513" s="11" t="s">
        <v>268</v>
      </c>
      <c r="C2513" s="12" t="str">
        <f>B2513&amp;"_"&amp;A2513</f>
        <v>Santa Rosa del Sara_Santa Cruz</v>
      </c>
      <c r="E2513" s="22">
        <v>14</v>
      </c>
      <c r="F2513" s="14">
        <f t="shared" ref="F2513:H2513" si="225">SUM(F2514:F2523)</f>
        <v>9.2140159072832901</v>
      </c>
      <c r="G2513" s="14">
        <f t="shared" si="225"/>
        <v>4.1408558331398408</v>
      </c>
      <c r="H2513" s="14">
        <f t="shared" si="225"/>
        <v>0.64454313006299913</v>
      </c>
    </row>
    <row r="2514" spans="1:8" ht="15.75" hidden="1" customHeight="1" x14ac:dyDescent="0.25">
      <c r="A2514" s="15" t="s">
        <v>224</v>
      </c>
      <c r="B2514" s="11" t="s">
        <v>268</v>
      </c>
      <c r="C2514" s="15"/>
      <c r="D2514" s="16" t="s">
        <v>14</v>
      </c>
      <c r="E2514" s="23">
        <v>0</v>
      </c>
      <c r="F2514" s="20">
        <v>0</v>
      </c>
      <c r="G2514" s="24">
        <f>E2514</f>
        <v>0</v>
      </c>
      <c r="H2514" s="20">
        <v>0</v>
      </c>
    </row>
    <row r="2515" spans="1:8" ht="15.75" hidden="1" customHeight="1" x14ac:dyDescent="0.25">
      <c r="A2515" s="15" t="s">
        <v>224</v>
      </c>
      <c r="B2515" s="11" t="s">
        <v>268</v>
      </c>
      <c r="C2515" s="15"/>
      <c r="D2515" s="16" t="s">
        <v>15</v>
      </c>
      <c r="E2515" s="23">
        <v>0</v>
      </c>
      <c r="F2515" s="18">
        <f>E2515* 0.932303048052446</f>
        <v>0</v>
      </c>
      <c r="G2515" s="18">
        <f>E2515* 0.0217058280204555</f>
        <v>0</v>
      </c>
      <c r="H2515" s="18">
        <f>E2515* 0.0459798598751943</f>
        <v>0</v>
      </c>
    </row>
    <row r="2516" spans="1:8" ht="15.75" hidden="1" customHeight="1" x14ac:dyDescent="0.25">
      <c r="A2516" s="15" t="s">
        <v>224</v>
      </c>
      <c r="B2516" s="11" t="s">
        <v>268</v>
      </c>
      <c r="C2516" s="15"/>
      <c r="D2516" s="16" t="s">
        <v>11</v>
      </c>
      <c r="E2516" s="23">
        <v>3</v>
      </c>
      <c r="F2516" s="18">
        <f>E2516* 0.083479491676667</f>
        <v>0.250438475030001</v>
      </c>
      <c r="G2516" s="18">
        <f>E2516* 0.913505030924029</f>
        <v>2.7405150927720872</v>
      </c>
      <c r="H2516" s="18">
        <f>E2516* 0.00292316686667282</f>
        <v>8.7695006000184598E-3</v>
      </c>
    </row>
    <row r="2517" spans="1:8" ht="15.75" hidden="1" customHeight="1" x14ac:dyDescent="0.25">
      <c r="A2517" s="15" t="s">
        <v>224</v>
      </c>
      <c r="B2517" s="11" t="s">
        <v>268</v>
      </c>
      <c r="C2517" s="15"/>
      <c r="D2517" s="16" t="s">
        <v>17</v>
      </c>
      <c r="E2517" s="23">
        <v>3</v>
      </c>
      <c r="F2517" s="18">
        <f>E2517* 0.752045572242362</f>
        <v>2.2561367167270863</v>
      </c>
      <c r="G2517" s="18">
        <f>E2517* 0.185827723114103</f>
        <v>0.55748316934230902</v>
      </c>
      <c r="H2517" s="18">
        <f>E2517* 0.0620921802175039</f>
        <v>0.1862765406525117</v>
      </c>
    </row>
    <row r="2518" spans="1:8" ht="15.75" hidden="1" customHeight="1" x14ac:dyDescent="0.25">
      <c r="A2518" s="15" t="s">
        <v>224</v>
      </c>
      <c r="B2518" s="11" t="s">
        <v>268</v>
      </c>
      <c r="C2518" s="15"/>
      <c r="D2518" s="16" t="s">
        <v>31</v>
      </c>
      <c r="E2518" s="23">
        <v>0</v>
      </c>
      <c r="F2518" s="18">
        <f>E2518* 0.929131175468484</f>
        <v>0</v>
      </c>
      <c r="G2518" s="18">
        <f>E2518* 0.0477001703577513</f>
        <v>0</v>
      </c>
      <c r="H2518" s="18">
        <f>E2518* 0.0231686541737649</f>
        <v>0</v>
      </c>
    </row>
    <row r="2519" spans="1:8" ht="15.75" hidden="1" customHeight="1" x14ac:dyDescent="0.25">
      <c r="A2519" s="15" t="s">
        <v>224</v>
      </c>
      <c r="B2519" s="11" t="s">
        <v>268</v>
      </c>
      <c r="C2519" s="15"/>
      <c r="D2519" s="16" t="s">
        <v>18</v>
      </c>
      <c r="E2519" s="23">
        <v>1</v>
      </c>
      <c r="F2519" s="18">
        <f>E2519* 0.893702527830246</f>
        <v>0.89370252783024595</v>
      </c>
      <c r="G2519" s="18">
        <f>E2519* 0.0946831169875015</f>
        <v>9.4683116987501495E-2</v>
      </c>
      <c r="H2519" s="18">
        <f>E2519* 0.0116143551822529</f>
        <v>1.16143551822529E-2</v>
      </c>
    </row>
    <row r="2520" spans="1:8" ht="15.75" hidden="1" customHeight="1" x14ac:dyDescent="0.25">
      <c r="A2520" s="15" t="s">
        <v>224</v>
      </c>
      <c r="B2520" s="11" t="s">
        <v>268</v>
      </c>
      <c r="C2520" s="15"/>
      <c r="D2520" s="16" t="s">
        <v>20</v>
      </c>
      <c r="E2520" s="23">
        <v>0</v>
      </c>
      <c r="F2520" s="18">
        <f>E2520* 0.734251968503937</f>
        <v>0</v>
      </c>
      <c r="G2520" s="18">
        <f>E2520* 0.158017179670723</f>
        <v>0</v>
      </c>
      <c r="H2520" s="18">
        <f>E2520* 0.107551896921976</f>
        <v>0</v>
      </c>
    </row>
    <row r="2521" spans="1:8" ht="15.75" hidden="1" customHeight="1" x14ac:dyDescent="0.25">
      <c r="A2521" s="15" t="s">
        <v>224</v>
      </c>
      <c r="B2521" s="11" t="s">
        <v>268</v>
      </c>
      <c r="C2521" s="15"/>
      <c r="D2521" s="16" t="s">
        <v>21</v>
      </c>
      <c r="E2521" s="23">
        <v>1</v>
      </c>
      <c r="F2521" s="18">
        <f>E2521* 0.999727092353423</f>
        <v>0.99972709235342305</v>
      </c>
      <c r="G2521" s="18">
        <f>E2521* 0.0000516311763794744</f>
        <v>5.1631176379474402E-5</v>
      </c>
      <c r="H2521" s="18">
        <f>E2521* 0.000132765882118648</f>
        <v>1.32765882118648E-4</v>
      </c>
    </row>
    <row r="2522" spans="1:8" ht="15.75" hidden="1" customHeight="1" x14ac:dyDescent="0.25">
      <c r="A2522" s="15" t="s">
        <v>224</v>
      </c>
      <c r="B2522" s="11" t="s">
        <v>268</v>
      </c>
      <c r="C2522" s="15"/>
      <c r="D2522" s="16" t="s">
        <v>36</v>
      </c>
      <c r="E2522" s="23">
        <v>0</v>
      </c>
      <c r="F2522" s="18">
        <f>E2522* 0.995894428152493</f>
        <v>0</v>
      </c>
      <c r="G2522" s="18">
        <f>E2522* 0.000586510263929619</f>
        <v>0</v>
      </c>
      <c r="H2522" s="18">
        <f>E2522* 0.00351906158357771</f>
        <v>0</v>
      </c>
    </row>
    <row r="2523" spans="1:8" ht="15.75" hidden="1" customHeight="1" x14ac:dyDescent="0.25">
      <c r="A2523" s="15" t="s">
        <v>224</v>
      </c>
      <c r="B2523" s="11" t="s">
        <v>268</v>
      </c>
      <c r="C2523" s="15"/>
      <c r="D2523" s="16" t="s">
        <v>12</v>
      </c>
      <c r="E2523" s="23">
        <v>6</v>
      </c>
      <c r="F2523" s="18">
        <f>E2523* 0.802335182557089</f>
        <v>4.8140110953425346</v>
      </c>
      <c r="G2523" s="18">
        <f>E2523* 0.124687137143594</f>
        <v>0.74812282286156395</v>
      </c>
      <c r="H2523" s="18">
        <f>E2523* 0.0729583279576829</f>
        <v>0.43774996774609737</v>
      </c>
    </row>
    <row r="2524" spans="1:8" ht="15.75" hidden="1" customHeight="1" x14ac:dyDescent="0.25">
      <c r="A2524" s="15" t="s">
        <v>224</v>
      </c>
      <c r="B2524" s="8"/>
      <c r="C2524" s="8"/>
      <c r="D2524" s="9"/>
      <c r="E2524" s="29"/>
    </row>
    <row r="2525" spans="1:8" ht="15.75" hidden="1" customHeight="1" x14ac:dyDescent="0.25">
      <c r="A2525" s="15" t="s">
        <v>224</v>
      </c>
      <c r="B2525" s="11" t="s">
        <v>269</v>
      </c>
      <c r="C2525" s="12" t="str">
        <f>B2525&amp;"_"&amp;A2525</f>
        <v>Trigal_Santa Cruz</v>
      </c>
      <c r="E2525" s="22">
        <v>1</v>
      </c>
      <c r="F2525" s="14">
        <f t="shared" ref="F2525:H2525" si="226">F2526</f>
        <v>0.99972709235342305</v>
      </c>
      <c r="G2525" s="14">
        <f t="shared" si="226"/>
        <v>5.1631176379474402E-5</v>
      </c>
      <c r="H2525" s="14">
        <f t="shared" si="226"/>
        <v>1.32765882118648E-4</v>
      </c>
    </row>
    <row r="2526" spans="1:8" ht="15.75" hidden="1" customHeight="1" x14ac:dyDescent="0.25">
      <c r="A2526" s="15" t="s">
        <v>224</v>
      </c>
      <c r="B2526" s="11" t="s">
        <v>269</v>
      </c>
      <c r="C2526" s="15"/>
      <c r="D2526" s="16" t="s">
        <v>21</v>
      </c>
      <c r="E2526" s="23">
        <v>1</v>
      </c>
      <c r="F2526" s="18">
        <f>E2526* 0.999727092353423</f>
        <v>0.99972709235342305</v>
      </c>
      <c r="G2526" s="18">
        <f>E2526* 0.0000516311763794744</f>
        <v>5.1631176379474402E-5</v>
      </c>
      <c r="H2526" s="18">
        <f>E2526* 0.000132765882118648</f>
        <v>1.32765882118648E-4</v>
      </c>
    </row>
    <row r="2527" spans="1:8" ht="15.75" hidden="1" customHeight="1" x14ac:dyDescent="0.25">
      <c r="A2527" s="15" t="s">
        <v>224</v>
      </c>
      <c r="B2527" s="8"/>
      <c r="C2527" s="8"/>
      <c r="D2527" s="9"/>
      <c r="E2527" s="29"/>
    </row>
    <row r="2528" spans="1:8" ht="15.75" hidden="1" customHeight="1" x14ac:dyDescent="0.25">
      <c r="A2528" s="15" t="s">
        <v>224</v>
      </c>
      <c r="B2528" s="11" t="s">
        <v>270</v>
      </c>
      <c r="C2528" s="12" t="str">
        <f>B2528&amp;"_"&amp;A2528</f>
        <v>Urubichá_Santa Cruz</v>
      </c>
      <c r="E2528" s="22">
        <v>1</v>
      </c>
      <c r="F2528" s="14">
        <f t="shared" ref="F2528:H2528" si="227">F2529</f>
        <v>0.99972709235342305</v>
      </c>
      <c r="G2528" s="14">
        <f t="shared" si="227"/>
        <v>5.1631176379474402E-5</v>
      </c>
      <c r="H2528" s="14">
        <f t="shared" si="227"/>
        <v>1.32765882118648E-4</v>
      </c>
    </row>
    <row r="2529" spans="1:8" ht="15.75" hidden="1" customHeight="1" x14ac:dyDescent="0.25">
      <c r="A2529" s="15" t="s">
        <v>224</v>
      </c>
      <c r="B2529" s="11" t="s">
        <v>270</v>
      </c>
      <c r="C2529" s="15"/>
      <c r="D2529" s="16" t="s">
        <v>21</v>
      </c>
      <c r="E2529" s="23">
        <v>1</v>
      </c>
      <c r="F2529" s="18">
        <f>E2529* 0.999727092353423</f>
        <v>0.99972709235342305</v>
      </c>
      <c r="G2529" s="18">
        <f>E2529* 0.0000516311763794744</f>
        <v>5.1631176379474402E-5</v>
      </c>
      <c r="H2529" s="18">
        <f>E2529* 0.000132765882118648</f>
        <v>1.32765882118648E-4</v>
      </c>
    </row>
    <row r="2530" spans="1:8" ht="15.75" hidden="1" customHeight="1" x14ac:dyDescent="0.25">
      <c r="A2530" s="15" t="s">
        <v>224</v>
      </c>
      <c r="B2530" s="8"/>
      <c r="C2530" s="8"/>
      <c r="D2530" s="9"/>
      <c r="E2530" s="29"/>
    </row>
    <row r="2531" spans="1:8" ht="15.75" hidden="1" customHeight="1" x14ac:dyDescent="0.25">
      <c r="A2531" s="15" t="s">
        <v>224</v>
      </c>
      <c r="B2531" s="11" t="s">
        <v>271</v>
      </c>
      <c r="C2531" s="12" t="str">
        <f>B2531&amp;"_"&amp;A2531</f>
        <v>Vallegrande_Santa Cruz</v>
      </c>
      <c r="E2531" s="22">
        <v>2751</v>
      </c>
      <c r="F2531" s="14">
        <f t="shared" ref="F2531:H2531" si="228">SUM(F2532:F2546)</f>
        <v>2175.7088207821489</v>
      </c>
      <c r="G2531" s="14">
        <f t="shared" si="228"/>
        <v>474.70819378120393</v>
      </c>
      <c r="H2531" s="14">
        <f t="shared" si="228"/>
        <v>100.44053335797292</v>
      </c>
    </row>
    <row r="2532" spans="1:8" ht="15.75" hidden="1" customHeight="1" x14ac:dyDescent="0.25">
      <c r="A2532" s="15" t="s">
        <v>224</v>
      </c>
      <c r="B2532" s="11" t="s">
        <v>271</v>
      </c>
      <c r="C2532" s="15"/>
      <c r="D2532" s="16" t="s">
        <v>14</v>
      </c>
      <c r="E2532" s="23">
        <v>0</v>
      </c>
      <c r="F2532" s="20">
        <v>0</v>
      </c>
      <c r="G2532" s="24">
        <f>E2532</f>
        <v>0</v>
      </c>
      <c r="H2532" s="20">
        <v>0</v>
      </c>
    </row>
    <row r="2533" spans="1:8" ht="15.75" hidden="1" customHeight="1" x14ac:dyDescent="0.25">
      <c r="A2533" s="15" t="s">
        <v>224</v>
      </c>
      <c r="B2533" s="11" t="s">
        <v>271</v>
      </c>
      <c r="C2533" s="15"/>
      <c r="D2533" s="16" t="s">
        <v>15</v>
      </c>
      <c r="E2533" s="23">
        <v>65</v>
      </c>
      <c r="F2533" s="18">
        <f>E2533* 0.932303048052446</f>
        <v>60.599698123408992</v>
      </c>
      <c r="G2533" s="18">
        <f>E2533* 0.0217058280204555</f>
        <v>1.4108788213296073</v>
      </c>
      <c r="H2533" s="18">
        <f>E2533* 0.0459798598751943</f>
        <v>2.9886908918876292</v>
      </c>
    </row>
    <row r="2534" spans="1:8" ht="15.75" hidden="1" customHeight="1" x14ac:dyDescent="0.25">
      <c r="A2534" s="15" t="s">
        <v>224</v>
      </c>
      <c r="B2534" s="11" t="s">
        <v>271</v>
      </c>
      <c r="C2534" s="15"/>
      <c r="D2534" s="16" t="s">
        <v>16</v>
      </c>
      <c r="E2534" s="23">
        <v>4</v>
      </c>
      <c r="F2534" s="18">
        <f>E2534* 0.293894936109797</f>
        <v>1.175579744439188</v>
      </c>
      <c r="G2534" s="18">
        <f>E2534* 0.663038334122101</f>
        <v>2.652153336488404</v>
      </c>
      <c r="H2534" s="18">
        <f>E2534* 0.0430667297681022</f>
        <v>0.17226691907240879</v>
      </c>
    </row>
    <row r="2535" spans="1:8" ht="15.75" hidden="1" customHeight="1" x14ac:dyDescent="0.25">
      <c r="A2535" s="15" t="s">
        <v>224</v>
      </c>
      <c r="B2535" s="11" t="s">
        <v>271</v>
      </c>
      <c r="C2535" s="15"/>
      <c r="D2535" s="16" t="s">
        <v>11</v>
      </c>
      <c r="E2535" s="23">
        <v>308</v>
      </c>
      <c r="F2535" s="18">
        <f>E2535* 0.083479491676667</f>
        <v>25.711683436413438</v>
      </c>
      <c r="G2535" s="18">
        <f>E2535* 0.913505030924029</f>
        <v>281.35954952460094</v>
      </c>
      <c r="H2535" s="18">
        <f>E2535* 0.00292316686667282</f>
        <v>0.90033539493522852</v>
      </c>
    </row>
    <row r="2536" spans="1:8" ht="15.75" hidden="1" customHeight="1" x14ac:dyDescent="0.25">
      <c r="A2536" s="15" t="s">
        <v>224</v>
      </c>
      <c r="B2536" s="11" t="s">
        <v>271</v>
      </c>
      <c r="C2536" s="15"/>
      <c r="D2536" s="16" t="s">
        <v>17</v>
      </c>
      <c r="E2536" s="23">
        <v>185</v>
      </c>
      <c r="F2536" s="18">
        <f>E2536* 0.752045572242362</f>
        <v>139.12843086483699</v>
      </c>
      <c r="G2536" s="18">
        <f>E2536* 0.185827723114103</f>
        <v>34.378128776109058</v>
      </c>
      <c r="H2536" s="18">
        <f>E2536* 0.0620921802175039</f>
        <v>11.487053340238221</v>
      </c>
    </row>
    <row r="2537" spans="1:8" ht="15.75" hidden="1" customHeight="1" x14ac:dyDescent="0.25">
      <c r="A2537" s="15" t="s">
        <v>224</v>
      </c>
      <c r="B2537" s="11" t="s">
        <v>271</v>
      </c>
      <c r="C2537" s="15"/>
      <c r="D2537" s="16" t="s">
        <v>31</v>
      </c>
      <c r="E2537" s="23">
        <v>1</v>
      </c>
      <c r="F2537" s="18">
        <f>E2537* 0.929131175468484</f>
        <v>0.92913117546848401</v>
      </c>
      <c r="G2537" s="18">
        <f>E2537* 0.0477001703577513</f>
        <v>4.7700170357751301E-2</v>
      </c>
      <c r="H2537" s="18">
        <f>E2537* 0.0231686541737649</f>
        <v>2.3168654173764899E-2</v>
      </c>
    </row>
    <row r="2538" spans="1:8" ht="15.75" hidden="1" customHeight="1" x14ac:dyDescent="0.25">
      <c r="A2538" s="15" t="s">
        <v>224</v>
      </c>
      <c r="B2538" s="11" t="s">
        <v>271</v>
      </c>
      <c r="C2538" s="15"/>
      <c r="D2538" s="16" t="s">
        <v>18</v>
      </c>
      <c r="E2538" s="23">
        <v>83</v>
      </c>
      <c r="F2538" s="18">
        <f>E2538* 0.893702527830246</f>
        <v>74.177309809910412</v>
      </c>
      <c r="G2538" s="18">
        <f>E2538* 0.0946831169875015</f>
        <v>7.8586987099626242</v>
      </c>
      <c r="H2538" s="18">
        <f>E2538* 0.0116143551822529</f>
        <v>0.96399148012699065</v>
      </c>
    </row>
    <row r="2539" spans="1:8" ht="15.75" hidden="1" customHeight="1" x14ac:dyDescent="0.25">
      <c r="A2539" s="15" t="s">
        <v>224</v>
      </c>
      <c r="B2539" s="11" t="s">
        <v>271</v>
      </c>
      <c r="C2539" s="15"/>
      <c r="D2539" s="16" t="s">
        <v>35</v>
      </c>
      <c r="E2539" s="23">
        <v>0</v>
      </c>
      <c r="F2539" s="20">
        <v>0</v>
      </c>
      <c r="G2539" s="24">
        <f>E2539</f>
        <v>0</v>
      </c>
      <c r="H2539" s="20">
        <v>0</v>
      </c>
    </row>
    <row r="2540" spans="1:8" ht="15.75" hidden="1" customHeight="1" x14ac:dyDescent="0.25">
      <c r="A2540" s="15" t="s">
        <v>224</v>
      </c>
      <c r="B2540" s="11" t="s">
        <v>271</v>
      </c>
      <c r="C2540" s="15"/>
      <c r="D2540" s="16" t="s">
        <v>19</v>
      </c>
      <c r="E2540" s="23">
        <v>2</v>
      </c>
      <c r="F2540" s="18">
        <f>E2540* 0.0299845873616365</f>
        <v>5.9969174723272997E-2</v>
      </c>
      <c r="G2540" s="18">
        <f>E2540* 0.96385035729298</f>
        <v>1.9277007145859599</v>
      </c>
      <c r="H2540" s="18">
        <f>E2540* 0.00616505534538321</f>
        <v>1.233011069076642E-2</v>
      </c>
    </row>
    <row r="2541" spans="1:8" ht="15.75" hidden="1" customHeight="1" x14ac:dyDescent="0.25">
      <c r="A2541" s="15" t="s">
        <v>224</v>
      </c>
      <c r="B2541" s="11" t="s">
        <v>271</v>
      </c>
      <c r="C2541" s="15"/>
      <c r="D2541" s="16" t="s">
        <v>20</v>
      </c>
      <c r="E2541" s="23">
        <v>4</v>
      </c>
      <c r="F2541" s="18">
        <f>E2541* 0.734251968503937</f>
        <v>2.9370078740157481</v>
      </c>
      <c r="G2541" s="18">
        <f>E2541* 0.158017179670723</f>
        <v>0.63206871868289205</v>
      </c>
      <c r="H2541" s="18">
        <f>E2541* 0.107551896921976</f>
        <v>0.43020758768790401</v>
      </c>
    </row>
    <row r="2542" spans="1:8" ht="15.75" hidden="1" customHeight="1" x14ac:dyDescent="0.25">
      <c r="A2542" s="15" t="s">
        <v>224</v>
      </c>
      <c r="B2542" s="11" t="s">
        <v>271</v>
      </c>
      <c r="C2542" s="15"/>
      <c r="D2542" s="16" t="s">
        <v>21</v>
      </c>
      <c r="E2542" s="23">
        <v>950</v>
      </c>
      <c r="F2542" s="18">
        <f>E2542* 0.999727092353423</f>
        <v>949.74073773575185</v>
      </c>
      <c r="G2542" s="18">
        <f>E2542* 0.0000516311763794744</f>
        <v>4.9049617560500684E-2</v>
      </c>
      <c r="H2542" s="18">
        <f>E2542* 0.000132765882118648</f>
        <v>0.12612758801271559</v>
      </c>
    </row>
    <row r="2543" spans="1:8" ht="15.75" hidden="1" customHeight="1" x14ac:dyDescent="0.25">
      <c r="A2543" s="15" t="s">
        <v>224</v>
      </c>
      <c r="B2543" s="11" t="s">
        <v>271</v>
      </c>
      <c r="C2543" s="15"/>
      <c r="D2543" s="16" t="s">
        <v>36</v>
      </c>
      <c r="E2543" s="23">
        <v>5</v>
      </c>
      <c r="F2543" s="18">
        <f>E2543* 0.995894428152493</f>
        <v>4.9794721407624651</v>
      </c>
      <c r="G2543" s="18">
        <f>E2543* 0.000586510263929619</f>
        <v>2.9325513196480947E-3</v>
      </c>
      <c r="H2543" s="18">
        <f>E2543* 0.00351906158357771</f>
        <v>1.7595307917888551E-2</v>
      </c>
    </row>
    <row r="2544" spans="1:8" ht="15.75" hidden="1" customHeight="1" x14ac:dyDescent="0.25">
      <c r="A2544" s="15" t="s">
        <v>224</v>
      </c>
      <c r="B2544" s="11" t="s">
        <v>271</v>
      </c>
      <c r="C2544" s="15"/>
      <c r="D2544" s="16" t="s">
        <v>37</v>
      </c>
      <c r="E2544" s="23">
        <v>1</v>
      </c>
      <c r="F2544" s="20">
        <v>0</v>
      </c>
      <c r="G2544" s="24">
        <f>E2544</f>
        <v>1</v>
      </c>
      <c r="H2544" s="20">
        <v>0</v>
      </c>
    </row>
    <row r="2545" spans="1:8" ht="15.75" hidden="1" customHeight="1" x14ac:dyDescent="0.25">
      <c r="A2545" s="15" t="s">
        <v>224</v>
      </c>
      <c r="B2545" s="11" t="s">
        <v>271</v>
      </c>
      <c r="C2545" s="15"/>
      <c r="D2545" s="16" t="s">
        <v>28</v>
      </c>
      <c r="E2545" s="23">
        <v>1</v>
      </c>
      <c r="F2545" s="18">
        <f>E2545* 0.00302222222222222</f>
        <v>3.02222222222222E-3</v>
      </c>
      <c r="G2545" s="18">
        <f>E2545* 0.996622222222222</f>
        <v>0.99662222222222197</v>
      </c>
      <c r="H2545" s="18">
        <f>E2545* 0.000355555555555556</f>
        <v>3.5555555555555601E-4</v>
      </c>
    </row>
    <row r="2546" spans="1:8" ht="15.75" hidden="1" customHeight="1" x14ac:dyDescent="0.25">
      <c r="A2546" s="15" t="s">
        <v>224</v>
      </c>
      <c r="B2546" s="11" t="s">
        <v>271</v>
      </c>
      <c r="C2546" s="15"/>
      <c r="D2546" s="16" t="s">
        <v>12</v>
      </c>
      <c r="E2546" s="23">
        <v>1142</v>
      </c>
      <c r="F2546" s="18">
        <f>E2546* 0.802335182557089</f>
        <v>916.26677848019563</v>
      </c>
      <c r="G2546" s="18">
        <f>E2546* 0.124687137143594</f>
        <v>142.39271061798436</v>
      </c>
      <c r="H2546" s="18">
        <f>E2546* 0.0729583279576829</f>
        <v>83.318410527673862</v>
      </c>
    </row>
    <row r="2547" spans="1:8" ht="15.75" hidden="1" customHeight="1" x14ac:dyDescent="0.25">
      <c r="A2547" s="15" t="s">
        <v>224</v>
      </c>
      <c r="B2547" s="8"/>
      <c r="C2547" s="8"/>
      <c r="D2547" s="9"/>
      <c r="E2547" s="29"/>
    </row>
    <row r="2548" spans="1:8" ht="15.75" hidden="1" customHeight="1" x14ac:dyDescent="0.25">
      <c r="A2548" s="15" t="s">
        <v>224</v>
      </c>
      <c r="B2548" s="11" t="s">
        <v>272</v>
      </c>
      <c r="C2548" s="12" t="str">
        <f>B2548&amp;"_"&amp;A2548</f>
        <v>Warnes_Santa Cruz</v>
      </c>
      <c r="E2548" s="22">
        <v>60416</v>
      </c>
      <c r="F2548" s="14">
        <f t="shared" ref="F2548:H2548" si="229">SUM(F2549:F2563)</f>
        <v>47149.803801741538</v>
      </c>
      <c r="G2548" s="14">
        <f t="shared" si="229"/>
        <v>10791.472162454133</v>
      </c>
      <c r="H2548" s="14">
        <f t="shared" si="229"/>
        <v>2472.2641470103372</v>
      </c>
    </row>
    <row r="2549" spans="1:8" ht="15.75" hidden="1" customHeight="1" x14ac:dyDescent="0.25">
      <c r="A2549" s="15" t="s">
        <v>224</v>
      </c>
      <c r="B2549" s="11" t="s">
        <v>272</v>
      </c>
      <c r="C2549" s="15"/>
      <c r="D2549" s="16" t="s">
        <v>14</v>
      </c>
      <c r="E2549" s="23">
        <v>0</v>
      </c>
      <c r="F2549" s="20">
        <v>0</v>
      </c>
      <c r="G2549" s="24">
        <f>E2549</f>
        <v>0</v>
      </c>
      <c r="H2549" s="20">
        <v>0</v>
      </c>
    </row>
    <row r="2550" spans="1:8" ht="15.75" hidden="1" customHeight="1" x14ac:dyDescent="0.25">
      <c r="A2550" s="15" t="s">
        <v>224</v>
      </c>
      <c r="B2550" s="11" t="s">
        <v>272</v>
      </c>
      <c r="C2550" s="15"/>
      <c r="D2550" s="16" t="s">
        <v>15</v>
      </c>
      <c r="E2550" s="23">
        <v>10589</v>
      </c>
      <c r="F2550" s="18">
        <f>E2550* 0.932303048052446</f>
        <v>9872.1569758273508</v>
      </c>
      <c r="G2550" s="18">
        <f>E2550* 0.0217058280204555</f>
        <v>229.84301290860327</v>
      </c>
      <c r="H2550" s="18">
        <f>E2550* 0.0459798598751943</f>
        <v>486.88073621843239</v>
      </c>
    </row>
    <row r="2551" spans="1:8" ht="15.75" hidden="1" customHeight="1" x14ac:dyDescent="0.25">
      <c r="A2551" s="15" t="s">
        <v>224</v>
      </c>
      <c r="B2551" s="11" t="s">
        <v>272</v>
      </c>
      <c r="C2551" s="15"/>
      <c r="D2551" s="16" t="s">
        <v>16</v>
      </c>
      <c r="E2551" s="23">
        <v>292</v>
      </c>
      <c r="F2551" s="18">
        <f>E2551* 0.293894936109797</f>
        <v>85.81732134406073</v>
      </c>
      <c r="G2551" s="18">
        <f>E2551* 0.663038334122101</f>
        <v>193.60719356365348</v>
      </c>
      <c r="H2551" s="18">
        <f>E2551* 0.0430667297681022</f>
        <v>12.575485092285842</v>
      </c>
    </row>
    <row r="2552" spans="1:8" ht="15.75" hidden="1" customHeight="1" x14ac:dyDescent="0.25">
      <c r="A2552" s="15" t="s">
        <v>224</v>
      </c>
      <c r="B2552" s="11" t="s">
        <v>272</v>
      </c>
      <c r="C2552" s="15"/>
      <c r="D2552" s="16" t="s">
        <v>11</v>
      </c>
      <c r="E2552" s="23">
        <v>4543</v>
      </c>
      <c r="F2552" s="18">
        <f>E2552* 0.083479491676667</f>
        <v>379.24733068709821</v>
      </c>
      <c r="G2552" s="18">
        <f>E2552* 0.913505030924029</f>
        <v>4150.0533554878639</v>
      </c>
      <c r="H2552" s="18">
        <f>E2552* 0.00292316686667282</f>
        <v>13.27994707529462</v>
      </c>
    </row>
    <row r="2553" spans="1:8" ht="15.75" hidden="1" customHeight="1" x14ac:dyDescent="0.25">
      <c r="A2553" s="15" t="s">
        <v>224</v>
      </c>
      <c r="B2553" s="11" t="s">
        <v>272</v>
      </c>
      <c r="C2553" s="15"/>
      <c r="D2553" s="16" t="s">
        <v>17</v>
      </c>
      <c r="E2553" s="23">
        <v>7433</v>
      </c>
      <c r="F2553" s="18">
        <f>E2553* 0.752045572242362</f>
        <v>5589.9547384774769</v>
      </c>
      <c r="G2553" s="18">
        <f>E2553* 0.185827723114103</f>
        <v>1381.2574659071277</v>
      </c>
      <c r="H2553" s="18">
        <f>E2553* 0.0620921802175039</f>
        <v>461.5311755567065</v>
      </c>
    </row>
    <row r="2554" spans="1:8" ht="15.75" hidden="1" customHeight="1" x14ac:dyDescent="0.25">
      <c r="A2554" s="15" t="s">
        <v>224</v>
      </c>
      <c r="B2554" s="11" t="s">
        <v>272</v>
      </c>
      <c r="C2554" s="15"/>
      <c r="D2554" s="16" t="s">
        <v>31</v>
      </c>
      <c r="E2554" s="23">
        <v>248</v>
      </c>
      <c r="F2554" s="18">
        <f>E2554* 0.929131175468484</f>
        <v>230.42453151618403</v>
      </c>
      <c r="G2554" s="18">
        <f>E2554* 0.0477001703577513</f>
        <v>11.829642248722323</v>
      </c>
      <c r="H2554" s="18">
        <f>E2554* 0.0231686541737649</f>
        <v>5.7458262350936948</v>
      </c>
    </row>
    <row r="2555" spans="1:8" ht="15.75" hidden="1" customHeight="1" x14ac:dyDescent="0.25">
      <c r="A2555" s="15" t="s">
        <v>224</v>
      </c>
      <c r="B2555" s="11" t="s">
        <v>272</v>
      </c>
      <c r="C2555" s="15"/>
      <c r="D2555" s="16" t="s">
        <v>18</v>
      </c>
      <c r="E2555" s="23">
        <v>2155</v>
      </c>
      <c r="F2555" s="18">
        <f>E2555* 0.893702527830246</f>
        <v>1925.9289474741799</v>
      </c>
      <c r="G2555" s="18">
        <f>E2555* 0.0946831169875015</f>
        <v>204.04211710806572</v>
      </c>
      <c r="H2555" s="18">
        <f>E2555* 0.0116143551822529</f>
        <v>25.028935417755001</v>
      </c>
    </row>
    <row r="2556" spans="1:8" ht="15.75" hidden="1" customHeight="1" x14ac:dyDescent="0.25">
      <c r="A2556" s="15" t="s">
        <v>224</v>
      </c>
      <c r="B2556" s="11" t="s">
        <v>272</v>
      </c>
      <c r="C2556" s="15"/>
      <c r="D2556" s="16" t="s">
        <v>19</v>
      </c>
      <c r="E2556" s="23">
        <v>521</v>
      </c>
      <c r="F2556" s="18">
        <f>E2556* 0.0299845873616365</f>
        <v>15.621970015412616</v>
      </c>
      <c r="G2556" s="18">
        <f>E2556* 0.96385035729298</f>
        <v>502.16603614964254</v>
      </c>
      <c r="H2556" s="18">
        <f>E2556* 0.00616505534538321</f>
        <v>3.2119938349446522</v>
      </c>
    </row>
    <row r="2557" spans="1:8" ht="15.75" hidden="1" customHeight="1" x14ac:dyDescent="0.25">
      <c r="A2557" s="15" t="s">
        <v>224</v>
      </c>
      <c r="B2557" s="11" t="s">
        <v>272</v>
      </c>
      <c r="C2557" s="15"/>
      <c r="D2557" s="16" t="s">
        <v>20</v>
      </c>
      <c r="E2557" s="23">
        <v>890</v>
      </c>
      <c r="F2557" s="18">
        <f>E2557* 0.734251968503937</f>
        <v>653.48425196850394</v>
      </c>
      <c r="G2557" s="18">
        <f>E2557* 0.158017179670723</f>
        <v>140.63528990694348</v>
      </c>
      <c r="H2557" s="18">
        <f>E2557* 0.107551896921976</f>
        <v>95.721188260558648</v>
      </c>
    </row>
    <row r="2558" spans="1:8" ht="15.75" hidden="1" customHeight="1" x14ac:dyDescent="0.25">
      <c r="A2558" s="15" t="s">
        <v>224</v>
      </c>
      <c r="B2558" s="11" t="s">
        <v>272</v>
      </c>
      <c r="C2558" s="15"/>
      <c r="D2558" s="16" t="s">
        <v>21</v>
      </c>
      <c r="E2558" s="23">
        <v>12919</v>
      </c>
      <c r="F2558" s="18">
        <f>E2558* 0.999727092353423</f>
        <v>12915.474306113872</v>
      </c>
      <c r="G2558" s="18">
        <f>E2558* 0.0000516311763794744</f>
        <v>0.66702316764642977</v>
      </c>
      <c r="H2558" s="18">
        <f>E2558* 0.000132765882118648</f>
        <v>1.7152024310908136</v>
      </c>
    </row>
    <row r="2559" spans="1:8" ht="15.75" hidden="1" customHeight="1" x14ac:dyDescent="0.25">
      <c r="A2559" s="15" t="s">
        <v>224</v>
      </c>
      <c r="B2559" s="11" t="s">
        <v>272</v>
      </c>
      <c r="C2559" s="15"/>
      <c r="D2559" s="16" t="s">
        <v>36</v>
      </c>
      <c r="E2559" s="23">
        <v>474</v>
      </c>
      <c r="F2559" s="18">
        <f>E2559* 0.995894428152493</f>
        <v>472.05395894428165</v>
      </c>
      <c r="G2559" s="18">
        <f>E2559* 0.000586510263929619</f>
        <v>0.27800586510263942</v>
      </c>
      <c r="H2559" s="18">
        <f>E2559* 0.00351906158357771</f>
        <v>1.6680351906158346</v>
      </c>
    </row>
    <row r="2560" spans="1:8" ht="15.75" hidden="1" customHeight="1" x14ac:dyDescent="0.25">
      <c r="A2560" s="15" t="s">
        <v>224</v>
      </c>
      <c r="B2560" s="11" t="s">
        <v>272</v>
      </c>
      <c r="C2560" s="15"/>
      <c r="D2560" s="16" t="s">
        <v>37</v>
      </c>
      <c r="E2560" s="23">
        <v>6</v>
      </c>
      <c r="F2560" s="20">
        <v>0</v>
      </c>
      <c r="G2560" s="24">
        <f>E2560</f>
        <v>6</v>
      </c>
      <c r="H2560" s="20">
        <v>0</v>
      </c>
    </row>
    <row r="2561" spans="1:8" ht="15.75" hidden="1" customHeight="1" x14ac:dyDescent="0.25">
      <c r="A2561" s="15" t="s">
        <v>224</v>
      </c>
      <c r="B2561" s="11" t="s">
        <v>272</v>
      </c>
      <c r="C2561" s="15"/>
      <c r="D2561" s="16" t="s">
        <v>28</v>
      </c>
      <c r="E2561" s="23">
        <v>1645</v>
      </c>
      <c r="F2561" s="18">
        <f>E2561* 0.00302222222222222</f>
        <v>4.9715555555555522</v>
      </c>
      <c r="G2561" s="18">
        <f>E2561* 0.996622222222222</f>
        <v>1639.4435555555551</v>
      </c>
      <c r="H2561" s="18">
        <f>E2561* 0.000355555555555556</f>
        <v>0.58488888888888968</v>
      </c>
    </row>
    <row r="2562" spans="1:8" ht="15.75" hidden="1" customHeight="1" x14ac:dyDescent="0.25">
      <c r="A2562" s="15" t="s">
        <v>224</v>
      </c>
      <c r="B2562" s="11" t="s">
        <v>272</v>
      </c>
      <c r="C2562" s="15"/>
      <c r="D2562" s="16" t="s">
        <v>84</v>
      </c>
      <c r="E2562" s="23">
        <v>1</v>
      </c>
      <c r="F2562" s="24">
        <f>E2562</f>
        <v>1</v>
      </c>
      <c r="G2562" s="20">
        <v>0</v>
      </c>
      <c r="H2562" s="20">
        <v>0</v>
      </c>
    </row>
    <row r="2563" spans="1:8" ht="15.75" hidden="1" customHeight="1" x14ac:dyDescent="0.25">
      <c r="A2563" s="15" t="s">
        <v>224</v>
      </c>
      <c r="B2563" s="11" t="s">
        <v>272</v>
      </c>
      <c r="C2563" s="15"/>
      <c r="D2563" s="16" t="s">
        <v>12</v>
      </c>
      <c r="E2563" s="23">
        <v>18700</v>
      </c>
      <c r="F2563" s="18">
        <f>E2563* 0.802335182557089</f>
        <v>15003.667913817564</v>
      </c>
      <c r="G2563" s="18">
        <f>E2563* 0.124687137143594</f>
        <v>2331.6494645852076</v>
      </c>
      <c r="H2563" s="18">
        <f>E2563* 0.0729583279576829</f>
        <v>1364.3207328086701</v>
      </c>
    </row>
    <row r="2564" spans="1:8" ht="15.75" hidden="1" customHeight="1" x14ac:dyDescent="0.25">
      <c r="A2564" s="15" t="s">
        <v>224</v>
      </c>
      <c r="B2564" s="8"/>
      <c r="C2564" s="8"/>
      <c r="D2564" s="9"/>
      <c r="E2564" s="29"/>
    </row>
    <row r="2565" spans="1:8" ht="15.75" hidden="1" customHeight="1" x14ac:dyDescent="0.25">
      <c r="A2565" s="15" t="s">
        <v>224</v>
      </c>
      <c r="B2565" s="11" t="s">
        <v>273</v>
      </c>
      <c r="C2565" s="12" t="str">
        <f>B2565&amp;"_"&amp;A2565</f>
        <v>Yapacaní_Santa Cruz</v>
      </c>
      <c r="E2565" s="22">
        <v>4123</v>
      </c>
      <c r="F2565" s="14">
        <f t="shared" ref="F2565:H2565" si="230">SUM(F2566:F2579)</f>
        <v>3640.8681718398871</v>
      </c>
      <c r="G2565" s="14">
        <f t="shared" si="230"/>
        <v>379.40816193712504</v>
      </c>
      <c r="H2565" s="14">
        <f t="shared" si="230"/>
        <v>102.45765470894457</v>
      </c>
    </row>
    <row r="2566" spans="1:8" ht="15.75" hidden="1" customHeight="1" x14ac:dyDescent="0.25">
      <c r="A2566" s="15" t="s">
        <v>224</v>
      </c>
      <c r="B2566" s="11" t="s">
        <v>273</v>
      </c>
      <c r="C2566" s="15"/>
      <c r="D2566" s="16" t="s">
        <v>14</v>
      </c>
      <c r="E2566" s="23">
        <v>0</v>
      </c>
      <c r="F2566" s="20">
        <v>0</v>
      </c>
      <c r="G2566" s="24">
        <f>E2566</f>
        <v>0</v>
      </c>
      <c r="H2566" s="20">
        <v>0</v>
      </c>
    </row>
    <row r="2567" spans="1:8" ht="15.75" hidden="1" customHeight="1" x14ac:dyDescent="0.25">
      <c r="A2567" s="15" t="s">
        <v>224</v>
      </c>
      <c r="B2567" s="11" t="s">
        <v>273</v>
      </c>
      <c r="C2567" s="15"/>
      <c r="D2567" s="16" t="s">
        <v>15</v>
      </c>
      <c r="E2567" s="23">
        <v>100</v>
      </c>
      <c r="F2567" s="18">
        <f>E2567* 0.932303048052446</f>
        <v>93.2303048052446</v>
      </c>
      <c r="G2567" s="18">
        <f>E2567* 0.0217058280204555</f>
        <v>2.17058280204555</v>
      </c>
      <c r="H2567" s="18">
        <f>E2567* 0.0459798598751943</f>
        <v>4.5979859875194293</v>
      </c>
    </row>
    <row r="2568" spans="1:8" ht="15.75" hidden="1" customHeight="1" x14ac:dyDescent="0.25">
      <c r="A2568" s="15" t="s">
        <v>224</v>
      </c>
      <c r="B2568" s="11" t="s">
        <v>273</v>
      </c>
      <c r="C2568" s="15"/>
      <c r="D2568" s="16" t="s">
        <v>16</v>
      </c>
      <c r="E2568" s="23">
        <v>3</v>
      </c>
      <c r="F2568" s="18">
        <f>E2568* 0.293894936109797</f>
        <v>0.881684808329391</v>
      </c>
      <c r="G2568" s="18">
        <f>E2568* 0.663038334122101</f>
        <v>1.9891150023663031</v>
      </c>
      <c r="H2568" s="18">
        <f>E2568* 0.0430667297681022</f>
        <v>0.1292001893043066</v>
      </c>
    </row>
    <row r="2569" spans="1:8" ht="15.75" hidden="1" customHeight="1" x14ac:dyDescent="0.25">
      <c r="A2569" s="15" t="s">
        <v>224</v>
      </c>
      <c r="B2569" s="11" t="s">
        <v>273</v>
      </c>
      <c r="C2569" s="15"/>
      <c r="D2569" s="16" t="s">
        <v>11</v>
      </c>
      <c r="E2569" s="23">
        <v>187</v>
      </c>
      <c r="F2569" s="18">
        <f>E2569* 0.083479491676667</f>
        <v>15.61066494353673</v>
      </c>
      <c r="G2569" s="18">
        <f>E2569* 0.913505030924029</f>
        <v>170.82544078279344</v>
      </c>
      <c r="H2569" s="18">
        <f>E2569* 0.00292316686667282</f>
        <v>0.54663220406781732</v>
      </c>
    </row>
    <row r="2570" spans="1:8" ht="15.75" hidden="1" customHeight="1" x14ac:dyDescent="0.25">
      <c r="A2570" s="15" t="s">
        <v>224</v>
      </c>
      <c r="B2570" s="11" t="s">
        <v>273</v>
      </c>
      <c r="C2570" s="15"/>
      <c r="D2570" s="16" t="s">
        <v>17</v>
      </c>
      <c r="E2570" s="23">
        <v>193</v>
      </c>
      <c r="F2570" s="18">
        <f>E2570* 0.752045572242362</f>
        <v>145.14479544277586</v>
      </c>
      <c r="G2570" s="18">
        <f>E2570* 0.185827723114103</f>
        <v>35.864750561021879</v>
      </c>
      <c r="H2570" s="18">
        <f>E2570* 0.0620921802175039</f>
        <v>11.983790781978254</v>
      </c>
    </row>
    <row r="2571" spans="1:8" ht="15.75" hidden="1" customHeight="1" x14ac:dyDescent="0.25">
      <c r="A2571" s="15" t="s">
        <v>224</v>
      </c>
      <c r="B2571" s="11" t="s">
        <v>273</v>
      </c>
      <c r="C2571" s="15"/>
      <c r="D2571" s="16" t="s">
        <v>31</v>
      </c>
      <c r="E2571" s="23">
        <v>9</v>
      </c>
      <c r="F2571" s="18">
        <f>E2571* 0.929131175468484</f>
        <v>8.3621805792163553</v>
      </c>
      <c r="G2571" s="18">
        <f>E2571* 0.0477001703577513</f>
        <v>0.42930153321976172</v>
      </c>
      <c r="H2571" s="18">
        <f>E2571* 0.0231686541737649</f>
        <v>0.20851788756388409</v>
      </c>
    </row>
    <row r="2572" spans="1:8" ht="15.75" hidden="1" customHeight="1" x14ac:dyDescent="0.25">
      <c r="A2572" s="15" t="s">
        <v>224</v>
      </c>
      <c r="B2572" s="11" t="s">
        <v>273</v>
      </c>
      <c r="C2572" s="15"/>
      <c r="D2572" s="16" t="s">
        <v>18</v>
      </c>
      <c r="E2572" s="23">
        <v>34</v>
      </c>
      <c r="F2572" s="18">
        <f>E2572* 0.893702527830246</f>
        <v>30.385885946228363</v>
      </c>
      <c r="G2572" s="18">
        <f>E2572* 0.0946831169875015</f>
        <v>3.2192259775750509</v>
      </c>
      <c r="H2572" s="18">
        <f>E2572* 0.0116143551822529</f>
        <v>0.3948880761965986</v>
      </c>
    </row>
    <row r="2573" spans="1:8" ht="15.75" hidden="1" customHeight="1" x14ac:dyDescent="0.25">
      <c r="A2573" s="15" t="s">
        <v>224</v>
      </c>
      <c r="B2573" s="11" t="s">
        <v>273</v>
      </c>
      <c r="C2573" s="15"/>
      <c r="D2573" s="16" t="s">
        <v>35</v>
      </c>
      <c r="E2573" s="23">
        <v>0</v>
      </c>
      <c r="F2573" s="20">
        <v>0</v>
      </c>
      <c r="G2573" s="24">
        <f>E2573</f>
        <v>0</v>
      </c>
      <c r="H2573" s="20">
        <v>0</v>
      </c>
    </row>
    <row r="2574" spans="1:8" ht="15.75" hidden="1" customHeight="1" x14ac:dyDescent="0.25">
      <c r="A2574" s="15" t="s">
        <v>224</v>
      </c>
      <c r="B2574" s="11" t="s">
        <v>273</v>
      </c>
      <c r="C2574" s="15"/>
      <c r="D2574" s="16" t="s">
        <v>19</v>
      </c>
      <c r="E2574" s="23">
        <v>13</v>
      </c>
      <c r="F2574" s="18">
        <f>E2574* 0.0299845873616365</f>
        <v>0.38979963570127446</v>
      </c>
      <c r="G2574" s="18">
        <f>E2574* 0.96385035729298</f>
        <v>12.53005464480874</v>
      </c>
      <c r="H2574" s="18">
        <f>E2574* 0.00616505534538321</f>
        <v>8.0145719489981726E-2</v>
      </c>
    </row>
    <row r="2575" spans="1:8" ht="15.75" hidden="1" customHeight="1" x14ac:dyDescent="0.25">
      <c r="A2575" s="15" t="s">
        <v>224</v>
      </c>
      <c r="B2575" s="11" t="s">
        <v>273</v>
      </c>
      <c r="C2575" s="15"/>
      <c r="D2575" s="16" t="s">
        <v>20</v>
      </c>
      <c r="E2575" s="23">
        <v>23</v>
      </c>
      <c r="F2575" s="18">
        <f>E2575* 0.734251968503937</f>
        <v>16.887795275590552</v>
      </c>
      <c r="G2575" s="18">
        <f>E2575* 0.158017179670723</f>
        <v>3.6343951324266293</v>
      </c>
      <c r="H2575" s="18">
        <f>E2575* 0.107551896921976</f>
        <v>2.4736936292054481</v>
      </c>
    </row>
    <row r="2576" spans="1:8" ht="15.75" hidden="1" customHeight="1" x14ac:dyDescent="0.25">
      <c r="A2576" s="15" t="s">
        <v>224</v>
      </c>
      <c r="B2576" s="11" t="s">
        <v>273</v>
      </c>
      <c r="C2576" s="15"/>
      <c r="D2576" s="16" t="s">
        <v>21</v>
      </c>
      <c r="E2576" s="23">
        <v>2431</v>
      </c>
      <c r="F2576" s="18">
        <f>E2576* 0.999727092353423</f>
        <v>2430.3365615111716</v>
      </c>
      <c r="G2576" s="18">
        <f>E2576* 0.0000516311763794744</f>
        <v>0.12551538977850227</v>
      </c>
      <c r="H2576" s="18">
        <f>E2576* 0.000132765882118648</f>
        <v>0.32275385943043328</v>
      </c>
    </row>
    <row r="2577" spans="1:8" ht="15.75" hidden="1" customHeight="1" x14ac:dyDescent="0.25">
      <c r="A2577" s="15" t="s">
        <v>224</v>
      </c>
      <c r="B2577" s="11" t="s">
        <v>273</v>
      </c>
      <c r="C2577" s="15"/>
      <c r="D2577" s="16" t="s">
        <v>36</v>
      </c>
      <c r="E2577" s="23">
        <v>1</v>
      </c>
      <c r="F2577" s="18">
        <f>E2577* 0.995894428152493</f>
        <v>0.99589442815249296</v>
      </c>
      <c r="G2577" s="18">
        <f>E2577* 0.000586510263929619</f>
        <v>5.8651026392961898E-4</v>
      </c>
      <c r="H2577" s="18">
        <f>E2577* 0.00351906158357771</f>
        <v>3.51906158357771E-3</v>
      </c>
    </row>
    <row r="2578" spans="1:8" ht="15.75" hidden="1" customHeight="1" x14ac:dyDescent="0.25">
      <c r="A2578" s="15" t="s">
        <v>224</v>
      </c>
      <c r="B2578" s="11" t="s">
        <v>273</v>
      </c>
      <c r="C2578" s="15"/>
      <c r="D2578" s="16" t="s">
        <v>28</v>
      </c>
      <c r="E2578" s="23">
        <v>9</v>
      </c>
      <c r="F2578" s="18">
        <f>E2578* 0.00302222222222222</f>
        <v>2.7199999999999981E-2</v>
      </c>
      <c r="G2578" s="18">
        <f>E2578* 0.996622222222222</f>
        <v>8.969599999999998</v>
      </c>
      <c r="H2578" s="18">
        <f>E2578* 0.000355555555555556</f>
        <v>3.2000000000000041E-3</v>
      </c>
    </row>
    <row r="2579" spans="1:8" ht="15.75" hidden="1" customHeight="1" x14ac:dyDescent="0.25">
      <c r="A2579" s="15" t="s">
        <v>224</v>
      </c>
      <c r="B2579" s="11" t="s">
        <v>273</v>
      </c>
      <c r="C2579" s="15"/>
      <c r="D2579" s="25" t="s">
        <v>12</v>
      </c>
      <c r="E2579" s="27">
        <v>1120</v>
      </c>
      <c r="F2579" s="18">
        <f>E2579* 0.802335182557089</f>
        <v>898.61540446393974</v>
      </c>
      <c r="G2579" s="18">
        <f>E2579* 0.124687137143594</f>
        <v>139.64959360082528</v>
      </c>
      <c r="H2579" s="18">
        <f>E2579* 0.0729583279576829</f>
        <v>81.713327312604846</v>
      </c>
    </row>
    <row r="2580" spans="1:8" ht="15.75" hidden="1" customHeight="1" x14ac:dyDescent="0.25">
      <c r="A2580" s="15" t="s">
        <v>274</v>
      </c>
      <c r="B2580" s="11" t="s">
        <v>275</v>
      </c>
      <c r="C2580" s="12" t="str">
        <f>B2580&amp;"_"&amp;A2580</f>
        <v>Puerto Guayaramerín_Beni</v>
      </c>
      <c r="E2580" s="22">
        <v>7</v>
      </c>
      <c r="F2580" s="14">
        <f t="shared" ref="F2580:H2580" si="231">SUM(F2581:F2584)</f>
        <v>2.7191060191473579</v>
      </c>
      <c r="G2580" s="14">
        <f t="shared" si="231"/>
        <v>4.2082381492468297</v>
      </c>
      <c r="H2580" s="14">
        <f t="shared" si="231"/>
        <v>7.2655831605810961E-2</v>
      </c>
    </row>
    <row r="2581" spans="1:8" ht="15.75" hidden="1" customHeight="1" x14ac:dyDescent="0.25">
      <c r="A2581" s="15" t="s">
        <v>274</v>
      </c>
      <c r="B2581" s="11" t="s">
        <v>275</v>
      </c>
      <c r="C2581" s="15"/>
      <c r="D2581" s="31" t="s">
        <v>11</v>
      </c>
      <c r="E2581" s="32">
        <v>4</v>
      </c>
      <c r="F2581" s="18">
        <f>E2581* 0.0786924939467312</f>
        <v>0.31476997578692478</v>
      </c>
      <c r="G2581" s="18">
        <f>E2581* 0.920096852300242</f>
        <v>3.6803874092009679</v>
      </c>
      <c r="H2581" s="18">
        <f>E2581* 0.00121065375302663</f>
        <v>4.8426150121065204E-3</v>
      </c>
    </row>
    <row r="2582" spans="1:8" ht="15.75" hidden="1" customHeight="1" x14ac:dyDescent="0.25">
      <c r="A2582" s="15" t="s">
        <v>274</v>
      </c>
      <c r="B2582" s="11" t="s">
        <v>275</v>
      </c>
      <c r="C2582" s="15"/>
      <c r="D2582" s="31" t="s">
        <v>17</v>
      </c>
      <c r="E2582" s="32">
        <v>2</v>
      </c>
      <c r="F2582" s="18">
        <f>E2582* 0.746612466124661</f>
        <v>1.4932249322493221</v>
      </c>
      <c r="G2582" s="18">
        <f>E2582* 0.22289972899729</f>
        <v>0.44579945799457998</v>
      </c>
      <c r="H2582" s="18">
        <f>E2582* 0.0304878048780488</f>
        <v>6.0975609756097601E-2</v>
      </c>
    </row>
    <row r="2583" spans="1:8" ht="15.75" hidden="1" customHeight="1" x14ac:dyDescent="0.25">
      <c r="A2583" s="15" t="s">
        <v>274</v>
      </c>
      <c r="B2583" s="11" t="s">
        <v>275</v>
      </c>
      <c r="C2583" s="15"/>
      <c r="D2583" s="31" t="s">
        <v>18</v>
      </c>
      <c r="E2583" s="32">
        <v>1</v>
      </c>
      <c r="F2583" s="18">
        <f>E2583* 0.911111111111111</f>
        <v>0.91111111111111098</v>
      </c>
      <c r="G2583" s="18">
        <f>E2583* 0.0820512820512821</f>
        <v>8.2051282051282107E-2</v>
      </c>
      <c r="H2583" s="18">
        <f>E2583* 0.00683760683760684</f>
        <v>6.8376068376068402E-3</v>
      </c>
    </row>
    <row r="2584" spans="1:8" ht="15.75" hidden="1" customHeight="1" x14ac:dyDescent="0.25">
      <c r="A2584" s="15" t="s">
        <v>274</v>
      </c>
      <c r="B2584" s="11" t="s">
        <v>275</v>
      </c>
      <c r="C2584" s="15"/>
      <c r="D2584" s="31" t="s">
        <v>12</v>
      </c>
      <c r="E2584" s="32">
        <v>0</v>
      </c>
      <c r="F2584" s="18">
        <f>E2584* 0.8188894654904</f>
        <v>0</v>
      </c>
      <c r="G2584" s="18">
        <f>E2584* 0.155682407887909</f>
        <v>0</v>
      </c>
      <c r="H2584" s="18">
        <f>E2584* 0.0254281266216918</f>
        <v>0</v>
      </c>
    </row>
    <row r="2585" spans="1:8" ht="15.75" hidden="1" customHeight="1" x14ac:dyDescent="0.25">
      <c r="A2585" s="15" t="s">
        <v>274</v>
      </c>
      <c r="B2585" s="33"/>
      <c r="C2585" s="33"/>
      <c r="D2585" s="34"/>
      <c r="E2585" s="35"/>
    </row>
    <row r="2586" spans="1:8" ht="15.75" hidden="1" customHeight="1" x14ac:dyDescent="0.25">
      <c r="A2586" s="15" t="s">
        <v>274</v>
      </c>
      <c r="B2586" s="11" t="s">
        <v>276</v>
      </c>
      <c r="C2586" s="12" t="str">
        <f>B2586&amp;"_"&amp;A2586</f>
        <v>Puerto Rurrenabaque_Beni</v>
      </c>
      <c r="E2586" s="22">
        <v>435</v>
      </c>
      <c r="F2586" s="14">
        <f t="shared" ref="F2586:H2586" si="232">SUM(F2587:F2596)</f>
        <v>427.68090252522052</v>
      </c>
      <c r="G2586" s="14">
        <f t="shared" si="232"/>
        <v>6.5740250418380484</v>
      </c>
      <c r="H2586" s="14">
        <f t="shared" si="232"/>
        <v>0.54414229178252937</v>
      </c>
    </row>
    <row r="2587" spans="1:8" ht="15.75" hidden="1" customHeight="1" x14ac:dyDescent="0.25">
      <c r="A2587" s="15" t="s">
        <v>274</v>
      </c>
      <c r="B2587" s="11" t="s">
        <v>276</v>
      </c>
      <c r="C2587" s="15"/>
      <c r="D2587" s="31" t="s">
        <v>14</v>
      </c>
      <c r="E2587" s="32">
        <v>0</v>
      </c>
      <c r="F2587" s="20">
        <v>0</v>
      </c>
      <c r="G2587" s="24">
        <f>E2587</f>
        <v>0</v>
      </c>
      <c r="H2587" s="20">
        <v>0</v>
      </c>
    </row>
    <row r="2588" spans="1:8" ht="15.75" hidden="1" customHeight="1" x14ac:dyDescent="0.25">
      <c r="A2588" s="15" t="s">
        <v>274</v>
      </c>
      <c r="B2588" s="11" t="s">
        <v>276</v>
      </c>
      <c r="C2588" s="15"/>
      <c r="D2588" s="31" t="s">
        <v>15</v>
      </c>
      <c r="E2588" s="32">
        <v>1</v>
      </c>
      <c r="F2588" s="18">
        <f>E2588* 0.978622327790974</f>
        <v>0.97862232779097402</v>
      </c>
      <c r="G2588" s="18">
        <f>E2588* 0.0130641330166271</f>
        <v>1.3064133016627099E-2</v>
      </c>
      <c r="H2588" s="18">
        <f>E2588* 0.00831353919239905</f>
        <v>8.3135391923990498E-3</v>
      </c>
    </row>
    <row r="2589" spans="1:8" ht="15.75" hidden="1" customHeight="1" x14ac:dyDescent="0.25">
      <c r="A2589" s="15" t="s">
        <v>274</v>
      </c>
      <c r="B2589" s="11" t="s">
        <v>276</v>
      </c>
      <c r="C2589" s="15"/>
      <c r="D2589" s="31" t="s">
        <v>11</v>
      </c>
      <c r="E2589" s="32">
        <v>3</v>
      </c>
      <c r="F2589" s="18">
        <f>E2589* 0.0786924939467312</f>
        <v>0.23607748184019359</v>
      </c>
      <c r="G2589" s="18">
        <f>E2589* 0.920096852300242</f>
        <v>2.7602905569007259</v>
      </c>
      <c r="H2589" s="18">
        <f>E2589* 0.00121065375302663</f>
        <v>3.6319612590798903E-3</v>
      </c>
    </row>
    <row r="2590" spans="1:8" ht="15.75" hidden="1" customHeight="1" x14ac:dyDescent="0.25">
      <c r="A2590" s="15" t="s">
        <v>274</v>
      </c>
      <c r="B2590" s="11" t="s">
        <v>276</v>
      </c>
      <c r="C2590" s="15"/>
      <c r="D2590" s="31" t="s">
        <v>17</v>
      </c>
      <c r="E2590" s="32">
        <v>3</v>
      </c>
      <c r="F2590" s="18">
        <f>E2590* 0.746612466124661</f>
        <v>2.2398373983739832</v>
      </c>
      <c r="G2590" s="18">
        <f>E2590* 0.22289972899729</f>
        <v>0.66869918699186992</v>
      </c>
      <c r="H2590" s="18">
        <f>E2590* 0.0304878048780488</f>
        <v>9.1463414634146395E-2</v>
      </c>
    </row>
    <row r="2591" spans="1:8" ht="15.75" hidden="1" customHeight="1" x14ac:dyDescent="0.25">
      <c r="A2591" s="15" t="s">
        <v>274</v>
      </c>
      <c r="B2591" s="11" t="s">
        <v>276</v>
      </c>
      <c r="C2591" s="15"/>
      <c r="D2591" s="31" t="s">
        <v>31</v>
      </c>
      <c r="E2591" s="32">
        <v>1</v>
      </c>
      <c r="F2591" s="18">
        <f>E2591* 0.771428571428572</f>
        <v>0.77142857142857202</v>
      </c>
      <c r="G2591" s="18">
        <f>E2591* 0.228571428571429</f>
        <v>0.22857142857142901</v>
      </c>
      <c r="H2591" s="20">
        <v>0</v>
      </c>
    </row>
    <row r="2592" spans="1:8" ht="15.75" hidden="1" customHeight="1" x14ac:dyDescent="0.25">
      <c r="A2592" s="15" t="s">
        <v>274</v>
      </c>
      <c r="B2592" s="11" t="s">
        <v>276</v>
      </c>
      <c r="C2592" s="15"/>
      <c r="D2592" s="31" t="s">
        <v>18</v>
      </c>
      <c r="E2592" s="32">
        <v>2</v>
      </c>
      <c r="F2592" s="18">
        <f>E2592* 0.911111111111111</f>
        <v>1.822222222222222</v>
      </c>
      <c r="G2592" s="18">
        <f>E2592* 0.0820512820512821</f>
        <v>0.16410256410256421</v>
      </c>
      <c r="H2592" s="18">
        <f>E2592* 0.00683760683760684</f>
        <v>1.367521367521368E-2</v>
      </c>
    </row>
    <row r="2593" spans="1:8" ht="15.75" hidden="1" customHeight="1" x14ac:dyDescent="0.25">
      <c r="A2593" s="15" t="s">
        <v>274</v>
      </c>
      <c r="B2593" s="11" t="s">
        <v>276</v>
      </c>
      <c r="C2593" s="15"/>
      <c r="D2593" s="31" t="s">
        <v>21</v>
      </c>
      <c r="E2593" s="32">
        <v>409</v>
      </c>
      <c r="F2593" s="18">
        <f>E2593* 0.999082959420954</f>
        <v>408.6249304031702</v>
      </c>
      <c r="G2593" s="18">
        <f>E2593* 0.0000655028985032588</f>
        <v>2.6790685487832849E-2</v>
      </c>
      <c r="H2593" s="18">
        <f>E2593* 0.000360265941767923</f>
        <v>0.14734877018308051</v>
      </c>
    </row>
    <row r="2594" spans="1:8" ht="15.75" hidden="1" customHeight="1" x14ac:dyDescent="0.25">
      <c r="A2594" s="15" t="s">
        <v>274</v>
      </c>
      <c r="B2594" s="11" t="s">
        <v>276</v>
      </c>
      <c r="C2594" s="15"/>
      <c r="D2594" s="31" t="s">
        <v>36</v>
      </c>
      <c r="E2594" s="32">
        <v>4</v>
      </c>
      <c r="F2594" s="24">
        <f>E2594</f>
        <v>4</v>
      </c>
      <c r="G2594" s="20">
        <v>0</v>
      </c>
      <c r="H2594" s="20">
        <v>0</v>
      </c>
    </row>
    <row r="2595" spans="1:8" ht="15.75" hidden="1" customHeight="1" x14ac:dyDescent="0.25">
      <c r="A2595" s="15" t="s">
        <v>274</v>
      </c>
      <c r="B2595" s="11" t="s">
        <v>276</v>
      </c>
      <c r="C2595" s="15"/>
      <c r="D2595" s="31" t="s">
        <v>84</v>
      </c>
      <c r="E2595" s="32">
        <v>1</v>
      </c>
      <c r="F2595" s="20">
        <v>0</v>
      </c>
      <c r="G2595" s="24">
        <f>E2595</f>
        <v>1</v>
      </c>
      <c r="H2595" s="20">
        <v>0</v>
      </c>
    </row>
    <row r="2596" spans="1:8" ht="15.75" hidden="1" customHeight="1" x14ac:dyDescent="0.25">
      <c r="A2596" s="15" t="s">
        <v>274</v>
      </c>
      <c r="B2596" s="11" t="s">
        <v>276</v>
      </c>
      <c r="C2596" s="15"/>
      <c r="D2596" s="31" t="s">
        <v>12</v>
      </c>
      <c r="E2596" s="32">
        <v>11</v>
      </c>
      <c r="F2596" s="18">
        <f>E2596* 0.8188894654904</f>
        <v>9.0077841203943994</v>
      </c>
      <c r="G2596" s="18">
        <f>E2596* 0.155682407887909</f>
        <v>1.712506486766999</v>
      </c>
      <c r="H2596" s="18">
        <f>E2596* 0.0254281266216918</f>
        <v>0.27970939283860979</v>
      </c>
    </row>
    <row r="2597" spans="1:8" ht="15.75" hidden="1" customHeight="1" x14ac:dyDescent="0.25">
      <c r="A2597" s="15" t="s">
        <v>274</v>
      </c>
      <c r="B2597" s="36"/>
      <c r="C2597" s="36"/>
      <c r="D2597" s="31"/>
      <c r="E2597" s="35"/>
    </row>
    <row r="2598" spans="1:8" ht="15.75" hidden="1" customHeight="1" x14ac:dyDescent="0.25">
      <c r="A2598" s="15" t="s">
        <v>274</v>
      </c>
      <c r="B2598" s="11" t="s">
        <v>277</v>
      </c>
      <c r="C2598" s="12" t="str">
        <f>B2598&amp;"_"&amp;A2598</f>
        <v>Riberalta_Beni</v>
      </c>
      <c r="E2598" s="22">
        <v>3627</v>
      </c>
      <c r="F2598" s="14">
        <f t="shared" ref="F2598:H2598" si="233">SUM(F2599:F2610)</f>
        <v>3551.1233950728802</v>
      </c>
      <c r="G2598" s="14">
        <f t="shared" si="233"/>
        <v>69.346591579522311</v>
      </c>
      <c r="H2598" s="14">
        <f t="shared" si="233"/>
        <v>4.8513378162039169</v>
      </c>
    </row>
    <row r="2599" spans="1:8" ht="15.75" hidden="1" customHeight="1" x14ac:dyDescent="0.25">
      <c r="A2599" s="15" t="s">
        <v>274</v>
      </c>
      <c r="B2599" s="11" t="s">
        <v>277</v>
      </c>
      <c r="C2599" s="15"/>
      <c r="D2599" s="31" t="s">
        <v>15</v>
      </c>
      <c r="E2599" s="32">
        <v>19</v>
      </c>
      <c r="F2599" s="18">
        <f>E2599* 0.978622327790974</f>
        <v>18.593824228028506</v>
      </c>
      <c r="G2599" s="18">
        <f>E2599* 0.0130641330166271</f>
        <v>0.2482185273159149</v>
      </c>
      <c r="H2599" s="18">
        <f>E2599* 0.00831353919239905</f>
        <v>0.15795724465558195</v>
      </c>
    </row>
    <row r="2600" spans="1:8" ht="15.75" hidden="1" customHeight="1" x14ac:dyDescent="0.25">
      <c r="A2600" s="15" t="s">
        <v>274</v>
      </c>
      <c r="B2600" s="11" t="s">
        <v>277</v>
      </c>
      <c r="C2600" s="15"/>
      <c r="D2600" s="31" t="s">
        <v>16</v>
      </c>
      <c r="E2600" s="32">
        <v>2</v>
      </c>
      <c r="F2600" s="18">
        <f>E2600* 0.416666666666667</f>
        <v>0.83333333333333404</v>
      </c>
      <c r="G2600" s="18">
        <f>E2600* 0.583333333333333</f>
        <v>1.1666666666666661</v>
      </c>
      <c r="H2600" s="20">
        <v>0</v>
      </c>
    </row>
    <row r="2601" spans="1:8" ht="15.75" hidden="1" customHeight="1" x14ac:dyDescent="0.25">
      <c r="A2601" s="15" t="s">
        <v>274</v>
      </c>
      <c r="B2601" s="11" t="s">
        <v>277</v>
      </c>
      <c r="C2601" s="15"/>
      <c r="D2601" s="31" t="s">
        <v>11</v>
      </c>
      <c r="E2601" s="32">
        <v>47</v>
      </c>
      <c r="F2601" s="18">
        <f>E2601* 0.0786924939467312</f>
        <v>3.6985472154963661</v>
      </c>
      <c r="G2601" s="18">
        <f>E2601* 0.920096852300242</f>
        <v>43.244552058111374</v>
      </c>
      <c r="H2601" s="18">
        <f>E2601* 0.00121065375302663</f>
        <v>5.6900726392251612E-2</v>
      </c>
    </row>
    <row r="2602" spans="1:8" ht="15.75" hidden="1" customHeight="1" x14ac:dyDescent="0.25">
      <c r="A2602" s="15" t="s">
        <v>274</v>
      </c>
      <c r="B2602" s="11" t="s">
        <v>277</v>
      </c>
      <c r="C2602" s="15"/>
      <c r="D2602" s="31" t="s">
        <v>17</v>
      </c>
      <c r="E2602" s="32">
        <v>53</v>
      </c>
      <c r="F2602" s="18">
        <f>E2602* 0.746612466124661</f>
        <v>39.570460704607036</v>
      </c>
      <c r="G2602" s="18">
        <f>E2602* 0.22289972899729</f>
        <v>11.81368563685637</v>
      </c>
      <c r="H2602" s="18">
        <f>E2602* 0.0304878048780488</f>
        <v>1.6158536585365864</v>
      </c>
    </row>
    <row r="2603" spans="1:8" ht="15.75" hidden="1" customHeight="1" x14ac:dyDescent="0.25">
      <c r="A2603" s="15" t="s">
        <v>274</v>
      </c>
      <c r="B2603" s="11" t="s">
        <v>277</v>
      </c>
      <c r="C2603" s="15"/>
      <c r="D2603" s="31" t="s">
        <v>31</v>
      </c>
      <c r="E2603" s="32">
        <v>1</v>
      </c>
      <c r="F2603" s="18">
        <f>E2603* 0.771428571428572</f>
        <v>0.77142857142857202</v>
      </c>
      <c r="G2603" s="18">
        <f>E2603* 0.228571428571429</f>
        <v>0.22857142857142901</v>
      </c>
      <c r="H2603" s="20">
        <v>0</v>
      </c>
    </row>
    <row r="2604" spans="1:8" ht="15.75" hidden="1" customHeight="1" x14ac:dyDescent="0.25">
      <c r="A2604" s="15" t="s">
        <v>274</v>
      </c>
      <c r="B2604" s="11" t="s">
        <v>277</v>
      </c>
      <c r="C2604" s="15"/>
      <c r="D2604" s="31" t="s">
        <v>18</v>
      </c>
      <c r="E2604" s="32">
        <v>9</v>
      </c>
      <c r="F2604" s="18">
        <f>E2604* 0.911111111111111</f>
        <v>8.1999999999999993</v>
      </c>
      <c r="G2604" s="18">
        <f>E2604* 0.0820512820512821</f>
        <v>0.73846153846153895</v>
      </c>
      <c r="H2604" s="18">
        <f>E2604* 0.00683760683760684</f>
        <v>6.1538461538461563E-2</v>
      </c>
    </row>
    <row r="2605" spans="1:8" ht="15.75" hidden="1" customHeight="1" x14ac:dyDescent="0.25">
      <c r="A2605" s="15" t="s">
        <v>274</v>
      </c>
      <c r="B2605" s="11" t="s">
        <v>277</v>
      </c>
      <c r="C2605" s="15"/>
      <c r="D2605" s="31" t="s">
        <v>35</v>
      </c>
      <c r="E2605" s="32">
        <v>0</v>
      </c>
      <c r="F2605" s="20">
        <v>0</v>
      </c>
      <c r="G2605" s="24">
        <f>E2605</f>
        <v>0</v>
      </c>
      <c r="H2605" s="20">
        <v>0</v>
      </c>
    </row>
    <row r="2606" spans="1:8" ht="15.75" hidden="1" customHeight="1" x14ac:dyDescent="0.25">
      <c r="A2606" s="15" t="s">
        <v>274</v>
      </c>
      <c r="B2606" s="11" t="s">
        <v>277</v>
      </c>
      <c r="C2606" s="15"/>
      <c r="D2606" s="31" t="s">
        <v>20</v>
      </c>
      <c r="E2606" s="32">
        <v>4</v>
      </c>
      <c r="F2606" s="18">
        <f>E2606* 0.454545454545455</f>
        <v>1.8181818181818199</v>
      </c>
      <c r="G2606" s="18">
        <f>E2606* 0.507575757575758</f>
        <v>2.0303030303030321</v>
      </c>
      <c r="H2606" s="18">
        <f>E2606* 0.0378787878787879</f>
        <v>0.1515151515151516</v>
      </c>
    </row>
    <row r="2607" spans="1:8" ht="15.75" hidden="1" customHeight="1" x14ac:dyDescent="0.25">
      <c r="A2607" s="15" t="s">
        <v>274</v>
      </c>
      <c r="B2607" s="11" t="s">
        <v>277</v>
      </c>
      <c r="C2607" s="15"/>
      <c r="D2607" s="31" t="s">
        <v>21</v>
      </c>
      <c r="E2607" s="32">
        <v>3417</v>
      </c>
      <c r="F2607" s="18">
        <f>E2607* 0.999082959420954</f>
        <v>3413.8664723413999</v>
      </c>
      <c r="G2607" s="18">
        <f>E2607* 0.0000655028985032588</f>
        <v>0.22382340418563532</v>
      </c>
      <c r="H2607" s="18">
        <f>E2607* 0.000360265941767923</f>
        <v>1.2310287230209929</v>
      </c>
    </row>
    <row r="2608" spans="1:8" ht="15.75" hidden="1" customHeight="1" x14ac:dyDescent="0.25">
      <c r="A2608" s="15" t="s">
        <v>274</v>
      </c>
      <c r="B2608" s="11" t="s">
        <v>277</v>
      </c>
      <c r="C2608" s="15"/>
      <c r="D2608" s="31" t="s">
        <v>36</v>
      </c>
      <c r="E2608" s="32">
        <v>13</v>
      </c>
      <c r="F2608" s="24">
        <f>E2608</f>
        <v>13</v>
      </c>
      <c r="G2608" s="20">
        <v>0</v>
      </c>
      <c r="H2608" s="20">
        <v>0</v>
      </c>
    </row>
    <row r="2609" spans="1:8" ht="15.75" hidden="1" customHeight="1" x14ac:dyDescent="0.25">
      <c r="A2609" s="15" t="s">
        <v>274</v>
      </c>
      <c r="B2609" s="11" t="s">
        <v>277</v>
      </c>
      <c r="C2609" s="15"/>
      <c r="D2609" s="31" t="s">
        <v>28</v>
      </c>
      <c r="E2609" s="32">
        <v>0</v>
      </c>
      <c r="F2609" s="20">
        <v>0</v>
      </c>
      <c r="G2609" s="24">
        <f>E2609</f>
        <v>0</v>
      </c>
      <c r="H2609" s="20">
        <v>0</v>
      </c>
    </row>
    <row r="2610" spans="1:8" ht="15.75" hidden="1" customHeight="1" x14ac:dyDescent="0.25">
      <c r="A2610" s="15" t="s">
        <v>274</v>
      </c>
      <c r="B2610" s="11" t="s">
        <v>277</v>
      </c>
      <c r="C2610" s="15"/>
      <c r="D2610" s="31" t="s">
        <v>12</v>
      </c>
      <c r="E2610" s="32">
        <v>62</v>
      </c>
      <c r="F2610" s="18">
        <f>E2610* 0.8188894654904</f>
        <v>50.771146860404798</v>
      </c>
      <c r="G2610" s="18">
        <f>E2610* 0.155682407887909</f>
        <v>9.6523092890503577</v>
      </c>
      <c r="H2610" s="18">
        <f>E2610* 0.0254281266216918</f>
        <v>1.5765438505448917</v>
      </c>
    </row>
    <row r="2611" spans="1:8" ht="15.75" hidden="1" customHeight="1" x14ac:dyDescent="0.25">
      <c r="A2611" s="15" t="s">
        <v>274</v>
      </c>
      <c r="B2611" s="33"/>
      <c r="C2611" s="33"/>
      <c r="D2611" s="34"/>
      <c r="E2611" s="35"/>
    </row>
    <row r="2612" spans="1:8" ht="15.75" hidden="1" customHeight="1" x14ac:dyDescent="0.25">
      <c r="A2612" s="15" t="s">
        <v>274</v>
      </c>
      <c r="B2612" s="11" t="s">
        <v>278</v>
      </c>
      <c r="C2612" s="12" t="str">
        <f>B2612&amp;"_"&amp;A2612</f>
        <v>San Borja_Beni</v>
      </c>
      <c r="E2612" s="22">
        <v>230</v>
      </c>
      <c r="F2612" s="14">
        <f t="shared" ref="F2612:H2612" si="234">SUM(F2613:F2621)</f>
        <v>217.43262789721268</v>
      </c>
      <c r="G2612" s="14">
        <f t="shared" si="234"/>
        <v>12.008102648328929</v>
      </c>
      <c r="H2612" s="14">
        <f t="shared" si="234"/>
        <v>0.46003256322586816</v>
      </c>
    </row>
    <row r="2613" spans="1:8" ht="15.75" hidden="1" customHeight="1" x14ac:dyDescent="0.25">
      <c r="A2613" s="15" t="s">
        <v>274</v>
      </c>
      <c r="B2613" s="11" t="s">
        <v>278</v>
      </c>
      <c r="C2613" s="15"/>
      <c r="D2613" s="31" t="s">
        <v>14</v>
      </c>
      <c r="E2613" s="32">
        <v>0</v>
      </c>
      <c r="F2613" s="20">
        <v>0</v>
      </c>
      <c r="G2613" s="24">
        <f>E2613</f>
        <v>0</v>
      </c>
      <c r="H2613" s="20">
        <v>0</v>
      </c>
    </row>
    <row r="2614" spans="1:8" ht="15.75" hidden="1" customHeight="1" x14ac:dyDescent="0.25">
      <c r="A2614" s="15" t="s">
        <v>274</v>
      </c>
      <c r="B2614" s="11" t="s">
        <v>278</v>
      </c>
      <c r="C2614" s="15"/>
      <c r="D2614" s="31" t="s">
        <v>16</v>
      </c>
      <c r="E2614" s="32">
        <v>0</v>
      </c>
      <c r="F2614" s="18">
        <f>E2614* 0.416666666666667</f>
        <v>0</v>
      </c>
      <c r="G2614" s="18">
        <f>E2614* 0.583333333333333</f>
        <v>0</v>
      </c>
      <c r="H2614" s="20">
        <v>0</v>
      </c>
    </row>
    <row r="2615" spans="1:8" ht="15.75" hidden="1" customHeight="1" x14ac:dyDescent="0.25">
      <c r="A2615" s="15" t="s">
        <v>274</v>
      </c>
      <c r="B2615" s="11" t="s">
        <v>278</v>
      </c>
      <c r="C2615" s="15"/>
      <c r="D2615" s="31" t="s">
        <v>11</v>
      </c>
      <c r="E2615" s="32">
        <v>10</v>
      </c>
      <c r="F2615" s="18">
        <f>E2615* 0.0786924939467312</f>
        <v>0.7869249394673119</v>
      </c>
      <c r="G2615" s="18">
        <f>E2615* 0.920096852300242</f>
        <v>9.2009685230024196</v>
      </c>
      <c r="H2615" s="18">
        <f>E2615* 0.00121065375302663</f>
        <v>1.21065375302663E-2</v>
      </c>
    </row>
    <row r="2616" spans="1:8" ht="15.75" hidden="1" customHeight="1" x14ac:dyDescent="0.25">
      <c r="A2616" s="15" t="s">
        <v>274</v>
      </c>
      <c r="B2616" s="11" t="s">
        <v>278</v>
      </c>
      <c r="C2616" s="15"/>
      <c r="D2616" s="31" t="s">
        <v>17</v>
      </c>
      <c r="E2616" s="32">
        <v>5</v>
      </c>
      <c r="F2616" s="18">
        <f>E2616* 0.746612466124661</f>
        <v>3.7330623306233051</v>
      </c>
      <c r="G2616" s="18">
        <f>E2616* 0.22289972899729</f>
        <v>1.11449864498645</v>
      </c>
      <c r="H2616" s="18">
        <f>E2616* 0.0304878048780488</f>
        <v>0.15243902439024401</v>
      </c>
    </row>
    <row r="2617" spans="1:8" ht="15.75" hidden="1" customHeight="1" x14ac:dyDescent="0.25">
      <c r="A2617" s="15" t="s">
        <v>274</v>
      </c>
      <c r="B2617" s="11" t="s">
        <v>278</v>
      </c>
      <c r="C2617" s="15"/>
      <c r="D2617" s="31" t="s">
        <v>18</v>
      </c>
      <c r="E2617" s="32">
        <v>1</v>
      </c>
      <c r="F2617" s="18">
        <f>E2617* 0.911111111111111</f>
        <v>0.91111111111111098</v>
      </c>
      <c r="G2617" s="18">
        <f>E2617* 0.0820512820512821</f>
        <v>8.2051282051282107E-2</v>
      </c>
      <c r="H2617" s="18">
        <f>E2617* 0.00683760683760684</f>
        <v>6.8376068376068402E-3</v>
      </c>
    </row>
    <row r="2618" spans="1:8" ht="15.75" hidden="1" customHeight="1" x14ac:dyDescent="0.25">
      <c r="A2618" s="15" t="s">
        <v>274</v>
      </c>
      <c r="B2618" s="11" t="s">
        <v>278</v>
      </c>
      <c r="C2618" s="15"/>
      <c r="D2618" s="31" t="s">
        <v>20</v>
      </c>
      <c r="E2618" s="32">
        <v>1</v>
      </c>
      <c r="F2618" s="18">
        <f>E2618* 0.454545454545455</f>
        <v>0.45454545454545497</v>
      </c>
      <c r="G2618" s="18">
        <f>E2618* 0.507575757575758</f>
        <v>0.50757575757575801</v>
      </c>
      <c r="H2618" s="18">
        <f>E2618* 0.0378787878787879</f>
        <v>3.7878787878787901E-2</v>
      </c>
    </row>
    <row r="2619" spans="1:8" ht="15.75" hidden="1" customHeight="1" x14ac:dyDescent="0.25">
      <c r="A2619" s="15" t="s">
        <v>274</v>
      </c>
      <c r="B2619" s="11" t="s">
        <v>278</v>
      </c>
      <c r="C2619" s="15"/>
      <c r="D2619" s="31" t="s">
        <v>21</v>
      </c>
      <c r="E2619" s="32">
        <v>202</v>
      </c>
      <c r="F2619" s="18">
        <f>E2619* 0.999082959420954</f>
        <v>201.81475780303271</v>
      </c>
      <c r="G2619" s="18">
        <f>E2619* 0.0000655028985032588</f>
        <v>1.3231585497658278E-2</v>
      </c>
      <c r="H2619" s="18">
        <f>E2619* 0.000360265941767923</f>
        <v>7.2773720237120448E-2</v>
      </c>
    </row>
    <row r="2620" spans="1:8" ht="15.75" hidden="1" customHeight="1" x14ac:dyDescent="0.25">
      <c r="A2620" s="15" t="s">
        <v>274</v>
      </c>
      <c r="B2620" s="11" t="s">
        <v>278</v>
      </c>
      <c r="C2620" s="15"/>
      <c r="D2620" s="31" t="s">
        <v>36</v>
      </c>
      <c r="E2620" s="32">
        <v>4</v>
      </c>
      <c r="F2620" s="24">
        <f>E2620</f>
        <v>4</v>
      </c>
      <c r="G2620" s="20">
        <v>0</v>
      </c>
      <c r="H2620" s="20">
        <v>0</v>
      </c>
    </row>
    <row r="2621" spans="1:8" ht="15.75" hidden="1" customHeight="1" x14ac:dyDescent="0.25">
      <c r="A2621" s="15" t="s">
        <v>274</v>
      </c>
      <c r="B2621" s="11" t="s">
        <v>278</v>
      </c>
      <c r="C2621" s="15"/>
      <c r="D2621" s="31" t="s">
        <v>12</v>
      </c>
      <c r="E2621" s="32">
        <v>7</v>
      </c>
      <c r="F2621" s="18">
        <f>E2621* 0.8188894654904</f>
        <v>5.7322262584327994</v>
      </c>
      <c r="G2621" s="18">
        <f>E2621* 0.155682407887909</f>
        <v>1.089776855215363</v>
      </c>
      <c r="H2621" s="18">
        <f>E2621* 0.0254281266216918</f>
        <v>0.1779968863518426</v>
      </c>
    </row>
    <row r="2622" spans="1:8" ht="15.75" hidden="1" customHeight="1" x14ac:dyDescent="0.25">
      <c r="A2622" s="15" t="s">
        <v>274</v>
      </c>
      <c r="B2622" s="33"/>
      <c r="C2622" s="33"/>
      <c r="D2622" s="34"/>
      <c r="E2622" s="35"/>
    </row>
    <row r="2623" spans="1:8" ht="15.75" hidden="1" customHeight="1" x14ac:dyDescent="0.25">
      <c r="A2623" s="15" t="s">
        <v>274</v>
      </c>
      <c r="B2623" s="11" t="s">
        <v>279</v>
      </c>
      <c r="C2623" s="12" t="str">
        <f>B2623&amp;"_"&amp;A2623</f>
        <v>San Ignacio (Beni)_Beni</v>
      </c>
      <c r="E2623" s="22">
        <v>1</v>
      </c>
      <c r="F2623" s="14">
        <f t="shared" ref="F2623:H2623" si="235">SUM(F2624:F2625)</f>
        <v>0.99908295942095404</v>
      </c>
      <c r="G2623" s="14">
        <f t="shared" si="235"/>
        <v>6.5502898503258799E-5</v>
      </c>
      <c r="H2623" s="14">
        <f t="shared" si="235"/>
        <v>3.60265941767923E-4</v>
      </c>
    </row>
    <row r="2624" spans="1:8" ht="15.75" hidden="1" customHeight="1" x14ac:dyDescent="0.25">
      <c r="A2624" s="15" t="s">
        <v>274</v>
      </c>
      <c r="B2624" s="11" t="s">
        <v>279</v>
      </c>
      <c r="C2624" s="15"/>
      <c r="D2624" s="31" t="s">
        <v>17</v>
      </c>
      <c r="E2624" s="32">
        <v>0</v>
      </c>
      <c r="F2624" s="18">
        <f>E2624* 0.746612466124661</f>
        <v>0</v>
      </c>
      <c r="G2624" s="18">
        <f>E2624* 0.22289972899729</f>
        <v>0</v>
      </c>
      <c r="H2624" s="18">
        <f>E2624* 0.0304878048780488</f>
        <v>0</v>
      </c>
    </row>
    <row r="2625" spans="1:8" ht="15.75" hidden="1" customHeight="1" x14ac:dyDescent="0.25">
      <c r="A2625" s="15" t="s">
        <v>274</v>
      </c>
      <c r="B2625" s="11" t="s">
        <v>279</v>
      </c>
      <c r="C2625" s="15"/>
      <c r="D2625" s="31" t="s">
        <v>21</v>
      </c>
      <c r="E2625" s="32">
        <v>1</v>
      </c>
      <c r="F2625" s="18">
        <f>E2625* 0.999082959420954</f>
        <v>0.99908295942095404</v>
      </c>
      <c r="G2625" s="18">
        <f>E2625* 0.0000655028985032588</f>
        <v>6.5502898503258799E-5</v>
      </c>
      <c r="H2625" s="18">
        <f>E2625* 0.000360265941767923</f>
        <v>3.60265941767923E-4</v>
      </c>
    </row>
    <row r="2626" spans="1:8" ht="15.75" hidden="1" customHeight="1" x14ac:dyDescent="0.25">
      <c r="A2626" s="15" t="s">
        <v>274</v>
      </c>
      <c r="B2626" s="33"/>
      <c r="C2626" s="33"/>
      <c r="D2626" s="34"/>
      <c r="E2626" s="35"/>
    </row>
    <row r="2627" spans="1:8" ht="15.75" hidden="1" customHeight="1" x14ac:dyDescent="0.25">
      <c r="A2627" s="15" t="s">
        <v>274</v>
      </c>
      <c r="B2627" s="11" t="s">
        <v>280</v>
      </c>
      <c r="C2627" s="12" t="str">
        <f>B2627&amp;"_"&amp;A2627</f>
        <v>San Javier (Trinidad)_Beni</v>
      </c>
      <c r="E2627" s="22">
        <v>1</v>
      </c>
      <c r="F2627" s="14">
        <f t="shared" ref="F2627:H2627" si="236">F2628</f>
        <v>0.74661246612466103</v>
      </c>
      <c r="G2627" s="14">
        <f t="shared" si="236"/>
        <v>0.22289972899728999</v>
      </c>
      <c r="H2627" s="14">
        <f t="shared" si="236"/>
        <v>3.0487804878048801E-2</v>
      </c>
    </row>
    <row r="2628" spans="1:8" ht="15.75" hidden="1" customHeight="1" x14ac:dyDescent="0.25">
      <c r="A2628" s="15" t="s">
        <v>274</v>
      </c>
      <c r="B2628" s="11" t="s">
        <v>280</v>
      </c>
      <c r="C2628" s="15"/>
      <c r="D2628" s="31" t="s">
        <v>17</v>
      </c>
      <c r="E2628" s="32">
        <v>1</v>
      </c>
      <c r="F2628" s="18">
        <f>E2628* 0.746612466124661</f>
        <v>0.74661246612466103</v>
      </c>
      <c r="G2628" s="18">
        <f>E2628* 0.22289972899729</f>
        <v>0.22289972899728999</v>
      </c>
      <c r="H2628" s="18">
        <f>E2628* 0.0304878048780488</f>
        <v>3.0487804878048801E-2</v>
      </c>
    </row>
    <row r="2629" spans="1:8" ht="15.75" hidden="1" customHeight="1" x14ac:dyDescent="0.25">
      <c r="A2629" s="15" t="s">
        <v>274</v>
      </c>
      <c r="B2629" s="33"/>
      <c r="C2629" s="33"/>
      <c r="D2629" s="34"/>
      <c r="E2629" s="35"/>
    </row>
    <row r="2630" spans="1:8" ht="15.75" hidden="1" customHeight="1" x14ac:dyDescent="0.25">
      <c r="A2630" s="15" t="s">
        <v>274</v>
      </c>
      <c r="B2630" s="11" t="s">
        <v>281</v>
      </c>
      <c r="C2630" s="12" t="str">
        <f>B2630&amp;"_"&amp;A2630</f>
        <v>San Joaquín_Beni</v>
      </c>
      <c r="E2630" s="22">
        <v>1</v>
      </c>
      <c r="F2630" s="14">
        <f t="shared" ref="F2630:H2630" si="237">F2631</f>
        <v>7.8692493946731196E-2</v>
      </c>
      <c r="G2630" s="14">
        <f t="shared" si="237"/>
        <v>0.92009685230024196</v>
      </c>
      <c r="H2630" s="14">
        <f t="shared" si="237"/>
        <v>1.2106537530266301E-3</v>
      </c>
    </row>
    <row r="2631" spans="1:8" ht="15.75" hidden="1" customHeight="1" x14ac:dyDescent="0.25">
      <c r="A2631" s="15" t="s">
        <v>274</v>
      </c>
      <c r="B2631" s="11" t="s">
        <v>281</v>
      </c>
      <c r="C2631" s="15"/>
      <c r="D2631" s="31" t="s">
        <v>11</v>
      </c>
      <c r="E2631" s="32">
        <v>1</v>
      </c>
      <c r="F2631" s="18">
        <f>E2631* 0.0786924939467312</f>
        <v>7.8692493946731196E-2</v>
      </c>
      <c r="G2631" s="18">
        <f>E2631* 0.920096852300242</f>
        <v>0.92009685230024196</v>
      </c>
      <c r="H2631" s="18">
        <f>E2631* 0.00121065375302663</f>
        <v>1.2106537530266301E-3</v>
      </c>
    </row>
    <row r="2632" spans="1:8" ht="15.75" hidden="1" customHeight="1" x14ac:dyDescent="0.25">
      <c r="A2632" s="15" t="s">
        <v>274</v>
      </c>
      <c r="B2632" s="33"/>
      <c r="C2632" s="33"/>
      <c r="D2632" s="34"/>
      <c r="E2632" s="35"/>
    </row>
    <row r="2633" spans="1:8" ht="15.75" hidden="1" customHeight="1" x14ac:dyDescent="0.25">
      <c r="A2633" s="15" t="s">
        <v>274</v>
      </c>
      <c r="B2633" s="11" t="s">
        <v>266</v>
      </c>
      <c r="C2633" s="12" t="str">
        <f>B2633&amp;"_"&amp;A2633</f>
        <v>San Ramón_Beni</v>
      </c>
      <c r="E2633" s="22">
        <v>1</v>
      </c>
      <c r="F2633" s="14">
        <f t="shared" ref="F2633:H2633" si="238">F2634</f>
        <v>0.74661246612466103</v>
      </c>
      <c r="G2633" s="14">
        <f t="shared" si="238"/>
        <v>0.22289972899728999</v>
      </c>
      <c r="H2633" s="14">
        <f t="shared" si="238"/>
        <v>3.0487804878048801E-2</v>
      </c>
    </row>
    <row r="2634" spans="1:8" ht="15.75" hidden="1" customHeight="1" x14ac:dyDescent="0.25">
      <c r="A2634" s="15" t="s">
        <v>274</v>
      </c>
      <c r="B2634" s="11" t="s">
        <v>266</v>
      </c>
      <c r="C2634" s="15"/>
      <c r="D2634" s="31" t="s">
        <v>17</v>
      </c>
      <c r="E2634" s="32">
        <v>1</v>
      </c>
      <c r="F2634" s="18">
        <f>E2634* 0.746612466124661</f>
        <v>0.74661246612466103</v>
      </c>
      <c r="G2634" s="18">
        <f>E2634* 0.22289972899729</f>
        <v>0.22289972899728999</v>
      </c>
      <c r="H2634" s="18">
        <f>E2634* 0.0304878048780488</f>
        <v>3.0487804878048801E-2</v>
      </c>
    </row>
    <row r="2635" spans="1:8" ht="15.75" hidden="1" customHeight="1" x14ac:dyDescent="0.25">
      <c r="A2635" s="15" t="s">
        <v>274</v>
      </c>
      <c r="B2635" s="33"/>
      <c r="C2635" s="33"/>
      <c r="D2635" s="34"/>
      <c r="E2635" s="35"/>
    </row>
    <row r="2636" spans="1:8" ht="15.75" hidden="1" customHeight="1" x14ac:dyDescent="0.25">
      <c r="A2636" s="15" t="s">
        <v>274</v>
      </c>
      <c r="B2636" s="11" t="s">
        <v>282</v>
      </c>
      <c r="C2636" s="12" t="str">
        <f>B2636&amp;"_"&amp;A2636</f>
        <v>Santa Ana del Yacuma_Beni</v>
      </c>
      <c r="E2636" s="22">
        <v>38</v>
      </c>
      <c r="F2636" s="14">
        <f t="shared" ref="F2636:H2636" si="239">SUM(F2637:F2645)</f>
        <v>35.535501260779718</v>
      </c>
      <c r="G2636" s="14">
        <f t="shared" si="239"/>
        <v>2.1322164439292646</v>
      </c>
      <c r="H2636" s="14">
        <f t="shared" si="239"/>
        <v>0.32049177356043179</v>
      </c>
    </row>
    <row r="2637" spans="1:8" ht="15.75" hidden="1" customHeight="1" x14ac:dyDescent="0.25">
      <c r="A2637" s="15" t="s">
        <v>274</v>
      </c>
      <c r="B2637" s="11" t="s">
        <v>282</v>
      </c>
      <c r="C2637" s="15"/>
      <c r="D2637" s="31" t="s">
        <v>14</v>
      </c>
      <c r="E2637" s="32">
        <v>0</v>
      </c>
      <c r="F2637" s="20">
        <v>0</v>
      </c>
      <c r="G2637" s="24">
        <f>E2637</f>
        <v>0</v>
      </c>
      <c r="H2637" s="20">
        <v>0</v>
      </c>
    </row>
    <row r="2638" spans="1:8" ht="15.75" hidden="1" customHeight="1" x14ac:dyDescent="0.25">
      <c r="A2638" s="15" t="s">
        <v>274</v>
      </c>
      <c r="B2638" s="11" t="s">
        <v>282</v>
      </c>
      <c r="C2638" s="15"/>
      <c r="D2638" s="31" t="s">
        <v>15</v>
      </c>
      <c r="E2638" s="32">
        <v>0</v>
      </c>
      <c r="F2638" s="18">
        <f>E2638* 0.978622327790974</f>
        <v>0</v>
      </c>
      <c r="G2638" s="18">
        <f>E2638* 0.0130641330166271</f>
        <v>0</v>
      </c>
      <c r="H2638" s="18">
        <f>E2638* 0.00831353919239905</f>
        <v>0</v>
      </c>
    </row>
    <row r="2639" spans="1:8" ht="15.75" hidden="1" customHeight="1" x14ac:dyDescent="0.25">
      <c r="A2639" s="15" t="s">
        <v>274</v>
      </c>
      <c r="B2639" s="11" t="s">
        <v>282</v>
      </c>
      <c r="C2639" s="15"/>
      <c r="D2639" s="31" t="s">
        <v>11</v>
      </c>
      <c r="E2639" s="32">
        <v>0</v>
      </c>
      <c r="F2639" s="18">
        <f>E2639* 0.0786924939467312</f>
        <v>0</v>
      </c>
      <c r="G2639" s="18">
        <f>E2639* 0.920096852300242</f>
        <v>0</v>
      </c>
      <c r="H2639" s="18">
        <f>E2639* 0.00121065375302663</f>
        <v>0</v>
      </c>
    </row>
    <row r="2640" spans="1:8" ht="15.75" hidden="1" customHeight="1" x14ac:dyDescent="0.25">
      <c r="A2640" s="15" t="s">
        <v>274</v>
      </c>
      <c r="B2640" s="11" t="s">
        <v>282</v>
      </c>
      <c r="C2640" s="15"/>
      <c r="D2640" s="31" t="s">
        <v>17</v>
      </c>
      <c r="E2640" s="32">
        <v>5</v>
      </c>
      <c r="F2640" s="18">
        <f>E2640* 0.746612466124661</f>
        <v>3.7330623306233051</v>
      </c>
      <c r="G2640" s="18">
        <f>E2640* 0.22289972899729</f>
        <v>1.11449864498645</v>
      </c>
      <c r="H2640" s="18">
        <f>E2640* 0.0304878048780488</f>
        <v>0.15243902439024401</v>
      </c>
    </row>
    <row r="2641" spans="1:8" ht="15.75" hidden="1" customHeight="1" x14ac:dyDescent="0.25">
      <c r="A2641" s="15" t="s">
        <v>274</v>
      </c>
      <c r="B2641" s="11" t="s">
        <v>282</v>
      </c>
      <c r="C2641" s="15"/>
      <c r="D2641" s="31" t="s">
        <v>18</v>
      </c>
      <c r="E2641" s="32">
        <v>1</v>
      </c>
      <c r="F2641" s="18">
        <f>E2641* 0.911111111111111</f>
        <v>0.91111111111111098</v>
      </c>
      <c r="G2641" s="18">
        <f>E2641* 0.0820512820512821</f>
        <v>8.2051282051282107E-2</v>
      </c>
      <c r="H2641" s="18">
        <f>E2641* 0.00683760683760684</f>
        <v>6.8376068376068402E-3</v>
      </c>
    </row>
    <row r="2642" spans="1:8" ht="15.75" hidden="1" customHeight="1" x14ac:dyDescent="0.25">
      <c r="A2642" s="15" t="s">
        <v>274</v>
      </c>
      <c r="B2642" s="11" t="s">
        <v>282</v>
      </c>
      <c r="C2642" s="15"/>
      <c r="D2642" s="31" t="s">
        <v>20</v>
      </c>
      <c r="E2642" s="32">
        <v>0</v>
      </c>
      <c r="F2642" s="18">
        <f>E2642* 0.454545454545455</f>
        <v>0</v>
      </c>
      <c r="G2642" s="18">
        <f>E2642* 0.507575757575758</f>
        <v>0</v>
      </c>
      <c r="H2642" s="18">
        <f>E2642* 0.0378787878787879</f>
        <v>0</v>
      </c>
    </row>
    <row r="2643" spans="1:8" ht="15.75" hidden="1" customHeight="1" x14ac:dyDescent="0.25">
      <c r="A2643" s="15" t="s">
        <v>274</v>
      </c>
      <c r="B2643" s="11" t="s">
        <v>282</v>
      </c>
      <c r="C2643" s="15"/>
      <c r="D2643" s="31" t="s">
        <v>21</v>
      </c>
      <c r="E2643" s="32">
        <v>24</v>
      </c>
      <c r="F2643" s="18">
        <f>E2643* 0.999082959420954</f>
        <v>23.977991026102899</v>
      </c>
      <c r="G2643" s="18">
        <f>E2643* 0.0000655028985032588</f>
        <v>1.5720695640782112E-3</v>
      </c>
      <c r="H2643" s="18">
        <f>E2643* 0.000360265941767923</f>
        <v>8.646382602430152E-3</v>
      </c>
    </row>
    <row r="2644" spans="1:8" ht="15.75" hidden="1" customHeight="1" x14ac:dyDescent="0.25">
      <c r="A2644" s="15" t="s">
        <v>274</v>
      </c>
      <c r="B2644" s="11" t="s">
        <v>282</v>
      </c>
      <c r="C2644" s="15"/>
      <c r="D2644" s="31" t="s">
        <v>36</v>
      </c>
      <c r="E2644" s="32">
        <v>2</v>
      </c>
      <c r="F2644" s="24">
        <f>E2644</f>
        <v>2</v>
      </c>
      <c r="G2644" s="20">
        <v>0</v>
      </c>
      <c r="H2644" s="20">
        <v>0</v>
      </c>
    </row>
    <row r="2645" spans="1:8" ht="15.75" hidden="1" customHeight="1" x14ac:dyDescent="0.25">
      <c r="A2645" s="15" t="s">
        <v>274</v>
      </c>
      <c r="B2645" s="11" t="s">
        <v>282</v>
      </c>
      <c r="C2645" s="15"/>
      <c r="D2645" s="31" t="s">
        <v>12</v>
      </c>
      <c r="E2645" s="32">
        <v>6</v>
      </c>
      <c r="F2645" s="18">
        <f>E2645* 0.8188894654904</f>
        <v>4.9133367929423999</v>
      </c>
      <c r="G2645" s="18">
        <f>E2645* 0.155682407887909</f>
        <v>0.93409444732745395</v>
      </c>
      <c r="H2645" s="18">
        <f>E2645* 0.0254281266216918</f>
        <v>0.1525687597301508</v>
      </c>
    </row>
    <row r="2646" spans="1:8" ht="15.75" hidden="1" customHeight="1" x14ac:dyDescent="0.25">
      <c r="A2646" s="15" t="s">
        <v>274</v>
      </c>
      <c r="B2646" s="33"/>
      <c r="C2646" s="33"/>
      <c r="D2646" s="34"/>
      <c r="E2646" s="35"/>
    </row>
    <row r="2647" spans="1:8" ht="15.75" hidden="1" customHeight="1" x14ac:dyDescent="0.25">
      <c r="A2647" s="15" t="s">
        <v>274</v>
      </c>
      <c r="B2647" s="11" t="s">
        <v>283</v>
      </c>
      <c r="C2647" s="12" t="str">
        <f>B2647&amp;"_"&amp;A2647</f>
        <v>Trinidad_Beni</v>
      </c>
      <c r="E2647" s="22">
        <v>32418</v>
      </c>
      <c r="F2647" s="14">
        <f t="shared" ref="F2647:H2647" si="240">SUM(F2648:F2660)</f>
        <v>30766.975345627012</v>
      </c>
      <c r="G2647" s="14">
        <f t="shared" si="240"/>
        <v>1522.2891067481846</v>
      </c>
      <c r="H2647" s="14">
        <f t="shared" si="240"/>
        <v>115.72667198204945</v>
      </c>
    </row>
    <row r="2648" spans="1:8" ht="15.75" hidden="1" customHeight="1" x14ac:dyDescent="0.25">
      <c r="A2648" s="15" t="s">
        <v>274</v>
      </c>
      <c r="B2648" s="11" t="s">
        <v>283</v>
      </c>
      <c r="C2648" s="15"/>
      <c r="D2648" s="31" t="s">
        <v>14</v>
      </c>
      <c r="E2648" s="32">
        <v>0</v>
      </c>
      <c r="F2648" s="20">
        <v>0</v>
      </c>
      <c r="G2648" s="24">
        <f>E2648</f>
        <v>0</v>
      </c>
      <c r="H2648" s="20">
        <v>0</v>
      </c>
    </row>
    <row r="2649" spans="1:8" ht="15.75" hidden="1" customHeight="1" x14ac:dyDescent="0.25">
      <c r="A2649" s="15" t="s">
        <v>274</v>
      </c>
      <c r="B2649" s="11" t="s">
        <v>283</v>
      </c>
      <c r="C2649" s="15"/>
      <c r="D2649" s="31" t="s">
        <v>15</v>
      </c>
      <c r="E2649" s="32">
        <v>822</v>
      </c>
      <c r="F2649" s="18">
        <f>E2649* 0.978622327790974</f>
        <v>804.4275534441806</v>
      </c>
      <c r="G2649" s="18">
        <f>E2649* 0.0130641330166271</f>
        <v>10.738717339667476</v>
      </c>
      <c r="H2649" s="18">
        <f>E2649* 0.00831353919239905</f>
        <v>6.8337292161520189</v>
      </c>
    </row>
    <row r="2650" spans="1:8" ht="15.75" hidden="1" customHeight="1" x14ac:dyDescent="0.25">
      <c r="A2650" s="15" t="s">
        <v>274</v>
      </c>
      <c r="B2650" s="11" t="s">
        <v>283</v>
      </c>
      <c r="C2650" s="15"/>
      <c r="D2650" s="31" t="s">
        <v>16</v>
      </c>
      <c r="E2650" s="32">
        <v>33</v>
      </c>
      <c r="F2650" s="18">
        <f>E2650* 0.416666666666667</f>
        <v>13.750000000000012</v>
      </c>
      <c r="G2650" s="18">
        <f>E2650* 0.583333333333333</f>
        <v>19.249999999999989</v>
      </c>
      <c r="H2650" s="20">
        <v>0</v>
      </c>
    </row>
    <row r="2651" spans="1:8" ht="15.75" hidden="1" customHeight="1" x14ac:dyDescent="0.25">
      <c r="A2651" s="15" t="s">
        <v>274</v>
      </c>
      <c r="B2651" s="11" t="s">
        <v>283</v>
      </c>
      <c r="C2651" s="15"/>
      <c r="D2651" s="31" t="s">
        <v>11</v>
      </c>
      <c r="E2651" s="32">
        <v>761</v>
      </c>
      <c r="F2651" s="18">
        <f>E2651* 0.0786924939467312</f>
        <v>59.884987893462437</v>
      </c>
      <c r="G2651" s="18">
        <f>E2651* 0.920096852300242</f>
        <v>700.19370460048412</v>
      </c>
      <c r="H2651" s="18">
        <f>E2651* 0.00121065375302663</f>
        <v>0.9213075060532655</v>
      </c>
    </row>
    <row r="2652" spans="1:8" ht="15.75" hidden="1" customHeight="1" x14ac:dyDescent="0.25">
      <c r="A2652" s="15" t="s">
        <v>274</v>
      </c>
      <c r="B2652" s="11" t="s">
        <v>283</v>
      </c>
      <c r="C2652" s="15"/>
      <c r="D2652" s="31" t="s">
        <v>17</v>
      </c>
      <c r="E2652" s="32">
        <v>1406</v>
      </c>
      <c r="F2652" s="18">
        <f>E2652* 0.746612466124661</f>
        <v>1049.7371273712733</v>
      </c>
      <c r="G2652" s="18">
        <f>E2652* 0.22289972899729</f>
        <v>313.39701897018972</v>
      </c>
      <c r="H2652" s="18">
        <f>E2652* 0.0304878048780488</f>
        <v>42.865853658536615</v>
      </c>
    </row>
    <row r="2653" spans="1:8" ht="15.75" hidden="1" customHeight="1" x14ac:dyDescent="0.25">
      <c r="A2653" s="15" t="s">
        <v>274</v>
      </c>
      <c r="B2653" s="11" t="s">
        <v>283</v>
      </c>
      <c r="C2653" s="15"/>
      <c r="D2653" s="31" t="s">
        <v>31</v>
      </c>
      <c r="E2653" s="32">
        <v>33</v>
      </c>
      <c r="F2653" s="18">
        <f>E2653* 0.771428571428572</f>
        <v>25.457142857142877</v>
      </c>
      <c r="G2653" s="18">
        <f>E2653* 0.228571428571429</f>
        <v>7.5428571428571569</v>
      </c>
      <c r="H2653" s="20">
        <v>0</v>
      </c>
    </row>
    <row r="2654" spans="1:8" ht="15.75" hidden="1" customHeight="1" x14ac:dyDescent="0.25">
      <c r="A2654" s="15" t="s">
        <v>274</v>
      </c>
      <c r="B2654" s="11" t="s">
        <v>283</v>
      </c>
      <c r="C2654" s="15"/>
      <c r="D2654" s="31" t="s">
        <v>18</v>
      </c>
      <c r="E2654" s="32">
        <v>571</v>
      </c>
      <c r="F2654" s="18">
        <f>E2654* 0.911111111111111</f>
        <v>520.24444444444441</v>
      </c>
      <c r="G2654" s="18">
        <f>E2654* 0.0820512820512821</f>
        <v>46.851282051282084</v>
      </c>
      <c r="H2654" s="18">
        <f>E2654* 0.00683760683760684</f>
        <v>3.9042735042735059</v>
      </c>
    </row>
    <row r="2655" spans="1:8" ht="15.75" hidden="1" customHeight="1" x14ac:dyDescent="0.25">
      <c r="A2655" s="15" t="s">
        <v>274</v>
      </c>
      <c r="B2655" s="11" t="s">
        <v>283</v>
      </c>
      <c r="C2655" s="15"/>
      <c r="D2655" s="31" t="s">
        <v>19</v>
      </c>
      <c r="E2655" s="32">
        <v>38</v>
      </c>
      <c r="F2655" s="18">
        <f>E2655* 0.0526315789473684</f>
        <v>1.9999999999999991</v>
      </c>
      <c r="G2655" s="18">
        <f>E2655* 0.947368421052632</f>
        <v>36.000000000000014</v>
      </c>
      <c r="H2655" s="20">
        <v>0</v>
      </c>
    </row>
    <row r="2656" spans="1:8" ht="15.75" hidden="1" customHeight="1" x14ac:dyDescent="0.25">
      <c r="A2656" s="15" t="s">
        <v>274</v>
      </c>
      <c r="B2656" s="11" t="s">
        <v>283</v>
      </c>
      <c r="C2656" s="15"/>
      <c r="D2656" s="31" t="s">
        <v>20</v>
      </c>
      <c r="E2656" s="32">
        <v>128</v>
      </c>
      <c r="F2656" s="18">
        <f>E2656* 0.454545454545455</f>
        <v>58.181818181818237</v>
      </c>
      <c r="G2656" s="18">
        <f>E2656* 0.507575757575758</f>
        <v>64.969696969697026</v>
      </c>
      <c r="H2656" s="18">
        <f>E2656* 0.0378787878787879</f>
        <v>4.8484848484848513</v>
      </c>
    </row>
    <row r="2657" spans="1:8" ht="15.75" hidden="1" customHeight="1" x14ac:dyDescent="0.25">
      <c r="A2657" s="15" t="s">
        <v>274</v>
      </c>
      <c r="B2657" s="11" t="s">
        <v>283</v>
      </c>
      <c r="C2657" s="15"/>
      <c r="D2657" s="31" t="s">
        <v>21</v>
      </c>
      <c r="E2657" s="32">
        <v>26480</v>
      </c>
      <c r="F2657" s="18">
        <f>E2657* 0.999082959420954</f>
        <v>26455.716765466863</v>
      </c>
      <c r="G2657" s="18">
        <f>E2657* 0.0000655028985032588</f>
        <v>1.734516752366293</v>
      </c>
      <c r="H2657" s="18">
        <f>E2657* 0.000360265941767923</f>
        <v>9.5398421380146008</v>
      </c>
    </row>
    <row r="2658" spans="1:8" ht="15.75" hidden="1" customHeight="1" x14ac:dyDescent="0.25">
      <c r="A2658" s="15" t="s">
        <v>274</v>
      </c>
      <c r="B2658" s="11" t="s">
        <v>283</v>
      </c>
      <c r="C2658" s="15"/>
      <c r="D2658" s="31" t="s">
        <v>36</v>
      </c>
      <c r="E2658" s="32">
        <v>270</v>
      </c>
      <c r="F2658" s="24">
        <f>E2658</f>
        <v>270</v>
      </c>
      <c r="G2658" s="20">
        <v>0</v>
      </c>
      <c r="H2658" s="20">
        <v>0</v>
      </c>
    </row>
    <row r="2659" spans="1:8" ht="15.75" hidden="1" customHeight="1" x14ac:dyDescent="0.25">
      <c r="A2659" s="15" t="s">
        <v>274</v>
      </c>
      <c r="B2659" s="11" t="s">
        <v>283</v>
      </c>
      <c r="C2659" s="15"/>
      <c r="D2659" s="31" t="s">
        <v>28</v>
      </c>
      <c r="E2659" s="32">
        <v>35</v>
      </c>
      <c r="F2659" s="20">
        <v>0</v>
      </c>
      <c r="G2659" s="24">
        <f>E2659</f>
        <v>35</v>
      </c>
      <c r="H2659" s="20">
        <v>0</v>
      </c>
    </row>
    <row r="2660" spans="1:8" ht="15.75" hidden="1" customHeight="1" x14ac:dyDescent="0.25">
      <c r="A2660" s="15" t="s">
        <v>274</v>
      </c>
      <c r="B2660" s="11" t="s">
        <v>283</v>
      </c>
      <c r="C2660" s="15"/>
      <c r="D2660" s="38" t="s">
        <v>12</v>
      </c>
      <c r="E2660" s="39">
        <v>1841</v>
      </c>
      <c r="F2660" s="18">
        <f>E2660* 0.8188894654904</f>
        <v>1507.5755059678263</v>
      </c>
      <c r="G2660" s="18">
        <f>E2660* 0.155682407887909</f>
        <v>286.61131292164043</v>
      </c>
      <c r="H2660" s="18">
        <f>E2660* 0.0254281266216918</f>
        <v>46.813181110534607</v>
      </c>
    </row>
    <row r="2661" spans="1:8" ht="15.75" hidden="1" customHeight="1" x14ac:dyDescent="0.25">
      <c r="A2661" s="15" t="s">
        <v>284</v>
      </c>
      <c r="B2661" s="11" t="s">
        <v>285</v>
      </c>
      <c r="C2661" s="12" t="str">
        <f>B2661&amp;"_"&amp;A2661</f>
        <v>Cobija_Pando</v>
      </c>
      <c r="E2661" s="22">
        <v>3243</v>
      </c>
      <c r="F2661" s="14">
        <f t="shared" ref="F2661:H2661" si="241">SUM(F2662:F2674)</f>
        <v>2813</v>
      </c>
      <c r="G2661" s="14">
        <f t="shared" si="241"/>
        <v>376.99999999999977</v>
      </c>
      <c r="H2661" s="14">
        <f t="shared" si="241"/>
        <v>53.000000000000114</v>
      </c>
    </row>
    <row r="2662" spans="1:8" ht="15.75" hidden="1" customHeight="1" x14ac:dyDescent="0.25">
      <c r="A2662" s="15" t="s">
        <v>284</v>
      </c>
      <c r="B2662" s="11" t="s">
        <v>285</v>
      </c>
      <c r="C2662" s="15"/>
      <c r="D2662" s="16" t="s">
        <v>14</v>
      </c>
      <c r="E2662" s="23">
        <v>0</v>
      </c>
      <c r="F2662" s="20">
        <v>0</v>
      </c>
      <c r="G2662" s="24">
        <f>E2662</f>
        <v>0</v>
      </c>
      <c r="H2662" s="20">
        <v>0</v>
      </c>
    </row>
    <row r="2663" spans="1:8" ht="15.75" hidden="1" customHeight="1" x14ac:dyDescent="0.25">
      <c r="A2663" s="15" t="s">
        <v>284</v>
      </c>
      <c r="B2663" s="11" t="s">
        <v>285</v>
      </c>
      <c r="C2663" s="15"/>
      <c r="D2663" s="16" t="s">
        <v>15</v>
      </c>
      <c r="E2663" s="23">
        <v>72</v>
      </c>
      <c r="F2663" s="18">
        <f>E2663* 0.888888888888889</f>
        <v>64</v>
      </c>
      <c r="G2663" s="18">
        <f>E2663* 0.0277777777777778</f>
        <v>2.0000000000000018</v>
      </c>
      <c r="H2663" s="18">
        <f t="shared" ref="H2663:H2664" si="242">E2663* 0.0833333333333333</f>
        <v>5.9999999999999973</v>
      </c>
    </row>
    <row r="2664" spans="1:8" ht="15.75" hidden="1" customHeight="1" x14ac:dyDescent="0.25">
      <c r="A2664" s="15" t="s">
        <v>284</v>
      </c>
      <c r="B2664" s="11" t="s">
        <v>285</v>
      </c>
      <c r="C2664" s="15"/>
      <c r="D2664" s="16" t="s">
        <v>286</v>
      </c>
      <c r="E2664" s="23">
        <v>24</v>
      </c>
      <c r="F2664" s="18">
        <f>E2664* 0.166666666666667</f>
        <v>4.000000000000008</v>
      </c>
      <c r="G2664" s="18">
        <f>E2664* 0.75</f>
        <v>18</v>
      </c>
      <c r="H2664" s="18">
        <f t="shared" si="242"/>
        <v>1.9999999999999991</v>
      </c>
    </row>
    <row r="2665" spans="1:8" ht="15.75" hidden="1" customHeight="1" x14ac:dyDescent="0.25">
      <c r="A2665" s="15" t="s">
        <v>284</v>
      </c>
      <c r="B2665" s="11" t="s">
        <v>285</v>
      </c>
      <c r="C2665" s="15"/>
      <c r="D2665" s="16" t="s">
        <v>11</v>
      </c>
      <c r="E2665" s="23">
        <v>160</v>
      </c>
      <c r="F2665" s="18">
        <f>E2665* 0.0125</f>
        <v>2</v>
      </c>
      <c r="G2665" s="18">
        <f>E2665* 0.98125</f>
        <v>157</v>
      </c>
      <c r="H2665" s="18">
        <f>E2665* 0.00625</f>
        <v>1</v>
      </c>
    </row>
    <row r="2666" spans="1:8" ht="15.75" hidden="1" customHeight="1" x14ac:dyDescent="0.25">
      <c r="A2666" s="15" t="s">
        <v>284</v>
      </c>
      <c r="B2666" s="11" t="s">
        <v>285</v>
      </c>
      <c r="C2666" s="15"/>
      <c r="D2666" s="16" t="s">
        <v>17</v>
      </c>
      <c r="E2666" s="23">
        <v>234</v>
      </c>
      <c r="F2666" s="18">
        <f>E2666* 0.769230769230769</f>
        <v>179.99999999999997</v>
      </c>
      <c r="G2666" s="18">
        <f>E2666* 0.128205128205128</f>
        <v>29.99999999999995</v>
      </c>
      <c r="H2666" s="18">
        <f>E2666* 0.102564102564103</f>
        <v>24.000000000000103</v>
      </c>
    </row>
    <row r="2667" spans="1:8" ht="15.75" hidden="1" customHeight="1" x14ac:dyDescent="0.25">
      <c r="A2667" s="15" t="s">
        <v>284</v>
      </c>
      <c r="B2667" s="11" t="s">
        <v>285</v>
      </c>
      <c r="C2667" s="15"/>
      <c r="D2667" s="16" t="s">
        <v>31</v>
      </c>
      <c r="E2667" s="23">
        <v>10</v>
      </c>
      <c r="F2667" s="24">
        <f>E2667</f>
        <v>10</v>
      </c>
      <c r="G2667" s="20">
        <v>0</v>
      </c>
      <c r="H2667" s="20">
        <v>0</v>
      </c>
    </row>
    <row r="2668" spans="1:8" ht="15.75" hidden="1" customHeight="1" x14ac:dyDescent="0.25">
      <c r="A2668" s="15" t="s">
        <v>284</v>
      </c>
      <c r="B2668" s="11" t="s">
        <v>285</v>
      </c>
      <c r="C2668" s="15"/>
      <c r="D2668" s="16" t="s">
        <v>18</v>
      </c>
      <c r="E2668" s="23">
        <v>33</v>
      </c>
      <c r="F2668" s="18">
        <f>E2668* 0.96969696969697</f>
        <v>32.000000000000007</v>
      </c>
      <c r="G2668" s="18">
        <f>E2668* 0.0303030303030303</f>
        <v>0.99999999999999989</v>
      </c>
      <c r="H2668" s="20">
        <v>0</v>
      </c>
    </row>
    <row r="2669" spans="1:8" ht="15.75" hidden="1" customHeight="1" x14ac:dyDescent="0.25">
      <c r="A2669" s="15" t="s">
        <v>284</v>
      </c>
      <c r="B2669" s="11" t="s">
        <v>285</v>
      </c>
      <c r="C2669" s="15"/>
      <c r="D2669" s="16" t="s">
        <v>19</v>
      </c>
      <c r="E2669" s="23">
        <v>14</v>
      </c>
      <c r="F2669" s="18">
        <f>E2669* 0.0714285714285714</f>
        <v>0.99999999999999956</v>
      </c>
      <c r="G2669" s="18">
        <f>E2669* 0.928571428571429</f>
        <v>13.000000000000007</v>
      </c>
      <c r="H2669" s="20">
        <v>0</v>
      </c>
    </row>
    <row r="2670" spans="1:8" ht="15.75" hidden="1" customHeight="1" x14ac:dyDescent="0.25">
      <c r="A2670" s="15" t="s">
        <v>284</v>
      </c>
      <c r="B2670" s="11" t="s">
        <v>285</v>
      </c>
      <c r="C2670" s="15"/>
      <c r="D2670" s="16" t="s">
        <v>287</v>
      </c>
      <c r="E2670" s="23">
        <v>58</v>
      </c>
      <c r="F2670" s="18">
        <f>E2670* 0.431034482758621</f>
        <v>25.000000000000018</v>
      </c>
      <c r="G2670" s="18">
        <f>E2670* 0.5</f>
        <v>29</v>
      </c>
      <c r="H2670" s="18">
        <f>E2670* 0.0689655172413793</f>
        <v>3.9999999999999991</v>
      </c>
    </row>
    <row r="2671" spans="1:8" ht="15.75" hidden="1" customHeight="1" x14ac:dyDescent="0.25">
      <c r="A2671" s="15" t="s">
        <v>284</v>
      </c>
      <c r="B2671" s="11" t="s">
        <v>285</v>
      </c>
      <c r="C2671" s="15"/>
      <c r="D2671" s="16" t="s">
        <v>21</v>
      </c>
      <c r="E2671" s="23">
        <v>2148</v>
      </c>
      <c r="F2671" s="24">
        <f t="shared" ref="F2671:F2672" si="243">E2671</f>
        <v>2148</v>
      </c>
      <c r="G2671" s="20">
        <v>0</v>
      </c>
      <c r="H2671" s="20">
        <v>0</v>
      </c>
    </row>
    <row r="2672" spans="1:8" ht="15.75" hidden="1" customHeight="1" x14ac:dyDescent="0.25">
      <c r="A2672" s="15" t="s">
        <v>284</v>
      </c>
      <c r="B2672" s="11" t="s">
        <v>285</v>
      </c>
      <c r="C2672" s="15"/>
      <c r="D2672" s="16" t="s">
        <v>36</v>
      </c>
      <c r="E2672" s="23">
        <v>2</v>
      </c>
      <c r="F2672" s="24">
        <f t="shared" si="243"/>
        <v>2</v>
      </c>
      <c r="G2672" s="20">
        <v>0</v>
      </c>
      <c r="H2672" s="20">
        <v>0</v>
      </c>
    </row>
    <row r="2673" spans="1:8" ht="15.75" hidden="1" customHeight="1" x14ac:dyDescent="0.25">
      <c r="A2673" s="15" t="s">
        <v>284</v>
      </c>
      <c r="B2673" s="11" t="s">
        <v>285</v>
      </c>
      <c r="C2673" s="15"/>
      <c r="D2673" s="16" t="s">
        <v>28</v>
      </c>
      <c r="E2673" s="23">
        <v>27</v>
      </c>
      <c r="F2673" s="20">
        <v>0</v>
      </c>
      <c r="G2673" s="24">
        <f>E2673</f>
        <v>27</v>
      </c>
      <c r="H2673" s="20">
        <v>0</v>
      </c>
    </row>
    <row r="2674" spans="1:8" ht="15.75" hidden="1" customHeight="1" x14ac:dyDescent="0.25">
      <c r="A2674" s="15" t="s">
        <v>284</v>
      </c>
      <c r="B2674" s="11" t="s">
        <v>285</v>
      </c>
      <c r="C2674" s="15"/>
      <c r="D2674" s="25" t="s">
        <v>12</v>
      </c>
      <c r="E2674" s="27">
        <v>461</v>
      </c>
      <c r="F2674" s="18">
        <f>E2674* 0.748373101952278</f>
        <v>345.00000000000017</v>
      </c>
      <c r="G2674" s="18">
        <f>E2674* 0.216919739696312</f>
        <v>99.999999999999829</v>
      </c>
      <c r="H2674" s="18">
        <f>E2674* 0.03470715835141</f>
        <v>16.000000000000011</v>
      </c>
    </row>
    <row r="2675" spans="1:8" ht="15.75" customHeight="1" x14ac:dyDescent="0.25">
      <c r="A2675" s="15"/>
      <c r="B2675" s="21"/>
      <c r="C2675" s="21"/>
      <c r="D2675" s="21"/>
      <c r="E2675" s="41"/>
    </row>
    <row r="2676" spans="1:8" ht="15.75" customHeight="1" x14ac:dyDescent="0.25">
      <c r="A2676" s="15"/>
      <c r="B2676" s="21"/>
      <c r="C2676" s="21"/>
      <c r="D2676" s="21"/>
      <c r="E2676" s="41"/>
    </row>
    <row r="2677" spans="1:8" ht="15.75" customHeight="1" x14ac:dyDescent="0.25">
      <c r="A2677" s="15"/>
      <c r="B2677" s="21"/>
      <c r="C2677" s="21"/>
      <c r="D2677" s="21"/>
      <c r="E2677" s="41"/>
    </row>
    <row r="2678" spans="1:8" ht="15.75" customHeight="1" x14ac:dyDescent="0.25">
      <c r="A2678" s="15"/>
      <c r="B2678" s="21"/>
      <c r="C2678" s="21"/>
      <c r="D2678" s="21"/>
      <c r="E2678" s="41"/>
    </row>
    <row r="2679" spans="1:8" ht="15.75" customHeight="1" x14ac:dyDescent="0.25">
      <c r="A2679" s="15"/>
      <c r="B2679" s="21"/>
      <c r="C2679" s="21"/>
      <c r="D2679" s="21"/>
      <c r="E2679" s="41"/>
    </row>
    <row r="2680" spans="1:8" ht="15.75" customHeight="1" x14ac:dyDescent="0.25">
      <c r="A2680" s="15"/>
      <c r="B2680" s="21"/>
      <c r="C2680" s="21"/>
      <c r="D2680" s="21"/>
      <c r="E2680" s="41"/>
    </row>
    <row r="2681" spans="1:8" ht="15.75" customHeight="1" x14ac:dyDescent="0.25">
      <c r="A2681" s="15"/>
      <c r="B2681" s="21"/>
      <c r="C2681" s="21"/>
      <c r="D2681" s="21"/>
      <c r="E2681" s="41"/>
    </row>
    <row r="2682" spans="1:8" ht="15.75" customHeight="1" x14ac:dyDescent="0.25">
      <c r="A2682" s="15"/>
      <c r="B2682" s="21"/>
      <c r="C2682" s="21"/>
      <c r="D2682" s="21"/>
      <c r="E2682" s="41"/>
    </row>
    <row r="2683" spans="1:8" ht="15.75" customHeight="1" x14ac:dyDescent="0.25">
      <c r="A2683" s="15"/>
      <c r="B2683" s="21"/>
      <c r="C2683" s="21"/>
      <c r="D2683" s="21"/>
      <c r="E2683" s="41"/>
    </row>
    <row r="2684" spans="1:8" ht="15.75" customHeight="1" x14ac:dyDescent="0.25">
      <c r="A2684" s="15"/>
      <c r="B2684" s="21"/>
      <c r="C2684" s="21"/>
      <c r="D2684" s="21"/>
      <c r="E2684" s="41"/>
    </row>
    <row r="2685" spans="1:8" ht="15.75" customHeight="1" x14ac:dyDescent="0.25">
      <c r="A2685" s="15"/>
      <c r="B2685" s="21"/>
      <c r="C2685" s="21"/>
      <c r="D2685" s="21"/>
      <c r="E2685" s="41"/>
    </row>
    <row r="2686" spans="1:8" ht="15.75" customHeight="1" x14ac:dyDescent="0.25">
      <c r="A2686" s="15"/>
      <c r="B2686" s="21"/>
      <c r="C2686" s="21"/>
      <c r="D2686" s="21"/>
      <c r="E2686" s="41"/>
    </row>
    <row r="2687" spans="1:8" ht="15.75" customHeight="1" x14ac:dyDescent="0.25">
      <c r="A2687" s="15"/>
      <c r="B2687" s="21"/>
      <c r="C2687" s="21"/>
      <c r="D2687" s="21"/>
      <c r="E2687" s="41"/>
    </row>
    <row r="2688" spans="1:8" ht="15.75" customHeight="1" x14ac:dyDescent="0.25">
      <c r="A2688" s="15"/>
      <c r="B2688" s="21"/>
      <c r="C2688" s="21"/>
      <c r="D2688" s="21"/>
      <c r="E2688" s="41"/>
    </row>
    <row r="2689" spans="1:5" ht="15.75" customHeight="1" x14ac:dyDescent="0.25">
      <c r="A2689" s="15"/>
      <c r="B2689" s="21"/>
      <c r="C2689" s="21"/>
      <c r="D2689" s="21"/>
      <c r="E2689" s="41"/>
    </row>
    <row r="2690" spans="1:5" ht="15.75" customHeight="1" x14ac:dyDescent="0.25">
      <c r="A2690" s="15"/>
      <c r="B2690" s="21"/>
      <c r="C2690" s="21"/>
      <c r="D2690" s="21"/>
      <c r="E2690" s="41"/>
    </row>
    <row r="2691" spans="1:5" ht="15.75" customHeight="1" x14ac:dyDescent="0.25">
      <c r="A2691" s="15"/>
      <c r="B2691" s="21"/>
      <c r="C2691" s="21"/>
      <c r="D2691" s="21"/>
      <c r="E2691" s="41"/>
    </row>
    <row r="2692" spans="1:5" ht="15.75" customHeight="1" x14ac:dyDescent="0.25">
      <c r="A2692" s="15"/>
      <c r="B2692" s="21"/>
      <c r="C2692" s="21"/>
      <c r="D2692" s="21"/>
      <c r="E2692" s="41"/>
    </row>
    <row r="2693" spans="1:5" ht="15.75" customHeight="1" x14ac:dyDescent="0.25">
      <c r="A2693" s="15"/>
      <c r="B2693" s="21"/>
      <c r="C2693" s="21"/>
      <c r="D2693" s="21"/>
      <c r="E2693" s="41"/>
    </row>
    <row r="2694" spans="1:5" ht="15.75" customHeight="1" x14ac:dyDescent="0.25">
      <c r="A2694" s="15"/>
      <c r="B2694" s="21"/>
      <c r="C2694" s="21"/>
      <c r="D2694" s="21"/>
      <c r="E2694" s="41"/>
    </row>
    <row r="2695" spans="1:5" ht="15.75" customHeight="1" x14ac:dyDescent="0.25">
      <c r="A2695" s="15"/>
      <c r="B2695" s="21"/>
      <c r="C2695" s="21"/>
      <c r="D2695" s="21"/>
      <c r="E2695" s="41"/>
    </row>
    <row r="2696" spans="1:5" ht="15.75" customHeight="1" x14ac:dyDescent="0.25">
      <c r="A2696" s="15"/>
      <c r="B2696" s="21"/>
      <c r="C2696" s="21"/>
      <c r="D2696" s="21"/>
      <c r="E2696" s="41"/>
    </row>
    <row r="2697" spans="1:5" ht="15.75" customHeight="1" x14ac:dyDescent="0.25">
      <c r="A2697" s="15"/>
      <c r="B2697" s="21"/>
      <c r="C2697" s="21"/>
      <c r="D2697" s="21"/>
      <c r="E2697" s="41"/>
    </row>
    <row r="2698" spans="1:5" ht="15.75" customHeight="1" x14ac:dyDescent="0.25">
      <c r="A2698" s="15"/>
      <c r="B2698" s="21"/>
      <c r="C2698" s="21"/>
      <c r="D2698" s="21"/>
      <c r="E2698" s="41"/>
    </row>
    <row r="2699" spans="1:5" ht="15.75" customHeight="1" x14ac:dyDescent="0.25">
      <c r="A2699" s="15"/>
      <c r="B2699" s="21"/>
      <c r="C2699" s="21"/>
      <c r="D2699" s="21"/>
      <c r="E2699" s="41"/>
    </row>
    <row r="2700" spans="1:5" ht="15.75" customHeight="1" x14ac:dyDescent="0.25">
      <c r="A2700" s="15"/>
      <c r="B2700" s="21"/>
      <c r="C2700" s="21"/>
      <c r="D2700" s="21"/>
      <c r="E2700" s="41"/>
    </row>
    <row r="2701" spans="1:5" ht="15.75" customHeight="1" x14ac:dyDescent="0.25">
      <c r="A2701" s="15"/>
      <c r="B2701" s="21"/>
      <c r="C2701" s="21"/>
      <c r="D2701" s="21"/>
      <c r="E2701" s="41"/>
    </row>
    <row r="2702" spans="1:5" ht="15.75" customHeight="1" x14ac:dyDescent="0.25">
      <c r="A2702" s="15"/>
      <c r="B2702" s="21"/>
      <c r="C2702" s="21"/>
      <c r="D2702" s="21"/>
      <c r="E2702" s="41"/>
    </row>
    <row r="2703" spans="1:5" ht="15.75" customHeight="1" x14ac:dyDescent="0.25">
      <c r="A2703" s="15"/>
      <c r="B2703" s="21"/>
      <c r="C2703" s="21"/>
      <c r="D2703" s="21"/>
      <c r="E2703" s="41"/>
    </row>
    <row r="2704" spans="1:5" ht="15.75" customHeight="1" x14ac:dyDescent="0.25">
      <c r="A2704" s="15"/>
      <c r="B2704" s="21"/>
      <c r="C2704" s="21"/>
      <c r="D2704" s="21"/>
      <c r="E2704" s="41"/>
    </row>
    <row r="2705" spans="1:5" ht="15.75" customHeight="1" x14ac:dyDescent="0.25">
      <c r="A2705" s="15"/>
      <c r="B2705" s="21"/>
      <c r="C2705" s="21"/>
      <c r="D2705" s="21"/>
      <c r="E2705" s="41"/>
    </row>
    <row r="2706" spans="1:5" ht="15.75" customHeight="1" x14ac:dyDescent="0.25">
      <c r="A2706" s="15"/>
      <c r="B2706" s="21"/>
      <c r="C2706" s="21"/>
      <c r="D2706" s="21"/>
      <c r="E2706" s="41"/>
    </row>
    <row r="2707" spans="1:5" ht="15.75" customHeight="1" x14ac:dyDescent="0.25">
      <c r="A2707" s="15"/>
      <c r="B2707" s="21"/>
      <c r="C2707" s="21"/>
      <c r="D2707" s="21"/>
      <c r="E2707" s="41"/>
    </row>
    <row r="2708" spans="1:5" ht="15.75" customHeight="1" x14ac:dyDescent="0.25">
      <c r="A2708" s="15"/>
      <c r="B2708" s="21"/>
      <c r="C2708" s="21"/>
      <c r="D2708" s="21"/>
      <c r="E2708" s="41"/>
    </row>
    <row r="2709" spans="1:5" ht="15.75" customHeight="1" x14ac:dyDescent="0.25">
      <c r="A2709" s="15"/>
      <c r="B2709" s="21"/>
      <c r="C2709" s="21"/>
      <c r="D2709" s="21"/>
      <c r="E2709" s="41"/>
    </row>
    <row r="2710" spans="1:5" ht="15.75" customHeight="1" x14ac:dyDescent="0.25">
      <c r="A2710" s="15"/>
      <c r="B2710" s="21"/>
      <c r="C2710" s="21"/>
      <c r="D2710" s="21"/>
      <c r="E2710" s="41"/>
    </row>
    <row r="2711" spans="1:5" ht="15.75" customHeight="1" x14ac:dyDescent="0.25">
      <c r="A2711" s="15"/>
      <c r="B2711" s="21"/>
      <c r="C2711" s="21"/>
      <c r="D2711" s="21"/>
      <c r="E2711" s="41"/>
    </row>
    <row r="2712" spans="1:5" ht="15.75" customHeight="1" x14ac:dyDescent="0.25">
      <c r="A2712" s="15"/>
      <c r="B2712" s="21"/>
      <c r="C2712" s="21"/>
      <c r="D2712" s="21"/>
      <c r="E2712" s="41"/>
    </row>
    <row r="2713" spans="1:5" ht="15.75" customHeight="1" x14ac:dyDescent="0.25">
      <c r="A2713" s="15"/>
      <c r="B2713" s="21"/>
      <c r="C2713" s="21"/>
      <c r="D2713" s="21"/>
      <c r="E2713" s="41"/>
    </row>
    <row r="2714" spans="1:5" ht="15.75" customHeight="1" x14ac:dyDescent="0.25">
      <c r="A2714" s="15"/>
      <c r="B2714" s="21"/>
      <c r="C2714" s="21"/>
      <c r="D2714" s="21"/>
      <c r="E2714" s="41"/>
    </row>
    <row r="2715" spans="1:5" ht="15.75" customHeight="1" x14ac:dyDescent="0.25">
      <c r="A2715" s="15"/>
      <c r="B2715" s="21"/>
      <c r="C2715" s="21"/>
      <c r="D2715" s="21"/>
      <c r="E2715" s="41"/>
    </row>
    <row r="2716" spans="1:5" ht="15.75" customHeight="1" x14ac:dyDescent="0.25">
      <c r="A2716" s="15"/>
      <c r="B2716" s="21"/>
      <c r="C2716" s="21"/>
      <c r="D2716" s="21"/>
      <c r="E2716" s="41"/>
    </row>
    <row r="2717" spans="1:5" ht="15.75" customHeight="1" x14ac:dyDescent="0.25">
      <c r="A2717" s="15"/>
      <c r="B2717" s="21"/>
      <c r="C2717" s="21"/>
      <c r="D2717" s="21"/>
      <c r="E2717" s="41"/>
    </row>
    <row r="2718" spans="1:5" ht="15.75" customHeight="1" x14ac:dyDescent="0.25">
      <c r="A2718" s="15"/>
      <c r="B2718" s="21"/>
      <c r="C2718" s="21"/>
      <c r="D2718" s="21"/>
      <c r="E2718" s="41"/>
    </row>
    <row r="2719" spans="1:5" ht="15.75" customHeight="1" x14ac:dyDescent="0.25">
      <c r="A2719" s="15"/>
      <c r="B2719" s="21"/>
      <c r="C2719" s="21"/>
      <c r="D2719" s="21"/>
      <c r="E2719" s="41"/>
    </row>
    <row r="2720" spans="1:5" ht="15.75" customHeight="1" x14ac:dyDescent="0.25">
      <c r="A2720" s="15"/>
      <c r="B2720" s="21"/>
      <c r="C2720" s="21"/>
      <c r="D2720" s="21"/>
      <c r="E2720" s="41"/>
    </row>
    <row r="2721" spans="1:5" ht="15.75" customHeight="1" x14ac:dyDescent="0.25">
      <c r="A2721" s="15"/>
      <c r="B2721" s="21"/>
      <c r="C2721" s="21"/>
      <c r="D2721" s="21"/>
      <c r="E2721" s="41"/>
    </row>
    <row r="2722" spans="1:5" ht="15.75" customHeight="1" x14ac:dyDescent="0.25">
      <c r="A2722" s="15"/>
      <c r="B2722" s="21"/>
      <c r="C2722" s="21"/>
      <c r="D2722" s="21"/>
      <c r="E2722" s="41"/>
    </row>
    <row r="2723" spans="1:5" ht="15.75" customHeight="1" x14ac:dyDescent="0.25">
      <c r="A2723" s="15"/>
      <c r="B2723" s="21"/>
      <c r="C2723" s="21"/>
      <c r="D2723" s="21"/>
      <c r="E2723" s="41"/>
    </row>
    <row r="2724" spans="1:5" ht="15.75" customHeight="1" x14ac:dyDescent="0.25">
      <c r="A2724" s="15"/>
      <c r="B2724" s="21"/>
      <c r="C2724" s="21"/>
      <c r="D2724" s="21"/>
      <c r="E2724" s="41"/>
    </row>
    <row r="2725" spans="1:5" ht="15.75" customHeight="1" x14ac:dyDescent="0.25">
      <c r="A2725" s="15"/>
      <c r="B2725" s="21"/>
      <c r="C2725" s="21"/>
      <c r="D2725" s="21"/>
      <c r="E2725" s="41"/>
    </row>
    <row r="2726" spans="1:5" ht="15.75" customHeight="1" x14ac:dyDescent="0.25">
      <c r="A2726" s="15"/>
      <c r="B2726" s="21"/>
      <c r="C2726" s="21"/>
      <c r="D2726" s="21"/>
      <c r="E2726" s="41"/>
    </row>
    <row r="2727" spans="1:5" ht="15.75" customHeight="1" x14ac:dyDescent="0.25">
      <c r="A2727" s="15"/>
      <c r="B2727" s="21"/>
      <c r="C2727" s="21"/>
      <c r="D2727" s="21"/>
      <c r="E2727" s="41"/>
    </row>
    <row r="2728" spans="1:5" ht="15.75" customHeight="1" x14ac:dyDescent="0.25">
      <c r="A2728" s="15"/>
      <c r="B2728" s="21"/>
      <c r="C2728" s="21"/>
      <c r="D2728" s="21"/>
      <c r="E2728" s="41"/>
    </row>
    <row r="2729" spans="1:5" ht="15.75" customHeight="1" x14ac:dyDescent="0.25">
      <c r="A2729" s="15"/>
      <c r="B2729" s="21"/>
      <c r="C2729" s="21"/>
      <c r="D2729" s="21"/>
      <c r="E2729" s="41"/>
    </row>
    <row r="2730" spans="1:5" ht="15.75" customHeight="1" x14ac:dyDescent="0.25">
      <c r="A2730" s="15"/>
      <c r="B2730" s="21"/>
      <c r="C2730" s="21"/>
      <c r="D2730" s="21"/>
      <c r="E2730" s="41"/>
    </row>
    <row r="2731" spans="1:5" ht="15.75" customHeight="1" x14ac:dyDescent="0.25">
      <c r="A2731" s="15"/>
      <c r="B2731" s="21"/>
      <c r="C2731" s="21"/>
      <c r="D2731" s="21"/>
      <c r="E2731" s="41"/>
    </row>
    <row r="2732" spans="1:5" ht="15.75" customHeight="1" x14ac:dyDescent="0.25">
      <c r="A2732" s="15"/>
      <c r="B2732" s="21"/>
      <c r="C2732" s="21"/>
      <c r="D2732" s="21"/>
      <c r="E2732" s="41"/>
    </row>
    <row r="2733" spans="1:5" ht="15.75" customHeight="1" x14ac:dyDescent="0.25">
      <c r="A2733" s="15"/>
      <c r="B2733" s="21"/>
      <c r="C2733" s="21"/>
      <c r="D2733" s="21"/>
      <c r="E2733" s="41"/>
    </row>
    <row r="2734" spans="1:5" ht="15.75" customHeight="1" x14ac:dyDescent="0.25">
      <c r="A2734" s="15"/>
      <c r="B2734" s="21"/>
      <c r="C2734" s="21"/>
      <c r="D2734" s="21"/>
      <c r="E2734" s="41"/>
    </row>
    <row r="2735" spans="1:5" ht="15.75" customHeight="1" x14ac:dyDescent="0.25">
      <c r="A2735" s="15"/>
      <c r="B2735" s="21"/>
      <c r="C2735" s="21"/>
      <c r="D2735" s="21"/>
      <c r="E2735" s="41"/>
    </row>
    <row r="2736" spans="1:5" ht="15.75" customHeight="1" x14ac:dyDescent="0.25">
      <c r="A2736" s="15"/>
      <c r="B2736" s="21"/>
      <c r="C2736" s="21"/>
      <c r="D2736" s="21"/>
      <c r="E2736" s="41"/>
    </row>
    <row r="2737" spans="1:5" ht="15.75" customHeight="1" x14ac:dyDescent="0.25">
      <c r="A2737" s="15"/>
      <c r="B2737" s="21"/>
      <c r="C2737" s="21"/>
      <c r="D2737" s="21"/>
      <c r="E2737" s="41"/>
    </row>
    <row r="2738" spans="1:5" ht="15.75" customHeight="1" x14ac:dyDescent="0.25">
      <c r="A2738" s="15"/>
      <c r="B2738" s="21"/>
      <c r="C2738" s="21"/>
      <c r="D2738" s="21"/>
      <c r="E2738" s="41"/>
    </row>
    <row r="2739" spans="1:5" ht="15.75" customHeight="1" x14ac:dyDescent="0.25">
      <c r="A2739" s="15"/>
      <c r="B2739" s="21"/>
      <c r="C2739" s="21"/>
      <c r="D2739" s="21"/>
      <c r="E2739" s="41"/>
    </row>
    <row r="2740" spans="1:5" ht="15.75" customHeight="1" x14ac:dyDescent="0.25">
      <c r="A2740" s="15"/>
      <c r="B2740" s="21"/>
      <c r="C2740" s="21"/>
      <c r="D2740" s="21"/>
      <c r="E2740" s="41"/>
    </row>
    <row r="2741" spans="1:5" ht="15.75" customHeight="1" x14ac:dyDescent="0.25">
      <c r="A2741" s="15"/>
      <c r="B2741" s="21"/>
      <c r="C2741" s="21"/>
      <c r="D2741" s="21"/>
      <c r="E2741" s="41"/>
    </row>
    <row r="2742" spans="1:5" ht="15.75" customHeight="1" x14ac:dyDescent="0.25">
      <c r="A2742" s="15"/>
      <c r="B2742" s="21"/>
      <c r="C2742" s="21"/>
      <c r="D2742" s="21"/>
      <c r="E2742" s="41"/>
    </row>
    <row r="2743" spans="1:5" ht="15.75" customHeight="1" x14ac:dyDescent="0.25">
      <c r="A2743" s="15"/>
      <c r="B2743" s="21"/>
      <c r="C2743" s="21"/>
      <c r="D2743" s="21"/>
      <c r="E2743" s="41"/>
    </row>
    <row r="2744" spans="1:5" ht="15.75" customHeight="1" x14ac:dyDescent="0.25">
      <c r="A2744" s="15"/>
      <c r="B2744" s="21"/>
      <c r="C2744" s="21"/>
      <c r="D2744" s="21"/>
      <c r="E2744" s="41"/>
    </row>
    <row r="2745" spans="1:5" ht="15.75" customHeight="1" x14ac:dyDescent="0.25">
      <c r="A2745" s="15"/>
      <c r="B2745" s="21"/>
      <c r="C2745" s="21"/>
      <c r="D2745" s="21"/>
      <c r="E2745" s="41"/>
    </row>
    <row r="2746" spans="1:5" ht="15.75" customHeight="1" x14ac:dyDescent="0.25">
      <c r="A2746" s="15"/>
      <c r="B2746" s="21"/>
      <c r="C2746" s="21"/>
      <c r="D2746" s="21"/>
      <c r="E2746" s="41"/>
    </row>
    <row r="2747" spans="1:5" ht="15.75" customHeight="1" x14ac:dyDescent="0.25">
      <c r="A2747" s="15"/>
      <c r="B2747" s="21"/>
      <c r="C2747" s="21"/>
      <c r="D2747" s="21"/>
      <c r="E2747" s="41"/>
    </row>
    <row r="2748" spans="1:5" ht="15.75" customHeight="1" x14ac:dyDescent="0.25">
      <c r="A2748" s="15"/>
      <c r="B2748" s="21"/>
      <c r="C2748" s="21"/>
      <c r="D2748" s="21"/>
      <c r="E2748" s="41"/>
    </row>
    <row r="2749" spans="1:5" ht="15.75" customHeight="1" x14ac:dyDescent="0.25">
      <c r="A2749" s="15"/>
      <c r="B2749" s="21"/>
      <c r="C2749" s="21"/>
      <c r="D2749" s="21"/>
      <c r="E2749" s="41"/>
    </row>
    <row r="2750" spans="1:5" ht="15.75" customHeight="1" x14ac:dyDescent="0.25">
      <c r="A2750" s="15"/>
      <c r="B2750" s="21"/>
      <c r="C2750" s="21"/>
      <c r="D2750" s="21"/>
      <c r="E2750" s="41"/>
    </row>
    <row r="2751" spans="1:5" ht="15.75" customHeight="1" x14ac:dyDescent="0.25">
      <c r="A2751" s="15"/>
      <c r="B2751" s="21"/>
      <c r="C2751" s="21"/>
      <c r="D2751" s="21"/>
      <c r="E2751" s="41"/>
    </row>
    <row r="2752" spans="1:5" ht="15.75" customHeight="1" x14ac:dyDescent="0.25">
      <c r="A2752" s="15"/>
      <c r="B2752" s="21"/>
      <c r="C2752" s="21"/>
      <c r="D2752" s="21"/>
      <c r="E2752" s="41"/>
    </row>
    <row r="2753" spans="1:5" ht="15.75" customHeight="1" x14ac:dyDescent="0.25">
      <c r="A2753" s="15"/>
      <c r="B2753" s="21"/>
      <c r="C2753" s="21"/>
      <c r="D2753" s="21"/>
      <c r="E2753" s="41"/>
    </row>
    <row r="2754" spans="1:5" ht="15.75" customHeight="1" x14ac:dyDescent="0.25">
      <c r="A2754" s="15"/>
      <c r="B2754" s="21"/>
      <c r="C2754" s="21"/>
      <c r="D2754" s="21"/>
      <c r="E2754" s="41"/>
    </row>
    <row r="2755" spans="1:5" ht="15.75" customHeight="1" x14ac:dyDescent="0.25">
      <c r="A2755" s="15"/>
      <c r="B2755" s="21"/>
      <c r="C2755" s="21"/>
      <c r="D2755" s="21"/>
      <c r="E2755" s="41"/>
    </row>
    <row r="2756" spans="1:5" ht="15.75" customHeight="1" x14ac:dyDescent="0.25">
      <c r="A2756" s="15"/>
      <c r="B2756" s="21"/>
      <c r="C2756" s="21"/>
      <c r="D2756" s="21"/>
      <c r="E2756" s="41"/>
    </row>
    <row r="2757" spans="1:5" ht="15.75" customHeight="1" x14ac:dyDescent="0.25">
      <c r="A2757" s="15"/>
      <c r="B2757" s="21"/>
      <c r="C2757" s="21"/>
      <c r="D2757" s="21"/>
      <c r="E2757" s="41"/>
    </row>
    <row r="2758" spans="1:5" ht="15.75" customHeight="1" x14ac:dyDescent="0.25">
      <c r="A2758" s="15"/>
      <c r="B2758" s="21"/>
      <c r="C2758" s="21"/>
      <c r="D2758" s="21"/>
      <c r="E2758" s="41"/>
    </row>
    <row r="2759" spans="1:5" ht="15.75" customHeight="1" x14ac:dyDescent="0.25">
      <c r="A2759" s="15"/>
      <c r="B2759" s="21"/>
      <c r="C2759" s="21"/>
      <c r="D2759" s="21"/>
      <c r="E2759" s="41"/>
    </row>
    <row r="2760" spans="1:5" ht="15.75" customHeight="1" x14ac:dyDescent="0.25">
      <c r="A2760" s="15"/>
      <c r="B2760" s="21"/>
      <c r="C2760" s="21"/>
      <c r="D2760" s="21"/>
      <c r="E2760" s="41"/>
    </row>
    <row r="2761" spans="1:5" ht="15.75" customHeight="1" x14ac:dyDescent="0.25">
      <c r="A2761" s="15"/>
      <c r="B2761" s="21"/>
      <c r="C2761" s="21"/>
      <c r="D2761" s="21"/>
      <c r="E2761" s="41"/>
    </row>
    <row r="2762" spans="1:5" ht="15.75" customHeight="1" x14ac:dyDescent="0.25">
      <c r="A2762" s="15"/>
      <c r="B2762" s="21"/>
      <c r="C2762" s="21"/>
      <c r="D2762" s="21"/>
      <c r="E2762" s="41"/>
    </row>
    <row r="2763" spans="1:5" ht="15.75" customHeight="1" x14ac:dyDescent="0.25">
      <c r="A2763" s="15"/>
      <c r="B2763" s="21"/>
      <c r="C2763" s="21"/>
      <c r="D2763" s="21"/>
      <c r="E2763" s="41"/>
    </row>
    <row r="2764" spans="1:5" ht="15.75" customHeight="1" x14ac:dyDescent="0.25">
      <c r="A2764" s="15"/>
      <c r="B2764" s="21"/>
      <c r="C2764" s="21"/>
      <c r="D2764" s="21"/>
      <c r="E2764" s="41"/>
    </row>
    <row r="2765" spans="1:5" ht="15.75" customHeight="1" x14ac:dyDescent="0.25">
      <c r="A2765" s="15"/>
      <c r="B2765" s="21"/>
      <c r="C2765" s="21"/>
      <c r="D2765" s="21"/>
      <c r="E2765" s="41"/>
    </row>
    <row r="2766" spans="1:5" ht="15.75" customHeight="1" x14ac:dyDescent="0.25">
      <c r="A2766" s="15"/>
      <c r="B2766" s="21"/>
      <c r="C2766" s="21"/>
      <c r="D2766" s="21"/>
      <c r="E2766" s="41"/>
    </row>
    <row r="2767" spans="1:5" ht="15.75" customHeight="1" x14ac:dyDescent="0.25">
      <c r="A2767" s="15"/>
      <c r="B2767" s="21"/>
      <c r="C2767" s="21"/>
      <c r="D2767" s="21"/>
      <c r="E2767" s="41"/>
    </row>
    <row r="2768" spans="1:5" ht="15.75" customHeight="1" x14ac:dyDescent="0.25">
      <c r="A2768" s="15"/>
      <c r="B2768" s="21"/>
      <c r="C2768" s="21"/>
      <c r="D2768" s="21"/>
      <c r="E2768" s="41"/>
    </row>
    <row r="2769" spans="1:5" ht="15.75" customHeight="1" x14ac:dyDescent="0.25">
      <c r="A2769" s="15"/>
      <c r="B2769" s="21"/>
      <c r="C2769" s="21"/>
      <c r="D2769" s="21"/>
      <c r="E2769" s="41"/>
    </row>
    <row r="2770" spans="1:5" ht="15.75" customHeight="1" x14ac:dyDescent="0.25">
      <c r="A2770" s="15"/>
      <c r="B2770" s="21"/>
      <c r="C2770" s="21"/>
      <c r="D2770" s="21"/>
      <c r="E2770" s="41"/>
    </row>
    <row r="2771" spans="1:5" ht="15.75" customHeight="1" x14ac:dyDescent="0.25">
      <c r="A2771" s="15"/>
      <c r="B2771" s="21"/>
      <c r="C2771" s="21"/>
      <c r="D2771" s="21"/>
      <c r="E2771" s="41"/>
    </row>
    <row r="2772" spans="1:5" ht="15.75" customHeight="1" x14ac:dyDescent="0.25">
      <c r="A2772" s="15"/>
      <c r="B2772" s="21"/>
      <c r="C2772" s="21"/>
      <c r="D2772" s="21"/>
      <c r="E2772" s="41"/>
    </row>
    <row r="2773" spans="1:5" ht="15.75" customHeight="1" x14ac:dyDescent="0.25">
      <c r="A2773" s="15"/>
      <c r="B2773" s="21"/>
      <c r="C2773" s="21"/>
      <c r="D2773" s="21"/>
      <c r="E2773" s="41"/>
    </row>
    <row r="2774" spans="1:5" ht="15.75" customHeight="1" x14ac:dyDescent="0.25">
      <c r="A2774" s="15"/>
      <c r="B2774" s="21"/>
      <c r="C2774" s="21"/>
      <c r="D2774" s="21"/>
      <c r="E2774" s="41"/>
    </row>
    <row r="2775" spans="1:5" ht="15.75" customHeight="1" x14ac:dyDescent="0.25">
      <c r="A2775" s="15"/>
      <c r="B2775" s="21"/>
      <c r="C2775" s="21"/>
      <c r="D2775" s="21"/>
      <c r="E2775" s="41"/>
    </row>
    <row r="2776" spans="1:5" ht="15.75" customHeight="1" x14ac:dyDescent="0.25">
      <c r="A2776" s="15"/>
      <c r="B2776" s="21"/>
      <c r="C2776" s="21"/>
      <c r="D2776" s="21"/>
      <c r="E2776" s="41"/>
    </row>
    <row r="2777" spans="1:5" ht="15.75" customHeight="1" x14ac:dyDescent="0.25">
      <c r="A2777" s="15"/>
      <c r="B2777" s="21"/>
      <c r="C2777" s="21"/>
      <c r="D2777" s="21"/>
      <c r="E2777" s="41"/>
    </row>
    <row r="2778" spans="1:5" ht="15.75" customHeight="1" x14ac:dyDescent="0.25">
      <c r="A2778" s="15"/>
      <c r="B2778" s="21"/>
      <c r="C2778" s="21"/>
      <c r="D2778" s="21"/>
      <c r="E2778" s="41"/>
    </row>
    <row r="2779" spans="1:5" ht="15.75" customHeight="1" x14ac:dyDescent="0.25">
      <c r="A2779" s="15"/>
      <c r="B2779" s="21"/>
      <c r="C2779" s="21"/>
      <c r="D2779" s="21"/>
      <c r="E2779" s="41"/>
    </row>
    <row r="2780" spans="1:5" ht="15.75" customHeight="1" x14ac:dyDescent="0.25">
      <c r="A2780" s="15"/>
      <c r="B2780" s="21"/>
      <c r="C2780" s="21"/>
      <c r="D2780" s="21"/>
      <c r="E2780" s="41"/>
    </row>
    <row r="2781" spans="1:5" ht="15.75" customHeight="1" x14ac:dyDescent="0.25">
      <c r="A2781" s="15"/>
      <c r="B2781" s="21"/>
      <c r="C2781" s="21"/>
      <c r="D2781" s="21"/>
      <c r="E2781" s="41"/>
    </row>
    <row r="2782" spans="1:5" ht="15.75" customHeight="1" x14ac:dyDescent="0.25">
      <c r="A2782" s="15"/>
      <c r="B2782" s="21"/>
      <c r="C2782" s="21"/>
      <c r="D2782" s="21"/>
      <c r="E2782" s="41"/>
    </row>
    <row r="2783" spans="1:5" ht="15.75" customHeight="1" x14ac:dyDescent="0.25">
      <c r="A2783" s="15"/>
      <c r="B2783" s="21"/>
      <c r="C2783" s="21"/>
      <c r="D2783" s="21"/>
      <c r="E2783" s="41"/>
    </row>
    <row r="2784" spans="1:5" ht="15.75" customHeight="1" x14ac:dyDescent="0.25">
      <c r="A2784" s="15"/>
      <c r="B2784" s="21"/>
      <c r="C2784" s="21"/>
      <c r="D2784" s="21"/>
      <c r="E2784" s="41"/>
    </row>
    <row r="2785" spans="1:5" ht="15.75" customHeight="1" x14ac:dyDescent="0.25">
      <c r="A2785" s="15"/>
      <c r="B2785" s="21"/>
      <c r="C2785" s="21"/>
      <c r="D2785" s="21"/>
      <c r="E2785" s="41"/>
    </row>
    <row r="2786" spans="1:5" ht="15.75" customHeight="1" x14ac:dyDescent="0.25">
      <c r="A2786" s="15"/>
      <c r="B2786" s="21"/>
      <c r="C2786" s="21"/>
      <c r="D2786" s="21"/>
      <c r="E2786" s="41"/>
    </row>
    <row r="2787" spans="1:5" ht="15.75" customHeight="1" x14ac:dyDescent="0.25">
      <c r="A2787" s="15"/>
      <c r="B2787" s="21"/>
      <c r="C2787" s="21"/>
      <c r="D2787" s="21"/>
      <c r="E2787" s="41"/>
    </row>
    <row r="2788" spans="1:5" ht="15.75" customHeight="1" x14ac:dyDescent="0.25">
      <c r="A2788" s="15"/>
      <c r="B2788" s="21"/>
      <c r="C2788" s="21"/>
      <c r="D2788" s="21"/>
      <c r="E2788" s="41"/>
    </row>
    <row r="2789" spans="1:5" ht="15.75" customHeight="1" x14ac:dyDescent="0.25">
      <c r="A2789" s="15"/>
      <c r="B2789" s="21"/>
      <c r="C2789" s="21"/>
      <c r="D2789" s="21"/>
      <c r="E2789" s="41"/>
    </row>
    <row r="2790" spans="1:5" ht="15.75" customHeight="1" x14ac:dyDescent="0.25">
      <c r="A2790" s="15"/>
      <c r="B2790" s="21"/>
      <c r="C2790" s="21"/>
      <c r="D2790" s="21"/>
      <c r="E2790" s="41"/>
    </row>
    <row r="2791" spans="1:5" ht="15.75" customHeight="1" x14ac:dyDescent="0.25">
      <c r="A2791" s="15"/>
      <c r="B2791" s="21"/>
      <c r="C2791" s="21"/>
      <c r="D2791" s="21"/>
      <c r="E2791" s="41"/>
    </row>
    <row r="2792" spans="1:5" ht="15.75" customHeight="1" x14ac:dyDescent="0.25">
      <c r="A2792" s="15"/>
      <c r="B2792" s="21"/>
      <c r="C2792" s="21"/>
      <c r="D2792" s="21"/>
      <c r="E2792" s="41"/>
    </row>
    <row r="2793" spans="1:5" ht="15.75" customHeight="1" x14ac:dyDescent="0.25">
      <c r="A2793" s="15"/>
      <c r="B2793" s="21"/>
      <c r="C2793" s="21"/>
      <c r="D2793" s="21"/>
      <c r="E2793" s="41"/>
    </row>
    <row r="2794" spans="1:5" ht="15.75" customHeight="1" x14ac:dyDescent="0.25">
      <c r="A2794" s="15"/>
      <c r="B2794" s="21"/>
      <c r="C2794" s="21"/>
      <c r="D2794" s="21"/>
      <c r="E2794" s="41"/>
    </row>
    <row r="2795" spans="1:5" ht="15.75" customHeight="1" x14ac:dyDescent="0.25">
      <c r="A2795" s="15"/>
      <c r="B2795" s="21"/>
      <c r="C2795" s="21"/>
      <c r="D2795" s="21"/>
      <c r="E2795" s="41"/>
    </row>
    <row r="2796" spans="1:5" ht="15.75" customHeight="1" x14ac:dyDescent="0.25">
      <c r="A2796" s="15"/>
      <c r="B2796" s="21"/>
      <c r="C2796" s="21"/>
      <c r="D2796" s="21"/>
      <c r="E2796" s="41"/>
    </row>
    <row r="2797" spans="1:5" ht="15.75" customHeight="1" x14ac:dyDescent="0.25">
      <c r="A2797" s="15"/>
      <c r="B2797" s="21"/>
      <c r="C2797" s="21"/>
      <c r="D2797" s="21"/>
      <c r="E2797" s="41"/>
    </row>
    <row r="2798" spans="1:5" ht="15.75" customHeight="1" x14ac:dyDescent="0.25">
      <c r="A2798" s="15"/>
      <c r="B2798" s="21"/>
      <c r="C2798" s="21"/>
      <c r="D2798" s="21"/>
      <c r="E2798" s="41"/>
    </row>
    <row r="2799" spans="1:5" ht="15.75" customHeight="1" x14ac:dyDescent="0.25">
      <c r="A2799" s="15"/>
      <c r="B2799" s="21"/>
      <c r="C2799" s="21"/>
      <c r="D2799" s="21"/>
      <c r="E2799" s="41"/>
    </row>
    <row r="2800" spans="1:5" ht="15.75" customHeight="1" x14ac:dyDescent="0.25">
      <c r="A2800" s="15"/>
      <c r="B2800" s="21"/>
      <c r="C2800" s="21"/>
      <c r="D2800" s="21"/>
      <c r="E2800" s="41"/>
    </row>
    <row r="2801" spans="1:5" ht="15.75" customHeight="1" x14ac:dyDescent="0.25">
      <c r="A2801" s="15"/>
      <c r="B2801" s="21"/>
      <c r="C2801" s="21"/>
      <c r="D2801" s="21"/>
      <c r="E2801" s="41"/>
    </row>
    <row r="2802" spans="1:5" ht="15.75" customHeight="1" x14ac:dyDescent="0.25">
      <c r="A2802" s="15"/>
      <c r="B2802" s="21"/>
      <c r="C2802" s="21"/>
      <c r="D2802" s="21"/>
      <c r="E2802" s="41"/>
    </row>
    <row r="2803" spans="1:5" ht="15.75" customHeight="1" x14ac:dyDescent="0.25">
      <c r="A2803" s="15"/>
      <c r="B2803" s="21"/>
      <c r="C2803" s="21"/>
      <c r="D2803" s="21"/>
      <c r="E2803" s="41"/>
    </row>
    <row r="2804" spans="1:5" ht="15.75" customHeight="1" x14ac:dyDescent="0.25">
      <c r="A2804" s="15"/>
      <c r="B2804" s="21"/>
      <c r="C2804" s="21"/>
      <c r="D2804" s="21"/>
      <c r="E2804" s="41"/>
    </row>
    <row r="2805" spans="1:5" ht="15.75" customHeight="1" x14ac:dyDescent="0.25">
      <c r="A2805" s="15"/>
      <c r="B2805" s="21"/>
      <c r="C2805" s="21"/>
      <c r="D2805" s="21"/>
      <c r="E2805" s="41"/>
    </row>
    <row r="2806" spans="1:5" ht="15.75" customHeight="1" x14ac:dyDescent="0.25">
      <c r="A2806" s="15"/>
      <c r="B2806" s="21"/>
      <c r="C2806" s="21"/>
      <c r="D2806" s="21"/>
      <c r="E2806" s="41"/>
    </row>
    <row r="2807" spans="1:5" ht="15.75" customHeight="1" x14ac:dyDescent="0.25">
      <c r="A2807" s="15"/>
      <c r="B2807" s="21"/>
      <c r="C2807" s="21"/>
      <c r="D2807" s="21"/>
      <c r="E2807" s="41"/>
    </row>
    <row r="2808" spans="1:5" ht="15.75" customHeight="1" x14ac:dyDescent="0.25">
      <c r="A2808" s="15"/>
      <c r="B2808" s="21"/>
      <c r="C2808" s="21"/>
      <c r="D2808" s="21"/>
      <c r="E2808" s="41"/>
    </row>
    <row r="2809" spans="1:5" ht="15.75" customHeight="1" x14ac:dyDescent="0.25">
      <c r="A2809" s="15"/>
      <c r="B2809" s="21"/>
      <c r="C2809" s="21"/>
      <c r="D2809" s="21"/>
      <c r="E2809" s="41"/>
    </row>
    <row r="2810" spans="1:5" ht="15.75" customHeight="1" x14ac:dyDescent="0.25">
      <c r="A2810" s="15"/>
      <c r="B2810" s="21"/>
      <c r="C2810" s="21"/>
      <c r="D2810" s="21"/>
      <c r="E2810" s="41"/>
    </row>
    <row r="2811" spans="1:5" ht="15.75" customHeight="1" x14ac:dyDescent="0.25">
      <c r="A2811" s="15"/>
      <c r="B2811" s="21"/>
      <c r="C2811" s="21"/>
      <c r="D2811" s="21"/>
      <c r="E2811" s="41"/>
    </row>
    <row r="2812" spans="1:5" ht="15.75" customHeight="1" x14ac:dyDescent="0.25">
      <c r="A2812" s="15"/>
      <c r="B2812" s="21"/>
      <c r="C2812" s="21"/>
      <c r="D2812" s="21"/>
      <c r="E2812" s="41"/>
    </row>
    <row r="2813" spans="1:5" ht="15.75" customHeight="1" x14ac:dyDescent="0.25">
      <c r="A2813" s="15"/>
      <c r="B2813" s="21"/>
      <c r="C2813" s="21"/>
      <c r="D2813" s="21"/>
      <c r="E2813" s="41"/>
    </row>
    <row r="2814" spans="1:5" ht="15.75" customHeight="1" x14ac:dyDescent="0.25">
      <c r="A2814" s="15"/>
      <c r="B2814" s="21"/>
      <c r="C2814" s="21"/>
      <c r="D2814" s="21"/>
      <c r="E2814" s="41"/>
    </row>
    <row r="2815" spans="1:5" ht="15.75" customHeight="1" x14ac:dyDescent="0.25">
      <c r="A2815" s="15"/>
      <c r="B2815" s="21"/>
      <c r="C2815" s="21"/>
      <c r="D2815" s="21"/>
      <c r="E2815" s="41"/>
    </row>
    <row r="2816" spans="1:5" ht="15.75" customHeight="1" x14ac:dyDescent="0.25">
      <c r="A2816" s="15"/>
      <c r="B2816" s="21"/>
      <c r="C2816" s="21"/>
      <c r="D2816" s="21"/>
      <c r="E2816" s="41"/>
    </row>
    <row r="2817" spans="1:5" ht="15.75" customHeight="1" x14ac:dyDescent="0.25">
      <c r="A2817" s="15"/>
      <c r="B2817" s="21"/>
      <c r="C2817" s="21"/>
      <c r="D2817" s="21"/>
      <c r="E2817" s="41"/>
    </row>
    <row r="2818" spans="1:5" ht="15.75" customHeight="1" x14ac:dyDescent="0.25">
      <c r="A2818" s="15"/>
      <c r="B2818" s="21"/>
      <c r="C2818" s="21"/>
      <c r="D2818" s="21"/>
      <c r="E2818" s="41"/>
    </row>
    <row r="2819" spans="1:5" ht="15.75" customHeight="1" x14ac:dyDescent="0.25">
      <c r="A2819" s="15"/>
      <c r="B2819" s="21"/>
      <c r="C2819" s="21"/>
      <c r="D2819" s="21"/>
      <c r="E2819" s="41"/>
    </row>
    <row r="2820" spans="1:5" ht="15.75" customHeight="1" x14ac:dyDescent="0.25">
      <c r="A2820" s="15"/>
      <c r="B2820" s="21"/>
      <c r="C2820" s="21"/>
      <c r="D2820" s="21"/>
      <c r="E2820" s="41"/>
    </row>
    <row r="2821" spans="1:5" ht="15.75" customHeight="1" x14ac:dyDescent="0.25">
      <c r="A2821" s="15"/>
      <c r="B2821" s="21"/>
      <c r="C2821" s="21"/>
      <c r="D2821" s="21"/>
      <c r="E2821" s="41"/>
    </row>
    <row r="2822" spans="1:5" ht="15.75" customHeight="1" x14ac:dyDescent="0.25">
      <c r="A2822" s="15"/>
      <c r="B2822" s="21"/>
      <c r="C2822" s="21"/>
      <c r="D2822" s="21"/>
      <c r="E2822" s="41"/>
    </row>
    <row r="2823" spans="1:5" ht="15.75" customHeight="1" x14ac:dyDescent="0.25">
      <c r="A2823" s="15"/>
      <c r="B2823" s="21"/>
      <c r="C2823" s="21"/>
      <c r="D2823" s="21"/>
      <c r="E2823" s="41"/>
    </row>
    <row r="2824" spans="1:5" ht="15.75" customHeight="1" x14ac:dyDescent="0.25">
      <c r="A2824" s="15"/>
      <c r="B2824" s="21"/>
      <c r="C2824" s="21"/>
      <c r="D2824" s="21"/>
      <c r="E2824" s="41"/>
    </row>
    <row r="2825" spans="1:5" ht="15.75" customHeight="1" x14ac:dyDescent="0.25">
      <c r="A2825" s="15"/>
      <c r="B2825" s="21"/>
      <c r="C2825" s="21"/>
      <c r="D2825" s="21"/>
      <c r="E2825" s="41"/>
    </row>
    <row r="2826" spans="1:5" ht="15.75" customHeight="1" x14ac:dyDescent="0.25">
      <c r="A2826" s="15"/>
      <c r="B2826" s="21"/>
      <c r="C2826" s="21"/>
      <c r="D2826" s="21"/>
      <c r="E2826" s="41"/>
    </row>
    <row r="2827" spans="1:5" ht="15.75" customHeight="1" x14ac:dyDescent="0.25">
      <c r="A2827" s="15"/>
      <c r="B2827" s="21"/>
      <c r="C2827" s="21"/>
      <c r="D2827" s="21"/>
      <c r="E2827" s="41"/>
    </row>
    <row r="2828" spans="1:5" ht="15.75" customHeight="1" x14ac:dyDescent="0.25">
      <c r="A2828" s="15"/>
      <c r="B2828" s="21"/>
      <c r="C2828" s="21"/>
      <c r="D2828" s="21"/>
      <c r="E2828" s="41"/>
    </row>
    <row r="2829" spans="1:5" ht="15.75" customHeight="1" x14ac:dyDescent="0.25">
      <c r="A2829" s="15"/>
      <c r="B2829" s="21"/>
      <c r="C2829" s="21"/>
      <c r="D2829" s="21"/>
      <c r="E2829" s="41"/>
    </row>
    <row r="2830" spans="1:5" ht="15.75" customHeight="1" x14ac:dyDescent="0.25">
      <c r="A2830" s="15"/>
      <c r="B2830" s="21"/>
      <c r="C2830" s="21"/>
      <c r="D2830" s="21"/>
      <c r="E2830" s="41"/>
    </row>
    <row r="2831" spans="1:5" ht="15.75" customHeight="1" x14ac:dyDescent="0.25">
      <c r="A2831" s="15"/>
      <c r="B2831" s="21"/>
      <c r="C2831" s="21"/>
      <c r="D2831" s="21"/>
      <c r="E2831" s="41"/>
    </row>
    <row r="2832" spans="1:5" ht="15.75" customHeight="1" x14ac:dyDescent="0.25">
      <c r="A2832" s="15"/>
      <c r="B2832" s="21"/>
      <c r="C2832" s="21"/>
      <c r="D2832" s="21"/>
      <c r="E2832" s="41"/>
    </row>
    <row r="2833" spans="1:5" ht="15.75" customHeight="1" x14ac:dyDescent="0.25">
      <c r="A2833" s="15"/>
      <c r="B2833" s="21"/>
      <c r="C2833" s="21"/>
      <c r="D2833" s="21"/>
      <c r="E2833" s="41"/>
    </row>
    <row r="2834" spans="1:5" ht="15.75" customHeight="1" x14ac:dyDescent="0.25">
      <c r="A2834" s="15"/>
      <c r="B2834" s="21"/>
      <c r="C2834" s="21"/>
      <c r="D2834" s="21"/>
      <c r="E2834" s="41"/>
    </row>
    <row r="2835" spans="1:5" ht="15.75" customHeight="1" x14ac:dyDescent="0.25">
      <c r="A2835" s="15"/>
      <c r="B2835" s="21"/>
      <c r="C2835" s="21"/>
      <c r="D2835" s="21"/>
      <c r="E2835" s="41"/>
    </row>
    <row r="2836" spans="1:5" ht="15.75" customHeight="1" x14ac:dyDescent="0.25">
      <c r="A2836" s="15"/>
      <c r="B2836" s="21"/>
      <c r="C2836" s="21"/>
      <c r="D2836" s="21"/>
      <c r="E2836" s="41"/>
    </row>
    <row r="2837" spans="1:5" ht="15.75" customHeight="1" x14ac:dyDescent="0.25">
      <c r="A2837" s="15"/>
      <c r="B2837" s="21"/>
      <c r="C2837" s="21"/>
      <c r="D2837" s="21"/>
      <c r="E2837" s="41"/>
    </row>
    <row r="2838" spans="1:5" ht="15.75" customHeight="1" x14ac:dyDescent="0.25">
      <c r="A2838" s="15"/>
      <c r="B2838" s="21"/>
      <c r="C2838" s="21"/>
      <c r="D2838" s="21"/>
      <c r="E2838" s="41"/>
    </row>
    <row r="2839" spans="1:5" ht="15.75" customHeight="1" x14ac:dyDescent="0.25">
      <c r="A2839" s="15"/>
      <c r="B2839" s="21"/>
      <c r="C2839" s="21"/>
      <c r="D2839" s="21"/>
      <c r="E2839" s="41"/>
    </row>
    <row r="2840" spans="1:5" ht="15.75" customHeight="1" x14ac:dyDescent="0.25">
      <c r="A2840" s="15"/>
      <c r="B2840" s="21"/>
      <c r="C2840" s="21"/>
      <c r="D2840" s="21"/>
      <c r="E2840" s="41"/>
    </row>
    <row r="2841" spans="1:5" ht="15.75" customHeight="1" x14ac:dyDescent="0.25">
      <c r="A2841" s="15"/>
      <c r="B2841" s="21"/>
      <c r="C2841" s="21"/>
      <c r="D2841" s="21"/>
      <c r="E2841" s="41"/>
    </row>
    <row r="2842" spans="1:5" ht="15.75" customHeight="1" x14ac:dyDescent="0.25">
      <c r="A2842" s="15"/>
      <c r="B2842" s="21"/>
      <c r="C2842" s="21"/>
      <c r="D2842" s="21"/>
      <c r="E2842" s="41"/>
    </row>
    <row r="2843" spans="1:5" ht="15.75" customHeight="1" x14ac:dyDescent="0.25">
      <c r="A2843" s="15"/>
      <c r="B2843" s="21"/>
      <c r="C2843" s="21"/>
      <c r="D2843" s="21"/>
      <c r="E2843" s="41"/>
    </row>
    <row r="2844" spans="1:5" ht="15.75" customHeight="1" x14ac:dyDescent="0.25">
      <c r="A2844" s="15"/>
      <c r="B2844" s="21"/>
      <c r="C2844" s="21"/>
      <c r="D2844" s="21"/>
      <c r="E2844" s="41"/>
    </row>
    <row r="2845" spans="1:5" ht="15.75" customHeight="1" x14ac:dyDescent="0.25">
      <c r="A2845" s="15"/>
      <c r="B2845" s="21"/>
      <c r="C2845" s="21"/>
      <c r="D2845" s="21"/>
      <c r="E2845" s="41"/>
    </row>
    <row r="2846" spans="1:5" ht="15.75" customHeight="1" x14ac:dyDescent="0.25">
      <c r="A2846" s="15"/>
      <c r="B2846" s="21"/>
      <c r="C2846" s="21"/>
      <c r="D2846" s="21"/>
      <c r="E2846" s="41"/>
    </row>
    <row r="2847" spans="1:5" ht="15.75" customHeight="1" x14ac:dyDescent="0.25">
      <c r="A2847" s="15"/>
      <c r="B2847" s="21"/>
      <c r="C2847" s="21"/>
      <c r="D2847" s="21"/>
      <c r="E2847" s="41"/>
    </row>
    <row r="2848" spans="1:5" ht="15.75" customHeight="1" x14ac:dyDescent="0.25">
      <c r="A2848" s="15"/>
      <c r="B2848" s="21"/>
      <c r="C2848" s="21"/>
      <c r="D2848" s="21"/>
      <c r="E2848" s="41"/>
    </row>
    <row r="2849" spans="1:5" ht="15.75" customHeight="1" x14ac:dyDescent="0.25">
      <c r="A2849" s="15"/>
      <c r="B2849" s="21"/>
      <c r="C2849" s="21"/>
      <c r="D2849" s="21"/>
      <c r="E2849" s="41"/>
    </row>
    <row r="2850" spans="1:5" ht="15.75" customHeight="1" x14ac:dyDescent="0.25">
      <c r="A2850" s="15"/>
      <c r="B2850" s="21"/>
      <c r="C2850" s="21"/>
      <c r="D2850" s="21"/>
      <c r="E2850" s="41"/>
    </row>
    <row r="2851" spans="1:5" ht="15.75" customHeight="1" x14ac:dyDescent="0.25">
      <c r="A2851" s="15"/>
      <c r="B2851" s="21"/>
      <c r="C2851" s="21"/>
      <c r="D2851" s="21"/>
      <c r="E2851" s="41"/>
    </row>
    <row r="2852" spans="1:5" ht="15.75" customHeight="1" x14ac:dyDescent="0.25">
      <c r="A2852" s="15"/>
      <c r="B2852" s="21"/>
      <c r="C2852" s="21"/>
      <c r="D2852" s="21"/>
      <c r="E2852" s="41"/>
    </row>
    <row r="2853" spans="1:5" ht="15.75" customHeight="1" x14ac:dyDescent="0.25">
      <c r="A2853" s="15"/>
      <c r="B2853" s="21"/>
      <c r="C2853" s="21"/>
      <c r="D2853" s="21"/>
      <c r="E2853" s="41"/>
    </row>
    <row r="2854" spans="1:5" ht="15.75" customHeight="1" x14ac:dyDescent="0.25">
      <c r="A2854" s="15"/>
      <c r="B2854" s="21"/>
      <c r="C2854" s="21"/>
      <c r="D2854" s="21"/>
      <c r="E2854" s="41"/>
    </row>
    <row r="2855" spans="1:5" ht="15.75" customHeight="1" x14ac:dyDescent="0.25">
      <c r="A2855" s="15"/>
      <c r="B2855" s="21"/>
      <c r="C2855" s="21"/>
      <c r="D2855" s="21"/>
      <c r="E2855" s="41"/>
    </row>
    <row r="2856" spans="1:5" ht="15.75" customHeight="1" x14ac:dyDescent="0.25">
      <c r="A2856" s="15"/>
      <c r="B2856" s="21"/>
      <c r="C2856" s="21"/>
      <c r="D2856" s="21"/>
      <c r="E2856" s="41"/>
    </row>
    <row r="2857" spans="1:5" ht="15.75" customHeight="1" x14ac:dyDescent="0.25">
      <c r="A2857" s="15"/>
      <c r="B2857" s="21"/>
      <c r="C2857" s="21"/>
      <c r="D2857" s="21"/>
      <c r="E2857" s="41"/>
    </row>
    <row r="2858" spans="1:5" ht="15.75" customHeight="1" x14ac:dyDescent="0.25">
      <c r="A2858" s="15"/>
      <c r="B2858" s="21"/>
      <c r="C2858" s="21"/>
      <c r="D2858" s="21"/>
      <c r="E2858" s="41"/>
    </row>
    <row r="2859" spans="1:5" ht="15.75" customHeight="1" x14ac:dyDescent="0.25">
      <c r="A2859" s="15"/>
      <c r="B2859" s="21"/>
      <c r="C2859" s="21"/>
      <c r="D2859" s="21"/>
      <c r="E2859" s="41"/>
    </row>
    <row r="2860" spans="1:5" ht="15.75" customHeight="1" x14ac:dyDescent="0.25">
      <c r="A2860" s="15"/>
      <c r="B2860" s="21"/>
      <c r="C2860" s="21"/>
      <c r="D2860" s="21"/>
      <c r="E2860" s="41"/>
    </row>
    <row r="2861" spans="1:5" ht="15.75" customHeight="1" x14ac:dyDescent="0.25">
      <c r="A2861" s="15"/>
      <c r="B2861" s="21"/>
      <c r="C2861" s="21"/>
      <c r="D2861" s="21"/>
      <c r="E2861" s="41"/>
    </row>
    <row r="2862" spans="1:5" ht="15.75" customHeight="1" x14ac:dyDescent="0.25">
      <c r="A2862" s="15"/>
      <c r="B2862" s="21"/>
      <c r="C2862" s="21"/>
      <c r="D2862" s="21"/>
      <c r="E2862" s="41"/>
    </row>
    <row r="2863" spans="1:5" ht="15.75" customHeight="1" x14ac:dyDescent="0.25">
      <c r="A2863" s="15"/>
      <c r="B2863" s="21"/>
      <c r="C2863" s="21"/>
      <c r="D2863" s="21"/>
      <c r="E2863" s="41"/>
    </row>
    <row r="2864" spans="1:5" ht="15.75" customHeight="1" x14ac:dyDescent="0.25">
      <c r="A2864" s="15"/>
      <c r="B2864" s="21"/>
      <c r="C2864" s="21"/>
      <c r="D2864" s="21"/>
      <c r="E2864" s="41"/>
    </row>
    <row r="2865" spans="1:5" ht="15.75" customHeight="1" x14ac:dyDescent="0.25">
      <c r="A2865" s="15"/>
      <c r="B2865" s="21"/>
      <c r="C2865" s="21"/>
      <c r="D2865" s="21"/>
      <c r="E2865" s="41"/>
    </row>
    <row r="2866" spans="1:5" ht="15.75" customHeight="1" x14ac:dyDescent="0.25">
      <c r="A2866" s="15"/>
      <c r="B2866" s="21"/>
      <c r="C2866" s="21"/>
      <c r="D2866" s="21"/>
      <c r="E2866" s="41"/>
    </row>
    <row r="2867" spans="1:5" ht="15.75" customHeight="1" x14ac:dyDescent="0.25">
      <c r="A2867" s="15"/>
      <c r="B2867" s="21"/>
      <c r="C2867" s="21"/>
      <c r="D2867" s="21"/>
      <c r="E2867" s="41"/>
    </row>
    <row r="2868" spans="1:5" ht="15.75" customHeight="1" x14ac:dyDescent="0.25">
      <c r="A2868" s="15"/>
      <c r="B2868" s="21"/>
      <c r="C2868" s="21"/>
      <c r="D2868" s="21"/>
      <c r="E2868" s="41"/>
    </row>
    <row r="2869" spans="1:5" ht="15.75" customHeight="1" x14ac:dyDescent="0.25">
      <c r="A2869" s="15"/>
      <c r="B2869" s="21"/>
      <c r="C2869" s="21"/>
      <c r="D2869" s="21"/>
      <c r="E2869" s="41"/>
    </row>
    <row r="2870" spans="1:5" ht="15.75" customHeight="1" x14ac:dyDescent="0.25">
      <c r="A2870" s="15"/>
      <c r="B2870" s="21"/>
      <c r="C2870" s="21"/>
      <c r="D2870" s="21"/>
      <c r="E2870" s="41"/>
    </row>
    <row r="2871" spans="1:5" ht="15.75" customHeight="1" x14ac:dyDescent="0.25">
      <c r="A2871" s="15"/>
      <c r="B2871" s="21"/>
      <c r="C2871" s="21"/>
      <c r="D2871" s="21"/>
      <c r="E2871" s="41"/>
    </row>
    <row r="2872" spans="1:5" ht="15.75" customHeight="1" x14ac:dyDescent="0.25">
      <c r="A2872" s="15"/>
      <c r="B2872" s="21"/>
      <c r="C2872" s="21"/>
      <c r="D2872" s="21"/>
      <c r="E2872" s="41"/>
    </row>
    <row r="2873" spans="1:5" ht="15.75" customHeight="1" x14ac:dyDescent="0.25">
      <c r="A2873" s="15"/>
      <c r="B2873" s="21"/>
      <c r="C2873" s="21"/>
      <c r="D2873" s="21"/>
      <c r="E2873" s="41"/>
    </row>
    <row r="2874" spans="1:5" ht="15.75" customHeight="1" x14ac:dyDescent="0.25">
      <c r="A2874" s="15"/>
      <c r="B2874" s="21"/>
      <c r="C2874" s="21"/>
      <c r="D2874" s="21"/>
      <c r="E2874" s="41"/>
    </row>
  </sheetData>
  <autoFilter ref="A3:H2674" xr:uid="{00000000-0009-0000-0000-000000000000}">
    <filterColumn colId="0">
      <filters>
        <filter val="Oruro"/>
      </filters>
    </filterColumn>
    <filterColumn colId="4">
      <colorFilter dxfId="1"/>
    </filterColumn>
    <sortState xmlns:xlrd2="http://schemas.microsoft.com/office/spreadsheetml/2017/richdata2" ref="A3:H2674">
      <sortCondition ref="B3:B267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H3598"/>
  <sheetViews>
    <sheetView workbookViewId="0"/>
  </sheetViews>
  <sheetFormatPr baseColWidth="10" defaultColWidth="12.6640625" defaultRowHeight="15" customHeight="1" x14ac:dyDescent="0.25"/>
  <cols>
    <col min="1" max="6" width="12.664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>
        <v>2024</v>
      </c>
      <c r="F1" s="4" t="s">
        <v>4</v>
      </c>
      <c r="G1" s="4" t="s">
        <v>5</v>
      </c>
      <c r="H1" s="4" t="s">
        <v>6</v>
      </c>
    </row>
    <row r="2" spans="1:8" ht="15.75" customHeight="1" x14ac:dyDescent="0.25">
      <c r="A2" s="5"/>
      <c r="B2" s="5" t="s">
        <v>7</v>
      </c>
      <c r="C2" s="5"/>
      <c r="D2" s="6" t="s">
        <v>8</v>
      </c>
      <c r="E2" s="7">
        <f t="shared" ref="E2:H2" si="0">SUM(E4:E3392)</f>
        <v>5166356</v>
      </c>
      <c r="F2" s="7">
        <f t="shared" si="0"/>
        <v>4400649.7952547809</v>
      </c>
      <c r="G2" s="7">
        <f t="shared" si="0"/>
        <v>591169.51254828449</v>
      </c>
      <c r="H2" s="7">
        <f t="shared" si="0"/>
        <v>174185.61437858248</v>
      </c>
    </row>
    <row r="3" spans="1:8" ht="15.75" customHeight="1" x14ac:dyDescent="0.25">
      <c r="A3" s="15"/>
    </row>
    <row r="4" spans="1:8" ht="15.75" hidden="1" customHeight="1" x14ac:dyDescent="0.25">
      <c r="A4" s="20" t="s">
        <v>9</v>
      </c>
      <c r="B4" s="42" t="s">
        <v>10</v>
      </c>
      <c r="C4" s="12" t="str">
        <f>B4&amp;"_"&amp;A4</f>
        <v>Alcalá_Chuquisaca</v>
      </c>
      <c r="E4" s="43">
        <v>0</v>
      </c>
      <c r="F4" s="14">
        <f t="shared" ref="F4:H4" si="1">SUM(F5:F6)</f>
        <v>0</v>
      </c>
      <c r="G4" s="14">
        <f t="shared" si="1"/>
        <v>0</v>
      </c>
      <c r="H4" s="14">
        <f t="shared" si="1"/>
        <v>0</v>
      </c>
    </row>
    <row r="5" spans="1:8" ht="15.75" hidden="1" customHeight="1" x14ac:dyDescent="0.25">
      <c r="A5" s="20" t="s">
        <v>9</v>
      </c>
      <c r="B5" s="11" t="s">
        <v>10</v>
      </c>
      <c r="C5" s="15"/>
      <c r="D5" s="16" t="s">
        <v>11</v>
      </c>
      <c r="E5" s="17">
        <v>0</v>
      </c>
      <c r="F5" s="18">
        <f>E5* 0.0664298401420959</f>
        <v>0</v>
      </c>
      <c r="G5" s="18">
        <f>E5* 0.932326820603908</f>
        <v>0</v>
      </c>
      <c r="H5" s="18">
        <f>E5* 0.00106571936056838</f>
        <v>0</v>
      </c>
    </row>
    <row r="6" spans="1:8" ht="15.75" hidden="1" customHeight="1" x14ac:dyDescent="0.25">
      <c r="A6" s="20" t="s">
        <v>9</v>
      </c>
      <c r="B6" s="11" t="s">
        <v>10</v>
      </c>
      <c r="C6" s="15"/>
      <c r="D6" s="16" t="s">
        <v>12</v>
      </c>
      <c r="E6" s="17">
        <v>0</v>
      </c>
      <c r="F6" s="18">
        <f>E6* 0.889957698325317</f>
        <v>0</v>
      </c>
      <c r="G6" s="18">
        <f>E6* 0.0573100770701744</f>
        <v>0</v>
      </c>
      <c r="H6" s="18">
        <f>E6* 0.0526742771049429</f>
        <v>0</v>
      </c>
    </row>
    <row r="7" spans="1:8" ht="15.75" hidden="1" customHeight="1" x14ac:dyDescent="0.25">
      <c r="A7" s="20" t="s">
        <v>9</v>
      </c>
      <c r="B7" s="11" t="s">
        <v>10</v>
      </c>
      <c r="C7" s="15"/>
      <c r="E7" s="19"/>
    </row>
    <row r="8" spans="1:8" ht="15.75" hidden="1" customHeight="1" x14ac:dyDescent="0.25">
      <c r="A8" s="20" t="s">
        <v>9</v>
      </c>
      <c r="B8" s="42" t="s">
        <v>13</v>
      </c>
      <c r="C8" s="12" t="str">
        <f>B8&amp;"_"&amp;A8</f>
        <v>Camargo_Chuquisaca</v>
      </c>
      <c r="E8" s="43">
        <v>350</v>
      </c>
      <c r="F8" s="14">
        <f t="shared" ref="F8:H8" si="2">SUM(F9:F19)</f>
        <v>312.86140243022044</v>
      </c>
      <c r="G8" s="14">
        <f t="shared" si="2"/>
        <v>31.398031508872066</v>
      </c>
      <c r="H8" s="14">
        <f t="shared" si="2"/>
        <v>5.7349817231593825</v>
      </c>
    </row>
    <row r="9" spans="1:8" ht="15.75" hidden="1" customHeight="1" x14ac:dyDescent="0.25">
      <c r="A9" s="20" t="s">
        <v>9</v>
      </c>
      <c r="B9" s="11" t="s">
        <v>13</v>
      </c>
      <c r="C9" s="15"/>
      <c r="D9" s="16" t="s">
        <v>288</v>
      </c>
      <c r="E9" s="17">
        <v>0</v>
      </c>
      <c r="F9" s="20">
        <v>0</v>
      </c>
      <c r="G9" s="20">
        <f>E9</f>
        <v>0</v>
      </c>
      <c r="H9" s="20">
        <v>0</v>
      </c>
    </row>
    <row r="10" spans="1:8" ht="15.75" hidden="1" customHeight="1" x14ac:dyDescent="0.25">
      <c r="A10" s="20" t="s">
        <v>9</v>
      </c>
      <c r="B10" s="11" t="s">
        <v>13</v>
      </c>
      <c r="C10" s="15"/>
      <c r="D10" s="16" t="s">
        <v>15</v>
      </c>
      <c r="E10" s="17">
        <v>35</v>
      </c>
      <c r="F10" s="18">
        <f>E10* 0.962408869987849</f>
        <v>33.684310449574717</v>
      </c>
      <c r="G10" s="18">
        <f>E10* 0.00425273390036452</f>
        <v>0.1488456865127582</v>
      </c>
      <c r="H10" s="18">
        <f>E10* 0.0333383961117862</f>
        <v>1.1668438639125169</v>
      </c>
    </row>
    <row r="11" spans="1:8" ht="15.75" hidden="1" customHeight="1" x14ac:dyDescent="0.25">
      <c r="A11" s="20" t="s">
        <v>9</v>
      </c>
      <c r="B11" s="11" t="s">
        <v>13</v>
      </c>
      <c r="C11" s="15"/>
      <c r="D11" s="16" t="s">
        <v>286</v>
      </c>
      <c r="E11" s="17">
        <v>1</v>
      </c>
      <c r="F11" s="18">
        <f>E11* 0.03</f>
        <v>0.03</v>
      </c>
      <c r="G11" s="18">
        <f>E11* 0.97</f>
        <v>0.97</v>
      </c>
      <c r="H11" s="20">
        <v>0</v>
      </c>
    </row>
    <row r="12" spans="1:8" ht="15.75" hidden="1" customHeight="1" x14ac:dyDescent="0.25">
      <c r="A12" s="20" t="s">
        <v>9</v>
      </c>
      <c r="B12" s="11" t="s">
        <v>13</v>
      </c>
      <c r="C12" s="15"/>
      <c r="D12" s="16" t="s">
        <v>11</v>
      </c>
      <c r="E12" s="17">
        <v>21</v>
      </c>
      <c r="F12" s="18">
        <f>E12* 0.0664298401420959</f>
        <v>1.3950266429840137</v>
      </c>
      <c r="G12" s="18">
        <f>E12* 0.932326820603908</f>
        <v>19.578863232682068</v>
      </c>
      <c r="H12" s="18">
        <f>E12* 0.00106571936056838</f>
        <v>2.2380106571935978E-2</v>
      </c>
    </row>
    <row r="13" spans="1:8" ht="15.75" hidden="1" customHeight="1" x14ac:dyDescent="0.25">
      <c r="A13" s="20" t="s">
        <v>9</v>
      </c>
      <c r="B13" s="11" t="s">
        <v>13</v>
      </c>
      <c r="C13" s="15"/>
      <c r="D13" s="16" t="s">
        <v>17</v>
      </c>
      <c r="E13" s="17">
        <v>40</v>
      </c>
      <c r="F13" s="18">
        <f>E13* 0.860929374266063</f>
        <v>34.437174970642516</v>
      </c>
      <c r="G13" s="18">
        <f>E13* 0.0811944304646871</f>
        <v>3.2477772185874842</v>
      </c>
      <c r="H13" s="18">
        <f>E13* 0.0578761952692501</f>
        <v>2.3150478107700039</v>
      </c>
    </row>
    <row r="14" spans="1:8" ht="15.75" hidden="1" customHeight="1" x14ac:dyDescent="0.25">
      <c r="A14" s="20" t="s">
        <v>9</v>
      </c>
      <c r="B14" s="11" t="s">
        <v>13</v>
      </c>
      <c r="C14" s="15"/>
      <c r="D14" s="16" t="s">
        <v>18</v>
      </c>
      <c r="E14" s="17">
        <v>2</v>
      </c>
      <c r="F14" s="18">
        <f>E14* 0.949854952341484</f>
        <v>1.899709904682968</v>
      </c>
      <c r="G14" s="18">
        <f>E14* 0.0439287194363862</f>
        <v>8.7857438872772406E-2</v>
      </c>
      <c r="H14" s="18">
        <f>E14* 0.00621632822213013</f>
        <v>1.2432656444260261E-2</v>
      </c>
    </row>
    <row r="15" spans="1:8" ht="15.75" hidden="1" customHeight="1" x14ac:dyDescent="0.25">
      <c r="A15" s="20" t="s">
        <v>9</v>
      </c>
      <c r="B15" s="11" t="s">
        <v>13</v>
      </c>
      <c r="C15" s="15"/>
      <c r="D15" s="16" t="s">
        <v>19</v>
      </c>
      <c r="E15" s="17">
        <v>0</v>
      </c>
      <c r="F15" s="18">
        <f>E15* 0.0187085093542547</f>
        <v>0</v>
      </c>
      <c r="G15" s="18">
        <f>E15* 0.978877489438745</f>
        <v>0</v>
      </c>
      <c r="H15" s="18">
        <f>E15* 0.0024140012070006</f>
        <v>0</v>
      </c>
    </row>
    <row r="16" spans="1:8" ht="15.75" hidden="1" customHeight="1" x14ac:dyDescent="0.25">
      <c r="A16" s="20" t="s">
        <v>9</v>
      </c>
      <c r="B16" s="11" t="s">
        <v>13</v>
      </c>
      <c r="C16" s="15"/>
      <c r="D16" s="16" t="s">
        <v>20</v>
      </c>
      <c r="E16" s="17">
        <v>9</v>
      </c>
      <c r="F16" s="18">
        <f>E16* 0.557228915662651</f>
        <v>5.0150602409638587</v>
      </c>
      <c r="G16" s="18">
        <f>E16* 0.390562248995984</f>
        <v>3.5150602409638561</v>
      </c>
      <c r="H16" s="18">
        <f>E16* 0.0522088353413655</f>
        <v>0.4698795180722895</v>
      </c>
    </row>
    <row r="17" spans="1:8" ht="15.75" hidden="1" customHeight="1" x14ac:dyDescent="0.25">
      <c r="A17" s="20" t="s">
        <v>9</v>
      </c>
      <c r="B17" s="11" t="s">
        <v>13</v>
      </c>
      <c r="C17" s="15"/>
      <c r="D17" s="16" t="s">
        <v>21</v>
      </c>
      <c r="E17" s="17">
        <v>208</v>
      </c>
      <c r="F17" s="18">
        <f>E17* 0.999622470552703</f>
        <v>207.92147387496223</v>
      </c>
      <c r="G17" s="18">
        <f>E17* 0.0000755058894593778</f>
        <v>1.5705225007550581E-2</v>
      </c>
      <c r="H17" s="18">
        <f>E17* 0.000302023557837511</f>
        <v>6.2820900030202284E-2</v>
      </c>
    </row>
    <row r="18" spans="1:8" ht="15.75" hidden="1" customHeight="1" x14ac:dyDescent="0.25">
      <c r="A18" s="20" t="s">
        <v>9</v>
      </c>
      <c r="B18" s="11" t="s">
        <v>13</v>
      </c>
      <c r="C18" s="15"/>
      <c r="D18" s="16" t="s">
        <v>289</v>
      </c>
      <c r="E18" s="17">
        <v>2</v>
      </c>
      <c r="F18" s="20">
        <v>0</v>
      </c>
      <c r="G18" s="20">
        <f>E18</f>
        <v>2</v>
      </c>
      <c r="H18" s="20">
        <v>0</v>
      </c>
    </row>
    <row r="19" spans="1:8" ht="15.75" hidden="1" customHeight="1" x14ac:dyDescent="0.25">
      <c r="A19" s="20" t="s">
        <v>9</v>
      </c>
      <c r="B19" s="11" t="s">
        <v>13</v>
      </c>
      <c r="C19" s="15"/>
      <c r="D19" s="16" t="s">
        <v>12</v>
      </c>
      <c r="E19" s="17">
        <v>32</v>
      </c>
      <c r="F19" s="18">
        <f>E19* 0.889957698325317</f>
        <v>28.478646346410144</v>
      </c>
      <c r="G19" s="18">
        <f>E19* 0.0573100770701744</f>
        <v>1.8339224662455809</v>
      </c>
      <c r="H19" s="18">
        <f>E19* 0.0526742771049429</f>
        <v>1.6855768673581728</v>
      </c>
    </row>
    <row r="20" spans="1:8" ht="15.75" hidden="1" customHeight="1" x14ac:dyDescent="0.25">
      <c r="A20" s="20" t="s">
        <v>9</v>
      </c>
      <c r="B20" s="11" t="s">
        <v>13</v>
      </c>
      <c r="C20" s="15"/>
      <c r="E20" s="19"/>
    </row>
    <row r="21" spans="1:8" ht="15.75" hidden="1" customHeight="1" x14ac:dyDescent="0.25">
      <c r="A21" s="20" t="s">
        <v>9</v>
      </c>
      <c r="B21" s="42" t="s">
        <v>22</v>
      </c>
      <c r="C21" s="12" t="str">
        <f>B21&amp;"_"&amp;A21</f>
        <v>Culpina_Chuquisaca</v>
      </c>
      <c r="E21" s="43">
        <v>103</v>
      </c>
      <c r="F21" s="14">
        <f t="shared" ref="F21:H21" si="3">SUM(F22:F30)</f>
        <v>77.236224197939549</v>
      </c>
      <c r="G21" s="14">
        <f t="shared" si="3"/>
        <v>23.371504323168118</v>
      </c>
      <c r="H21" s="14">
        <f t="shared" si="3"/>
        <v>2.3868030361433696</v>
      </c>
    </row>
    <row r="22" spans="1:8" ht="15.75" hidden="1" customHeight="1" x14ac:dyDescent="0.25">
      <c r="A22" s="20" t="s">
        <v>9</v>
      </c>
      <c r="B22" s="11" t="s">
        <v>22</v>
      </c>
      <c r="C22" s="15"/>
      <c r="D22" s="16" t="s">
        <v>15</v>
      </c>
      <c r="E22" s="17">
        <v>2</v>
      </c>
      <c r="F22" s="18">
        <f>E22* 0.962408869987849</f>
        <v>1.924817739975698</v>
      </c>
      <c r="G22" s="18">
        <f>E22* 0.00425273390036452</f>
        <v>8.5054678007290396E-3</v>
      </c>
      <c r="H22" s="18">
        <f>E22* 0.0333383961117862</f>
        <v>6.6676792223572395E-2</v>
      </c>
    </row>
    <row r="23" spans="1:8" ht="15.75" hidden="1" customHeight="1" x14ac:dyDescent="0.25">
      <c r="A23" s="20" t="s">
        <v>9</v>
      </c>
      <c r="B23" s="11" t="s">
        <v>22</v>
      </c>
      <c r="C23" s="15"/>
      <c r="D23" s="16" t="s">
        <v>11</v>
      </c>
      <c r="E23" s="17">
        <v>21</v>
      </c>
      <c r="F23" s="18">
        <f>E23* 0.0664298401420959</f>
        <v>1.3950266429840137</v>
      </c>
      <c r="G23" s="18">
        <f>E23* 0.932326820603908</f>
        <v>19.578863232682068</v>
      </c>
      <c r="H23" s="18">
        <f>E23* 0.00106571936056838</f>
        <v>2.2380106571935978E-2</v>
      </c>
    </row>
    <row r="24" spans="1:8" ht="15.75" hidden="1" customHeight="1" x14ac:dyDescent="0.25">
      <c r="A24" s="20" t="s">
        <v>9</v>
      </c>
      <c r="B24" s="11" t="s">
        <v>22</v>
      </c>
      <c r="C24" s="15"/>
      <c r="D24" s="16" t="s">
        <v>17</v>
      </c>
      <c r="E24" s="17">
        <v>12</v>
      </c>
      <c r="F24" s="18">
        <f>E24* 0.860929374266063</f>
        <v>10.331152491192755</v>
      </c>
      <c r="G24" s="18">
        <f>E24* 0.0811944304646871</f>
        <v>0.97433316557624527</v>
      </c>
      <c r="H24" s="18">
        <f>E24* 0.0578761952692501</f>
        <v>0.69451434323100125</v>
      </c>
    </row>
    <row r="25" spans="1:8" ht="15.75" hidden="1" customHeight="1" x14ac:dyDescent="0.25">
      <c r="A25" s="20" t="s">
        <v>9</v>
      </c>
      <c r="B25" s="11" t="s">
        <v>22</v>
      </c>
      <c r="C25" s="15"/>
      <c r="D25" s="16" t="s">
        <v>18</v>
      </c>
      <c r="E25" s="17">
        <v>2</v>
      </c>
      <c r="F25" s="18">
        <f>E25* 0.949854952341484</f>
        <v>1.899709904682968</v>
      </c>
      <c r="G25" s="18">
        <f>E25* 0.0439287194363862</f>
        <v>8.7857438872772406E-2</v>
      </c>
      <c r="H25" s="18">
        <f>E25* 0.00621632822213013</f>
        <v>1.2432656444260261E-2</v>
      </c>
    </row>
    <row r="26" spans="1:8" ht="15.75" hidden="1" customHeight="1" x14ac:dyDescent="0.25">
      <c r="A26" s="20" t="s">
        <v>9</v>
      </c>
      <c r="B26" s="11" t="s">
        <v>22</v>
      </c>
      <c r="C26" s="15"/>
      <c r="D26" s="16" t="s">
        <v>19</v>
      </c>
      <c r="E26" s="19"/>
      <c r="F26" s="18">
        <f>E26* 0.0187085093542547</f>
        <v>0</v>
      </c>
      <c r="G26" s="18">
        <f>E26* 0.978877489438745</f>
        <v>0</v>
      </c>
      <c r="H26" s="18">
        <f>E26* 0.0024140012070006</f>
        <v>0</v>
      </c>
    </row>
    <row r="27" spans="1:8" ht="15.75" hidden="1" customHeight="1" x14ac:dyDescent="0.25">
      <c r="A27" s="20" t="s">
        <v>9</v>
      </c>
      <c r="B27" s="11" t="s">
        <v>22</v>
      </c>
      <c r="C27" s="15"/>
      <c r="D27" s="16" t="s">
        <v>20</v>
      </c>
      <c r="E27" s="19"/>
      <c r="F27" s="18">
        <f>E27* 0.557228915662651</f>
        <v>0</v>
      </c>
      <c r="G27" s="18">
        <f>E27* 0.390562248995984</f>
        <v>0</v>
      </c>
      <c r="H27" s="18">
        <f>E27* 0.0522088353413655</f>
        <v>0</v>
      </c>
    </row>
    <row r="28" spans="1:8" ht="15.75" hidden="1" customHeight="1" x14ac:dyDescent="0.25">
      <c r="A28" s="20" t="s">
        <v>9</v>
      </c>
      <c r="B28" s="11" t="s">
        <v>22</v>
      </c>
      <c r="C28" s="15"/>
      <c r="D28" s="16" t="s">
        <v>21</v>
      </c>
      <c r="E28" s="17">
        <v>35</v>
      </c>
      <c r="F28" s="18">
        <f>E28* 0.999622470552703</f>
        <v>34.986786469344608</v>
      </c>
      <c r="G28" s="18">
        <f>E28* 0.0000755058894593778</f>
        <v>2.6427061310782232E-3</v>
      </c>
      <c r="H28" s="18">
        <f>E28* 0.000302023557837511</f>
        <v>1.0570824524312884E-2</v>
      </c>
    </row>
    <row r="29" spans="1:8" ht="15.75" hidden="1" customHeight="1" x14ac:dyDescent="0.25">
      <c r="A29" s="20" t="s">
        <v>9</v>
      </c>
      <c r="B29" s="11" t="s">
        <v>22</v>
      </c>
      <c r="C29" s="15"/>
      <c r="D29" s="16" t="s">
        <v>28</v>
      </c>
      <c r="E29" s="17">
        <v>1</v>
      </c>
      <c r="F29" s="20">
        <v>0</v>
      </c>
      <c r="G29" s="20">
        <f>E29</f>
        <v>1</v>
      </c>
      <c r="H29" s="20">
        <v>0</v>
      </c>
    </row>
    <row r="30" spans="1:8" ht="15.75" hidden="1" customHeight="1" x14ac:dyDescent="0.25">
      <c r="A30" s="20" t="s">
        <v>9</v>
      </c>
      <c r="B30" s="11" t="s">
        <v>22</v>
      </c>
      <c r="C30" s="15"/>
      <c r="D30" s="16" t="s">
        <v>12</v>
      </c>
      <c r="E30" s="17">
        <v>30</v>
      </c>
      <c r="F30" s="18">
        <f>E30* 0.889957698325317</f>
        <v>26.698730949759511</v>
      </c>
      <c r="G30" s="18">
        <f>E30* 0.0573100770701744</f>
        <v>1.719302312105232</v>
      </c>
      <c r="H30" s="18">
        <f>E30* 0.0526742771049429</f>
        <v>1.580228313148287</v>
      </c>
    </row>
    <row r="31" spans="1:8" ht="15.75" hidden="1" customHeight="1" x14ac:dyDescent="0.25">
      <c r="A31" s="20" t="s">
        <v>9</v>
      </c>
      <c r="B31" s="11" t="s">
        <v>22</v>
      </c>
      <c r="C31" s="15"/>
      <c r="E31" s="19"/>
    </row>
    <row r="32" spans="1:8" ht="15.75" hidden="1" customHeight="1" x14ac:dyDescent="0.25">
      <c r="A32" s="20" t="s">
        <v>9</v>
      </c>
      <c r="B32" s="42" t="s">
        <v>23</v>
      </c>
      <c r="C32" s="12" t="str">
        <f>B32&amp;"_"&amp;A32</f>
        <v>El Villar_Chuquisaca</v>
      </c>
      <c r="E32" s="43">
        <v>1</v>
      </c>
      <c r="F32" s="14">
        <f t="shared" ref="F32:H32" si="4">F33</f>
        <v>0.86092937426606297</v>
      </c>
      <c r="G32" s="14">
        <f t="shared" si="4"/>
        <v>8.1194430464687106E-2</v>
      </c>
      <c r="H32" s="14">
        <f t="shared" si="4"/>
        <v>5.78761952692501E-2</v>
      </c>
    </row>
    <row r="33" spans="1:8" ht="15.75" hidden="1" customHeight="1" x14ac:dyDescent="0.25">
      <c r="A33" s="20" t="s">
        <v>9</v>
      </c>
      <c r="B33" s="11" t="s">
        <v>23</v>
      </c>
      <c r="C33" s="15"/>
      <c r="D33" s="16" t="s">
        <v>17</v>
      </c>
      <c r="E33" s="17">
        <v>1</v>
      </c>
      <c r="F33" s="18">
        <f>E33* 0.860929374266063</f>
        <v>0.86092937426606297</v>
      </c>
      <c r="G33" s="18">
        <f>E33* 0.0811944304646871</f>
        <v>8.1194430464687106E-2</v>
      </c>
      <c r="H33" s="18">
        <f>E33* 0.0578761952692501</f>
        <v>5.78761952692501E-2</v>
      </c>
    </row>
    <row r="34" spans="1:8" ht="15.75" hidden="1" customHeight="1" x14ac:dyDescent="0.25">
      <c r="A34" s="20" t="s">
        <v>9</v>
      </c>
      <c r="B34" s="16"/>
      <c r="C34" s="21"/>
      <c r="E34" s="19"/>
    </row>
    <row r="35" spans="1:8" ht="15.75" hidden="1" customHeight="1" x14ac:dyDescent="0.25">
      <c r="A35" s="20" t="s">
        <v>9</v>
      </c>
      <c r="B35" s="42" t="s">
        <v>24</v>
      </c>
      <c r="C35" s="12" t="str">
        <f>B35&amp;"_"&amp;A35</f>
        <v>Incahuasi_Chuquisaca</v>
      </c>
      <c r="E35" s="43">
        <v>15</v>
      </c>
      <c r="F35" s="14">
        <f t="shared" ref="F35:H35" si="5">SUM(F36:F38)</f>
        <v>3.3799462045033395</v>
      </c>
      <c r="G35" s="14">
        <f t="shared" si="5"/>
        <v>11.431505138640958</v>
      </c>
      <c r="H35" s="14">
        <f t="shared" si="5"/>
        <v>0.18641721813457088</v>
      </c>
    </row>
    <row r="36" spans="1:8" ht="15.75" hidden="1" customHeight="1" x14ac:dyDescent="0.25">
      <c r="A36" s="20" t="s">
        <v>9</v>
      </c>
      <c r="B36" s="11" t="s">
        <v>24</v>
      </c>
      <c r="C36" s="15"/>
      <c r="D36" s="16" t="s">
        <v>11</v>
      </c>
      <c r="E36" s="17">
        <v>12</v>
      </c>
      <c r="F36" s="18">
        <f>E36* 0.0664298401420959</f>
        <v>0.79715808170515068</v>
      </c>
      <c r="G36" s="18">
        <f>E36* 0.932326820603908</f>
        <v>11.187921847246896</v>
      </c>
      <c r="H36" s="18">
        <f>E36* 0.00106571936056838</f>
        <v>1.278863232682056E-2</v>
      </c>
    </row>
    <row r="37" spans="1:8" ht="15.75" hidden="1" customHeight="1" x14ac:dyDescent="0.25">
      <c r="A37" s="20" t="s">
        <v>9</v>
      </c>
      <c r="B37" s="11" t="s">
        <v>24</v>
      </c>
      <c r="C37" s="15"/>
      <c r="D37" s="16" t="s">
        <v>17</v>
      </c>
      <c r="E37" s="17">
        <v>3</v>
      </c>
      <c r="F37" s="18">
        <f>E37* 0.860929374266063</f>
        <v>2.5827881227981888</v>
      </c>
      <c r="G37" s="18">
        <f>E37* 0.0811944304646871</f>
        <v>0.24358329139406132</v>
      </c>
      <c r="H37" s="18">
        <f>E37* 0.0578761952692501</f>
        <v>0.17362858580775031</v>
      </c>
    </row>
    <row r="38" spans="1:8" ht="15.75" hidden="1" customHeight="1" x14ac:dyDescent="0.25">
      <c r="A38" s="20" t="s">
        <v>9</v>
      </c>
      <c r="B38" s="11" t="s">
        <v>24</v>
      </c>
      <c r="C38" s="15"/>
      <c r="D38" s="16" t="s">
        <v>12</v>
      </c>
      <c r="E38" s="19"/>
      <c r="F38" s="18">
        <f>E38* 0.889957698325317</f>
        <v>0</v>
      </c>
      <c r="G38" s="18">
        <f>E38* 0.0573100770701744</f>
        <v>0</v>
      </c>
      <c r="H38" s="18">
        <f>E38* 0.0526742771049429</f>
        <v>0</v>
      </c>
    </row>
    <row r="39" spans="1:8" ht="15.75" hidden="1" customHeight="1" x14ac:dyDescent="0.25">
      <c r="A39" s="20" t="s">
        <v>9</v>
      </c>
      <c r="B39" s="9"/>
      <c r="C39" s="8"/>
      <c r="E39" s="19"/>
    </row>
    <row r="40" spans="1:8" ht="15.75" hidden="1" customHeight="1" x14ac:dyDescent="0.25">
      <c r="A40" s="20" t="s">
        <v>9</v>
      </c>
      <c r="B40" s="42" t="s">
        <v>25</v>
      </c>
      <c r="C40" s="12" t="str">
        <f>B40&amp;"_"&amp;A40</f>
        <v>Las Carreras_Chuquisaca</v>
      </c>
      <c r="E40" s="43">
        <v>7</v>
      </c>
      <c r="F40" s="14">
        <f t="shared" ref="F40:H40" si="6">SUM(F41:F43)</f>
        <v>2.0540079492426053</v>
      </c>
      <c r="G40" s="14">
        <f t="shared" si="6"/>
        <v>4.8240229639489138</v>
      </c>
      <c r="H40" s="14">
        <f t="shared" si="6"/>
        <v>0.12108098734134209</v>
      </c>
    </row>
    <row r="41" spans="1:8" ht="15.75" hidden="1" customHeight="1" x14ac:dyDescent="0.25">
      <c r="A41" s="20" t="s">
        <v>9</v>
      </c>
      <c r="B41" s="11" t="s">
        <v>25</v>
      </c>
      <c r="C41" s="15"/>
      <c r="D41" s="16" t="s">
        <v>15</v>
      </c>
      <c r="E41" s="19"/>
      <c r="F41" s="18">
        <f>E41* 0.962408869987849</f>
        <v>0</v>
      </c>
      <c r="G41" s="18">
        <f>E41* 0.00425273390036452</f>
        <v>0</v>
      </c>
      <c r="H41" s="18">
        <f>E41* 0.0333383961117862</f>
        <v>0</v>
      </c>
    </row>
    <row r="42" spans="1:8" ht="15.75" hidden="1" customHeight="1" x14ac:dyDescent="0.25">
      <c r="A42" s="20" t="s">
        <v>9</v>
      </c>
      <c r="B42" s="11" t="s">
        <v>25</v>
      </c>
      <c r="C42" s="15"/>
      <c r="D42" s="16" t="s">
        <v>11</v>
      </c>
      <c r="E42" s="17">
        <v>5</v>
      </c>
      <c r="F42" s="18">
        <f>E42* 0.0664298401420959</f>
        <v>0.33214920071047949</v>
      </c>
      <c r="G42" s="18">
        <f>E42* 0.932326820603908</f>
        <v>4.6616341030195398</v>
      </c>
      <c r="H42" s="18">
        <f>E42* 0.00106571936056838</f>
        <v>5.3285968028419003E-3</v>
      </c>
    </row>
    <row r="43" spans="1:8" ht="15.75" hidden="1" customHeight="1" x14ac:dyDescent="0.25">
      <c r="A43" s="20" t="s">
        <v>9</v>
      </c>
      <c r="B43" s="11" t="s">
        <v>25</v>
      </c>
      <c r="C43" s="15"/>
      <c r="D43" s="16" t="s">
        <v>17</v>
      </c>
      <c r="E43" s="17">
        <v>2</v>
      </c>
      <c r="F43" s="18">
        <f>E43* 0.860929374266063</f>
        <v>1.7218587485321259</v>
      </c>
      <c r="G43" s="18">
        <f>E43* 0.0811944304646871</f>
        <v>0.16238886092937421</v>
      </c>
      <c r="H43" s="18">
        <f>E43* 0.0578761952692501</f>
        <v>0.1157523905385002</v>
      </c>
    </row>
    <row r="44" spans="1:8" ht="15.75" hidden="1" customHeight="1" x14ac:dyDescent="0.25">
      <c r="A44" s="20" t="s">
        <v>9</v>
      </c>
      <c r="B44" s="9"/>
      <c r="C44" s="8"/>
      <c r="E44" s="19"/>
    </row>
    <row r="45" spans="1:8" ht="15.75" hidden="1" customHeight="1" x14ac:dyDescent="0.25">
      <c r="A45" s="20" t="s">
        <v>9</v>
      </c>
      <c r="B45" s="42" t="s">
        <v>26</v>
      </c>
      <c r="C45" s="12" t="str">
        <f>B45&amp;"_"&amp;A45</f>
        <v>Macharetí_Chuquisaca</v>
      </c>
      <c r="E45" s="43">
        <v>7</v>
      </c>
      <c r="F45" s="14">
        <f t="shared" ref="F45:H45" si="7">SUM(F46:F49)</f>
        <v>4.6443860318246024</v>
      </c>
      <c r="G45" s="14">
        <f t="shared" si="7"/>
        <v>2.1722100180801371</v>
      </c>
      <c r="H45" s="14">
        <f t="shared" si="7"/>
        <v>0.18299076280884014</v>
      </c>
    </row>
    <row r="46" spans="1:8" ht="15.75" hidden="1" customHeight="1" x14ac:dyDescent="0.25">
      <c r="A46" s="20" t="s">
        <v>9</v>
      </c>
      <c r="B46" s="11" t="s">
        <v>26</v>
      </c>
      <c r="C46" s="15"/>
      <c r="D46" s="16" t="s">
        <v>11</v>
      </c>
      <c r="E46" s="17">
        <v>2</v>
      </c>
      <c r="F46" s="18">
        <f>E46* 0.0664298401420959</f>
        <v>0.13285968028419179</v>
      </c>
      <c r="G46" s="18">
        <f>E46* 0.932326820603908</f>
        <v>1.8646536412078161</v>
      </c>
      <c r="H46" s="18">
        <f>E46* 0.00106571936056838</f>
        <v>2.1314387211367599E-3</v>
      </c>
    </row>
    <row r="47" spans="1:8" ht="15.75" hidden="1" customHeight="1" x14ac:dyDescent="0.25">
      <c r="A47" s="20" t="s">
        <v>9</v>
      </c>
      <c r="B47" s="11" t="s">
        <v>26</v>
      </c>
      <c r="C47" s="15"/>
      <c r="D47" s="16" t="s">
        <v>17</v>
      </c>
      <c r="E47" s="17">
        <v>2</v>
      </c>
      <c r="F47" s="18">
        <f>E47* 0.860929374266063</f>
        <v>1.7218587485321259</v>
      </c>
      <c r="G47" s="18">
        <f>E47* 0.0811944304646871</f>
        <v>0.16238886092937421</v>
      </c>
      <c r="H47" s="18">
        <f>E47* 0.0578761952692501</f>
        <v>0.1157523905385002</v>
      </c>
    </row>
    <row r="48" spans="1:8" ht="15.75" hidden="1" customHeight="1" x14ac:dyDescent="0.25">
      <c r="A48" s="20" t="s">
        <v>9</v>
      </c>
      <c r="B48" s="11" t="s">
        <v>26</v>
      </c>
      <c r="C48" s="15"/>
      <c r="D48" s="16" t="s">
        <v>18</v>
      </c>
      <c r="E48" s="17">
        <v>2</v>
      </c>
      <c r="F48" s="18">
        <f>E48* 0.949854952341484</f>
        <v>1.899709904682968</v>
      </c>
      <c r="G48" s="18">
        <f>E48* 0.0439287194363862</f>
        <v>8.7857438872772406E-2</v>
      </c>
      <c r="H48" s="18">
        <f>E48* 0.00621632822213013</f>
        <v>1.2432656444260261E-2</v>
      </c>
    </row>
    <row r="49" spans="1:8" ht="15.75" hidden="1" customHeight="1" x14ac:dyDescent="0.25">
      <c r="A49" s="20" t="s">
        <v>9</v>
      </c>
      <c r="B49" s="11" t="s">
        <v>26</v>
      </c>
      <c r="C49" s="15"/>
      <c r="D49" s="16" t="s">
        <v>12</v>
      </c>
      <c r="E49" s="17">
        <v>1</v>
      </c>
      <c r="F49" s="18">
        <f>E49* 0.889957698325317</f>
        <v>0.88995769832531701</v>
      </c>
      <c r="G49" s="18">
        <f>E49* 0.0573100770701744</f>
        <v>5.7310077070174402E-2</v>
      </c>
      <c r="H49" s="18">
        <f>E49* 0.0526742771049429</f>
        <v>5.26742771049429E-2</v>
      </c>
    </row>
    <row r="50" spans="1:8" ht="15.75" hidden="1" customHeight="1" x14ac:dyDescent="0.25">
      <c r="A50" s="20" t="s">
        <v>9</v>
      </c>
      <c r="B50" s="9"/>
      <c r="C50" s="8"/>
      <c r="E50" s="19"/>
    </row>
    <row r="51" spans="1:8" ht="15.75" hidden="1" customHeight="1" x14ac:dyDescent="0.25">
      <c r="A51" s="20" t="s">
        <v>9</v>
      </c>
      <c r="B51" s="42" t="s">
        <v>27</v>
      </c>
      <c r="C51" s="12" t="str">
        <f>B51&amp;"_"&amp;A51</f>
        <v>Padilla_Chuquisaca</v>
      </c>
      <c r="E51" s="43">
        <v>246</v>
      </c>
      <c r="F51" s="14">
        <f t="shared" ref="F51:H51" si="8">SUM(F52:F60)</f>
        <v>184.56440903261858</v>
      </c>
      <c r="G51" s="14">
        <f t="shared" si="8"/>
        <v>55.658696635719188</v>
      </c>
      <c r="H51" s="14">
        <f t="shared" si="8"/>
        <v>5.767413688442895</v>
      </c>
    </row>
    <row r="52" spans="1:8" ht="15.75" hidden="1" customHeight="1" x14ac:dyDescent="0.25">
      <c r="A52" s="20" t="s">
        <v>9</v>
      </c>
      <c r="B52" s="11" t="s">
        <v>27</v>
      </c>
      <c r="C52" s="15"/>
      <c r="D52" s="16" t="s">
        <v>15</v>
      </c>
      <c r="E52" s="17">
        <v>4</v>
      </c>
      <c r="F52" s="18">
        <f>E52* 0.962408869987849</f>
        <v>3.8496354799513961</v>
      </c>
      <c r="G52" s="18">
        <f>E52* 0.00425273390036452</f>
        <v>1.7010935601458079E-2</v>
      </c>
      <c r="H52" s="18">
        <f>E52* 0.0333383961117862</f>
        <v>0.13335358444714479</v>
      </c>
    </row>
    <row r="53" spans="1:8" ht="15.75" hidden="1" customHeight="1" x14ac:dyDescent="0.25">
      <c r="A53" s="20" t="s">
        <v>9</v>
      </c>
      <c r="B53" s="11" t="s">
        <v>27</v>
      </c>
      <c r="C53" s="15"/>
      <c r="D53" s="16" t="s">
        <v>11</v>
      </c>
      <c r="E53" s="17">
        <v>40</v>
      </c>
      <c r="F53" s="18">
        <f>E53* 0.0664298401420959</f>
        <v>2.6571936056838359</v>
      </c>
      <c r="G53" s="18">
        <f>E53* 0.932326820603908</f>
        <v>37.293072824156319</v>
      </c>
      <c r="H53" s="18">
        <f>E53* 0.00106571936056838</f>
        <v>4.2628774422735202E-2</v>
      </c>
    </row>
    <row r="54" spans="1:8" ht="15.75" hidden="1" customHeight="1" x14ac:dyDescent="0.25">
      <c r="A54" s="20" t="s">
        <v>9</v>
      </c>
      <c r="B54" s="11" t="s">
        <v>27</v>
      </c>
      <c r="C54" s="15"/>
      <c r="D54" s="16" t="s">
        <v>17</v>
      </c>
      <c r="E54" s="17">
        <v>41</v>
      </c>
      <c r="F54" s="18">
        <f>E54* 0.860929374266063</f>
        <v>35.29810434490858</v>
      </c>
      <c r="G54" s="18">
        <f>E54* 0.0811944304646871</f>
        <v>3.3289716490521712</v>
      </c>
      <c r="H54" s="18">
        <f>E54* 0.0578761952692501</f>
        <v>2.3729240060392542</v>
      </c>
    </row>
    <row r="55" spans="1:8" ht="15.75" hidden="1" customHeight="1" x14ac:dyDescent="0.25">
      <c r="A55" s="20" t="s">
        <v>9</v>
      </c>
      <c r="B55" s="11" t="s">
        <v>27</v>
      </c>
      <c r="C55" s="15"/>
      <c r="D55" s="16" t="s">
        <v>18</v>
      </c>
      <c r="E55" s="17">
        <v>6</v>
      </c>
      <c r="F55" s="18">
        <f>E55* 0.949854952341484</f>
        <v>5.6991297140489037</v>
      </c>
      <c r="G55" s="18">
        <f>E55* 0.0439287194363862</f>
        <v>0.2635723166183172</v>
      </c>
      <c r="H55" s="18">
        <f>E55* 0.00621632822213013</f>
        <v>3.7297969332780782E-2</v>
      </c>
    </row>
    <row r="56" spans="1:8" ht="15.75" hidden="1" customHeight="1" x14ac:dyDescent="0.25">
      <c r="A56" s="20" t="s">
        <v>9</v>
      </c>
      <c r="B56" s="11" t="s">
        <v>27</v>
      </c>
      <c r="C56" s="15"/>
      <c r="D56" s="16" t="s">
        <v>19</v>
      </c>
      <c r="E56" s="17">
        <v>1</v>
      </c>
      <c r="F56" s="18">
        <f>E56* 0.0187085093542547</f>
        <v>1.87085093542547E-2</v>
      </c>
      <c r="G56" s="18">
        <f>E56* 0.978877489438745</f>
        <v>0.97887748943874497</v>
      </c>
      <c r="H56" s="18">
        <f>E56* 0.0024140012070006</f>
        <v>2.4140012070006001E-3</v>
      </c>
    </row>
    <row r="57" spans="1:8" ht="15.75" hidden="1" customHeight="1" x14ac:dyDescent="0.25">
      <c r="A57" s="20" t="s">
        <v>9</v>
      </c>
      <c r="B57" s="11" t="s">
        <v>27</v>
      </c>
      <c r="C57" s="15"/>
      <c r="D57" s="16" t="s">
        <v>20</v>
      </c>
      <c r="E57" s="17">
        <v>19</v>
      </c>
      <c r="F57" s="18">
        <f>E57* 0.557228915662651</f>
        <v>10.587349397590369</v>
      </c>
      <c r="G57" s="18">
        <f>E57* 0.390562248995984</f>
        <v>7.420682730923696</v>
      </c>
      <c r="H57" s="18">
        <f>E57* 0.0522088353413655</f>
        <v>0.99196787148594456</v>
      </c>
    </row>
    <row r="58" spans="1:8" ht="15.75" hidden="1" customHeight="1" x14ac:dyDescent="0.25">
      <c r="A58" s="20" t="s">
        <v>9</v>
      </c>
      <c r="B58" s="11" t="s">
        <v>27</v>
      </c>
      <c r="C58" s="15"/>
      <c r="D58" s="16" t="s">
        <v>21</v>
      </c>
      <c r="E58" s="17">
        <v>90</v>
      </c>
      <c r="F58" s="18">
        <f>E58* 0.999622470552703</f>
        <v>89.96602234974327</v>
      </c>
      <c r="G58" s="18">
        <f>E58* 0.0000755058894593778</f>
        <v>6.7955300513440021E-3</v>
      </c>
      <c r="H58" s="18">
        <f>E58* 0.000302023557837511</f>
        <v>2.7182120205375991E-2</v>
      </c>
    </row>
    <row r="59" spans="1:8" ht="15.75" hidden="1" customHeight="1" x14ac:dyDescent="0.25">
      <c r="A59" s="20" t="s">
        <v>9</v>
      </c>
      <c r="B59" s="11" t="s">
        <v>27</v>
      </c>
      <c r="C59" s="15"/>
      <c r="D59" s="16" t="s">
        <v>28</v>
      </c>
      <c r="E59" s="17">
        <v>4</v>
      </c>
      <c r="F59" s="20">
        <v>0</v>
      </c>
      <c r="G59" s="20">
        <f>E59</f>
        <v>4</v>
      </c>
      <c r="H59" s="20">
        <v>0</v>
      </c>
    </row>
    <row r="60" spans="1:8" ht="15.75" hidden="1" customHeight="1" x14ac:dyDescent="0.25">
      <c r="A60" s="20" t="s">
        <v>9</v>
      </c>
      <c r="B60" s="11" t="s">
        <v>27</v>
      </c>
      <c r="C60" s="15"/>
      <c r="D60" s="16" t="s">
        <v>12</v>
      </c>
      <c r="E60" s="17">
        <v>41</v>
      </c>
      <c r="F60" s="18">
        <f>E60* 0.889957698325317</f>
        <v>36.488265631337995</v>
      </c>
      <c r="G60" s="18">
        <f>E60* 0.0573100770701744</f>
        <v>2.3497131598771506</v>
      </c>
      <c r="H60" s="18">
        <f>E60* 0.0526742771049429</f>
        <v>2.1596453613026587</v>
      </c>
    </row>
    <row r="61" spans="1:8" ht="15.75" hidden="1" customHeight="1" x14ac:dyDescent="0.25">
      <c r="A61" s="20" t="s">
        <v>9</v>
      </c>
      <c r="B61" s="9"/>
      <c r="C61" s="8"/>
      <c r="E61" s="19"/>
    </row>
    <row r="62" spans="1:8" ht="15.75" hidden="1" customHeight="1" x14ac:dyDescent="0.25">
      <c r="A62" s="20" t="s">
        <v>9</v>
      </c>
      <c r="B62" s="42" t="s">
        <v>29</v>
      </c>
      <c r="C62" s="12" t="str">
        <f>B62&amp;"_"&amp;A62</f>
        <v>Poroma_Chuquisaca</v>
      </c>
      <c r="E62" s="43">
        <v>2</v>
      </c>
      <c r="F62" s="14">
        <f t="shared" ref="F62:H62" si="9">SUM(F63:F64)</f>
        <v>0.95638753846741287</v>
      </c>
      <c r="G62" s="14">
        <f t="shared" si="9"/>
        <v>0.98963689767408247</v>
      </c>
      <c r="H62" s="14">
        <f t="shared" si="9"/>
        <v>5.3739996465511281E-2</v>
      </c>
    </row>
    <row r="63" spans="1:8" ht="15.75" hidden="1" customHeight="1" x14ac:dyDescent="0.25">
      <c r="A63" s="20" t="s">
        <v>9</v>
      </c>
      <c r="B63" s="11" t="s">
        <v>29</v>
      </c>
      <c r="C63" s="15"/>
      <c r="D63" s="16" t="s">
        <v>11</v>
      </c>
      <c r="E63" s="17">
        <v>1</v>
      </c>
      <c r="F63" s="18">
        <f>E63* 0.0664298401420959</f>
        <v>6.6429840142095894E-2</v>
      </c>
      <c r="G63" s="18">
        <f>E63* 0.932326820603908</f>
        <v>0.93232682060390804</v>
      </c>
      <c r="H63" s="18">
        <f>E63* 0.00106571936056838</f>
        <v>1.06571936056838E-3</v>
      </c>
    </row>
    <row r="64" spans="1:8" ht="15.75" hidden="1" customHeight="1" x14ac:dyDescent="0.25">
      <c r="A64" s="20" t="s">
        <v>9</v>
      </c>
      <c r="B64" s="11" t="s">
        <v>29</v>
      </c>
      <c r="C64" s="15"/>
      <c r="D64" s="16" t="s">
        <v>12</v>
      </c>
      <c r="E64" s="17">
        <v>1</v>
      </c>
      <c r="F64" s="18">
        <f>E64* 0.889957698325317</f>
        <v>0.88995769832531701</v>
      </c>
      <c r="G64" s="18">
        <f>E64* 0.0573100770701744</f>
        <v>5.7310077070174402E-2</v>
      </c>
      <c r="H64" s="18">
        <f>E64* 0.0526742771049429</f>
        <v>5.26742771049429E-2</v>
      </c>
    </row>
    <row r="65" spans="1:8" ht="15.75" hidden="1" customHeight="1" x14ac:dyDescent="0.25">
      <c r="A65" s="20" t="s">
        <v>9</v>
      </c>
      <c r="B65" s="9"/>
      <c r="C65" s="8"/>
      <c r="E65" s="19"/>
    </row>
    <row r="66" spans="1:8" ht="15.75" hidden="1" customHeight="1" x14ac:dyDescent="0.25">
      <c r="A66" s="20" t="s">
        <v>9</v>
      </c>
      <c r="B66" s="42" t="s">
        <v>30</v>
      </c>
      <c r="C66" s="12" t="str">
        <f>B66&amp;"_"&amp;A66</f>
        <v>San Lucas_Chuquisaca</v>
      </c>
      <c r="E66" s="43">
        <v>121</v>
      </c>
      <c r="F66" s="14">
        <f t="shared" ref="F66:H66" si="10">SUM(F67:F77)</f>
        <v>90.786480329889201</v>
      </c>
      <c r="G66" s="14">
        <f t="shared" si="10"/>
        <v>24.772493486085569</v>
      </c>
      <c r="H66" s="14">
        <f t="shared" si="10"/>
        <v>5.4368275222934077</v>
      </c>
    </row>
    <row r="67" spans="1:8" ht="15.75" hidden="1" customHeight="1" x14ac:dyDescent="0.25">
      <c r="A67" s="20" t="s">
        <v>9</v>
      </c>
      <c r="B67" s="11" t="s">
        <v>30</v>
      </c>
      <c r="C67" s="15"/>
      <c r="D67" s="16" t="s">
        <v>288</v>
      </c>
      <c r="E67" s="17">
        <v>0</v>
      </c>
      <c r="F67" s="20">
        <v>0</v>
      </c>
      <c r="G67" s="20">
        <f>E67</f>
        <v>0</v>
      </c>
      <c r="H67" s="20">
        <v>0</v>
      </c>
    </row>
    <row r="68" spans="1:8" ht="15.75" hidden="1" customHeight="1" x14ac:dyDescent="0.25">
      <c r="A68" s="20" t="s">
        <v>9</v>
      </c>
      <c r="B68" s="11" t="s">
        <v>30</v>
      </c>
      <c r="C68" s="15"/>
      <c r="D68" s="16" t="s">
        <v>15</v>
      </c>
      <c r="E68" s="44">
        <v>1</v>
      </c>
      <c r="F68" s="18">
        <f>E68* 0.962408869987849</f>
        <v>0.96240886998784902</v>
      </c>
      <c r="G68" s="18">
        <f>E68* 0.00425273390036452</f>
        <v>4.2527339003645198E-3</v>
      </c>
      <c r="H68" s="18">
        <f>E68* 0.0333383961117862</f>
        <v>3.3338396111786198E-2</v>
      </c>
    </row>
    <row r="69" spans="1:8" ht="15.75" hidden="1" customHeight="1" x14ac:dyDescent="0.25">
      <c r="A69" s="20" t="s">
        <v>9</v>
      </c>
      <c r="B69" s="11" t="s">
        <v>30</v>
      </c>
      <c r="C69" s="15"/>
      <c r="D69" s="16" t="s">
        <v>11</v>
      </c>
      <c r="E69" s="17">
        <v>7</v>
      </c>
      <c r="F69" s="18">
        <f>E69* 0.0664298401420959</f>
        <v>0.46500888099467125</v>
      </c>
      <c r="G69" s="18">
        <f>E69* 0.932326820603908</f>
        <v>6.5262877442273561</v>
      </c>
      <c r="H69" s="18">
        <f>E69* 0.00106571936056838</f>
        <v>7.4600355239786593E-3</v>
      </c>
    </row>
    <row r="70" spans="1:8" ht="15.75" hidden="1" customHeight="1" x14ac:dyDescent="0.25">
      <c r="A70" s="20" t="s">
        <v>9</v>
      </c>
      <c r="B70" s="11" t="s">
        <v>30</v>
      </c>
      <c r="C70" s="15"/>
      <c r="D70" s="16" t="s">
        <v>17</v>
      </c>
      <c r="E70" s="17">
        <v>18</v>
      </c>
      <c r="F70" s="18">
        <f>E70* 0.860929374266063</f>
        <v>15.496728736789134</v>
      </c>
      <c r="G70" s="18">
        <f>E70* 0.0811944304646871</f>
        <v>1.4614997483643679</v>
      </c>
      <c r="H70" s="18">
        <f>E70* 0.0578761952692501</f>
        <v>1.0417715148465019</v>
      </c>
    </row>
    <row r="71" spans="1:8" ht="15.75" hidden="1" customHeight="1" x14ac:dyDescent="0.25">
      <c r="A71" s="20" t="s">
        <v>9</v>
      </c>
      <c r="B71" s="11" t="s">
        <v>30</v>
      </c>
      <c r="C71" s="15"/>
      <c r="D71" s="16" t="s">
        <v>31</v>
      </c>
      <c r="E71" s="17">
        <v>4</v>
      </c>
      <c r="F71" s="18">
        <f>E71* 0.935483870967742</f>
        <v>3.741935483870968</v>
      </c>
      <c r="G71" s="18">
        <f>E71* 0.0403225806451613</f>
        <v>0.16129032258064521</v>
      </c>
      <c r="H71" s="18">
        <f>E71* 0.0241935483870968</f>
        <v>9.6774193548387205E-2</v>
      </c>
    </row>
    <row r="72" spans="1:8" ht="15.75" hidden="1" customHeight="1" x14ac:dyDescent="0.25">
      <c r="A72" s="20" t="s">
        <v>9</v>
      </c>
      <c r="B72" s="11" t="s">
        <v>30</v>
      </c>
      <c r="C72" s="15"/>
      <c r="D72" s="16" t="s">
        <v>18</v>
      </c>
      <c r="E72" s="30"/>
      <c r="F72" s="18">
        <f>E72* 0.949854952341484</f>
        <v>0</v>
      </c>
      <c r="G72" s="18">
        <f>E72* 0.0439287194363862</f>
        <v>0</v>
      </c>
      <c r="H72" s="18">
        <f>E72* 0.00621632822213013</f>
        <v>0</v>
      </c>
    </row>
    <row r="73" spans="1:8" ht="15.75" hidden="1" customHeight="1" x14ac:dyDescent="0.25">
      <c r="A73" s="20" t="s">
        <v>9</v>
      </c>
      <c r="B73" s="11" t="s">
        <v>30</v>
      </c>
      <c r="C73" s="15"/>
      <c r="D73" s="16" t="s">
        <v>19</v>
      </c>
      <c r="E73" s="17">
        <v>1</v>
      </c>
      <c r="F73" s="18">
        <f>E73* 0.0187085093542547</f>
        <v>1.87085093542547E-2</v>
      </c>
      <c r="G73" s="18">
        <f>E73* 0.978877489438745</f>
        <v>0.97887748943874497</v>
      </c>
      <c r="H73" s="18">
        <f>E73* 0.0024140012070006</f>
        <v>2.4140012070006001E-3</v>
      </c>
    </row>
    <row r="74" spans="1:8" ht="15.75" hidden="1" customHeight="1" x14ac:dyDescent="0.25">
      <c r="A74" s="20" t="s">
        <v>9</v>
      </c>
      <c r="B74" s="11" t="s">
        <v>30</v>
      </c>
      <c r="C74" s="15"/>
      <c r="D74" s="16" t="s">
        <v>20</v>
      </c>
      <c r="E74" s="17">
        <v>30</v>
      </c>
      <c r="F74" s="18">
        <f>E74* 0.557228915662651</f>
        <v>16.716867469879528</v>
      </c>
      <c r="G74" s="18">
        <f>E74* 0.390562248995984</f>
        <v>11.716867469879521</v>
      </c>
      <c r="H74" s="18">
        <f>E74* 0.0522088353413655</f>
        <v>1.5662650602409651</v>
      </c>
    </row>
    <row r="75" spans="1:8" ht="15.75" hidden="1" customHeight="1" x14ac:dyDescent="0.25">
      <c r="A75" s="20" t="s">
        <v>9</v>
      </c>
      <c r="B75" s="11" t="s">
        <v>30</v>
      </c>
      <c r="C75" s="15"/>
      <c r="D75" s="16" t="s">
        <v>21</v>
      </c>
      <c r="E75" s="17">
        <v>8</v>
      </c>
      <c r="F75" s="18">
        <f>E75* 0.999622470552703</f>
        <v>7.9969797644216243</v>
      </c>
      <c r="G75" s="18">
        <f>E75* 0.0000755058894593778</f>
        <v>6.0404711567502243E-4</v>
      </c>
      <c r="H75" s="18">
        <f>E75* 0.000302023557837511</f>
        <v>2.416188462700088E-3</v>
      </c>
    </row>
    <row r="76" spans="1:8" ht="15.75" hidden="1" customHeight="1" x14ac:dyDescent="0.25">
      <c r="A76" s="20" t="s">
        <v>9</v>
      </c>
      <c r="B76" s="11" t="s">
        <v>30</v>
      </c>
      <c r="C76" s="15"/>
      <c r="D76" s="16" t="s">
        <v>28</v>
      </c>
      <c r="E76" s="17">
        <v>1</v>
      </c>
      <c r="F76" s="20">
        <v>0</v>
      </c>
      <c r="G76" s="20">
        <f>E76</f>
        <v>1</v>
      </c>
      <c r="H76" s="20">
        <v>0</v>
      </c>
    </row>
    <row r="77" spans="1:8" ht="15.75" hidden="1" customHeight="1" x14ac:dyDescent="0.25">
      <c r="A77" s="20" t="s">
        <v>9</v>
      </c>
      <c r="B77" s="11" t="s">
        <v>30</v>
      </c>
      <c r="C77" s="15"/>
      <c r="D77" s="16" t="s">
        <v>12</v>
      </c>
      <c r="E77" s="17">
        <v>51</v>
      </c>
      <c r="F77" s="18">
        <f>E77* 0.889957698325317</f>
        <v>45.387842614591165</v>
      </c>
      <c r="G77" s="18">
        <f>E77* 0.0573100770701744</f>
        <v>2.9228139305788945</v>
      </c>
      <c r="H77" s="18">
        <f>E77* 0.0526742771049429</f>
        <v>2.686388132352088</v>
      </c>
    </row>
    <row r="78" spans="1:8" ht="15.75" hidden="1" customHeight="1" x14ac:dyDescent="0.25">
      <c r="A78" s="20" t="s">
        <v>9</v>
      </c>
      <c r="B78" s="9"/>
      <c r="C78" s="8"/>
      <c r="E78" s="19"/>
    </row>
    <row r="79" spans="1:8" ht="15.75" hidden="1" customHeight="1" x14ac:dyDescent="0.25">
      <c r="A79" s="20" t="s">
        <v>9</v>
      </c>
      <c r="B79" s="42" t="s">
        <v>32</v>
      </c>
      <c r="C79" s="12" t="str">
        <f>B79&amp;"_"&amp;A79</f>
        <v>San Pablo de Huacareta_Chuquisaca</v>
      </c>
      <c r="E79" s="43">
        <v>4</v>
      </c>
      <c r="F79" s="14">
        <f t="shared" ref="F79:H79" si="11">SUM(F80:F83)</f>
        <v>3.6215686532150939</v>
      </c>
      <c r="G79" s="14">
        <f t="shared" si="11"/>
        <v>0.25024629980214663</v>
      </c>
      <c r="H79" s="14">
        <f t="shared" si="11"/>
        <v>0.12818504698276045</v>
      </c>
    </row>
    <row r="80" spans="1:8" ht="15.75" hidden="1" customHeight="1" x14ac:dyDescent="0.25">
      <c r="A80" s="20" t="s">
        <v>9</v>
      </c>
      <c r="B80" s="11" t="s">
        <v>32</v>
      </c>
      <c r="C80" s="15"/>
      <c r="D80" s="16" t="s">
        <v>11</v>
      </c>
      <c r="E80" s="19"/>
      <c r="F80" s="18">
        <f>E80* 0.0664298401420959</f>
        <v>0</v>
      </c>
      <c r="G80" s="18">
        <f>E80* 0.932326820603908</f>
        <v>0</v>
      </c>
      <c r="H80" s="18">
        <f>E80* 0.00106571936056838</f>
        <v>0</v>
      </c>
    </row>
    <row r="81" spans="1:8" ht="15.75" hidden="1" customHeight="1" x14ac:dyDescent="0.25">
      <c r="A81" s="20" t="s">
        <v>9</v>
      </c>
      <c r="B81" s="11" t="s">
        <v>32</v>
      </c>
      <c r="C81" s="15"/>
      <c r="D81" s="16" t="s">
        <v>17</v>
      </c>
      <c r="E81" s="17">
        <v>2</v>
      </c>
      <c r="F81" s="18">
        <f>E81* 0.860929374266063</f>
        <v>1.7218587485321259</v>
      </c>
      <c r="G81" s="18">
        <f>E81* 0.0811944304646871</f>
        <v>0.16238886092937421</v>
      </c>
      <c r="H81" s="18">
        <f>E81* 0.0578761952692501</f>
        <v>0.1157523905385002</v>
      </c>
    </row>
    <row r="82" spans="1:8" ht="15.75" hidden="1" customHeight="1" x14ac:dyDescent="0.25">
      <c r="A82" s="20" t="s">
        <v>9</v>
      </c>
      <c r="B82" s="11" t="s">
        <v>32</v>
      </c>
      <c r="C82" s="15"/>
      <c r="D82" s="16" t="s">
        <v>18</v>
      </c>
      <c r="E82" s="17">
        <v>2</v>
      </c>
      <c r="F82" s="18">
        <f>E82* 0.949854952341484</f>
        <v>1.899709904682968</v>
      </c>
      <c r="G82" s="18">
        <f>E82* 0.0439287194363862</f>
        <v>8.7857438872772406E-2</v>
      </c>
      <c r="H82" s="18">
        <f>E82* 0.00621632822213013</f>
        <v>1.2432656444260261E-2</v>
      </c>
    </row>
    <row r="83" spans="1:8" ht="15.75" hidden="1" customHeight="1" x14ac:dyDescent="0.25">
      <c r="A83" s="20" t="s">
        <v>9</v>
      </c>
      <c r="B83" s="11" t="s">
        <v>32</v>
      </c>
      <c r="C83" s="15"/>
      <c r="D83" s="16" t="s">
        <v>12</v>
      </c>
      <c r="E83" s="19"/>
      <c r="F83" s="18">
        <f>E83* 0.889957698325317</f>
        <v>0</v>
      </c>
      <c r="G83" s="18">
        <f>E83* 0.0573100770701744</f>
        <v>0</v>
      </c>
      <c r="H83" s="18">
        <f>E83* 0.0526742771049429</f>
        <v>0</v>
      </c>
    </row>
    <row r="84" spans="1:8" ht="15.75" hidden="1" customHeight="1" x14ac:dyDescent="0.25">
      <c r="A84" s="20" t="s">
        <v>9</v>
      </c>
      <c r="B84" s="9"/>
      <c r="C84" s="8"/>
      <c r="E84" s="19"/>
    </row>
    <row r="85" spans="1:8" ht="15.75" hidden="1" customHeight="1" x14ac:dyDescent="0.25">
      <c r="A85" s="20" t="s">
        <v>9</v>
      </c>
      <c r="B85" s="42" t="s">
        <v>33</v>
      </c>
      <c r="C85" s="12" t="str">
        <f>B85&amp;"_"&amp;A85</f>
        <v>Sopachuy_Chuquisaca</v>
      </c>
      <c r="E85" s="43">
        <v>117</v>
      </c>
      <c r="F85" s="14">
        <f t="shared" ref="F85:H85" si="12">SUM(F86:F94)</f>
        <v>103.28162184710742</v>
      </c>
      <c r="G85" s="14">
        <f t="shared" si="12"/>
        <v>11.094991272158291</v>
      </c>
      <c r="H85" s="14">
        <f t="shared" si="12"/>
        <v>2.621513673774519</v>
      </c>
    </row>
    <row r="86" spans="1:8" ht="15.75" hidden="1" customHeight="1" x14ac:dyDescent="0.25">
      <c r="A86" s="20" t="s">
        <v>9</v>
      </c>
      <c r="B86" s="11" t="s">
        <v>33</v>
      </c>
      <c r="C86" s="15"/>
      <c r="D86" s="16" t="s">
        <v>15</v>
      </c>
      <c r="E86" s="17">
        <v>6</v>
      </c>
      <c r="F86" s="18">
        <f>E86* 0.962408869987849</f>
        <v>5.7744532199270946</v>
      </c>
      <c r="G86" s="18">
        <f>E86* 0.00425273390036452</f>
        <v>2.5516403402187117E-2</v>
      </c>
      <c r="H86" s="18">
        <f>E86* 0.0333383961117862</f>
        <v>0.20003037667071719</v>
      </c>
    </row>
    <row r="87" spans="1:8" ht="15.75" hidden="1" customHeight="1" x14ac:dyDescent="0.25">
      <c r="A87" s="20" t="s">
        <v>9</v>
      </c>
      <c r="B87" s="11" t="s">
        <v>33</v>
      </c>
      <c r="C87" s="15"/>
      <c r="D87" s="16" t="s">
        <v>286</v>
      </c>
      <c r="E87" s="17">
        <v>1</v>
      </c>
      <c r="F87" s="18">
        <f>E87* 0.03</f>
        <v>0.03</v>
      </c>
      <c r="G87" s="18">
        <f>E87* 0.97</f>
        <v>0.97</v>
      </c>
      <c r="H87" s="20">
        <v>0</v>
      </c>
    </row>
    <row r="88" spans="1:8" ht="15.75" hidden="1" customHeight="1" x14ac:dyDescent="0.25">
      <c r="A88" s="20" t="s">
        <v>9</v>
      </c>
      <c r="B88" s="11" t="s">
        <v>33</v>
      </c>
      <c r="C88" s="15"/>
      <c r="D88" s="16" t="s">
        <v>11</v>
      </c>
      <c r="E88" s="17">
        <v>5</v>
      </c>
      <c r="F88" s="18">
        <f>E88* 0.0664298401420959</f>
        <v>0.33214920071047949</v>
      </c>
      <c r="G88" s="18">
        <f>E88* 0.932326820603908</f>
        <v>4.6616341030195398</v>
      </c>
      <c r="H88" s="18">
        <f>E88* 0.00106571936056838</f>
        <v>5.3285968028419003E-3</v>
      </c>
    </row>
    <row r="89" spans="1:8" ht="15.75" hidden="1" customHeight="1" x14ac:dyDescent="0.25">
      <c r="A89" s="20" t="s">
        <v>9</v>
      </c>
      <c r="B89" s="11" t="s">
        <v>33</v>
      </c>
      <c r="C89" s="15"/>
      <c r="D89" s="16" t="s">
        <v>17</v>
      </c>
      <c r="E89" s="17">
        <v>22</v>
      </c>
      <c r="F89" s="18">
        <f>E89* 0.860929374266063</f>
        <v>18.940446233853386</v>
      </c>
      <c r="G89" s="18">
        <f>E89* 0.0811944304646871</f>
        <v>1.7862774702231163</v>
      </c>
      <c r="H89" s="18">
        <f>E89* 0.0578761952692501</f>
        <v>1.2732762959235022</v>
      </c>
    </row>
    <row r="90" spans="1:8" ht="15.75" hidden="1" customHeight="1" x14ac:dyDescent="0.25">
      <c r="A90" s="20" t="s">
        <v>9</v>
      </c>
      <c r="B90" s="11" t="s">
        <v>33</v>
      </c>
      <c r="C90" s="15"/>
      <c r="D90" s="16" t="s">
        <v>18</v>
      </c>
      <c r="E90" s="17">
        <v>3</v>
      </c>
      <c r="F90" s="18">
        <f>E90* 0.949854952341484</f>
        <v>2.8495648570244518</v>
      </c>
      <c r="G90" s="18">
        <f>E90* 0.0439287194363862</f>
        <v>0.1317861583091586</v>
      </c>
      <c r="H90" s="18">
        <f>E90* 0.00621632822213013</f>
        <v>1.8648984666390391E-2</v>
      </c>
    </row>
    <row r="91" spans="1:8" ht="15.75" hidden="1" customHeight="1" x14ac:dyDescent="0.25">
      <c r="A91" s="20" t="s">
        <v>9</v>
      </c>
      <c r="B91" s="11" t="s">
        <v>33</v>
      </c>
      <c r="C91" s="15"/>
      <c r="D91" s="16" t="s">
        <v>19</v>
      </c>
      <c r="E91" s="17">
        <v>1</v>
      </c>
      <c r="F91" s="18">
        <f>E91* 0.0187085093542547</f>
        <v>1.87085093542547E-2</v>
      </c>
      <c r="G91" s="18">
        <f>E91* 0.978877489438745</f>
        <v>0.97887748943874497</v>
      </c>
      <c r="H91" s="18">
        <f>E91* 0.0024140012070006</f>
        <v>2.4140012070006001E-3</v>
      </c>
    </row>
    <row r="92" spans="1:8" ht="15.75" hidden="1" customHeight="1" x14ac:dyDescent="0.25">
      <c r="A92" s="20" t="s">
        <v>9</v>
      </c>
      <c r="B92" s="11" t="s">
        <v>33</v>
      </c>
      <c r="C92" s="15"/>
      <c r="D92" s="16" t="s">
        <v>20</v>
      </c>
      <c r="E92" s="17">
        <v>4</v>
      </c>
      <c r="F92" s="18">
        <f>E92* 0.557228915662651</f>
        <v>2.2289156626506039</v>
      </c>
      <c r="G92" s="18">
        <f>E92* 0.390562248995984</f>
        <v>1.5622489959839361</v>
      </c>
      <c r="H92" s="18">
        <f>E92* 0.0522088353413655</f>
        <v>0.208835341365462</v>
      </c>
    </row>
    <row r="93" spans="1:8" ht="15.75" hidden="1" customHeight="1" x14ac:dyDescent="0.25">
      <c r="A93" s="20" t="s">
        <v>9</v>
      </c>
      <c r="B93" s="11" t="s">
        <v>33</v>
      </c>
      <c r="C93" s="15"/>
      <c r="D93" s="16" t="s">
        <v>21</v>
      </c>
      <c r="E93" s="17">
        <v>58</v>
      </c>
      <c r="F93" s="18">
        <f>E93* 0.999622470552703</f>
        <v>57.978103292056772</v>
      </c>
      <c r="G93" s="18">
        <f>E93* 0.0000755058894593778</f>
        <v>4.3793415886439124E-3</v>
      </c>
      <c r="H93" s="18">
        <f>E93* 0.000302023557837511</f>
        <v>1.7517366354575639E-2</v>
      </c>
    </row>
    <row r="94" spans="1:8" ht="15.75" hidden="1" customHeight="1" x14ac:dyDescent="0.25">
      <c r="A94" s="20" t="s">
        <v>9</v>
      </c>
      <c r="B94" s="11" t="s">
        <v>33</v>
      </c>
      <c r="C94" s="15"/>
      <c r="D94" s="16" t="s">
        <v>12</v>
      </c>
      <c r="E94" s="17">
        <v>17</v>
      </c>
      <c r="F94" s="18">
        <f>E94* 0.889957698325317</f>
        <v>15.129280871530389</v>
      </c>
      <c r="G94" s="18">
        <f>E94* 0.0573100770701744</f>
        <v>0.97427131019296487</v>
      </c>
      <c r="H94" s="18">
        <f>E94* 0.0526742771049429</f>
        <v>0.89546271078402928</v>
      </c>
    </row>
    <row r="95" spans="1:8" ht="15.75" hidden="1" customHeight="1" x14ac:dyDescent="0.25">
      <c r="A95" s="20" t="s">
        <v>9</v>
      </c>
      <c r="B95" s="9"/>
      <c r="C95" s="8"/>
      <c r="E95" s="19"/>
    </row>
    <row r="96" spans="1:8" ht="15.75" hidden="1" customHeight="1" x14ac:dyDescent="0.25">
      <c r="A96" s="20" t="s">
        <v>9</v>
      </c>
      <c r="B96" s="42" t="s">
        <v>34</v>
      </c>
      <c r="C96" s="12" t="str">
        <f>B96&amp;"_"&amp;A96</f>
        <v>Sucre_Chuquisaca</v>
      </c>
      <c r="E96" s="45">
        <v>90312</v>
      </c>
      <c r="F96" s="14">
        <f t="shared" ref="F96:H96" si="13">SUM(F97:F111)</f>
        <v>75895.704387575868</v>
      </c>
      <c r="G96" s="14">
        <f t="shared" si="13"/>
        <v>11955.81091958147</v>
      </c>
      <c r="H96" s="14">
        <f t="shared" si="13"/>
        <v>2458.0882642818897</v>
      </c>
    </row>
    <row r="97" spans="1:8" ht="15.75" hidden="1" customHeight="1" x14ac:dyDescent="0.25">
      <c r="A97" s="20" t="s">
        <v>9</v>
      </c>
      <c r="B97" s="11" t="s">
        <v>34</v>
      </c>
      <c r="C97" s="15"/>
      <c r="D97" s="16" t="s">
        <v>288</v>
      </c>
      <c r="E97" s="17">
        <v>84</v>
      </c>
      <c r="F97" s="20">
        <v>0</v>
      </c>
      <c r="G97" s="20">
        <f>E97</f>
        <v>84</v>
      </c>
      <c r="H97" s="20">
        <v>0</v>
      </c>
    </row>
    <row r="98" spans="1:8" ht="15.75" hidden="1" customHeight="1" x14ac:dyDescent="0.25">
      <c r="A98" s="20" t="s">
        <v>9</v>
      </c>
      <c r="B98" s="11" t="s">
        <v>34</v>
      </c>
      <c r="C98" s="15"/>
      <c r="D98" s="16" t="s">
        <v>15</v>
      </c>
      <c r="E98" s="23">
        <v>18348</v>
      </c>
      <c r="F98" s="18">
        <f>E98* 0.962408869987849</f>
        <v>17658.277946537055</v>
      </c>
      <c r="G98" s="18">
        <f>E98* 0.00425273390036452</f>
        <v>78.029161603888213</v>
      </c>
      <c r="H98" s="18">
        <f>E98* 0.0333383961117862</f>
        <v>611.69289185905313</v>
      </c>
    </row>
    <row r="99" spans="1:8" ht="15.75" hidden="1" customHeight="1" x14ac:dyDescent="0.25">
      <c r="A99" s="20" t="s">
        <v>9</v>
      </c>
      <c r="B99" s="11" t="s">
        <v>34</v>
      </c>
      <c r="C99" s="15"/>
      <c r="D99" s="16" t="s">
        <v>286</v>
      </c>
      <c r="E99" s="17">
        <v>390</v>
      </c>
      <c r="F99" s="18">
        <f>E99* 0.03</f>
        <v>11.7</v>
      </c>
      <c r="G99" s="18">
        <f>E99* 0.97</f>
        <v>378.3</v>
      </c>
      <c r="H99" s="20">
        <v>0</v>
      </c>
    </row>
    <row r="100" spans="1:8" ht="15.75" hidden="1" customHeight="1" x14ac:dyDescent="0.25">
      <c r="A100" s="20" t="s">
        <v>9</v>
      </c>
      <c r="B100" s="11" t="s">
        <v>34</v>
      </c>
      <c r="C100" s="15"/>
      <c r="D100" s="16" t="s">
        <v>11</v>
      </c>
      <c r="E100" s="23">
        <v>5832</v>
      </c>
      <c r="F100" s="18">
        <f>E100* 0.0664298401420959</f>
        <v>387.41882770870325</v>
      </c>
      <c r="G100" s="18">
        <f>E100* 0.932326820603908</f>
        <v>5437.3300177619913</v>
      </c>
      <c r="H100" s="18">
        <f>E100* 0.00106571936056838</f>
        <v>6.2152753108347918</v>
      </c>
    </row>
    <row r="101" spans="1:8" ht="15.75" hidden="1" customHeight="1" x14ac:dyDescent="0.25">
      <c r="A101" s="20" t="s">
        <v>9</v>
      </c>
      <c r="B101" s="11" t="s">
        <v>34</v>
      </c>
      <c r="C101" s="15"/>
      <c r="D101" s="16" t="s">
        <v>17</v>
      </c>
      <c r="E101" s="23">
        <v>8467</v>
      </c>
      <c r="F101" s="18">
        <f>E101* 0.860929374266063</f>
        <v>7289.4890119107549</v>
      </c>
      <c r="G101" s="18">
        <f>E101* 0.0811944304646871</f>
        <v>687.47324274450568</v>
      </c>
      <c r="H101" s="18">
        <f>E101* 0.0578761952692501</f>
        <v>490.03774534474059</v>
      </c>
    </row>
    <row r="102" spans="1:8" ht="15.75" hidden="1" customHeight="1" x14ac:dyDescent="0.25">
      <c r="A102" s="20" t="s">
        <v>9</v>
      </c>
      <c r="B102" s="11" t="s">
        <v>34</v>
      </c>
      <c r="C102" s="15"/>
      <c r="D102" s="16" t="s">
        <v>31</v>
      </c>
      <c r="E102" s="17">
        <v>260</v>
      </c>
      <c r="F102" s="18">
        <f>E102* 0.935483870967742</f>
        <v>243.22580645161293</v>
      </c>
      <c r="G102" s="18">
        <f>E102* 0.0403225806451613</f>
        <v>10.483870967741939</v>
      </c>
      <c r="H102" s="18">
        <f>E102* 0.0241935483870968</f>
        <v>6.2903225806451681</v>
      </c>
    </row>
    <row r="103" spans="1:8" ht="15.75" hidden="1" customHeight="1" x14ac:dyDescent="0.25">
      <c r="A103" s="20" t="s">
        <v>9</v>
      </c>
      <c r="B103" s="11" t="s">
        <v>34</v>
      </c>
      <c r="C103" s="15"/>
      <c r="D103" s="16" t="s">
        <v>18</v>
      </c>
      <c r="E103" s="23">
        <v>2776</v>
      </c>
      <c r="F103" s="18">
        <f>E103* 0.949854952341484</f>
        <v>2636.7973476999596</v>
      </c>
      <c r="G103" s="18">
        <f>E103* 0.0439287194363862</f>
        <v>121.9461251554081</v>
      </c>
      <c r="H103" s="18">
        <f>E103* 0.00621632822213013</f>
        <v>17.256527144633242</v>
      </c>
    </row>
    <row r="104" spans="1:8" ht="15.75" hidden="1" customHeight="1" x14ac:dyDescent="0.25">
      <c r="A104" s="20" t="s">
        <v>9</v>
      </c>
      <c r="B104" s="11" t="s">
        <v>34</v>
      </c>
      <c r="C104" s="15"/>
      <c r="D104" s="16" t="s">
        <v>55</v>
      </c>
      <c r="E104" s="17">
        <v>106</v>
      </c>
      <c r="F104" s="20">
        <v>0</v>
      </c>
      <c r="G104" s="20">
        <f>E104</f>
        <v>106</v>
      </c>
      <c r="H104" s="20">
        <v>0</v>
      </c>
    </row>
    <row r="105" spans="1:8" ht="15.75" hidden="1" customHeight="1" x14ac:dyDescent="0.25">
      <c r="A105" s="20" t="s">
        <v>9</v>
      </c>
      <c r="B105" s="11" t="s">
        <v>34</v>
      </c>
      <c r="C105" s="15"/>
      <c r="D105" s="16" t="s">
        <v>19</v>
      </c>
      <c r="E105" s="23">
        <v>1791</v>
      </c>
      <c r="F105" s="18">
        <f>E105* 0.0187085093542547</f>
        <v>33.506940253470169</v>
      </c>
      <c r="G105" s="18">
        <f>E105* 0.978877489438745</f>
        <v>1753.1695835847922</v>
      </c>
      <c r="H105" s="18">
        <f>E105* 0.0024140012070006</f>
        <v>4.3234761617380748</v>
      </c>
    </row>
    <row r="106" spans="1:8" ht="15.75" hidden="1" customHeight="1" x14ac:dyDescent="0.25">
      <c r="A106" s="20" t="s">
        <v>9</v>
      </c>
      <c r="B106" s="11" t="s">
        <v>34</v>
      </c>
      <c r="C106" s="15"/>
      <c r="D106" s="16" t="s">
        <v>20</v>
      </c>
      <c r="E106" s="23">
        <v>1489</v>
      </c>
      <c r="F106" s="18">
        <f>E106* 0.557228915662651</f>
        <v>829.7138554216873</v>
      </c>
      <c r="G106" s="18">
        <f>E106* 0.390562248995984</f>
        <v>581.54718875502022</v>
      </c>
      <c r="H106" s="18">
        <f>E106* 0.0522088353413655</f>
        <v>77.738955823293225</v>
      </c>
    </row>
    <row r="107" spans="1:8" ht="15.75" hidden="1" customHeight="1" x14ac:dyDescent="0.25">
      <c r="A107" s="20" t="s">
        <v>9</v>
      </c>
      <c r="B107" s="11" t="s">
        <v>34</v>
      </c>
      <c r="C107" s="15"/>
      <c r="D107" s="16" t="s">
        <v>21</v>
      </c>
      <c r="E107" s="23">
        <v>25805</v>
      </c>
      <c r="F107" s="18">
        <f>E107* 0.999622470552703</f>
        <v>25795.257852612503</v>
      </c>
      <c r="G107" s="18">
        <f>E107* 0.0000755058894593778</f>
        <v>1.9484294774992443</v>
      </c>
      <c r="H107" s="18">
        <f>E107* 0.000302023557837511</f>
        <v>7.7937179099969711</v>
      </c>
    </row>
    <row r="108" spans="1:8" ht="15.75" hidden="1" customHeight="1" x14ac:dyDescent="0.25">
      <c r="A108" s="20" t="s">
        <v>9</v>
      </c>
      <c r="B108" s="11" t="s">
        <v>34</v>
      </c>
      <c r="C108" s="15"/>
      <c r="D108" s="16" t="s">
        <v>36</v>
      </c>
      <c r="E108" s="17">
        <v>115</v>
      </c>
      <c r="F108" s="20">
        <f>E108</f>
        <v>115</v>
      </c>
      <c r="G108" s="20">
        <v>0</v>
      </c>
      <c r="H108" s="20">
        <v>0</v>
      </c>
    </row>
    <row r="109" spans="1:8" ht="15.75" hidden="1" customHeight="1" x14ac:dyDescent="0.25">
      <c r="A109" s="20" t="s">
        <v>9</v>
      </c>
      <c r="B109" s="11" t="s">
        <v>34</v>
      </c>
      <c r="C109" s="15"/>
      <c r="D109" s="16" t="s">
        <v>37</v>
      </c>
      <c r="E109" s="17">
        <v>2</v>
      </c>
      <c r="F109" s="20">
        <v>0</v>
      </c>
      <c r="G109" s="20">
        <f t="shared" ref="G109:G110" si="14">E109</f>
        <v>2</v>
      </c>
      <c r="H109" s="20">
        <v>0</v>
      </c>
    </row>
    <row r="110" spans="1:8" ht="15.75" hidden="1" customHeight="1" x14ac:dyDescent="0.25">
      <c r="A110" s="20" t="s">
        <v>9</v>
      </c>
      <c r="B110" s="11" t="s">
        <v>34</v>
      </c>
      <c r="C110" s="15"/>
      <c r="D110" s="16" t="s">
        <v>28</v>
      </c>
      <c r="E110" s="23">
        <v>1368</v>
      </c>
      <c r="F110" s="20">
        <v>0</v>
      </c>
      <c r="G110" s="24">
        <f t="shared" si="14"/>
        <v>1368</v>
      </c>
      <c r="H110" s="20">
        <v>0</v>
      </c>
    </row>
    <row r="111" spans="1:8" ht="15.75" hidden="1" customHeight="1" x14ac:dyDescent="0.25">
      <c r="A111" s="20" t="s">
        <v>9</v>
      </c>
      <c r="B111" s="11" t="s">
        <v>34</v>
      </c>
      <c r="C111" s="15"/>
      <c r="D111" s="16" t="s">
        <v>12</v>
      </c>
      <c r="E111" s="23">
        <v>23479</v>
      </c>
      <c r="F111" s="18">
        <f>E111* 0.889957698325317</f>
        <v>20895.316798980119</v>
      </c>
      <c r="G111" s="18">
        <f>E111* 0.0573100770701744</f>
        <v>1345.5832995306248</v>
      </c>
      <c r="H111" s="18">
        <f>E111* 0.0526742771049429</f>
        <v>1236.7393521469544</v>
      </c>
    </row>
    <row r="112" spans="1:8" ht="15.75" hidden="1" customHeight="1" x14ac:dyDescent="0.25">
      <c r="A112" s="20" t="s">
        <v>9</v>
      </c>
      <c r="B112" s="9"/>
      <c r="C112" s="8"/>
      <c r="E112" s="19"/>
    </row>
    <row r="113" spans="1:8" ht="15.75" hidden="1" customHeight="1" x14ac:dyDescent="0.25">
      <c r="A113" s="20" t="s">
        <v>9</v>
      </c>
      <c r="B113" s="42" t="s">
        <v>38</v>
      </c>
      <c r="C113" s="12" t="str">
        <f>B113&amp;"_"&amp;A113</f>
        <v>Tarabuco_Chuquisaca</v>
      </c>
      <c r="E113" s="43">
        <v>17</v>
      </c>
      <c r="F113" s="14">
        <f t="shared" ref="F113:H113" si="15">SUM(F114:F119)</f>
        <v>10.396696259691641</v>
      </c>
      <c r="G113" s="14">
        <f t="shared" si="15"/>
        <v>6.1655831504908125</v>
      </c>
      <c r="H113" s="14">
        <f t="shared" si="15"/>
        <v>0.43671659535127755</v>
      </c>
    </row>
    <row r="114" spans="1:8" ht="15.75" hidden="1" customHeight="1" x14ac:dyDescent="0.25">
      <c r="A114" s="20" t="s">
        <v>9</v>
      </c>
      <c r="B114" s="11" t="s">
        <v>38</v>
      </c>
      <c r="C114" s="15"/>
      <c r="D114" s="16" t="s">
        <v>15</v>
      </c>
      <c r="E114" s="17">
        <v>1</v>
      </c>
      <c r="F114" s="18">
        <f>E114* 0.962408869987849</f>
        <v>0.96240886998784902</v>
      </c>
      <c r="G114" s="18">
        <f>E114* 0.00425273390036452</f>
        <v>4.2527339003645198E-3</v>
      </c>
      <c r="H114" s="18">
        <f>E114* 0.0333383961117862</f>
        <v>3.3338396111786198E-2</v>
      </c>
    </row>
    <row r="115" spans="1:8" ht="15.75" hidden="1" customHeight="1" x14ac:dyDescent="0.25">
      <c r="A115" s="20" t="s">
        <v>9</v>
      </c>
      <c r="B115" s="11" t="s">
        <v>38</v>
      </c>
      <c r="C115" s="15"/>
      <c r="D115" s="16" t="s">
        <v>11</v>
      </c>
      <c r="E115" s="17">
        <v>5</v>
      </c>
      <c r="F115" s="18">
        <f>E115* 0.0664298401420959</f>
        <v>0.33214920071047949</v>
      </c>
      <c r="G115" s="18">
        <f>E115* 0.932326820603908</f>
        <v>4.6616341030195398</v>
      </c>
      <c r="H115" s="18">
        <f>E115* 0.00106571936056838</f>
        <v>5.3285968028419003E-3</v>
      </c>
    </row>
    <row r="116" spans="1:8" ht="15.75" hidden="1" customHeight="1" x14ac:dyDescent="0.25">
      <c r="A116" s="20" t="s">
        <v>9</v>
      </c>
      <c r="B116" s="11" t="s">
        <v>38</v>
      </c>
      <c r="C116" s="15"/>
      <c r="D116" s="16" t="s">
        <v>17</v>
      </c>
      <c r="E116" s="17">
        <v>5</v>
      </c>
      <c r="F116" s="18">
        <f>E116* 0.860929374266063</f>
        <v>4.3046468713303145</v>
      </c>
      <c r="G116" s="18">
        <f>E116* 0.0811944304646871</f>
        <v>0.40597215232343553</v>
      </c>
      <c r="H116" s="18">
        <f>E116* 0.0578761952692501</f>
        <v>0.28938097634625048</v>
      </c>
    </row>
    <row r="117" spans="1:8" ht="15.75" hidden="1" customHeight="1" x14ac:dyDescent="0.25">
      <c r="A117" s="20" t="s">
        <v>9</v>
      </c>
      <c r="B117" s="11" t="s">
        <v>38</v>
      </c>
      <c r="C117" s="15"/>
      <c r="D117" s="16" t="s">
        <v>19</v>
      </c>
      <c r="E117" s="17">
        <v>1</v>
      </c>
      <c r="F117" s="18">
        <f>E117* 0.0187085093542547</f>
        <v>1.87085093542547E-2</v>
      </c>
      <c r="G117" s="18">
        <f>E117* 0.978877489438745</f>
        <v>0.97887748943874497</v>
      </c>
      <c r="H117" s="18">
        <f>E117* 0.0024140012070006</f>
        <v>2.4140012070006001E-3</v>
      </c>
    </row>
    <row r="118" spans="1:8" ht="15.75" hidden="1" customHeight="1" x14ac:dyDescent="0.25">
      <c r="A118" s="20" t="s">
        <v>9</v>
      </c>
      <c r="B118" s="11" t="s">
        <v>38</v>
      </c>
      <c r="C118" s="15"/>
      <c r="D118" s="16" t="s">
        <v>21</v>
      </c>
      <c r="E118" s="17">
        <v>3</v>
      </c>
      <c r="F118" s="18">
        <f>E118* 0.999622470552703</f>
        <v>2.9988674116581091</v>
      </c>
      <c r="G118" s="18">
        <f>E118* 0.0000755058894593778</f>
        <v>2.2651766837813341E-4</v>
      </c>
      <c r="H118" s="18">
        <f>E118* 0.000302023557837511</f>
        <v>9.0607067351253299E-4</v>
      </c>
    </row>
    <row r="119" spans="1:8" ht="15.75" hidden="1" customHeight="1" x14ac:dyDescent="0.25">
      <c r="A119" s="20" t="s">
        <v>9</v>
      </c>
      <c r="B119" s="11" t="s">
        <v>38</v>
      </c>
      <c r="C119" s="15"/>
      <c r="D119" s="16" t="s">
        <v>12</v>
      </c>
      <c r="E119" s="17">
        <v>2</v>
      </c>
      <c r="F119" s="18">
        <f>E119* 0.889957698325317</f>
        <v>1.779915396650634</v>
      </c>
      <c r="G119" s="18">
        <f>E119* 0.0573100770701744</f>
        <v>0.1146201541403488</v>
      </c>
      <c r="H119" s="18">
        <f>E119* 0.0526742771049429</f>
        <v>0.1053485542098858</v>
      </c>
    </row>
    <row r="120" spans="1:8" ht="15.75" hidden="1" customHeight="1" x14ac:dyDescent="0.25">
      <c r="A120" s="20" t="s">
        <v>9</v>
      </c>
      <c r="B120" s="9"/>
      <c r="C120" s="8"/>
      <c r="E120" s="19"/>
    </row>
    <row r="121" spans="1:8" ht="15.75" hidden="1" customHeight="1" x14ac:dyDescent="0.25">
      <c r="A121" s="20" t="s">
        <v>9</v>
      </c>
      <c r="B121" s="42" t="s">
        <v>39</v>
      </c>
      <c r="C121" s="12" t="str">
        <f>B121&amp;"_"&amp;A121</f>
        <v>Villa Abecia (Camataqui)_Chuquisaca</v>
      </c>
      <c r="E121" s="43">
        <v>2</v>
      </c>
      <c r="F121" s="14">
        <f t="shared" ref="F121:H121" si="16">SUM(F122:F125)</f>
        <v>1.0162847924835798</v>
      </c>
      <c r="G121" s="14">
        <f t="shared" si="16"/>
        <v>0.97625554004029425</v>
      </c>
      <c r="H121" s="14">
        <f t="shared" si="16"/>
        <v>7.2820475826985108E-3</v>
      </c>
    </row>
    <row r="122" spans="1:8" ht="15.75" hidden="1" customHeight="1" x14ac:dyDescent="0.25">
      <c r="A122" s="20" t="s">
        <v>9</v>
      </c>
      <c r="B122" s="11" t="s">
        <v>39</v>
      </c>
      <c r="C122" s="15"/>
      <c r="D122" s="16" t="s">
        <v>15</v>
      </c>
      <c r="E122" s="19"/>
      <c r="F122" s="18">
        <f>E122* 0.962408869987849</f>
        <v>0</v>
      </c>
      <c r="G122" s="18">
        <f>E122* 0.00425273390036452</f>
        <v>0</v>
      </c>
      <c r="H122" s="18">
        <f>E122* 0.0333383961117862</f>
        <v>0</v>
      </c>
    </row>
    <row r="123" spans="1:8" ht="15.75" hidden="1" customHeight="1" x14ac:dyDescent="0.25">
      <c r="A123" s="20" t="s">
        <v>9</v>
      </c>
      <c r="B123" s="11" t="s">
        <v>39</v>
      </c>
      <c r="C123" s="15"/>
      <c r="D123" s="16" t="s">
        <v>11</v>
      </c>
      <c r="E123" s="17">
        <v>1</v>
      </c>
      <c r="F123" s="18">
        <f>E123* 0.0664298401420959</f>
        <v>6.6429840142095894E-2</v>
      </c>
      <c r="G123" s="18">
        <f>E123* 0.932326820603908</f>
        <v>0.93232682060390804</v>
      </c>
      <c r="H123" s="18">
        <f>E123* 0.00106571936056838</f>
        <v>1.06571936056838E-3</v>
      </c>
    </row>
    <row r="124" spans="1:8" ht="15.75" hidden="1" customHeight="1" x14ac:dyDescent="0.25">
      <c r="A124" s="20" t="s">
        <v>9</v>
      </c>
      <c r="B124" s="11" t="s">
        <v>39</v>
      </c>
      <c r="C124" s="15"/>
      <c r="D124" s="16" t="s">
        <v>17</v>
      </c>
      <c r="E124" s="19"/>
      <c r="F124" s="18">
        <f>E124* 0.860929374266063</f>
        <v>0</v>
      </c>
      <c r="G124" s="18">
        <f>E124* 0.0811944304646871</f>
        <v>0</v>
      </c>
      <c r="H124" s="18">
        <f>E124* 0.0578761952692501</f>
        <v>0</v>
      </c>
    </row>
    <row r="125" spans="1:8" ht="15.75" hidden="1" customHeight="1" x14ac:dyDescent="0.25">
      <c r="A125" s="20" t="s">
        <v>9</v>
      </c>
      <c r="B125" s="11" t="s">
        <v>39</v>
      </c>
      <c r="C125" s="15"/>
      <c r="D125" s="16" t="s">
        <v>18</v>
      </c>
      <c r="E125" s="17">
        <v>1</v>
      </c>
      <c r="F125" s="18">
        <f>E125* 0.949854952341484</f>
        <v>0.94985495234148398</v>
      </c>
      <c r="G125" s="18">
        <f>E125* 0.0439287194363862</f>
        <v>4.3928719436386203E-2</v>
      </c>
      <c r="H125" s="18">
        <f>E125* 0.00621632822213013</f>
        <v>6.2163282221301304E-3</v>
      </c>
    </row>
    <row r="126" spans="1:8" ht="15.75" hidden="1" customHeight="1" x14ac:dyDescent="0.25">
      <c r="A126" s="20" t="s">
        <v>9</v>
      </c>
      <c r="B126" s="9"/>
      <c r="C126" s="8"/>
      <c r="E126" s="19"/>
    </row>
    <row r="127" spans="1:8" ht="15.75" hidden="1" customHeight="1" x14ac:dyDescent="0.25">
      <c r="A127" s="20" t="s">
        <v>9</v>
      </c>
      <c r="B127" s="42" t="s">
        <v>40</v>
      </c>
      <c r="C127" s="12" t="str">
        <f>B127&amp;"_"&amp;A127</f>
        <v>Villa Arias (Tarvita)_Chuquisaca</v>
      </c>
      <c r="E127" s="43">
        <v>2</v>
      </c>
      <c r="F127" s="14">
        <f t="shared" ref="F127:H127" si="17">SUM(F128:F130)</f>
        <v>1.9620313405405521</v>
      </c>
      <c r="G127" s="14">
        <f t="shared" si="17"/>
        <v>4.3282397898238975E-3</v>
      </c>
      <c r="H127" s="14">
        <f t="shared" si="17"/>
        <v>3.3640419669623708E-2</v>
      </c>
    </row>
    <row r="128" spans="1:8" ht="15.75" hidden="1" customHeight="1" x14ac:dyDescent="0.25">
      <c r="A128" s="20" t="s">
        <v>9</v>
      </c>
      <c r="B128" s="11" t="s">
        <v>40</v>
      </c>
      <c r="C128" s="15"/>
      <c r="D128" s="16" t="s">
        <v>15</v>
      </c>
      <c r="E128" s="17">
        <v>1</v>
      </c>
      <c r="F128" s="18">
        <f>E128* 0.962408869987849</f>
        <v>0.96240886998784902</v>
      </c>
      <c r="G128" s="18">
        <f>E128* 0.00425273390036452</f>
        <v>4.2527339003645198E-3</v>
      </c>
      <c r="H128" s="18">
        <f>E128* 0.0333383961117862</f>
        <v>3.3338396111786198E-2</v>
      </c>
    </row>
    <row r="129" spans="1:8" ht="15.75" hidden="1" customHeight="1" x14ac:dyDescent="0.25">
      <c r="A129" s="20" t="s">
        <v>9</v>
      </c>
      <c r="B129" s="11" t="s">
        <v>40</v>
      </c>
      <c r="C129" s="15"/>
      <c r="D129" s="16" t="s">
        <v>11</v>
      </c>
      <c r="E129" s="46"/>
      <c r="F129" s="18">
        <f>E129* 0.0664298401420959</f>
        <v>0</v>
      </c>
      <c r="G129" s="18">
        <f>E129* 0.932326820603908</f>
        <v>0</v>
      </c>
      <c r="H129" s="18">
        <f>E129* 0.00106571936056838</f>
        <v>0</v>
      </c>
    </row>
    <row r="130" spans="1:8" ht="15.75" hidden="1" customHeight="1" x14ac:dyDescent="0.25">
      <c r="A130" s="20" t="s">
        <v>9</v>
      </c>
      <c r="B130" s="11" t="s">
        <v>40</v>
      </c>
      <c r="C130" s="15"/>
      <c r="D130" s="16" t="s">
        <v>21</v>
      </c>
      <c r="E130" s="17">
        <v>1</v>
      </c>
      <c r="F130" s="18">
        <f>E130* 0.999622470552703</f>
        <v>0.99962247055270304</v>
      </c>
      <c r="G130" s="18">
        <f>E130* 0.0000755058894593778</f>
        <v>7.5505889459377804E-5</v>
      </c>
      <c r="H130" s="18">
        <f>E130* 0.000302023557837511</f>
        <v>3.02023557837511E-4</v>
      </c>
    </row>
    <row r="131" spans="1:8" ht="15.75" hidden="1" customHeight="1" x14ac:dyDescent="0.25">
      <c r="A131" s="20" t="s">
        <v>9</v>
      </c>
      <c r="B131" s="9"/>
      <c r="C131" s="8"/>
      <c r="E131" s="19"/>
    </row>
    <row r="132" spans="1:8" ht="15.75" hidden="1" customHeight="1" x14ac:dyDescent="0.25">
      <c r="A132" s="20" t="s">
        <v>9</v>
      </c>
      <c r="B132" s="42" t="s">
        <v>41</v>
      </c>
      <c r="C132" s="12" t="str">
        <f>B132&amp;"_"&amp;A132</f>
        <v>Villa Azurduy_Chuquisaca</v>
      </c>
      <c r="E132" s="43">
        <v>5</v>
      </c>
      <c r="F132" s="14">
        <f t="shared" ref="F132:H132" si="18">SUM(F133:F138)</f>
        <v>2.0598413652450538</v>
      </c>
      <c r="G132" s="14">
        <f t="shared" si="18"/>
        <v>2.8782503981658705</v>
      </c>
      <c r="H132" s="14">
        <f t="shared" si="18"/>
        <v>6.1375376908792752E-2</v>
      </c>
    </row>
    <row r="133" spans="1:8" ht="15.75" hidden="1" customHeight="1" x14ac:dyDescent="0.25">
      <c r="A133" s="20" t="s">
        <v>9</v>
      </c>
      <c r="B133" s="11" t="s">
        <v>41</v>
      </c>
      <c r="C133" s="15"/>
      <c r="D133" s="16" t="s">
        <v>286</v>
      </c>
      <c r="E133" s="19"/>
      <c r="F133" s="18">
        <f>E133* 0.03</f>
        <v>0</v>
      </c>
      <c r="G133" s="18">
        <f>E133* 0.97</f>
        <v>0</v>
      </c>
      <c r="H133" s="20">
        <v>0</v>
      </c>
    </row>
    <row r="134" spans="1:8" ht="15.75" hidden="1" customHeight="1" x14ac:dyDescent="0.25">
      <c r="A134" s="20" t="s">
        <v>9</v>
      </c>
      <c r="B134" s="11" t="s">
        <v>41</v>
      </c>
      <c r="C134" s="15"/>
      <c r="D134" s="16" t="s">
        <v>11</v>
      </c>
      <c r="E134" s="17">
        <v>3</v>
      </c>
      <c r="F134" s="18">
        <f>E134* 0.0664298401420959</f>
        <v>0.19928952042628767</v>
      </c>
      <c r="G134" s="18">
        <f>E134* 0.932326820603908</f>
        <v>2.796980461811724</v>
      </c>
      <c r="H134" s="18">
        <f>E134* 0.00106571936056838</f>
        <v>3.1971580817051399E-3</v>
      </c>
    </row>
    <row r="135" spans="1:8" ht="15.75" hidden="1" customHeight="1" x14ac:dyDescent="0.25">
      <c r="A135" s="20" t="s">
        <v>9</v>
      </c>
      <c r="B135" s="11" t="s">
        <v>41</v>
      </c>
      <c r="C135" s="15"/>
      <c r="D135" s="16" t="s">
        <v>17</v>
      </c>
      <c r="E135" s="17">
        <v>1</v>
      </c>
      <c r="F135" s="18">
        <f>E135* 0.860929374266063</f>
        <v>0.86092937426606297</v>
      </c>
      <c r="G135" s="18">
        <f>E135* 0.0811944304646871</f>
        <v>8.1194430464687106E-2</v>
      </c>
      <c r="H135" s="18">
        <f>E135* 0.0578761952692501</f>
        <v>5.78761952692501E-2</v>
      </c>
    </row>
    <row r="136" spans="1:8" ht="15.75" hidden="1" customHeight="1" x14ac:dyDescent="0.25">
      <c r="A136" s="20" t="s">
        <v>9</v>
      </c>
      <c r="B136" s="11" t="s">
        <v>41</v>
      </c>
      <c r="C136" s="15"/>
      <c r="D136" s="16" t="s">
        <v>19</v>
      </c>
      <c r="E136" s="19"/>
      <c r="F136" s="18">
        <f>E136* 0.0187085093542547</f>
        <v>0</v>
      </c>
      <c r="G136" s="18">
        <f>E136* 0.978877489438745</f>
        <v>0</v>
      </c>
      <c r="H136" s="18">
        <f>E136* 0.0024140012070006</f>
        <v>0</v>
      </c>
    </row>
    <row r="137" spans="1:8" ht="15.75" hidden="1" customHeight="1" x14ac:dyDescent="0.25">
      <c r="A137" s="20" t="s">
        <v>9</v>
      </c>
      <c r="B137" s="11" t="s">
        <v>41</v>
      </c>
      <c r="C137" s="15"/>
      <c r="D137" s="16" t="s">
        <v>21</v>
      </c>
      <c r="E137" s="17">
        <v>1</v>
      </c>
      <c r="F137" s="18">
        <f>E137* 0.999622470552703</f>
        <v>0.99962247055270304</v>
      </c>
      <c r="G137" s="18">
        <f>E137* 0.0000755058894593778</f>
        <v>7.5505889459377804E-5</v>
      </c>
      <c r="H137" s="18">
        <f>E137* 0.000302023557837511</f>
        <v>3.02023557837511E-4</v>
      </c>
    </row>
    <row r="138" spans="1:8" ht="15.75" hidden="1" customHeight="1" x14ac:dyDescent="0.25">
      <c r="A138" s="20" t="s">
        <v>9</v>
      </c>
      <c r="B138" s="11" t="s">
        <v>41</v>
      </c>
      <c r="C138" s="15"/>
      <c r="D138" s="16" t="s">
        <v>12</v>
      </c>
      <c r="E138" s="19"/>
      <c r="F138" s="18">
        <f>E138* 0.889957698325317</f>
        <v>0</v>
      </c>
      <c r="G138" s="18">
        <f>E138* 0.0573100770701744</f>
        <v>0</v>
      </c>
      <c r="H138" s="18">
        <f>E138* 0.0526742771049429</f>
        <v>0</v>
      </c>
    </row>
    <row r="139" spans="1:8" ht="15.75" hidden="1" customHeight="1" x14ac:dyDescent="0.25">
      <c r="A139" s="20" t="s">
        <v>9</v>
      </c>
      <c r="B139" s="9"/>
      <c r="C139" s="8"/>
      <c r="E139" s="19"/>
    </row>
    <row r="140" spans="1:8" ht="15.75" hidden="1" customHeight="1" x14ac:dyDescent="0.25">
      <c r="A140" s="20" t="s">
        <v>9</v>
      </c>
      <c r="B140" s="42" t="s">
        <v>42</v>
      </c>
      <c r="C140" s="12" t="str">
        <f>B140&amp;"_"&amp;A140</f>
        <v>Villa Mojocoya_Chuquisaca</v>
      </c>
      <c r="E140" s="43">
        <v>52</v>
      </c>
      <c r="F140" s="14">
        <f t="shared" ref="F140:H140" si="19">SUM(F141:F148)</f>
        <v>39.080397603768589</v>
      </c>
      <c r="G140" s="14">
        <f t="shared" si="19"/>
        <v>11.550618624989346</v>
      </c>
      <c r="H140" s="14">
        <f t="shared" si="19"/>
        <v>1.3666318747068638</v>
      </c>
    </row>
    <row r="141" spans="1:8" ht="15.75" hidden="1" customHeight="1" x14ac:dyDescent="0.25">
      <c r="A141" s="20" t="s">
        <v>9</v>
      </c>
      <c r="B141" s="11" t="s">
        <v>42</v>
      </c>
      <c r="C141" s="15"/>
      <c r="D141" s="16" t="s">
        <v>288</v>
      </c>
      <c r="E141" s="17">
        <v>0</v>
      </c>
      <c r="F141" s="20">
        <v>0</v>
      </c>
      <c r="G141" s="20">
        <f>E141</f>
        <v>0</v>
      </c>
      <c r="H141" s="20">
        <v>0</v>
      </c>
    </row>
    <row r="142" spans="1:8" ht="15.75" hidden="1" customHeight="1" x14ac:dyDescent="0.25">
      <c r="A142" s="20" t="s">
        <v>9</v>
      </c>
      <c r="B142" s="11" t="s">
        <v>42</v>
      </c>
      <c r="C142" s="15"/>
      <c r="D142" s="16" t="s">
        <v>15</v>
      </c>
      <c r="E142" s="17">
        <v>3</v>
      </c>
      <c r="F142" s="18">
        <f>E142* 0.962408869987849</f>
        <v>2.8872266099635473</v>
      </c>
      <c r="G142" s="18">
        <f>E142* 0.00425273390036452</f>
        <v>1.2758201701093558E-2</v>
      </c>
      <c r="H142" s="18">
        <f>E142* 0.0333383961117862</f>
        <v>0.10001518833535859</v>
      </c>
    </row>
    <row r="143" spans="1:8" ht="15.75" hidden="1" customHeight="1" x14ac:dyDescent="0.25">
      <c r="A143" s="20" t="s">
        <v>9</v>
      </c>
      <c r="B143" s="11" t="s">
        <v>42</v>
      </c>
      <c r="C143" s="15"/>
      <c r="D143" s="16" t="s">
        <v>286</v>
      </c>
      <c r="E143" s="17">
        <v>1</v>
      </c>
      <c r="F143" s="18">
        <f>E143* 0.03</f>
        <v>0.03</v>
      </c>
      <c r="G143" s="18">
        <f>E143* 0.97</f>
        <v>0.97</v>
      </c>
      <c r="H143" s="20">
        <v>0</v>
      </c>
    </row>
    <row r="144" spans="1:8" ht="15.75" hidden="1" customHeight="1" x14ac:dyDescent="0.25">
      <c r="A144" s="20" t="s">
        <v>9</v>
      </c>
      <c r="B144" s="11" t="s">
        <v>42</v>
      </c>
      <c r="C144" s="15"/>
      <c r="D144" s="16" t="s">
        <v>11</v>
      </c>
      <c r="E144" s="17">
        <v>9</v>
      </c>
      <c r="F144" s="18">
        <f>E144* 0.0664298401420959</f>
        <v>0.59786856127886301</v>
      </c>
      <c r="G144" s="18">
        <f>E144* 0.932326820603908</f>
        <v>8.3909413854351715</v>
      </c>
      <c r="H144" s="18">
        <f>E144* 0.00106571936056838</f>
        <v>9.5914742451154202E-3</v>
      </c>
    </row>
    <row r="145" spans="1:8" ht="15.75" hidden="1" customHeight="1" x14ac:dyDescent="0.25">
      <c r="A145" s="20" t="s">
        <v>9</v>
      </c>
      <c r="B145" s="11" t="s">
        <v>42</v>
      </c>
      <c r="C145" s="15"/>
      <c r="D145" s="16" t="s">
        <v>17</v>
      </c>
      <c r="E145" s="17">
        <v>8</v>
      </c>
      <c r="F145" s="18">
        <f>E145* 0.860929374266063</f>
        <v>6.8874349941285038</v>
      </c>
      <c r="G145" s="18">
        <f>E145* 0.0811944304646871</f>
        <v>0.64955544371749685</v>
      </c>
      <c r="H145" s="18">
        <f>E145* 0.0578761952692501</f>
        <v>0.4630095621540008</v>
      </c>
    </row>
    <row r="146" spans="1:8" ht="15.75" hidden="1" customHeight="1" x14ac:dyDescent="0.25">
      <c r="A146" s="20" t="s">
        <v>9</v>
      </c>
      <c r="B146" s="11" t="s">
        <v>42</v>
      </c>
      <c r="C146" s="15"/>
      <c r="D146" s="16" t="s">
        <v>20</v>
      </c>
      <c r="E146" s="17">
        <v>2</v>
      </c>
      <c r="F146" s="18">
        <f>E146* 0.557228915662651</f>
        <v>1.114457831325302</v>
      </c>
      <c r="G146" s="18">
        <f>E146* 0.390562248995984</f>
        <v>0.78112449799196804</v>
      </c>
      <c r="H146" s="18">
        <f>E146* 0.0522088353413655</f>
        <v>0.104417670682731</v>
      </c>
    </row>
    <row r="147" spans="1:8" ht="15.75" hidden="1" customHeight="1" x14ac:dyDescent="0.25">
      <c r="A147" s="20" t="s">
        <v>9</v>
      </c>
      <c r="B147" s="11" t="s">
        <v>42</v>
      </c>
      <c r="C147" s="15"/>
      <c r="D147" s="16" t="s">
        <v>21</v>
      </c>
      <c r="E147" s="17">
        <v>16</v>
      </c>
      <c r="F147" s="18">
        <f>E147* 0.999622470552703</f>
        <v>15.993959528843249</v>
      </c>
      <c r="G147" s="18">
        <f>E147* 0.0000755058894593778</f>
        <v>1.2080942313500449E-3</v>
      </c>
      <c r="H147" s="18">
        <f>E147* 0.000302023557837511</f>
        <v>4.832376925400176E-3</v>
      </c>
    </row>
    <row r="148" spans="1:8" ht="15.75" hidden="1" customHeight="1" x14ac:dyDescent="0.25">
      <c r="A148" s="20" t="s">
        <v>9</v>
      </c>
      <c r="B148" s="11" t="s">
        <v>42</v>
      </c>
      <c r="C148" s="15"/>
      <c r="D148" s="16" t="s">
        <v>12</v>
      </c>
      <c r="E148" s="17">
        <v>13</v>
      </c>
      <c r="F148" s="18">
        <f>E148* 0.889957698325317</f>
        <v>11.569450078229121</v>
      </c>
      <c r="G148" s="18">
        <f>E148* 0.0573100770701744</f>
        <v>0.74503100191226723</v>
      </c>
      <c r="H148" s="18">
        <f>E148* 0.0526742771049429</f>
        <v>0.68476560236425765</v>
      </c>
    </row>
    <row r="149" spans="1:8" ht="15.75" hidden="1" customHeight="1" x14ac:dyDescent="0.25">
      <c r="A149" s="20" t="s">
        <v>9</v>
      </c>
      <c r="B149" s="9"/>
      <c r="C149" s="8"/>
      <c r="E149" s="19"/>
    </row>
    <row r="150" spans="1:8" ht="15.75" hidden="1" customHeight="1" x14ac:dyDescent="0.25">
      <c r="A150" s="20" t="s">
        <v>9</v>
      </c>
      <c r="B150" s="42" t="s">
        <v>43</v>
      </c>
      <c r="C150" s="12" t="str">
        <f>B150&amp;"_"&amp;A150</f>
        <v>Villa Monteagudo_Chuquisaca</v>
      </c>
      <c r="E150" s="45">
        <v>2309</v>
      </c>
      <c r="F150" s="14">
        <f t="shared" ref="F150:H150" si="20">SUM(F151:F162)</f>
        <v>1863.9826857669896</v>
      </c>
      <c r="G150" s="14">
        <f t="shared" si="20"/>
        <v>394.84428827843561</v>
      </c>
      <c r="H150" s="14">
        <f t="shared" si="20"/>
        <v>50.098389986839749</v>
      </c>
    </row>
    <row r="151" spans="1:8" ht="15.75" hidden="1" customHeight="1" x14ac:dyDescent="0.25">
      <c r="A151" s="20" t="s">
        <v>9</v>
      </c>
      <c r="B151" s="11" t="s">
        <v>43</v>
      </c>
      <c r="C151" s="15"/>
      <c r="D151" s="16" t="s">
        <v>288</v>
      </c>
      <c r="E151" s="17">
        <v>3</v>
      </c>
      <c r="F151" s="20">
        <v>0</v>
      </c>
      <c r="G151" s="20">
        <f>E151</f>
        <v>3</v>
      </c>
      <c r="H151" s="20">
        <v>0</v>
      </c>
    </row>
    <row r="152" spans="1:8" ht="15.75" hidden="1" customHeight="1" x14ac:dyDescent="0.25">
      <c r="A152" s="20" t="s">
        <v>9</v>
      </c>
      <c r="B152" s="11" t="s">
        <v>43</v>
      </c>
      <c r="C152" s="15"/>
      <c r="D152" s="16" t="s">
        <v>15</v>
      </c>
      <c r="E152" s="17">
        <v>122</v>
      </c>
      <c r="F152" s="18">
        <f>E152* 0.962408869987849</f>
        <v>117.41388213851758</v>
      </c>
      <c r="G152" s="18">
        <f>E152* 0.00425273390036452</f>
        <v>0.51883353584447145</v>
      </c>
      <c r="H152" s="18">
        <f>E152* 0.0333383961117862</f>
        <v>4.0672843256379165</v>
      </c>
    </row>
    <row r="153" spans="1:8" ht="15.75" hidden="1" customHeight="1" x14ac:dyDescent="0.25">
      <c r="A153" s="20" t="s">
        <v>9</v>
      </c>
      <c r="B153" s="11" t="s">
        <v>43</v>
      </c>
      <c r="C153" s="15"/>
      <c r="D153" s="16" t="s">
        <v>286</v>
      </c>
      <c r="E153" s="17">
        <v>37</v>
      </c>
      <c r="F153" s="18">
        <f>E153* 0.03</f>
        <v>1.1099999999999999</v>
      </c>
      <c r="G153" s="18">
        <f>E153* 0.97</f>
        <v>35.89</v>
      </c>
      <c r="H153" s="20">
        <v>0</v>
      </c>
    </row>
    <row r="154" spans="1:8" ht="15.75" hidden="1" customHeight="1" x14ac:dyDescent="0.25">
      <c r="A154" s="20" t="s">
        <v>9</v>
      </c>
      <c r="B154" s="11" t="s">
        <v>43</v>
      </c>
      <c r="C154" s="15"/>
      <c r="D154" s="16" t="s">
        <v>11</v>
      </c>
      <c r="E154" s="17">
        <v>230</v>
      </c>
      <c r="F154" s="18">
        <f>E154* 0.0664298401420959</f>
        <v>15.278863232682056</v>
      </c>
      <c r="G154" s="18">
        <f>E154* 0.932326820603908</f>
        <v>214.43516873889885</v>
      </c>
      <c r="H154" s="18">
        <f>E154* 0.00106571936056838</f>
        <v>0.2451154529307274</v>
      </c>
    </row>
    <row r="155" spans="1:8" ht="15.75" hidden="1" customHeight="1" x14ac:dyDescent="0.25">
      <c r="A155" s="20" t="s">
        <v>9</v>
      </c>
      <c r="B155" s="11" t="s">
        <v>43</v>
      </c>
      <c r="C155" s="15"/>
      <c r="D155" s="16" t="s">
        <v>17</v>
      </c>
      <c r="E155" s="17">
        <v>235</v>
      </c>
      <c r="F155" s="18">
        <f>E155* 0.860929374266063</f>
        <v>202.31840295252479</v>
      </c>
      <c r="G155" s="18">
        <f>E155* 0.0811944304646871</f>
        <v>19.080691159201471</v>
      </c>
      <c r="H155" s="18">
        <f>E155* 0.0578761952692501</f>
        <v>13.600905888273774</v>
      </c>
    </row>
    <row r="156" spans="1:8" ht="15.75" hidden="1" customHeight="1" x14ac:dyDescent="0.25">
      <c r="A156" s="20" t="s">
        <v>9</v>
      </c>
      <c r="B156" s="11" t="s">
        <v>43</v>
      </c>
      <c r="C156" s="15"/>
      <c r="D156" s="16" t="s">
        <v>18</v>
      </c>
      <c r="E156" s="17">
        <v>42</v>
      </c>
      <c r="F156" s="18">
        <f>E156* 0.949854952341484</f>
        <v>39.893907998342328</v>
      </c>
      <c r="G156" s="18">
        <f>E156* 0.0439287194363862</f>
        <v>1.8450062163282206</v>
      </c>
      <c r="H156" s="18">
        <f>E156* 0.00621632822213013</f>
        <v>0.26108578532946547</v>
      </c>
    </row>
    <row r="157" spans="1:8" ht="15.75" hidden="1" customHeight="1" x14ac:dyDescent="0.25">
      <c r="A157" s="20" t="s">
        <v>9</v>
      </c>
      <c r="B157" s="11" t="s">
        <v>43</v>
      </c>
      <c r="C157" s="15"/>
      <c r="D157" s="16" t="s">
        <v>19</v>
      </c>
      <c r="E157" s="17">
        <v>60</v>
      </c>
      <c r="F157" s="18">
        <f>E157* 0.0187085093542547</f>
        <v>1.1225105612552819</v>
      </c>
      <c r="G157" s="18">
        <f>E157* 0.978877489438745</f>
        <v>58.732649366324701</v>
      </c>
      <c r="H157" s="18">
        <f>E157* 0.0024140012070006</f>
        <v>0.14484007242003599</v>
      </c>
    </row>
    <row r="158" spans="1:8" ht="15.75" hidden="1" customHeight="1" x14ac:dyDescent="0.25">
      <c r="A158" s="20" t="s">
        <v>9</v>
      </c>
      <c r="B158" s="11" t="s">
        <v>43</v>
      </c>
      <c r="C158" s="15"/>
      <c r="D158" s="16" t="s">
        <v>20</v>
      </c>
      <c r="E158" s="17">
        <v>15</v>
      </c>
      <c r="F158" s="18">
        <f>E158* 0.557228915662651</f>
        <v>8.3584337349397639</v>
      </c>
      <c r="G158" s="18">
        <f>E158* 0.390562248995984</f>
        <v>5.8584337349397604</v>
      </c>
      <c r="H158" s="18">
        <f>E158* 0.0522088353413655</f>
        <v>0.78313253012048256</v>
      </c>
    </row>
    <row r="159" spans="1:8" ht="15.75" hidden="1" customHeight="1" x14ac:dyDescent="0.25">
      <c r="A159" s="20" t="s">
        <v>9</v>
      </c>
      <c r="B159" s="11" t="s">
        <v>43</v>
      </c>
      <c r="C159" s="15"/>
      <c r="D159" s="16" t="s">
        <v>21</v>
      </c>
      <c r="E159" s="17">
        <v>950</v>
      </c>
      <c r="F159" s="18">
        <f>E159* 0.999622470552703</f>
        <v>949.64134702506783</v>
      </c>
      <c r="G159" s="18">
        <f>E159* 0.0000755058894593778</f>
        <v>7.1730594986408908E-2</v>
      </c>
      <c r="H159" s="18">
        <f>E159* 0.000302023557837511</f>
        <v>0.28692237994563546</v>
      </c>
    </row>
    <row r="160" spans="1:8" ht="15.75" hidden="1" customHeight="1" x14ac:dyDescent="0.25">
      <c r="A160" s="20" t="s">
        <v>9</v>
      </c>
      <c r="B160" s="11" t="s">
        <v>43</v>
      </c>
      <c r="C160" s="15"/>
      <c r="D160" s="16" t="s">
        <v>36</v>
      </c>
      <c r="E160" s="17">
        <v>10</v>
      </c>
      <c r="F160" s="20">
        <f>E160</f>
        <v>10</v>
      </c>
      <c r="G160" s="20">
        <v>0</v>
      </c>
      <c r="H160" s="20">
        <v>0</v>
      </c>
    </row>
    <row r="161" spans="1:8" ht="15.75" hidden="1" customHeight="1" x14ac:dyDescent="0.25">
      <c r="A161" s="20" t="s">
        <v>9</v>
      </c>
      <c r="B161" s="11" t="s">
        <v>43</v>
      </c>
      <c r="C161" s="15"/>
      <c r="D161" s="16" t="s">
        <v>28</v>
      </c>
      <c r="E161" s="17">
        <v>22</v>
      </c>
      <c r="F161" s="20">
        <v>0</v>
      </c>
      <c r="G161" s="20">
        <f>E161</f>
        <v>22</v>
      </c>
      <c r="H161" s="20">
        <v>0</v>
      </c>
    </row>
    <row r="162" spans="1:8" ht="15.75" hidden="1" customHeight="1" x14ac:dyDescent="0.25">
      <c r="A162" s="20" t="s">
        <v>9</v>
      </c>
      <c r="B162" s="11" t="s">
        <v>43</v>
      </c>
      <c r="C162" s="15"/>
      <c r="D162" s="16" t="s">
        <v>12</v>
      </c>
      <c r="E162" s="17">
        <v>583</v>
      </c>
      <c r="F162" s="18">
        <f>E162* 0.889957698325317</f>
        <v>518.84533812365987</v>
      </c>
      <c r="G162" s="18">
        <f>E162* 0.0573100770701744</f>
        <v>33.41177493191168</v>
      </c>
      <c r="H162" s="18">
        <f>E162* 0.0526742771049429</f>
        <v>30.709103552181709</v>
      </c>
    </row>
    <row r="163" spans="1:8" ht="15.75" hidden="1" customHeight="1" x14ac:dyDescent="0.25">
      <c r="A163" s="20" t="s">
        <v>9</v>
      </c>
      <c r="B163" s="9"/>
      <c r="C163" s="8"/>
      <c r="E163" s="19"/>
    </row>
    <row r="164" spans="1:8" ht="15.75" hidden="1" customHeight="1" x14ac:dyDescent="0.25">
      <c r="A164" s="20" t="s">
        <v>9</v>
      </c>
      <c r="B164" s="42" t="s">
        <v>44</v>
      </c>
      <c r="C164" s="12" t="str">
        <f>B164&amp;"_"&amp;A164</f>
        <v>Villa R. Mujía (Icla)_Chuquisaca</v>
      </c>
      <c r="E164" s="43">
        <v>2</v>
      </c>
      <c r="F164" s="14">
        <f t="shared" ref="F164:H164" si="21">SUM(F165:F166)</f>
        <v>1.779915396650634</v>
      </c>
      <c r="G164" s="14">
        <f t="shared" si="21"/>
        <v>0.1146201541403488</v>
      </c>
      <c r="H164" s="14">
        <f t="shared" si="21"/>
        <v>0.1053485542098858</v>
      </c>
    </row>
    <row r="165" spans="1:8" ht="15.75" hidden="1" customHeight="1" x14ac:dyDescent="0.25">
      <c r="A165" s="20" t="s">
        <v>9</v>
      </c>
      <c r="B165" s="11" t="s">
        <v>44</v>
      </c>
      <c r="C165" s="15"/>
      <c r="D165" s="16" t="s">
        <v>11</v>
      </c>
      <c r="E165" s="17">
        <v>0</v>
      </c>
      <c r="F165" s="18">
        <f>E165* 0.0664298401420959</f>
        <v>0</v>
      </c>
      <c r="G165" s="18">
        <f>E165* 0.932326820603908</f>
        <v>0</v>
      </c>
      <c r="H165" s="18">
        <f>E165* 0.00106571936056838</f>
        <v>0</v>
      </c>
    </row>
    <row r="166" spans="1:8" ht="15.75" hidden="1" customHeight="1" x14ac:dyDescent="0.25">
      <c r="A166" s="20" t="s">
        <v>9</v>
      </c>
      <c r="B166" s="11" t="s">
        <v>44</v>
      </c>
      <c r="C166" s="15"/>
      <c r="D166" s="16" t="s">
        <v>12</v>
      </c>
      <c r="E166" s="17">
        <v>2</v>
      </c>
      <c r="F166" s="18">
        <f>E166* 0.889957698325317</f>
        <v>1.779915396650634</v>
      </c>
      <c r="G166" s="18">
        <f>E166* 0.0573100770701744</f>
        <v>0.1146201541403488</v>
      </c>
      <c r="H166" s="18">
        <f>E166* 0.0526742771049429</f>
        <v>0.1053485542098858</v>
      </c>
    </row>
    <row r="167" spans="1:8" ht="15.75" hidden="1" customHeight="1" x14ac:dyDescent="0.25">
      <c r="A167" s="20" t="s">
        <v>9</v>
      </c>
      <c r="B167" s="9"/>
      <c r="C167" s="8"/>
      <c r="E167" s="19"/>
    </row>
    <row r="168" spans="1:8" ht="15.75" hidden="1" customHeight="1" x14ac:dyDescent="0.25">
      <c r="A168" s="20" t="s">
        <v>9</v>
      </c>
      <c r="B168" s="42" t="s">
        <v>45</v>
      </c>
      <c r="C168" s="12" t="str">
        <f>B168&amp;"_"&amp;A168</f>
        <v>Villa Serrano_Chuquisaca</v>
      </c>
      <c r="E168" s="43">
        <v>208</v>
      </c>
      <c r="F168" s="14">
        <f t="shared" ref="F168:H168" si="22">SUM(F169:F177)</f>
        <v>164.56215481439415</v>
      </c>
      <c r="G168" s="14">
        <f t="shared" si="22"/>
        <v>38.033954689361074</v>
      </c>
      <c r="H168" s="14">
        <f t="shared" si="22"/>
        <v>5.3973412245563575</v>
      </c>
    </row>
    <row r="169" spans="1:8" ht="15.75" hidden="1" customHeight="1" x14ac:dyDescent="0.25">
      <c r="A169" s="20" t="s">
        <v>9</v>
      </c>
      <c r="B169" s="11" t="s">
        <v>45</v>
      </c>
      <c r="C169" s="15"/>
      <c r="D169" s="16" t="s">
        <v>15</v>
      </c>
      <c r="E169" s="17">
        <v>7</v>
      </c>
      <c r="F169" s="18">
        <f>E169* 0.962408869987849</f>
        <v>6.7368620899149434</v>
      </c>
      <c r="G169" s="18">
        <f>E169* 0.00425273390036452</f>
        <v>2.9769137302551638E-2</v>
      </c>
      <c r="H169" s="18">
        <f>E169* 0.0333383961117862</f>
        <v>0.2333687727825034</v>
      </c>
    </row>
    <row r="170" spans="1:8" ht="15.75" hidden="1" customHeight="1" x14ac:dyDescent="0.25">
      <c r="A170" s="20" t="s">
        <v>9</v>
      </c>
      <c r="B170" s="11" t="s">
        <v>45</v>
      </c>
      <c r="C170" s="15"/>
      <c r="D170" s="16" t="s">
        <v>286</v>
      </c>
      <c r="E170" s="17">
        <v>1</v>
      </c>
      <c r="F170" s="18">
        <f>E170* 0.03</f>
        <v>0.03</v>
      </c>
      <c r="G170" s="18">
        <f>E170* 0.97</f>
        <v>0.97</v>
      </c>
      <c r="H170" s="20">
        <v>0</v>
      </c>
    </row>
    <row r="171" spans="1:8" ht="15.75" hidden="1" customHeight="1" x14ac:dyDescent="0.25">
      <c r="A171" s="20" t="s">
        <v>9</v>
      </c>
      <c r="B171" s="11" t="s">
        <v>45</v>
      </c>
      <c r="C171" s="15"/>
      <c r="D171" s="16" t="s">
        <v>11</v>
      </c>
      <c r="E171" s="17">
        <v>31</v>
      </c>
      <c r="F171" s="18">
        <f>E171* 0.0664298401420959</f>
        <v>2.0593250444049729</v>
      </c>
      <c r="G171" s="18">
        <f>E171* 0.932326820603908</f>
        <v>28.902131438721149</v>
      </c>
      <c r="H171" s="18">
        <f>E171* 0.00106571936056838</f>
        <v>3.3037300177619779E-2</v>
      </c>
    </row>
    <row r="172" spans="1:8" ht="15.75" hidden="1" customHeight="1" x14ac:dyDescent="0.25">
      <c r="A172" s="20" t="s">
        <v>9</v>
      </c>
      <c r="B172" s="11" t="s">
        <v>45</v>
      </c>
      <c r="C172" s="15"/>
      <c r="D172" s="16" t="s">
        <v>17</v>
      </c>
      <c r="E172" s="17">
        <v>71</v>
      </c>
      <c r="F172" s="18">
        <f>E172* 0.860929374266063</f>
        <v>61.125985572890471</v>
      </c>
      <c r="G172" s="18">
        <f>E172* 0.0811944304646871</f>
        <v>5.7648045629927847</v>
      </c>
      <c r="H172" s="18">
        <f>E172* 0.0578761952692501</f>
        <v>4.1092098641167567</v>
      </c>
    </row>
    <row r="173" spans="1:8" ht="15.75" hidden="1" customHeight="1" x14ac:dyDescent="0.25">
      <c r="A173" s="20" t="s">
        <v>9</v>
      </c>
      <c r="B173" s="11" t="s">
        <v>45</v>
      </c>
      <c r="C173" s="15"/>
      <c r="D173" s="16" t="s">
        <v>18</v>
      </c>
      <c r="E173" s="17">
        <v>8</v>
      </c>
      <c r="F173" s="18">
        <f>E173* 0.949854952341484</f>
        <v>7.5988396187318719</v>
      </c>
      <c r="G173" s="18">
        <f>E173* 0.0439287194363862</f>
        <v>0.35142975549108962</v>
      </c>
      <c r="H173" s="18">
        <f>E173* 0.00621632822213013</f>
        <v>4.9730625777041043E-2</v>
      </c>
    </row>
    <row r="174" spans="1:8" ht="15.75" hidden="1" customHeight="1" x14ac:dyDescent="0.25">
      <c r="A174" s="20" t="s">
        <v>9</v>
      </c>
      <c r="B174" s="11" t="s">
        <v>45</v>
      </c>
      <c r="C174" s="15"/>
      <c r="D174" s="16" t="s">
        <v>19</v>
      </c>
      <c r="E174" s="17">
        <v>1</v>
      </c>
      <c r="F174" s="18">
        <f>E174* 0.0187085093542547</f>
        <v>1.87085093542547E-2</v>
      </c>
      <c r="G174" s="18">
        <f>E174* 0.978877489438745</f>
        <v>0.97887748943874497</v>
      </c>
      <c r="H174" s="18">
        <f>E174* 0.0024140012070006</f>
        <v>2.4140012070006001E-3</v>
      </c>
    </row>
    <row r="175" spans="1:8" ht="15.75" hidden="1" customHeight="1" x14ac:dyDescent="0.25">
      <c r="A175" s="20" t="s">
        <v>9</v>
      </c>
      <c r="B175" s="11" t="s">
        <v>45</v>
      </c>
      <c r="C175" s="15"/>
      <c r="D175" s="16" t="s">
        <v>20</v>
      </c>
      <c r="E175" s="19"/>
      <c r="F175" s="18">
        <f>E175* 0.557228915662651</f>
        <v>0</v>
      </c>
      <c r="G175" s="18">
        <f>E175* 0.390562248995984</f>
        <v>0</v>
      </c>
      <c r="H175" s="18">
        <f>E175* 0.0522088353413655</f>
        <v>0</v>
      </c>
    </row>
    <row r="176" spans="1:8" ht="15.75" hidden="1" customHeight="1" x14ac:dyDescent="0.25">
      <c r="A176" s="20" t="s">
        <v>9</v>
      </c>
      <c r="B176" s="11" t="s">
        <v>45</v>
      </c>
      <c r="C176" s="15"/>
      <c r="D176" s="16" t="s">
        <v>21</v>
      </c>
      <c r="E176" s="17">
        <v>71</v>
      </c>
      <c r="F176" s="18">
        <f>E176* 0.999622470552703</f>
        <v>70.97319540924191</v>
      </c>
      <c r="G176" s="18">
        <f>E176* 0.0000755058894593778</f>
        <v>5.3609181516158242E-3</v>
      </c>
      <c r="H176" s="18">
        <f>E176* 0.000302023557837511</f>
        <v>2.1443672606463279E-2</v>
      </c>
    </row>
    <row r="177" spans="1:8" ht="15.75" hidden="1" customHeight="1" x14ac:dyDescent="0.25">
      <c r="A177" s="20" t="s">
        <v>9</v>
      </c>
      <c r="B177" s="11" t="s">
        <v>45</v>
      </c>
      <c r="C177" s="15"/>
      <c r="D177" s="16" t="s">
        <v>12</v>
      </c>
      <c r="E177" s="17">
        <v>18</v>
      </c>
      <c r="F177" s="18">
        <f>E177* 0.889957698325317</f>
        <v>16.019238569855705</v>
      </c>
      <c r="G177" s="18">
        <f>E177* 0.0573100770701744</f>
        <v>1.0315813872631392</v>
      </c>
      <c r="H177" s="18">
        <f>E177* 0.0526742771049429</f>
        <v>0.94813698788897216</v>
      </c>
    </row>
    <row r="178" spans="1:8" ht="15.75" hidden="1" customHeight="1" x14ac:dyDescent="0.25">
      <c r="A178" s="20" t="s">
        <v>9</v>
      </c>
      <c r="B178" s="9"/>
      <c r="C178" s="8"/>
      <c r="E178" s="19"/>
    </row>
    <row r="179" spans="1:8" ht="15.75" hidden="1" customHeight="1" x14ac:dyDescent="0.25">
      <c r="A179" s="20" t="s">
        <v>9</v>
      </c>
      <c r="B179" s="42" t="s">
        <v>46</v>
      </c>
      <c r="C179" s="12" t="str">
        <f>B179&amp;"_"&amp;A179</f>
        <v>Villa Tomina_Chuquisaca</v>
      </c>
      <c r="E179" s="43">
        <v>386</v>
      </c>
      <c r="F179" s="14">
        <f t="shared" ref="F179:H179" si="23">SUM(F180:F193)</f>
        <v>354.26425953204551</v>
      </c>
      <c r="G179" s="14">
        <f t="shared" si="23"/>
        <v>28.56592765080461</v>
      </c>
      <c r="H179" s="14">
        <f t="shared" si="23"/>
        <v>3.1651594167895674</v>
      </c>
    </row>
    <row r="180" spans="1:8" ht="15.75" hidden="1" customHeight="1" x14ac:dyDescent="0.25">
      <c r="A180" s="20" t="s">
        <v>9</v>
      </c>
      <c r="B180" s="11" t="s">
        <v>46</v>
      </c>
      <c r="C180" s="15"/>
      <c r="D180" s="16" t="s">
        <v>288</v>
      </c>
      <c r="E180" s="17">
        <v>0</v>
      </c>
      <c r="F180" s="20">
        <v>0</v>
      </c>
      <c r="G180" s="20">
        <f>E180</f>
        <v>0</v>
      </c>
      <c r="H180" s="20">
        <v>0</v>
      </c>
    </row>
    <row r="181" spans="1:8" ht="15.75" hidden="1" customHeight="1" x14ac:dyDescent="0.25">
      <c r="A181" s="20" t="s">
        <v>9</v>
      </c>
      <c r="B181" s="11" t="s">
        <v>46</v>
      </c>
      <c r="C181" s="15"/>
      <c r="D181" s="16" t="s">
        <v>15</v>
      </c>
      <c r="E181" s="17">
        <v>3</v>
      </c>
      <c r="F181" s="18">
        <f>E181* 0.962408869987849</f>
        <v>2.8872266099635473</v>
      </c>
      <c r="G181" s="18">
        <f>E181* 0.00425273390036452</f>
        <v>1.2758201701093558E-2</v>
      </c>
      <c r="H181" s="18">
        <f>E181* 0.0333383961117862</f>
        <v>0.10001518833535859</v>
      </c>
    </row>
    <row r="182" spans="1:8" ht="15.75" hidden="1" customHeight="1" x14ac:dyDescent="0.25">
      <c r="A182" s="20" t="s">
        <v>9</v>
      </c>
      <c r="B182" s="11" t="s">
        <v>46</v>
      </c>
      <c r="C182" s="15"/>
      <c r="D182" s="16" t="s">
        <v>286</v>
      </c>
      <c r="E182" s="17">
        <v>1</v>
      </c>
      <c r="F182" s="18">
        <f>E182* 0.03</f>
        <v>0.03</v>
      </c>
      <c r="G182" s="18">
        <f>E182* 0.97</f>
        <v>0.97</v>
      </c>
      <c r="H182" s="20">
        <v>0</v>
      </c>
    </row>
    <row r="183" spans="1:8" ht="15.75" hidden="1" customHeight="1" x14ac:dyDescent="0.25">
      <c r="A183" s="20" t="s">
        <v>9</v>
      </c>
      <c r="B183" s="11" t="s">
        <v>46</v>
      </c>
      <c r="C183" s="15"/>
      <c r="D183" s="16" t="s">
        <v>11</v>
      </c>
      <c r="E183" s="17">
        <v>20</v>
      </c>
      <c r="F183" s="18">
        <f>E183* 0.0664298401420959</f>
        <v>1.3285968028419179</v>
      </c>
      <c r="G183" s="18">
        <f>E183* 0.932326820603908</f>
        <v>18.646536412078159</v>
      </c>
      <c r="H183" s="18">
        <f>E183* 0.00106571936056838</f>
        <v>2.1314387211367601E-2</v>
      </c>
    </row>
    <row r="184" spans="1:8" ht="15.75" hidden="1" customHeight="1" x14ac:dyDescent="0.25">
      <c r="A184" s="20" t="s">
        <v>9</v>
      </c>
      <c r="B184" s="11" t="s">
        <v>46</v>
      </c>
      <c r="C184" s="15"/>
      <c r="D184" s="16" t="s">
        <v>17</v>
      </c>
      <c r="E184" s="17">
        <v>30</v>
      </c>
      <c r="F184" s="18">
        <f>E184* 0.860929374266063</f>
        <v>25.827881227981891</v>
      </c>
      <c r="G184" s="18">
        <f>E184* 0.0811944304646871</f>
        <v>2.4358329139406134</v>
      </c>
      <c r="H184" s="18">
        <f>E184* 0.0578761952692501</f>
        <v>1.7362858580775029</v>
      </c>
    </row>
    <row r="185" spans="1:8" ht="15.75" hidden="1" customHeight="1" x14ac:dyDescent="0.25">
      <c r="A185" s="20" t="s">
        <v>9</v>
      </c>
      <c r="B185" s="11" t="s">
        <v>46</v>
      </c>
      <c r="C185" s="15"/>
      <c r="D185" s="16" t="s">
        <v>31</v>
      </c>
      <c r="E185" s="17">
        <v>1</v>
      </c>
      <c r="F185" s="18">
        <f>E185* 0.935483870967742</f>
        <v>0.93548387096774199</v>
      </c>
      <c r="G185" s="18">
        <f>E185* 0.0403225806451613</f>
        <v>4.0322580645161303E-2</v>
      </c>
      <c r="H185" s="18">
        <f>E185* 0.0241935483870968</f>
        <v>2.4193548387096801E-2</v>
      </c>
    </row>
    <row r="186" spans="1:8" ht="15.75" hidden="1" customHeight="1" x14ac:dyDescent="0.25">
      <c r="A186" s="20" t="s">
        <v>9</v>
      </c>
      <c r="B186" s="11" t="s">
        <v>46</v>
      </c>
      <c r="C186" s="15"/>
      <c r="D186" s="16" t="s">
        <v>18</v>
      </c>
      <c r="E186" s="17">
        <v>5</v>
      </c>
      <c r="F186" s="18">
        <f>E186* 0.949854952341484</f>
        <v>4.7492747617074196</v>
      </c>
      <c r="G186" s="18">
        <f>E186* 0.0439287194363862</f>
        <v>0.21964359718193102</v>
      </c>
      <c r="H186" s="18">
        <f>E186* 0.00621632822213013</f>
        <v>3.1081641110650652E-2</v>
      </c>
    </row>
    <row r="187" spans="1:8" ht="15.75" hidden="1" customHeight="1" x14ac:dyDescent="0.25">
      <c r="A187" s="20" t="s">
        <v>9</v>
      </c>
      <c r="B187" s="11" t="s">
        <v>46</v>
      </c>
      <c r="C187" s="15"/>
      <c r="D187" s="16" t="s">
        <v>19</v>
      </c>
      <c r="E187" s="17">
        <v>2</v>
      </c>
      <c r="F187" s="18">
        <f>E187* 0.0187085093542547</f>
        <v>3.74170187085094E-2</v>
      </c>
      <c r="G187" s="18">
        <f>E187* 0.978877489438745</f>
        <v>1.9577549788774899</v>
      </c>
      <c r="H187" s="18">
        <f>E187* 0.0024140012070006</f>
        <v>4.8280024140012002E-3</v>
      </c>
    </row>
    <row r="188" spans="1:8" ht="15.75" hidden="1" customHeight="1" x14ac:dyDescent="0.25">
      <c r="A188" s="20" t="s">
        <v>9</v>
      </c>
      <c r="B188" s="11" t="s">
        <v>46</v>
      </c>
      <c r="C188" s="15"/>
      <c r="D188" s="16" t="s">
        <v>20</v>
      </c>
      <c r="E188" s="17">
        <v>3</v>
      </c>
      <c r="F188" s="18">
        <f>E188* 0.557228915662651</f>
        <v>1.6716867469879531</v>
      </c>
      <c r="G188" s="18">
        <f>E188* 0.390562248995984</f>
        <v>1.1716867469879522</v>
      </c>
      <c r="H188" s="18">
        <f>E188* 0.0522088353413655</f>
        <v>0.1566265060240965</v>
      </c>
    </row>
    <row r="189" spans="1:8" ht="15.75" hidden="1" customHeight="1" x14ac:dyDescent="0.25">
      <c r="A189" s="20" t="s">
        <v>9</v>
      </c>
      <c r="B189" s="11" t="s">
        <v>46</v>
      </c>
      <c r="C189" s="15"/>
      <c r="D189" s="16" t="s">
        <v>21</v>
      </c>
      <c r="E189" s="17">
        <v>298</v>
      </c>
      <c r="F189" s="18">
        <f>E189* 0.999622470552703</f>
        <v>297.8874962247055</v>
      </c>
      <c r="G189" s="18">
        <f>E189* 0.0000755058894593778</f>
        <v>2.2500755058894584E-2</v>
      </c>
      <c r="H189" s="18">
        <f>E189* 0.000302023557837511</f>
        <v>9.0003020235578282E-2</v>
      </c>
    </row>
    <row r="190" spans="1:8" ht="15.75" hidden="1" customHeight="1" x14ac:dyDescent="0.25">
      <c r="A190" s="20" t="s">
        <v>9</v>
      </c>
      <c r="B190" s="11" t="s">
        <v>46</v>
      </c>
      <c r="C190" s="15"/>
      <c r="D190" s="16" t="s">
        <v>36</v>
      </c>
      <c r="E190" s="17">
        <v>2</v>
      </c>
      <c r="F190" s="20">
        <f>E190</f>
        <v>2</v>
      </c>
      <c r="G190" s="20">
        <v>0</v>
      </c>
      <c r="H190" s="20">
        <v>0</v>
      </c>
    </row>
    <row r="191" spans="1:8" ht="15.75" hidden="1" customHeight="1" x14ac:dyDescent="0.25">
      <c r="A191" s="20" t="s">
        <v>9</v>
      </c>
      <c r="B191" s="11" t="s">
        <v>46</v>
      </c>
      <c r="C191" s="15"/>
      <c r="D191" s="16" t="s">
        <v>37</v>
      </c>
      <c r="E191" s="17">
        <v>1</v>
      </c>
      <c r="F191" s="20">
        <v>0</v>
      </c>
      <c r="G191" s="20">
        <f t="shared" ref="G191:G192" si="24">E191</f>
        <v>1</v>
      </c>
      <c r="H191" s="20">
        <v>0</v>
      </c>
    </row>
    <row r="192" spans="1:8" ht="15.75" hidden="1" customHeight="1" x14ac:dyDescent="0.25">
      <c r="A192" s="20" t="s">
        <v>9</v>
      </c>
      <c r="B192" s="11" t="s">
        <v>46</v>
      </c>
      <c r="C192" s="15"/>
      <c r="D192" s="16" t="s">
        <v>28</v>
      </c>
      <c r="E192" s="17">
        <v>1</v>
      </c>
      <c r="F192" s="20">
        <v>0</v>
      </c>
      <c r="G192" s="20">
        <f t="shared" si="24"/>
        <v>1</v>
      </c>
      <c r="H192" s="20">
        <v>0</v>
      </c>
    </row>
    <row r="193" spans="1:8" ht="15.75" hidden="1" customHeight="1" x14ac:dyDescent="0.25">
      <c r="A193" s="20" t="s">
        <v>9</v>
      </c>
      <c r="B193" s="11" t="s">
        <v>46</v>
      </c>
      <c r="C193" s="15"/>
      <c r="D193" s="16" t="s">
        <v>12</v>
      </c>
      <c r="E193" s="17">
        <v>19</v>
      </c>
      <c r="F193" s="18">
        <f>E193* 0.889957698325317</f>
        <v>16.909196268181024</v>
      </c>
      <c r="G193" s="18">
        <f>E193* 0.0573100770701744</f>
        <v>1.0888914643333136</v>
      </c>
      <c r="H193" s="18">
        <f>E193* 0.0526742771049429</f>
        <v>1.0008112649939152</v>
      </c>
    </row>
    <row r="194" spans="1:8" ht="15.75" hidden="1" customHeight="1" x14ac:dyDescent="0.25">
      <c r="A194" s="20" t="s">
        <v>9</v>
      </c>
      <c r="B194" s="16"/>
      <c r="C194" s="21"/>
      <c r="E194" s="46"/>
    </row>
    <row r="195" spans="1:8" ht="15.75" hidden="1" customHeight="1" x14ac:dyDescent="0.25">
      <c r="A195" s="20" t="s">
        <v>9</v>
      </c>
      <c r="B195" s="42" t="s">
        <v>47</v>
      </c>
      <c r="C195" s="12" t="str">
        <f>B195&amp;"_"&amp;A195</f>
        <v>Villa Vaca Guzmán (Muyupampa)_Chuquisaca</v>
      </c>
      <c r="E195" s="43">
        <v>9</v>
      </c>
      <c r="F195" s="14">
        <f t="shared" ref="F195:H195" si="25">SUM(F196:F199)</f>
        <v>6.3189014439869267</v>
      </c>
      <c r="G195" s="14">
        <f t="shared" si="25"/>
        <v>2.3083042511072778</v>
      </c>
      <c r="H195" s="14">
        <f t="shared" si="25"/>
        <v>0.37232317011980914</v>
      </c>
    </row>
    <row r="196" spans="1:8" ht="15.75" hidden="1" customHeight="1" x14ac:dyDescent="0.25">
      <c r="A196" s="20" t="s">
        <v>9</v>
      </c>
      <c r="B196" s="11" t="s">
        <v>47</v>
      </c>
      <c r="C196" s="15"/>
      <c r="D196" s="16" t="s">
        <v>15</v>
      </c>
      <c r="E196" s="17">
        <v>1</v>
      </c>
      <c r="F196" s="18">
        <f>E196* 0.962408869987849</f>
        <v>0.96240886998784902</v>
      </c>
      <c r="G196" s="18">
        <f>E196* 0.00425273390036452</f>
        <v>4.2527339003645198E-3</v>
      </c>
      <c r="H196" s="18">
        <f>E196* 0.0333383961117862</f>
        <v>3.3338396111786198E-2</v>
      </c>
    </row>
    <row r="197" spans="1:8" ht="15.75" hidden="1" customHeight="1" x14ac:dyDescent="0.25">
      <c r="A197" s="20" t="s">
        <v>9</v>
      </c>
      <c r="B197" s="11" t="s">
        <v>47</v>
      </c>
      <c r="C197" s="15"/>
      <c r="D197" s="16" t="s">
        <v>11</v>
      </c>
      <c r="E197" s="17">
        <v>2</v>
      </c>
      <c r="F197" s="18">
        <f>E197* 0.0664298401420959</f>
        <v>0.13285968028419179</v>
      </c>
      <c r="G197" s="18">
        <f>E197* 0.932326820603908</f>
        <v>1.8646536412078161</v>
      </c>
      <c r="H197" s="18">
        <f>E197* 0.00106571936056838</f>
        <v>2.1314387211367599E-3</v>
      </c>
    </row>
    <row r="198" spans="1:8" ht="15.75" hidden="1" customHeight="1" x14ac:dyDescent="0.25">
      <c r="A198" s="20" t="s">
        <v>9</v>
      </c>
      <c r="B198" s="11" t="s">
        <v>47</v>
      </c>
      <c r="C198" s="15"/>
      <c r="D198" s="16" t="s">
        <v>17</v>
      </c>
      <c r="E198" s="17">
        <v>4</v>
      </c>
      <c r="F198" s="18">
        <f>E198* 0.860929374266063</f>
        <v>3.4437174970642519</v>
      </c>
      <c r="G198" s="18">
        <f>E198* 0.0811944304646871</f>
        <v>0.32477772185874842</v>
      </c>
      <c r="H198" s="18">
        <f>E198* 0.0578761952692501</f>
        <v>0.2315047810770004</v>
      </c>
    </row>
    <row r="199" spans="1:8" ht="15.75" hidden="1" customHeight="1" x14ac:dyDescent="0.25">
      <c r="A199" s="20" t="s">
        <v>9</v>
      </c>
      <c r="B199" s="11" t="s">
        <v>47</v>
      </c>
      <c r="C199" s="15"/>
      <c r="D199" s="16" t="s">
        <v>12</v>
      </c>
      <c r="E199" s="17">
        <v>2</v>
      </c>
      <c r="F199" s="18">
        <f>E199* 0.889957698325317</f>
        <v>1.779915396650634</v>
      </c>
      <c r="G199" s="18">
        <f>E199* 0.0573100770701744</f>
        <v>0.1146201541403488</v>
      </c>
      <c r="H199" s="18">
        <f>E199* 0.0526742771049429</f>
        <v>0.1053485542098858</v>
      </c>
    </row>
    <row r="200" spans="1:8" ht="15.75" hidden="1" customHeight="1" x14ac:dyDescent="0.25">
      <c r="A200" s="20" t="s">
        <v>9</v>
      </c>
      <c r="B200" s="9"/>
      <c r="C200" s="8"/>
      <c r="E200" s="19"/>
    </row>
    <row r="201" spans="1:8" ht="15.75" hidden="1" customHeight="1" x14ac:dyDescent="0.25">
      <c r="A201" s="20" t="s">
        <v>9</v>
      </c>
      <c r="B201" s="42" t="s">
        <v>48</v>
      </c>
      <c r="C201" s="12" t="str">
        <f>B201&amp;"_"&amp;A201</f>
        <v>Villa Zudáñez (Tacopaya)_Chuquisaca</v>
      </c>
      <c r="E201" s="45">
        <v>1278</v>
      </c>
      <c r="F201" s="14">
        <f t="shared" ref="F201:H201" si="26">SUM(F202:F213)</f>
        <v>1253.8560392953241</v>
      </c>
      <c r="G201" s="14">
        <f t="shared" si="26"/>
        <v>19.95688022156223</v>
      </c>
      <c r="H201" s="14">
        <f t="shared" si="26"/>
        <v>4.1832181741948702</v>
      </c>
    </row>
    <row r="202" spans="1:8" ht="15.75" hidden="1" customHeight="1" x14ac:dyDescent="0.25">
      <c r="A202" s="20" t="s">
        <v>9</v>
      </c>
      <c r="B202" s="11" t="s">
        <v>48</v>
      </c>
      <c r="C202" s="15"/>
      <c r="D202" s="16" t="s">
        <v>288</v>
      </c>
      <c r="E202" s="17">
        <v>0</v>
      </c>
      <c r="F202" s="20">
        <v>0</v>
      </c>
      <c r="G202" s="20">
        <f>E202</f>
        <v>0</v>
      </c>
      <c r="H202" s="20">
        <v>0</v>
      </c>
    </row>
    <row r="203" spans="1:8" ht="15.75" hidden="1" customHeight="1" x14ac:dyDescent="0.25">
      <c r="A203" s="20" t="s">
        <v>9</v>
      </c>
      <c r="B203" s="11" t="s">
        <v>48</v>
      </c>
      <c r="C203" s="15"/>
      <c r="D203" s="16" t="s">
        <v>15</v>
      </c>
      <c r="E203" s="17">
        <v>14</v>
      </c>
      <c r="F203" s="18">
        <f>E203* 0.962408869987849</f>
        <v>13.473724179829887</v>
      </c>
      <c r="G203" s="18">
        <f>E203* 0.00425273390036452</f>
        <v>5.9538274605103275E-2</v>
      </c>
      <c r="H203" s="18">
        <f>E203* 0.0333383961117862</f>
        <v>0.4667375455650068</v>
      </c>
    </row>
    <row r="204" spans="1:8" ht="15.75" hidden="1" customHeight="1" x14ac:dyDescent="0.25">
      <c r="A204" s="20" t="s">
        <v>9</v>
      </c>
      <c r="B204" s="11" t="s">
        <v>48</v>
      </c>
      <c r="C204" s="15"/>
      <c r="D204" s="16" t="s">
        <v>286</v>
      </c>
      <c r="E204" s="17">
        <v>2</v>
      </c>
      <c r="F204" s="18">
        <f>E204* 0.03</f>
        <v>0.06</v>
      </c>
      <c r="G204" s="18">
        <f>E204* 0.97</f>
        <v>1.94</v>
      </c>
      <c r="H204" s="20">
        <v>0</v>
      </c>
    </row>
    <row r="205" spans="1:8" ht="15.75" hidden="1" customHeight="1" x14ac:dyDescent="0.25">
      <c r="A205" s="20" t="s">
        <v>9</v>
      </c>
      <c r="B205" s="11" t="s">
        <v>48</v>
      </c>
      <c r="C205" s="15"/>
      <c r="D205" s="16" t="s">
        <v>11</v>
      </c>
      <c r="E205" s="17">
        <v>10</v>
      </c>
      <c r="F205" s="18">
        <f>E205* 0.0664298401420959</f>
        <v>0.66429840142095897</v>
      </c>
      <c r="G205" s="18">
        <f>E205* 0.932326820603908</f>
        <v>9.3232682060390797</v>
      </c>
      <c r="H205" s="18">
        <f>E205* 0.00106571936056838</f>
        <v>1.0657193605683801E-2</v>
      </c>
    </row>
    <row r="206" spans="1:8" ht="15.75" hidden="1" customHeight="1" x14ac:dyDescent="0.25">
      <c r="A206" s="20" t="s">
        <v>9</v>
      </c>
      <c r="B206" s="11" t="s">
        <v>48</v>
      </c>
      <c r="C206" s="15"/>
      <c r="D206" s="16" t="s">
        <v>17</v>
      </c>
      <c r="E206" s="17">
        <v>18</v>
      </c>
      <c r="F206" s="18">
        <f>E206* 0.860929374266063</f>
        <v>15.496728736789134</v>
      </c>
      <c r="G206" s="18">
        <f>E206* 0.0811944304646871</f>
        <v>1.4614997483643679</v>
      </c>
      <c r="H206" s="18">
        <f>E206* 0.0578761952692501</f>
        <v>1.0417715148465019</v>
      </c>
    </row>
    <row r="207" spans="1:8" ht="15.75" hidden="1" customHeight="1" x14ac:dyDescent="0.25">
      <c r="A207" s="20" t="s">
        <v>9</v>
      </c>
      <c r="B207" s="11" t="s">
        <v>48</v>
      </c>
      <c r="C207" s="15"/>
      <c r="D207" s="16" t="s">
        <v>18</v>
      </c>
      <c r="E207" s="17">
        <v>7</v>
      </c>
      <c r="F207" s="18">
        <f>E207* 0.949854952341484</f>
        <v>6.6489846663903878</v>
      </c>
      <c r="G207" s="18">
        <f>E207* 0.0439287194363862</f>
        <v>0.30750103605470341</v>
      </c>
      <c r="H207" s="18">
        <f>E207* 0.00621632822213013</f>
        <v>4.3514297554910916E-2</v>
      </c>
    </row>
    <row r="208" spans="1:8" ht="15.75" hidden="1" customHeight="1" x14ac:dyDescent="0.25">
      <c r="A208" s="20" t="s">
        <v>9</v>
      </c>
      <c r="B208" s="11" t="s">
        <v>48</v>
      </c>
      <c r="C208" s="15"/>
      <c r="D208" s="16" t="s">
        <v>19</v>
      </c>
      <c r="E208" s="17">
        <v>1</v>
      </c>
      <c r="F208" s="18">
        <f>E208* 0.0187085093542547</f>
        <v>1.87085093542547E-2</v>
      </c>
      <c r="G208" s="18">
        <f>E208* 0.978877489438745</f>
        <v>0.97887748943874497</v>
      </c>
      <c r="H208" s="18">
        <f>E208* 0.0024140012070006</f>
        <v>2.4140012070006001E-3</v>
      </c>
    </row>
    <row r="209" spans="1:8" ht="15.75" hidden="1" customHeight="1" x14ac:dyDescent="0.25">
      <c r="A209" s="20" t="s">
        <v>9</v>
      </c>
      <c r="B209" s="11" t="s">
        <v>48</v>
      </c>
      <c r="C209" s="15"/>
      <c r="D209" s="16" t="s">
        <v>20</v>
      </c>
      <c r="E209" s="17">
        <v>7</v>
      </c>
      <c r="F209" s="18">
        <f>E209* 0.557228915662651</f>
        <v>3.900602409638557</v>
      </c>
      <c r="G209" s="18">
        <f>E209* 0.390562248995984</f>
        <v>2.7339357429718882</v>
      </c>
      <c r="H209" s="18">
        <f>E209* 0.0522088353413655</f>
        <v>0.3654618473895585</v>
      </c>
    </row>
    <row r="210" spans="1:8" ht="15.75" hidden="1" customHeight="1" x14ac:dyDescent="0.25">
      <c r="A210" s="20" t="s">
        <v>9</v>
      </c>
      <c r="B210" s="11" t="s">
        <v>48</v>
      </c>
      <c r="C210" s="15"/>
      <c r="D210" s="16" t="s">
        <v>21</v>
      </c>
      <c r="E210" s="23">
        <v>1180</v>
      </c>
      <c r="F210" s="18">
        <f>E210* 0.999622470552703</f>
        <v>1179.5545152521895</v>
      </c>
      <c r="G210" s="18">
        <f>E210* 0.0000755058894593778</f>
        <v>8.9096949562065805E-2</v>
      </c>
      <c r="H210" s="18">
        <f>E210* 0.000302023557837511</f>
        <v>0.356387798248263</v>
      </c>
    </row>
    <row r="211" spans="1:8" ht="15.75" hidden="1" customHeight="1" x14ac:dyDescent="0.25">
      <c r="A211" s="20" t="s">
        <v>9</v>
      </c>
      <c r="B211" s="11" t="s">
        <v>48</v>
      </c>
      <c r="C211" s="15"/>
      <c r="D211" s="16" t="s">
        <v>36</v>
      </c>
      <c r="E211" s="17">
        <v>2</v>
      </c>
      <c r="F211" s="20">
        <f>E211</f>
        <v>2</v>
      </c>
      <c r="G211" s="20">
        <v>0</v>
      </c>
      <c r="H211" s="20">
        <v>0</v>
      </c>
    </row>
    <row r="212" spans="1:8" ht="15.75" hidden="1" customHeight="1" x14ac:dyDescent="0.25">
      <c r="A212" s="20" t="s">
        <v>9</v>
      </c>
      <c r="B212" s="11" t="s">
        <v>48</v>
      </c>
      <c r="C212" s="15"/>
      <c r="D212" s="16" t="s">
        <v>28</v>
      </c>
      <c r="E212" s="17">
        <v>1</v>
      </c>
      <c r="F212" s="20">
        <v>0</v>
      </c>
      <c r="G212" s="20">
        <f>E212</f>
        <v>1</v>
      </c>
      <c r="H212" s="20">
        <v>0</v>
      </c>
    </row>
    <row r="213" spans="1:8" ht="15.75" hidden="1" customHeight="1" x14ac:dyDescent="0.25">
      <c r="A213" s="20" t="s">
        <v>9</v>
      </c>
      <c r="B213" s="11" t="s">
        <v>48</v>
      </c>
      <c r="C213" s="15"/>
      <c r="D213" s="16" t="s">
        <v>12</v>
      </c>
      <c r="E213" s="17">
        <v>36</v>
      </c>
      <c r="F213" s="18">
        <f>E213* 0.889957698325317</f>
        <v>32.038477139711411</v>
      </c>
      <c r="G213" s="18">
        <f>E213* 0.0573100770701744</f>
        <v>2.0631627745262784</v>
      </c>
      <c r="H213" s="18">
        <f>E213* 0.0526742771049429</f>
        <v>1.8962739757779443</v>
      </c>
    </row>
    <row r="214" spans="1:8" ht="15.75" hidden="1" customHeight="1" x14ac:dyDescent="0.25">
      <c r="A214" s="20" t="s">
        <v>9</v>
      </c>
      <c r="B214" s="9"/>
      <c r="C214" s="8"/>
      <c r="E214" s="19"/>
    </row>
    <row r="215" spans="1:8" ht="15.75" hidden="1" customHeight="1" x14ac:dyDescent="0.25">
      <c r="A215" s="20" t="s">
        <v>9</v>
      </c>
      <c r="B215" s="42" t="s">
        <v>49</v>
      </c>
      <c r="C215" s="12" t="str">
        <f>B215&amp;"_"&amp;A215</f>
        <v>Yamparáez_Chuquisaca</v>
      </c>
      <c r="E215" s="43">
        <v>238</v>
      </c>
      <c r="F215" s="14">
        <f t="shared" ref="F215:H215" si="27">SUM(F216:F228)</f>
        <v>178.08948583926147</v>
      </c>
      <c r="G215" s="14">
        <f t="shared" si="27"/>
        <v>52.538932356268951</v>
      </c>
      <c r="H215" s="14">
        <f t="shared" si="27"/>
        <v>7.3644908317327893</v>
      </c>
    </row>
    <row r="216" spans="1:8" ht="15.75" hidden="1" customHeight="1" x14ac:dyDescent="0.25">
      <c r="A216" s="20" t="s">
        <v>9</v>
      </c>
      <c r="B216" s="11" t="s">
        <v>49</v>
      </c>
      <c r="C216" s="15"/>
      <c r="D216" s="16" t="s">
        <v>288</v>
      </c>
      <c r="E216" s="17">
        <v>0</v>
      </c>
      <c r="F216" s="20">
        <v>0</v>
      </c>
      <c r="G216" s="20">
        <f>E216</f>
        <v>0</v>
      </c>
      <c r="H216" s="20">
        <v>0</v>
      </c>
    </row>
    <row r="217" spans="1:8" ht="15.75" hidden="1" customHeight="1" x14ac:dyDescent="0.25">
      <c r="A217" s="20" t="s">
        <v>9</v>
      </c>
      <c r="B217" s="11" t="s">
        <v>49</v>
      </c>
      <c r="C217" s="15"/>
      <c r="D217" s="16" t="s">
        <v>15</v>
      </c>
      <c r="E217" s="17">
        <v>47</v>
      </c>
      <c r="F217" s="18">
        <f>E217* 0.962408869987849</f>
        <v>45.233216889428903</v>
      </c>
      <c r="G217" s="18">
        <f>E217* 0.00425273390036452</f>
        <v>0.19987849331713242</v>
      </c>
      <c r="H217" s="18">
        <f>E217* 0.0333383961117862</f>
        <v>1.5669046172539514</v>
      </c>
    </row>
    <row r="218" spans="1:8" ht="15.75" hidden="1" customHeight="1" x14ac:dyDescent="0.25">
      <c r="A218" s="20" t="s">
        <v>9</v>
      </c>
      <c r="B218" s="11" t="s">
        <v>49</v>
      </c>
      <c r="C218" s="15"/>
      <c r="D218" s="16" t="s">
        <v>286</v>
      </c>
      <c r="E218" s="17">
        <v>2</v>
      </c>
      <c r="F218" s="18">
        <f>E218* 0.03</f>
        <v>0.06</v>
      </c>
      <c r="G218" s="18">
        <f>E218* 0.97</f>
        <v>1.94</v>
      </c>
      <c r="H218" s="20">
        <v>0</v>
      </c>
    </row>
    <row r="219" spans="1:8" ht="15.75" hidden="1" customHeight="1" x14ac:dyDescent="0.25">
      <c r="A219" s="20" t="s">
        <v>9</v>
      </c>
      <c r="B219" s="11" t="s">
        <v>49</v>
      </c>
      <c r="C219" s="15"/>
      <c r="D219" s="16" t="s">
        <v>11</v>
      </c>
      <c r="E219" s="17">
        <v>21</v>
      </c>
      <c r="F219" s="18">
        <f>E219* 0.0664298401420959</f>
        <v>1.3950266429840137</v>
      </c>
      <c r="G219" s="18">
        <f>E219* 0.932326820603908</f>
        <v>19.578863232682068</v>
      </c>
      <c r="H219" s="18">
        <f>E219* 0.00106571936056838</f>
        <v>2.2380106571935978E-2</v>
      </c>
    </row>
    <row r="220" spans="1:8" ht="15.75" hidden="1" customHeight="1" x14ac:dyDescent="0.25">
      <c r="A220" s="20" t="s">
        <v>9</v>
      </c>
      <c r="B220" s="11" t="s">
        <v>49</v>
      </c>
      <c r="C220" s="15"/>
      <c r="D220" s="16" t="s">
        <v>17</v>
      </c>
      <c r="E220" s="17">
        <v>29</v>
      </c>
      <c r="F220" s="18">
        <f>E220* 0.860929374266063</f>
        <v>24.966951853715827</v>
      </c>
      <c r="G220" s="18">
        <f>E220* 0.0811944304646871</f>
        <v>2.354638483475926</v>
      </c>
      <c r="H220" s="18">
        <f>E220* 0.0578761952692501</f>
        <v>1.678409662808253</v>
      </c>
    </row>
    <row r="221" spans="1:8" ht="15.75" hidden="1" customHeight="1" x14ac:dyDescent="0.25">
      <c r="A221" s="20" t="s">
        <v>9</v>
      </c>
      <c r="B221" s="11" t="s">
        <v>49</v>
      </c>
      <c r="C221" s="15"/>
      <c r="D221" s="16" t="s">
        <v>31</v>
      </c>
      <c r="E221" s="17">
        <v>2</v>
      </c>
      <c r="F221" s="18">
        <f>E221* 0.935483870967742</f>
        <v>1.870967741935484</v>
      </c>
      <c r="G221" s="18">
        <f>E221* 0.0403225806451613</f>
        <v>8.0645161290322606E-2</v>
      </c>
      <c r="H221" s="18">
        <f>E221* 0.0241935483870968</f>
        <v>4.8387096774193603E-2</v>
      </c>
    </row>
    <row r="222" spans="1:8" ht="15.75" hidden="1" customHeight="1" x14ac:dyDescent="0.25">
      <c r="A222" s="20" t="s">
        <v>9</v>
      </c>
      <c r="B222" s="11" t="s">
        <v>49</v>
      </c>
      <c r="C222" s="15"/>
      <c r="D222" s="16" t="s">
        <v>18</v>
      </c>
      <c r="E222" s="17">
        <v>4</v>
      </c>
      <c r="F222" s="18">
        <f>E222* 0.949854952341484</f>
        <v>3.7994198093659359</v>
      </c>
      <c r="G222" s="18">
        <f>E222* 0.0439287194363862</f>
        <v>0.17571487774554481</v>
      </c>
      <c r="H222" s="18">
        <f>E222* 0.00621632822213013</f>
        <v>2.4865312888520522E-2</v>
      </c>
    </row>
    <row r="223" spans="1:8" ht="15.75" hidden="1" customHeight="1" x14ac:dyDescent="0.25">
      <c r="A223" s="20" t="s">
        <v>9</v>
      </c>
      <c r="B223" s="11" t="s">
        <v>49</v>
      </c>
      <c r="C223" s="15"/>
      <c r="D223" s="16" t="s">
        <v>55</v>
      </c>
      <c r="E223" s="17">
        <v>7</v>
      </c>
      <c r="F223" s="20">
        <v>0</v>
      </c>
      <c r="G223" s="20">
        <f>E223</f>
        <v>7</v>
      </c>
      <c r="H223" s="20">
        <v>0</v>
      </c>
    </row>
    <row r="224" spans="1:8" ht="15.75" hidden="1" customHeight="1" x14ac:dyDescent="0.25">
      <c r="A224" s="20" t="s">
        <v>9</v>
      </c>
      <c r="B224" s="11" t="s">
        <v>49</v>
      </c>
      <c r="C224" s="15"/>
      <c r="D224" s="16" t="s">
        <v>19</v>
      </c>
      <c r="E224" s="17">
        <v>7</v>
      </c>
      <c r="F224" s="18">
        <f>E224* 0.0187085093542547</f>
        <v>0.13095956547978291</v>
      </c>
      <c r="G224" s="18">
        <f>E224* 0.978877489438745</f>
        <v>6.8521424260712145</v>
      </c>
      <c r="H224" s="18">
        <f>E224* 0.0024140012070006</f>
        <v>1.6898008449004201E-2</v>
      </c>
    </row>
    <row r="225" spans="1:8" ht="15.75" hidden="1" customHeight="1" x14ac:dyDescent="0.25">
      <c r="A225" s="20" t="s">
        <v>9</v>
      </c>
      <c r="B225" s="11" t="s">
        <v>49</v>
      </c>
      <c r="C225" s="15"/>
      <c r="D225" s="16" t="s">
        <v>20</v>
      </c>
      <c r="E225" s="17">
        <v>18</v>
      </c>
      <c r="F225" s="18">
        <f>E225* 0.557228915662651</f>
        <v>10.030120481927717</v>
      </c>
      <c r="G225" s="18">
        <f>E225* 0.390562248995984</f>
        <v>7.0301204819277121</v>
      </c>
      <c r="H225" s="18">
        <f>E225* 0.0522088353413655</f>
        <v>0.93975903614457901</v>
      </c>
    </row>
    <row r="226" spans="1:8" ht="15.75" hidden="1" customHeight="1" x14ac:dyDescent="0.25">
      <c r="A226" s="20" t="s">
        <v>9</v>
      </c>
      <c r="B226" s="11" t="s">
        <v>49</v>
      </c>
      <c r="C226" s="15"/>
      <c r="D226" s="16" t="s">
        <v>21</v>
      </c>
      <c r="E226" s="17">
        <v>39</v>
      </c>
      <c r="F226" s="18">
        <f>E226* 0.999622470552703</f>
        <v>38.98527635155542</v>
      </c>
      <c r="G226" s="18">
        <f>E226* 0.0000755058894593778</f>
        <v>2.9447296889157345E-3</v>
      </c>
      <c r="H226" s="18">
        <f>E226* 0.000302023557837511</f>
        <v>1.1778918755662929E-2</v>
      </c>
    </row>
    <row r="227" spans="1:8" ht="15.75" hidden="1" customHeight="1" x14ac:dyDescent="0.25">
      <c r="A227" s="20" t="s">
        <v>9</v>
      </c>
      <c r="B227" s="11" t="s">
        <v>49</v>
      </c>
      <c r="C227" s="15"/>
      <c r="D227" s="16" t="s">
        <v>28</v>
      </c>
      <c r="E227" s="17">
        <v>4</v>
      </c>
      <c r="F227" s="20">
        <v>0</v>
      </c>
      <c r="G227" s="20">
        <f>E227</f>
        <v>4</v>
      </c>
      <c r="H227" s="20">
        <v>0</v>
      </c>
    </row>
    <row r="228" spans="1:8" ht="15.75" hidden="1" customHeight="1" x14ac:dyDescent="0.25">
      <c r="A228" s="20" t="s">
        <v>9</v>
      </c>
      <c r="B228" s="11" t="s">
        <v>49</v>
      </c>
      <c r="C228" s="15"/>
      <c r="D228" s="16" t="s">
        <v>12</v>
      </c>
      <c r="E228" s="17">
        <v>58</v>
      </c>
      <c r="F228" s="18">
        <f>E228* 0.889957698325317</f>
        <v>51.617546502868386</v>
      </c>
      <c r="G228" s="18">
        <f>E228* 0.0573100770701744</f>
        <v>3.3239844700701151</v>
      </c>
      <c r="H228" s="18">
        <f>E228* 0.0526742771049429</f>
        <v>3.0551080720866883</v>
      </c>
    </row>
    <row r="229" spans="1:8" ht="15.75" hidden="1" customHeight="1" x14ac:dyDescent="0.25">
      <c r="A229" s="20" t="s">
        <v>9</v>
      </c>
      <c r="B229" s="9"/>
      <c r="C229" s="8"/>
      <c r="E229" s="19"/>
    </row>
    <row r="230" spans="1:8" ht="15.75" hidden="1" customHeight="1" x14ac:dyDescent="0.25">
      <c r="A230" s="20" t="s">
        <v>9</v>
      </c>
      <c r="B230" s="42" t="s">
        <v>50</v>
      </c>
      <c r="C230" s="12" t="str">
        <f>B230&amp;"_"&amp;A230</f>
        <v>Yotala_Chuquisaca</v>
      </c>
      <c r="E230" s="43">
        <v>128</v>
      </c>
      <c r="F230" s="14">
        <f t="shared" ref="F230:H230" si="28">SUM(F231:F239)</f>
        <v>92.340633384459053</v>
      </c>
      <c r="G230" s="14">
        <f t="shared" si="28"/>
        <v>31.352949259985039</v>
      </c>
      <c r="H230" s="14">
        <f t="shared" si="28"/>
        <v>4.3016480601964897</v>
      </c>
    </row>
    <row r="231" spans="1:8" ht="15.75" hidden="1" customHeight="1" x14ac:dyDescent="0.25">
      <c r="A231" s="20" t="s">
        <v>9</v>
      </c>
      <c r="B231" s="11" t="s">
        <v>50</v>
      </c>
      <c r="C231" s="15"/>
      <c r="D231" s="16" t="s">
        <v>15</v>
      </c>
      <c r="E231" s="17">
        <v>19</v>
      </c>
      <c r="F231" s="18">
        <f>E231* 0.962408869987849</f>
        <v>18.285768529769133</v>
      </c>
      <c r="G231" s="18">
        <f>E231* 0.00425273390036452</f>
        <v>8.0801944106925871E-2</v>
      </c>
      <c r="H231" s="18">
        <f>E231* 0.0333383961117862</f>
        <v>0.63342952612393777</v>
      </c>
    </row>
    <row r="232" spans="1:8" ht="15.75" hidden="1" customHeight="1" x14ac:dyDescent="0.25">
      <c r="A232" s="20" t="s">
        <v>9</v>
      </c>
      <c r="B232" s="11" t="s">
        <v>50</v>
      </c>
      <c r="C232" s="15"/>
      <c r="D232" s="16" t="s">
        <v>11</v>
      </c>
      <c r="E232" s="17">
        <v>20</v>
      </c>
      <c r="F232" s="18">
        <f>E232* 0.0664298401420959</f>
        <v>1.3285968028419179</v>
      </c>
      <c r="G232" s="18">
        <f>E232* 0.932326820603908</f>
        <v>18.646536412078159</v>
      </c>
      <c r="H232" s="18">
        <f>E232* 0.00106571936056838</f>
        <v>2.1314387211367601E-2</v>
      </c>
    </row>
    <row r="233" spans="1:8" ht="15.75" hidden="1" customHeight="1" x14ac:dyDescent="0.25">
      <c r="A233" s="20" t="s">
        <v>9</v>
      </c>
      <c r="B233" s="11" t="s">
        <v>50</v>
      </c>
      <c r="C233" s="15"/>
      <c r="D233" s="16" t="s">
        <v>17</v>
      </c>
      <c r="E233" s="17">
        <v>27</v>
      </c>
      <c r="F233" s="18">
        <f>E233* 0.860929374266063</f>
        <v>23.245093105183699</v>
      </c>
      <c r="G233" s="18">
        <f>E233* 0.0811944304646871</f>
        <v>2.192249622546552</v>
      </c>
      <c r="H233" s="18">
        <f>E233* 0.0578761952692501</f>
        <v>1.5626572722697527</v>
      </c>
    </row>
    <row r="234" spans="1:8" ht="15.75" hidden="1" customHeight="1" x14ac:dyDescent="0.25">
      <c r="A234" s="20" t="s">
        <v>9</v>
      </c>
      <c r="B234" s="11" t="s">
        <v>50</v>
      </c>
      <c r="C234" s="15"/>
      <c r="D234" s="16" t="s">
        <v>18</v>
      </c>
      <c r="E234" s="17">
        <v>5</v>
      </c>
      <c r="F234" s="18">
        <f>E234* 0.949854952341484</f>
        <v>4.7492747617074196</v>
      </c>
      <c r="G234" s="18">
        <f>E234* 0.0439287194363862</f>
        <v>0.21964359718193102</v>
      </c>
      <c r="H234" s="18">
        <f>E234* 0.00621632822213013</f>
        <v>3.1081641110650652E-2</v>
      </c>
    </row>
    <row r="235" spans="1:8" ht="15.75" hidden="1" customHeight="1" x14ac:dyDescent="0.25">
      <c r="A235" s="20" t="s">
        <v>9</v>
      </c>
      <c r="B235" s="11" t="s">
        <v>50</v>
      </c>
      <c r="C235" s="15"/>
      <c r="D235" s="16" t="s">
        <v>19</v>
      </c>
      <c r="E235" s="17">
        <v>1</v>
      </c>
      <c r="F235" s="18">
        <f>E235* 0.0187085093542547</f>
        <v>1.87085093542547E-2</v>
      </c>
      <c r="G235" s="18">
        <f>E235* 0.978877489438745</f>
        <v>0.97887748943874497</v>
      </c>
      <c r="H235" s="18">
        <f>E235* 0.0024140012070006</f>
        <v>2.4140012070006001E-3</v>
      </c>
    </row>
    <row r="236" spans="1:8" ht="15.75" hidden="1" customHeight="1" x14ac:dyDescent="0.25">
      <c r="A236" s="20" t="s">
        <v>9</v>
      </c>
      <c r="B236" s="11" t="s">
        <v>50</v>
      </c>
      <c r="C236" s="15"/>
      <c r="D236" s="16" t="s">
        <v>20</v>
      </c>
      <c r="E236" s="17">
        <v>18</v>
      </c>
      <c r="F236" s="18">
        <f>E236* 0.557228915662651</f>
        <v>10.030120481927717</v>
      </c>
      <c r="G236" s="18">
        <f>E236* 0.390562248995984</f>
        <v>7.0301204819277121</v>
      </c>
      <c r="H236" s="18">
        <f>E236* 0.0522088353413655</f>
        <v>0.93975903614457901</v>
      </c>
    </row>
    <row r="237" spans="1:8" ht="15.75" hidden="1" customHeight="1" x14ac:dyDescent="0.25">
      <c r="A237" s="20" t="s">
        <v>9</v>
      </c>
      <c r="B237" s="11" t="s">
        <v>50</v>
      </c>
      <c r="C237" s="15"/>
      <c r="D237" s="16" t="s">
        <v>21</v>
      </c>
      <c r="E237" s="17">
        <v>16</v>
      </c>
      <c r="F237" s="18">
        <f>E237* 0.999622470552703</f>
        <v>15.993959528843249</v>
      </c>
      <c r="G237" s="18">
        <f>E237* 0.0000755058894593778</f>
        <v>1.2080942313500449E-3</v>
      </c>
      <c r="H237" s="18">
        <f>E237* 0.000302023557837511</f>
        <v>4.832376925400176E-3</v>
      </c>
    </row>
    <row r="238" spans="1:8" ht="15.75" hidden="1" customHeight="1" x14ac:dyDescent="0.25">
      <c r="A238" s="20" t="s">
        <v>9</v>
      </c>
      <c r="B238" s="11" t="s">
        <v>50</v>
      </c>
      <c r="C238" s="15"/>
      <c r="D238" s="16" t="s">
        <v>28</v>
      </c>
      <c r="E238" s="17">
        <v>1</v>
      </c>
      <c r="F238" s="20">
        <v>0</v>
      </c>
      <c r="G238" s="20">
        <f>E238</f>
        <v>1</v>
      </c>
      <c r="H238" s="20">
        <v>0</v>
      </c>
    </row>
    <row r="239" spans="1:8" ht="15.75" hidden="1" customHeight="1" x14ac:dyDescent="0.25">
      <c r="A239" s="20" t="s">
        <v>9</v>
      </c>
      <c r="B239" s="11" t="s">
        <v>50</v>
      </c>
      <c r="C239" s="15"/>
      <c r="D239" s="25" t="s">
        <v>12</v>
      </c>
      <c r="E239" s="26">
        <v>21</v>
      </c>
      <c r="F239" s="18">
        <f>E239* 0.889957698325317</f>
        <v>18.689111664831657</v>
      </c>
      <c r="G239" s="18">
        <f>E239* 0.0573100770701744</f>
        <v>1.2035116184736625</v>
      </c>
      <c r="H239" s="18">
        <f>E239* 0.0526742771049429</f>
        <v>1.1061598192038009</v>
      </c>
    </row>
    <row r="240" spans="1:8" ht="15.75" hidden="1" customHeight="1" x14ac:dyDescent="0.25">
      <c r="A240" s="20" t="s">
        <v>51</v>
      </c>
      <c r="B240" s="47" t="s">
        <v>52</v>
      </c>
      <c r="C240" s="12" t="str">
        <f>B240&amp;"_"&amp;A240</f>
        <v>Achacachi_La Paz</v>
      </c>
      <c r="D240" s="20"/>
      <c r="E240" s="48">
        <v>2180</v>
      </c>
      <c r="F240" s="14">
        <f t="shared" ref="F240:H240" si="29">SUM(F241:F254)</f>
        <v>1724.5825101615476</v>
      </c>
      <c r="G240" s="14">
        <f t="shared" si="29"/>
        <v>374.03247092285477</v>
      </c>
      <c r="H240" s="14">
        <f t="shared" si="29"/>
        <v>81.28713271793896</v>
      </c>
    </row>
    <row r="241" spans="1:8" ht="15.75" hidden="1" customHeight="1" x14ac:dyDescent="0.25">
      <c r="A241" s="20" t="s">
        <v>51</v>
      </c>
      <c r="B241" s="47" t="s">
        <v>52</v>
      </c>
      <c r="C241" s="49"/>
      <c r="D241" s="29" t="s">
        <v>290</v>
      </c>
      <c r="E241" s="23">
        <v>0</v>
      </c>
      <c r="F241" s="20">
        <v>0</v>
      </c>
      <c r="G241" s="24">
        <f>E241</f>
        <v>0</v>
      </c>
      <c r="H241" s="20">
        <v>0</v>
      </c>
    </row>
    <row r="242" spans="1:8" ht="15.75" hidden="1" customHeight="1" x14ac:dyDescent="0.25">
      <c r="A242" s="20" t="s">
        <v>51</v>
      </c>
      <c r="B242" s="47" t="s">
        <v>52</v>
      </c>
      <c r="C242" s="49"/>
      <c r="D242" s="19" t="s">
        <v>15</v>
      </c>
      <c r="E242" s="23">
        <v>193</v>
      </c>
      <c r="F242" s="18">
        <f>E242* 0.981163265034061</f>
        <v>189.36451015157377</v>
      </c>
      <c r="G242" s="18">
        <f>E242* 0.0027595216829083</f>
        <v>0.53258768480130181</v>
      </c>
      <c r="H242" s="18">
        <f>E242* 0.0160372202151627</f>
        <v>3.0951835015264013</v>
      </c>
    </row>
    <row r="243" spans="1:8" ht="15.75" hidden="1" customHeight="1" x14ac:dyDescent="0.25">
      <c r="A243" s="20" t="s">
        <v>51</v>
      </c>
      <c r="B243" s="47" t="s">
        <v>52</v>
      </c>
      <c r="C243" s="49"/>
      <c r="D243" s="29" t="s">
        <v>291</v>
      </c>
      <c r="E243" s="23">
        <v>16</v>
      </c>
      <c r="F243" s="18">
        <f>E243* 0.142974979378609</f>
        <v>2.2875996700577441</v>
      </c>
      <c r="G243" s="18">
        <f>E243* 0.852350838603245</f>
        <v>13.63761341765192</v>
      </c>
      <c r="H243" s="18">
        <f>E243* 0.00467418201814682</f>
        <v>7.4786912290349117E-2</v>
      </c>
    </row>
    <row r="244" spans="1:8" ht="15.75" hidden="1" customHeight="1" x14ac:dyDescent="0.25">
      <c r="A244" s="20" t="s">
        <v>51</v>
      </c>
      <c r="B244" s="47" t="s">
        <v>52</v>
      </c>
      <c r="C244" s="49"/>
      <c r="D244" s="19" t="s">
        <v>11</v>
      </c>
      <c r="E244" s="23">
        <v>318</v>
      </c>
      <c r="F244" s="18">
        <f>E244* 0.178797409805735</f>
        <v>56.857576318223728</v>
      </c>
      <c r="G244" s="18">
        <f>E244* 0.819278445883441</f>
        <v>260.53054579093424</v>
      </c>
      <c r="H244" s="18">
        <f>E244* 0.00181313598519889</f>
        <v>0.576577243293247</v>
      </c>
    </row>
    <row r="245" spans="1:8" ht="15.75" hidden="1" customHeight="1" x14ac:dyDescent="0.25">
      <c r="A245" s="20" t="s">
        <v>51</v>
      </c>
      <c r="B245" s="47" t="s">
        <v>52</v>
      </c>
      <c r="C245" s="49"/>
      <c r="D245" s="19" t="s">
        <v>17</v>
      </c>
      <c r="E245" s="23">
        <v>191</v>
      </c>
      <c r="F245" s="18">
        <f>E245* 0.916446662218225</f>
        <v>175.04131248368097</v>
      </c>
      <c r="G245" s="18">
        <f>E245* 0.0292436682236212</f>
        <v>5.5855406307116491</v>
      </c>
      <c r="H245" s="18">
        <f>E245* 0.0543096695581537</f>
        <v>10.373146885607357</v>
      </c>
    </row>
    <row r="246" spans="1:8" ht="15.75" hidden="1" customHeight="1" x14ac:dyDescent="0.25">
      <c r="A246" s="20" t="s">
        <v>51</v>
      </c>
      <c r="B246" s="47" t="s">
        <v>52</v>
      </c>
      <c r="C246" s="49"/>
      <c r="D246" s="19" t="s">
        <v>31</v>
      </c>
      <c r="E246" s="23">
        <v>38</v>
      </c>
      <c r="F246" s="18">
        <f>E246* 0.957442434210526</f>
        <v>36.382812499999986</v>
      </c>
      <c r="G246" s="18">
        <f>E246* 0.0158305921052632</f>
        <v>0.60156250000000155</v>
      </c>
      <c r="H246" s="18">
        <f>E246* 0.0263157894736842</f>
        <v>0.99999999999999956</v>
      </c>
    </row>
    <row r="247" spans="1:8" ht="15.75" hidden="1" customHeight="1" x14ac:dyDescent="0.25">
      <c r="A247" s="20" t="s">
        <v>51</v>
      </c>
      <c r="B247" s="47" t="s">
        <v>52</v>
      </c>
      <c r="C247" s="49"/>
      <c r="D247" s="19" t="s">
        <v>18</v>
      </c>
      <c r="E247" s="23">
        <v>53</v>
      </c>
      <c r="F247" s="18">
        <f>E247* 0.983388008654987</f>
        <v>52.119564458714308</v>
      </c>
      <c r="G247" s="18">
        <f>E247* 0.0133314720457877</f>
        <v>0.7065680184267481</v>
      </c>
      <c r="H247" s="18">
        <f>E247* 0.003210721016263</f>
        <v>0.17016821386193901</v>
      </c>
    </row>
    <row r="248" spans="1:8" ht="15.75" hidden="1" customHeight="1" x14ac:dyDescent="0.25">
      <c r="A248" s="20" t="s">
        <v>51</v>
      </c>
      <c r="B248" s="47" t="s">
        <v>52</v>
      </c>
      <c r="C248" s="49"/>
      <c r="D248" s="19" t="s">
        <v>19</v>
      </c>
      <c r="E248" s="23">
        <v>3</v>
      </c>
      <c r="F248" s="18">
        <f>E248* 0.511826182618262</f>
        <v>1.5354785478547859</v>
      </c>
      <c r="G248" s="18">
        <f>E248* 0.476622662266227</f>
        <v>1.429867986798681</v>
      </c>
      <c r="H248" s="18">
        <f>E248* 0.0115511551155116</f>
        <v>3.4653465346534802E-2</v>
      </c>
    </row>
    <row r="249" spans="1:8" ht="15.75" hidden="1" customHeight="1" x14ac:dyDescent="0.25">
      <c r="A249" s="20" t="s">
        <v>51</v>
      </c>
      <c r="B249" s="47" t="s">
        <v>52</v>
      </c>
      <c r="C249" s="49"/>
      <c r="D249" s="19" t="s">
        <v>20</v>
      </c>
      <c r="E249" s="23">
        <v>399</v>
      </c>
      <c r="F249" s="18">
        <f>E249* 0.814615536880747</f>
        <v>325.03159921541805</v>
      </c>
      <c r="G249" s="18">
        <f>E249* 0.0763167839340663</f>
        <v>30.450396789692451</v>
      </c>
      <c r="H249" s="18">
        <f>E249* 0.109013694193014</f>
        <v>43.496463983012589</v>
      </c>
    </row>
    <row r="250" spans="1:8" ht="15.75" hidden="1" customHeight="1" x14ac:dyDescent="0.25">
      <c r="A250" s="20" t="s">
        <v>51</v>
      </c>
      <c r="B250" s="47" t="s">
        <v>52</v>
      </c>
      <c r="C250" s="49"/>
      <c r="D250" s="19" t="s">
        <v>21</v>
      </c>
      <c r="E250" s="23">
        <v>365</v>
      </c>
      <c r="F250" s="18">
        <f>E250* 0.999722052365334</f>
        <v>364.89854911334692</v>
      </c>
      <c r="G250" s="20">
        <v>0</v>
      </c>
      <c r="H250" s="18">
        <f>E250* 0.000277947634665629</f>
        <v>0.10145088665295458</v>
      </c>
    </row>
    <row r="251" spans="1:8" ht="15.75" hidden="1" customHeight="1" x14ac:dyDescent="0.25">
      <c r="A251" s="20" t="s">
        <v>51</v>
      </c>
      <c r="B251" s="47" t="s">
        <v>52</v>
      </c>
      <c r="C251" s="49"/>
      <c r="D251" s="19" t="s">
        <v>292</v>
      </c>
      <c r="E251" s="23">
        <v>3</v>
      </c>
      <c r="F251" s="18">
        <f>E251* 0.999132697311362</f>
        <v>2.9973980919340861</v>
      </c>
      <c r="G251" s="20">
        <v>0</v>
      </c>
      <c r="H251" s="18">
        <f>E251* 0.000867302688638335</f>
        <v>2.6019080659150048E-3</v>
      </c>
    </row>
    <row r="252" spans="1:8" ht="15.75" hidden="1" customHeight="1" x14ac:dyDescent="0.25">
      <c r="A252" s="20" t="s">
        <v>51</v>
      </c>
      <c r="B252" s="47" t="s">
        <v>52</v>
      </c>
      <c r="C252" s="49"/>
      <c r="D252" s="19" t="s">
        <v>37</v>
      </c>
      <c r="E252" s="23">
        <v>1</v>
      </c>
      <c r="F252" s="18">
        <f>E252* 0.0555555555555556</f>
        <v>5.5555555555555601E-2</v>
      </c>
      <c r="G252" s="18">
        <f>E252* 0.944444444444444</f>
        <v>0.94444444444444398</v>
      </c>
      <c r="H252" s="20">
        <v>0</v>
      </c>
    </row>
    <row r="253" spans="1:8" ht="15.75" hidden="1" customHeight="1" x14ac:dyDescent="0.25">
      <c r="A253" s="20" t="s">
        <v>51</v>
      </c>
      <c r="B253" s="47" t="s">
        <v>52</v>
      </c>
      <c r="C253" s="49"/>
      <c r="D253" s="19" t="s">
        <v>28</v>
      </c>
      <c r="E253" s="23">
        <v>40</v>
      </c>
      <c r="F253" s="18">
        <f>E253* 0.00115651503469545</f>
        <v>4.6260601387817998E-2</v>
      </c>
      <c r="G253" s="18">
        <f>E253* 0.998843484965305</f>
        <v>39.9537393986122</v>
      </c>
      <c r="H253" s="20">
        <v>0</v>
      </c>
    </row>
    <row r="254" spans="1:8" ht="15.75" hidden="1" customHeight="1" x14ac:dyDescent="0.25">
      <c r="A254" s="20" t="s">
        <v>51</v>
      </c>
      <c r="B254" s="47" t="s">
        <v>52</v>
      </c>
      <c r="C254" s="49"/>
      <c r="D254" s="19" t="s">
        <v>12</v>
      </c>
      <c r="E254" s="23">
        <v>560</v>
      </c>
      <c r="F254" s="18">
        <f>E254* 0.924936238310357</f>
        <v>517.96429345379988</v>
      </c>
      <c r="G254" s="18">
        <f>E254* 0.0351064361799663</f>
        <v>19.659604260781126</v>
      </c>
      <c r="H254" s="18">
        <f>E254* 0.039932320925503</f>
        <v>22.36209971828168</v>
      </c>
    </row>
    <row r="255" spans="1:8" ht="15.75" hidden="1" customHeight="1" x14ac:dyDescent="0.25">
      <c r="A255" s="20" t="s">
        <v>51</v>
      </c>
      <c r="B255" s="20"/>
      <c r="C255" s="20"/>
      <c r="D255" s="46"/>
      <c r="E255" s="35"/>
    </row>
    <row r="256" spans="1:8" ht="15.75" hidden="1" customHeight="1" x14ac:dyDescent="0.25">
      <c r="A256" s="20" t="s">
        <v>51</v>
      </c>
      <c r="B256" s="47" t="s">
        <v>54</v>
      </c>
      <c r="C256" s="12" t="str">
        <f>B256&amp;"_"&amp;A256</f>
        <v>Achocalla_La Paz</v>
      </c>
      <c r="D256" s="20"/>
      <c r="E256" s="48">
        <v>46310</v>
      </c>
      <c r="F256" s="14">
        <f t="shared" ref="F256:H256" si="30">SUM(F257:F272)</f>
        <v>39371.368729312497</v>
      </c>
      <c r="G256" s="14">
        <f t="shared" si="30"/>
        <v>5070.7412271776629</v>
      </c>
      <c r="H256" s="14">
        <f t="shared" si="30"/>
        <v>1866.2303724329588</v>
      </c>
    </row>
    <row r="257" spans="1:8" ht="15.75" hidden="1" customHeight="1" x14ac:dyDescent="0.25">
      <c r="A257" s="20" t="s">
        <v>51</v>
      </c>
      <c r="B257" s="47" t="s">
        <v>54</v>
      </c>
      <c r="C257" s="49"/>
      <c r="D257" s="29" t="s">
        <v>293</v>
      </c>
      <c r="E257" s="23">
        <v>12</v>
      </c>
      <c r="F257" s="20">
        <v>0</v>
      </c>
      <c r="G257" s="24">
        <f>E257</f>
        <v>12</v>
      </c>
      <c r="H257" s="20">
        <v>0</v>
      </c>
    </row>
    <row r="258" spans="1:8" ht="15.75" hidden="1" customHeight="1" x14ac:dyDescent="0.25">
      <c r="A258" s="20" t="s">
        <v>51</v>
      </c>
      <c r="B258" s="47" t="s">
        <v>54</v>
      </c>
      <c r="C258" s="49"/>
      <c r="D258" s="19" t="s">
        <v>15</v>
      </c>
      <c r="E258" s="23">
        <v>3086</v>
      </c>
      <c r="F258" s="18">
        <f>E258* 0.981163265034061</f>
        <v>3027.8698358951124</v>
      </c>
      <c r="G258" s="18">
        <f>E258* 0.0027595216829083</f>
        <v>8.5158839134550135</v>
      </c>
      <c r="H258" s="18">
        <f>E258* 0.0160372202151627</f>
        <v>49.4908615839921</v>
      </c>
    </row>
    <row r="259" spans="1:8" ht="15.75" hidden="1" customHeight="1" x14ac:dyDescent="0.25">
      <c r="A259" s="20" t="s">
        <v>51</v>
      </c>
      <c r="B259" s="47" t="s">
        <v>54</v>
      </c>
      <c r="C259" s="49"/>
      <c r="D259" s="29" t="s">
        <v>294</v>
      </c>
      <c r="E259" s="23">
        <v>84</v>
      </c>
      <c r="F259" s="18">
        <f>E259* 0.142974979378609</f>
        <v>12.009898267803157</v>
      </c>
      <c r="G259" s="18">
        <f>E259* 0.852350838603245</f>
        <v>71.597470442672574</v>
      </c>
      <c r="H259" s="18">
        <f>E259* 0.00467418201814682</f>
        <v>0.39263128952433285</v>
      </c>
    </row>
    <row r="260" spans="1:8" ht="15.75" hidden="1" customHeight="1" x14ac:dyDescent="0.25">
      <c r="A260" s="20" t="s">
        <v>51</v>
      </c>
      <c r="B260" s="47" t="s">
        <v>54</v>
      </c>
      <c r="C260" s="49"/>
      <c r="D260" s="19" t="s">
        <v>11</v>
      </c>
      <c r="E260" s="23">
        <v>2798</v>
      </c>
      <c r="F260" s="18">
        <f>E260* 0.178797409805735</f>
        <v>500.27515263644653</v>
      </c>
      <c r="G260" s="18">
        <f>E260* 0.819278445883441</f>
        <v>2292.3410915818681</v>
      </c>
      <c r="H260" s="18">
        <f>E260* 0.00181313598519889</f>
        <v>5.0731544865864944</v>
      </c>
    </row>
    <row r="261" spans="1:8" ht="15.75" hidden="1" customHeight="1" x14ac:dyDescent="0.25">
      <c r="A261" s="20" t="s">
        <v>51</v>
      </c>
      <c r="B261" s="47" t="s">
        <v>54</v>
      </c>
      <c r="C261" s="49"/>
      <c r="D261" s="19" t="s">
        <v>17</v>
      </c>
      <c r="E261" s="23">
        <v>4679</v>
      </c>
      <c r="F261" s="18">
        <f>E261* 0.916446662218225</f>
        <v>4288.0539325190748</v>
      </c>
      <c r="G261" s="18">
        <f>E261* 0.0292436682236212</f>
        <v>136.83112361832357</v>
      </c>
      <c r="H261" s="18">
        <f>E261* 0.0543096695581537</f>
        <v>254.11494386260117</v>
      </c>
    </row>
    <row r="262" spans="1:8" ht="15.75" hidden="1" customHeight="1" x14ac:dyDescent="0.25">
      <c r="A262" s="20" t="s">
        <v>51</v>
      </c>
      <c r="B262" s="47" t="s">
        <v>54</v>
      </c>
      <c r="C262" s="49"/>
      <c r="D262" s="19" t="s">
        <v>31</v>
      </c>
      <c r="E262" s="23">
        <v>896</v>
      </c>
      <c r="F262" s="18">
        <f>E262* 0.957442434210526</f>
        <v>857.86842105263133</v>
      </c>
      <c r="G262" s="18">
        <f>E262* 0.0158305921052632</f>
        <v>14.184210526315827</v>
      </c>
      <c r="H262" s="18">
        <f>E262* 0.0263157894736842</f>
        <v>23.578947368421041</v>
      </c>
    </row>
    <row r="263" spans="1:8" ht="15.75" hidden="1" customHeight="1" x14ac:dyDescent="0.25">
      <c r="A263" s="20" t="s">
        <v>51</v>
      </c>
      <c r="B263" s="47" t="s">
        <v>54</v>
      </c>
      <c r="C263" s="49"/>
      <c r="D263" s="19" t="s">
        <v>18</v>
      </c>
      <c r="E263" s="23">
        <v>493</v>
      </c>
      <c r="F263" s="18">
        <f>E263* 0.983388008654987</f>
        <v>484.81028826690857</v>
      </c>
      <c r="G263" s="18">
        <f>E263* 0.0133314720457877</f>
        <v>6.5724157185733363</v>
      </c>
      <c r="H263" s="18">
        <f>E263* 0.003210721016263</f>
        <v>1.582885461017659</v>
      </c>
    </row>
    <row r="264" spans="1:8" ht="15.75" hidden="1" customHeight="1" x14ac:dyDescent="0.25">
      <c r="A264" s="20" t="s">
        <v>51</v>
      </c>
      <c r="B264" s="47" t="s">
        <v>54</v>
      </c>
      <c r="C264" s="49"/>
      <c r="D264" s="19" t="s">
        <v>295</v>
      </c>
      <c r="E264" s="23">
        <v>17</v>
      </c>
      <c r="F264" s="20">
        <v>0</v>
      </c>
      <c r="G264" s="24">
        <f>E264</f>
        <v>17</v>
      </c>
      <c r="H264" s="20">
        <v>0</v>
      </c>
    </row>
    <row r="265" spans="1:8" ht="15.75" hidden="1" customHeight="1" x14ac:dyDescent="0.25">
      <c r="A265" s="20" t="s">
        <v>51</v>
      </c>
      <c r="B265" s="47" t="s">
        <v>54</v>
      </c>
      <c r="C265" s="49"/>
      <c r="D265" s="19" t="s">
        <v>19</v>
      </c>
      <c r="E265" s="23">
        <v>34</v>
      </c>
      <c r="F265" s="18">
        <f>E265* 0.511826182618262</f>
        <v>17.402090209020905</v>
      </c>
      <c r="G265" s="18">
        <f>E265* 0.476622662266227</f>
        <v>16.20517051705172</v>
      </c>
      <c r="H265" s="18">
        <f>E265* 0.0115511551155116</f>
        <v>0.39273927392739444</v>
      </c>
    </row>
    <row r="266" spans="1:8" ht="15.75" hidden="1" customHeight="1" x14ac:dyDescent="0.25">
      <c r="A266" s="20" t="s">
        <v>51</v>
      </c>
      <c r="B266" s="47" t="s">
        <v>54</v>
      </c>
      <c r="C266" s="49"/>
      <c r="D266" s="19" t="s">
        <v>20</v>
      </c>
      <c r="E266" s="23">
        <v>9407</v>
      </c>
      <c r="F266" s="18">
        <f>E266* 0.814615536880747</f>
        <v>7663.0883554371867</v>
      </c>
      <c r="G266" s="18">
        <f>E266* 0.0763167839340663</f>
        <v>717.91198646776161</v>
      </c>
      <c r="H266" s="18">
        <f>E266* 0.109013694193014</f>
        <v>1025.4918212736827</v>
      </c>
    </row>
    <row r="267" spans="1:8" ht="15.75" hidden="1" customHeight="1" x14ac:dyDescent="0.25">
      <c r="A267" s="20" t="s">
        <v>51</v>
      </c>
      <c r="B267" s="47" t="s">
        <v>54</v>
      </c>
      <c r="C267" s="49"/>
      <c r="D267" s="19" t="s">
        <v>21</v>
      </c>
      <c r="E267" s="23">
        <v>10762</v>
      </c>
      <c r="F267" s="18">
        <f>E267* 0.999722052365334</f>
        <v>10759.008727555723</v>
      </c>
      <c r="G267" s="20">
        <v>0</v>
      </c>
      <c r="H267" s="18">
        <f>E267* 0.000277947634665629</f>
        <v>2.9912724442714991</v>
      </c>
    </row>
    <row r="268" spans="1:8" ht="15.75" hidden="1" customHeight="1" x14ac:dyDescent="0.25">
      <c r="A268" s="20" t="s">
        <v>51</v>
      </c>
      <c r="B268" s="47" t="s">
        <v>54</v>
      </c>
      <c r="C268" s="49"/>
      <c r="D268" s="19" t="s">
        <v>36</v>
      </c>
      <c r="E268" s="23">
        <v>108</v>
      </c>
      <c r="F268" s="18">
        <f>E268* 0.999132697311362</f>
        <v>107.90633130962709</v>
      </c>
      <c r="G268" s="20">
        <v>0</v>
      </c>
      <c r="H268" s="18">
        <f>E268* 0.000867302688638335</f>
        <v>9.3668690372940178E-2</v>
      </c>
    </row>
    <row r="269" spans="1:8" ht="15.75" hidden="1" customHeight="1" x14ac:dyDescent="0.25">
      <c r="A269" s="20" t="s">
        <v>51</v>
      </c>
      <c r="B269" s="47" t="s">
        <v>54</v>
      </c>
      <c r="C269" s="49"/>
      <c r="D269" s="19" t="s">
        <v>37</v>
      </c>
      <c r="E269" s="23">
        <v>2</v>
      </c>
      <c r="F269" s="18">
        <f>E269* 0.0555555555555556</f>
        <v>0.1111111111111112</v>
      </c>
      <c r="G269" s="18">
        <f>E269* 0.944444444444444</f>
        <v>1.888888888888888</v>
      </c>
      <c r="H269" s="20">
        <v>0</v>
      </c>
    </row>
    <row r="270" spans="1:8" ht="15.75" hidden="1" customHeight="1" x14ac:dyDescent="0.25">
      <c r="A270" s="20" t="s">
        <v>51</v>
      </c>
      <c r="B270" s="47" t="s">
        <v>54</v>
      </c>
      <c r="C270" s="49"/>
      <c r="D270" s="19" t="s">
        <v>28</v>
      </c>
      <c r="E270" s="23">
        <v>1334</v>
      </c>
      <c r="F270" s="18">
        <f>E270* 0.00115651503469545</f>
        <v>1.5427910562837301</v>
      </c>
      <c r="G270" s="18">
        <f>E270* 0.998843484965305</f>
        <v>1332.4572089437168</v>
      </c>
      <c r="H270" s="20">
        <v>0</v>
      </c>
    </row>
    <row r="271" spans="1:8" ht="15.75" hidden="1" customHeight="1" x14ac:dyDescent="0.25">
      <c r="A271" s="20" t="s">
        <v>51</v>
      </c>
      <c r="B271" s="47" t="s">
        <v>54</v>
      </c>
      <c r="C271" s="49"/>
      <c r="D271" s="19" t="s">
        <v>75</v>
      </c>
      <c r="E271" s="23">
        <v>1</v>
      </c>
      <c r="F271" s="20">
        <v>0</v>
      </c>
      <c r="G271" s="24">
        <f>E271</f>
        <v>1</v>
      </c>
      <c r="H271" s="20">
        <v>0</v>
      </c>
    </row>
    <row r="272" spans="1:8" ht="15.75" hidden="1" customHeight="1" x14ac:dyDescent="0.25">
      <c r="A272" s="20" t="s">
        <v>51</v>
      </c>
      <c r="B272" s="47" t="s">
        <v>54</v>
      </c>
      <c r="C272" s="49"/>
      <c r="D272" s="19" t="s">
        <v>12</v>
      </c>
      <c r="E272" s="23">
        <v>12597</v>
      </c>
      <c r="F272" s="18">
        <f>E272* 0.924936238310357</f>
        <v>11651.421793995567</v>
      </c>
      <c r="G272" s="18">
        <f>E272* 0.0351064361799663</f>
        <v>442.23577655903546</v>
      </c>
      <c r="H272" s="18">
        <f>E272* 0.039932320925503</f>
        <v>503.02744669856128</v>
      </c>
    </row>
    <row r="273" spans="1:8" ht="15.75" hidden="1" customHeight="1" x14ac:dyDescent="0.25">
      <c r="A273" s="20" t="s">
        <v>51</v>
      </c>
      <c r="B273" s="20"/>
      <c r="C273" s="20"/>
      <c r="D273" s="46"/>
      <c r="E273" s="35"/>
    </row>
    <row r="274" spans="1:8" ht="15.75" hidden="1" customHeight="1" x14ac:dyDescent="0.25">
      <c r="A274" s="20" t="s">
        <v>51</v>
      </c>
      <c r="B274" s="47" t="s">
        <v>56</v>
      </c>
      <c r="C274" s="12" t="str">
        <f>B274&amp;"_"&amp;A274</f>
        <v>Alto Beni_La Paz</v>
      </c>
      <c r="D274" s="20"/>
      <c r="E274" s="48">
        <v>365</v>
      </c>
      <c r="F274" s="14">
        <f t="shared" ref="F274:H274" si="31">SUM(F275:F282)</f>
        <v>311.48324304950904</v>
      </c>
      <c r="G274" s="14">
        <f t="shared" si="31"/>
        <v>44.318585991027447</v>
      </c>
      <c r="H274" s="14">
        <f t="shared" si="31"/>
        <v>9.1879507625589589</v>
      </c>
    </row>
    <row r="275" spans="1:8" ht="15.75" hidden="1" customHeight="1" x14ac:dyDescent="0.25">
      <c r="A275" s="20" t="s">
        <v>51</v>
      </c>
      <c r="B275" s="47" t="s">
        <v>56</v>
      </c>
      <c r="C275" s="49"/>
      <c r="D275" s="29" t="s">
        <v>296</v>
      </c>
      <c r="E275" s="23">
        <v>0</v>
      </c>
      <c r="F275" s="20">
        <v>0</v>
      </c>
      <c r="G275" s="24">
        <f>E275</f>
        <v>0</v>
      </c>
      <c r="H275" s="20">
        <v>0</v>
      </c>
    </row>
    <row r="276" spans="1:8" ht="15.75" hidden="1" customHeight="1" x14ac:dyDescent="0.25">
      <c r="A276" s="20" t="s">
        <v>51</v>
      </c>
      <c r="B276" s="47" t="s">
        <v>56</v>
      </c>
      <c r="C276" s="49"/>
      <c r="D276" s="19" t="s">
        <v>15</v>
      </c>
      <c r="E276" s="23">
        <v>2</v>
      </c>
      <c r="F276" s="18">
        <f>E276* 0.981163265034061</f>
        <v>1.9623265300681221</v>
      </c>
      <c r="G276" s="18">
        <f>E276* 0.0027595216829083</f>
        <v>5.5190433658165996E-3</v>
      </c>
      <c r="H276" s="18">
        <f>E276* 0.0160372202151627</f>
        <v>3.2074440430325403E-2</v>
      </c>
    </row>
    <row r="277" spans="1:8" ht="15.75" hidden="1" customHeight="1" x14ac:dyDescent="0.25">
      <c r="A277" s="20" t="s">
        <v>51</v>
      </c>
      <c r="B277" s="47" t="s">
        <v>56</v>
      </c>
      <c r="C277" s="49"/>
      <c r="D277" s="19" t="s">
        <v>11</v>
      </c>
      <c r="E277" s="23">
        <v>45</v>
      </c>
      <c r="F277" s="18">
        <f>E277* 0.178797409805735</f>
        <v>8.0458834412580753</v>
      </c>
      <c r="G277" s="18">
        <f>E277* 0.819278445883441</f>
        <v>36.867530064754845</v>
      </c>
      <c r="H277" s="18">
        <f>E277* 0.00181313598519889</f>
        <v>8.1591119333950052E-2</v>
      </c>
    </row>
    <row r="278" spans="1:8" ht="15.75" hidden="1" customHeight="1" x14ac:dyDescent="0.25">
      <c r="A278" s="20" t="s">
        <v>51</v>
      </c>
      <c r="B278" s="47" t="s">
        <v>56</v>
      </c>
      <c r="C278" s="49"/>
      <c r="D278" s="19" t="s">
        <v>17</v>
      </c>
      <c r="E278" s="23">
        <v>19</v>
      </c>
      <c r="F278" s="18">
        <f>E278* 0.916446662218225</f>
        <v>17.412486582146276</v>
      </c>
      <c r="G278" s="18">
        <f>E278* 0.0292436682236212</f>
        <v>0.55562969624880276</v>
      </c>
      <c r="H278" s="18">
        <f>E278* 0.0543096695581537</f>
        <v>1.0318837216049204</v>
      </c>
    </row>
    <row r="279" spans="1:8" ht="15.75" hidden="1" customHeight="1" x14ac:dyDescent="0.25">
      <c r="A279" s="20" t="s">
        <v>51</v>
      </c>
      <c r="B279" s="47" t="s">
        <v>56</v>
      </c>
      <c r="C279" s="49"/>
      <c r="D279" s="19" t="s">
        <v>18</v>
      </c>
      <c r="E279" s="23">
        <v>4</v>
      </c>
      <c r="F279" s="18">
        <f>E279* 0.983388008654987</f>
        <v>3.933552034619948</v>
      </c>
      <c r="G279" s="18">
        <f>E279* 0.0133314720457877</f>
        <v>5.3325888183150802E-2</v>
      </c>
      <c r="H279" s="18">
        <f>E279* 0.003210721016263</f>
        <v>1.2842884065052001E-2</v>
      </c>
    </row>
    <row r="280" spans="1:8" ht="15.75" hidden="1" customHeight="1" x14ac:dyDescent="0.25">
      <c r="A280" s="20" t="s">
        <v>51</v>
      </c>
      <c r="B280" s="47" t="s">
        <v>56</v>
      </c>
      <c r="C280" s="49"/>
      <c r="D280" s="19" t="s">
        <v>20</v>
      </c>
      <c r="E280" s="23">
        <v>10</v>
      </c>
      <c r="F280" s="18">
        <f>E280* 0.814615536880747</f>
        <v>8.1461553688074702</v>
      </c>
      <c r="G280" s="18">
        <f>E280* 0.0763167839340663</f>
        <v>0.7631678393406629</v>
      </c>
      <c r="H280" s="18">
        <f>E280* 0.109013694193014</f>
        <v>1.0901369419301401</v>
      </c>
    </row>
    <row r="281" spans="1:8" ht="15.75" hidden="1" customHeight="1" x14ac:dyDescent="0.25">
      <c r="A281" s="20" t="s">
        <v>51</v>
      </c>
      <c r="B281" s="47" t="s">
        <v>56</v>
      </c>
      <c r="C281" s="49"/>
      <c r="D281" s="19" t="s">
        <v>21</v>
      </c>
      <c r="E281" s="23">
        <v>112</v>
      </c>
      <c r="F281" s="18">
        <f>E281* 0.999722052365334</f>
        <v>111.96886986491741</v>
      </c>
      <c r="G281" s="20">
        <v>0</v>
      </c>
      <c r="H281" s="18">
        <f>E281* 0.000277947634665629</f>
        <v>3.1130135082550445E-2</v>
      </c>
    </row>
    <row r="282" spans="1:8" ht="15.75" hidden="1" customHeight="1" x14ac:dyDescent="0.25">
      <c r="A282" s="20" t="s">
        <v>51</v>
      </c>
      <c r="B282" s="47" t="s">
        <v>56</v>
      </c>
      <c r="C282" s="49"/>
      <c r="D282" s="19" t="s">
        <v>12</v>
      </c>
      <c r="E282" s="23">
        <v>173</v>
      </c>
      <c r="F282" s="18">
        <f>E282* 0.924936238310357</f>
        <v>160.01396922769175</v>
      </c>
      <c r="G282" s="18">
        <f>E282* 0.0351064361799663</f>
        <v>6.0734134591341693</v>
      </c>
      <c r="H282" s="18">
        <f>E282* 0.039932320925503</f>
        <v>6.9082915201120194</v>
      </c>
    </row>
    <row r="283" spans="1:8" ht="15.75" hidden="1" customHeight="1" x14ac:dyDescent="0.25">
      <c r="A283" s="20" t="s">
        <v>51</v>
      </c>
      <c r="B283" s="20"/>
      <c r="C283" s="20"/>
      <c r="D283" s="46"/>
      <c r="E283" s="35"/>
    </row>
    <row r="284" spans="1:8" ht="15.75" hidden="1" customHeight="1" x14ac:dyDescent="0.25">
      <c r="A284" s="20" t="s">
        <v>51</v>
      </c>
      <c r="B284" s="47" t="s">
        <v>297</v>
      </c>
      <c r="C284" s="12" t="str">
        <f>B284&amp;"_"&amp;A284</f>
        <v>Ancoraimes_La Paz</v>
      </c>
      <c r="D284" s="20"/>
      <c r="E284" s="48">
        <v>2002</v>
      </c>
      <c r="F284" s="14">
        <f t="shared" ref="F284:H284" si="32">SUM(F285:F296)</f>
        <v>1807.0739742776525</v>
      </c>
      <c r="G284" s="14">
        <f t="shared" si="32"/>
        <v>128.80883834227043</v>
      </c>
      <c r="H284" s="14">
        <f t="shared" si="32"/>
        <v>66.062489099800871</v>
      </c>
    </row>
    <row r="285" spans="1:8" ht="15.75" hidden="1" customHeight="1" x14ac:dyDescent="0.25">
      <c r="A285" s="20" t="s">
        <v>51</v>
      </c>
      <c r="B285" s="47" t="s">
        <v>297</v>
      </c>
      <c r="C285" s="49"/>
      <c r="D285" s="19" t="s">
        <v>15</v>
      </c>
      <c r="E285" s="23">
        <v>98</v>
      </c>
      <c r="F285" s="18">
        <f>E285* 0.981163265034061</f>
        <v>96.153999973337989</v>
      </c>
      <c r="G285" s="18">
        <f>E285* 0.0027595216829083</f>
        <v>0.27043312492501337</v>
      </c>
      <c r="H285" s="18">
        <f>E285* 0.0160372202151627</f>
        <v>1.5716475810859447</v>
      </c>
    </row>
    <row r="286" spans="1:8" ht="15.75" hidden="1" customHeight="1" x14ac:dyDescent="0.25">
      <c r="A286" s="20" t="s">
        <v>51</v>
      </c>
      <c r="B286" s="47" t="s">
        <v>297</v>
      </c>
      <c r="C286" s="49"/>
      <c r="D286" s="29" t="s">
        <v>298</v>
      </c>
      <c r="E286" s="23">
        <v>6</v>
      </c>
      <c r="F286" s="18">
        <f>E286* 0.142974979378609</f>
        <v>0.85784987627165399</v>
      </c>
      <c r="G286" s="18">
        <f>E286* 0.852350838603245</f>
        <v>5.1141050316194701</v>
      </c>
      <c r="H286" s="18">
        <f>E286* 0.00467418201814682</f>
        <v>2.8045092108880919E-2</v>
      </c>
    </row>
    <row r="287" spans="1:8" ht="15.75" hidden="1" customHeight="1" x14ac:dyDescent="0.25">
      <c r="A287" s="20" t="s">
        <v>51</v>
      </c>
      <c r="B287" s="47" t="s">
        <v>297</v>
      </c>
      <c r="C287" s="49"/>
      <c r="D287" s="19" t="s">
        <v>11</v>
      </c>
      <c r="E287" s="23">
        <v>70</v>
      </c>
      <c r="F287" s="18">
        <f>E287* 0.178797409805735</f>
        <v>12.515818686401449</v>
      </c>
      <c r="G287" s="18">
        <f>E287* 0.819278445883441</f>
        <v>57.349491211840871</v>
      </c>
      <c r="H287" s="18">
        <f>E287* 0.00181313598519889</f>
        <v>0.12691951896392228</v>
      </c>
    </row>
    <row r="288" spans="1:8" ht="15.75" hidden="1" customHeight="1" x14ac:dyDescent="0.25">
      <c r="A288" s="20" t="s">
        <v>51</v>
      </c>
      <c r="B288" s="47" t="s">
        <v>297</v>
      </c>
      <c r="C288" s="49"/>
      <c r="D288" s="19" t="s">
        <v>17</v>
      </c>
      <c r="E288" s="23">
        <v>162</v>
      </c>
      <c r="F288" s="18">
        <f>E288* 0.916446662218225</f>
        <v>148.46435927935246</v>
      </c>
      <c r="G288" s="18">
        <f>E288* 0.0292436682236212</f>
        <v>4.737474252226634</v>
      </c>
      <c r="H288" s="18">
        <f>E288* 0.0543096695581537</f>
        <v>8.7981664684209004</v>
      </c>
    </row>
    <row r="289" spans="1:8" ht="15.75" hidden="1" customHeight="1" x14ac:dyDescent="0.25">
      <c r="A289" s="20" t="s">
        <v>51</v>
      </c>
      <c r="B289" s="47" t="s">
        <v>297</v>
      </c>
      <c r="C289" s="49"/>
      <c r="D289" s="19" t="s">
        <v>31</v>
      </c>
      <c r="E289" s="23">
        <v>29</v>
      </c>
      <c r="F289" s="18">
        <f>E289* 0.957442434210526</f>
        <v>27.765830592105253</v>
      </c>
      <c r="G289" s="18">
        <f>E289* 0.0158305921052632</f>
        <v>0.45908717105263275</v>
      </c>
      <c r="H289" s="18">
        <f>E289* 0.0263157894736842</f>
        <v>0.76315789473684181</v>
      </c>
    </row>
    <row r="290" spans="1:8" ht="15.75" hidden="1" customHeight="1" x14ac:dyDescent="0.25">
      <c r="A290" s="20" t="s">
        <v>51</v>
      </c>
      <c r="B290" s="47" t="s">
        <v>297</v>
      </c>
      <c r="C290" s="49"/>
      <c r="D290" s="19" t="s">
        <v>18</v>
      </c>
      <c r="E290" s="23">
        <v>22</v>
      </c>
      <c r="F290" s="18">
        <f>E290* 0.983388008654987</f>
        <v>21.634536190409715</v>
      </c>
      <c r="G290" s="18">
        <f>E290* 0.0133314720457877</f>
        <v>0.2932923850073294</v>
      </c>
      <c r="H290" s="18">
        <f>E290* 0.003210721016263</f>
        <v>7.0635862357786003E-2</v>
      </c>
    </row>
    <row r="291" spans="1:8" ht="15.75" hidden="1" customHeight="1" x14ac:dyDescent="0.25">
      <c r="A291" s="20" t="s">
        <v>51</v>
      </c>
      <c r="B291" s="47" t="s">
        <v>297</v>
      </c>
      <c r="C291" s="49"/>
      <c r="D291" s="19" t="s">
        <v>19</v>
      </c>
      <c r="E291" s="23">
        <v>2</v>
      </c>
      <c r="F291" s="18">
        <f>E291* 0.511826182618262</f>
        <v>1.0236523652365239</v>
      </c>
      <c r="G291" s="18">
        <f>E291* 0.476622662266227</f>
        <v>0.95324532453245403</v>
      </c>
      <c r="H291" s="18">
        <f>E291* 0.0115511551155116</f>
        <v>2.3102310231023201E-2</v>
      </c>
    </row>
    <row r="292" spans="1:8" ht="15.75" hidden="1" customHeight="1" x14ac:dyDescent="0.25">
      <c r="A292" s="20" t="s">
        <v>51</v>
      </c>
      <c r="B292" s="47" t="s">
        <v>297</v>
      </c>
      <c r="C292" s="49"/>
      <c r="D292" s="19" t="s">
        <v>20</v>
      </c>
      <c r="E292" s="23">
        <v>319</v>
      </c>
      <c r="F292" s="18">
        <f>E292* 0.814615536880747</f>
        <v>259.86235626495829</v>
      </c>
      <c r="G292" s="18">
        <f>E292* 0.0763167839340663</f>
        <v>24.345054074967148</v>
      </c>
      <c r="H292" s="18">
        <f>E292* 0.109013694193014</f>
        <v>34.775368447571466</v>
      </c>
    </row>
    <row r="293" spans="1:8" ht="15.75" hidden="1" customHeight="1" x14ac:dyDescent="0.25">
      <c r="A293" s="20" t="s">
        <v>51</v>
      </c>
      <c r="B293" s="47" t="s">
        <v>297</v>
      </c>
      <c r="C293" s="49"/>
      <c r="D293" s="19" t="s">
        <v>21</v>
      </c>
      <c r="E293" s="23">
        <v>781</v>
      </c>
      <c r="F293" s="18">
        <f>E293* 0.999722052365334</f>
        <v>780.78292289732588</v>
      </c>
      <c r="G293" s="20">
        <v>0</v>
      </c>
      <c r="H293" s="18">
        <f>E293* 0.000277947634665629</f>
        <v>0.21707710267385624</v>
      </c>
    </row>
    <row r="294" spans="1:8" ht="15.75" hidden="1" customHeight="1" x14ac:dyDescent="0.25">
      <c r="A294" s="20" t="s">
        <v>51</v>
      </c>
      <c r="B294" s="47" t="s">
        <v>297</v>
      </c>
      <c r="C294" s="49"/>
      <c r="D294" s="19" t="s">
        <v>36</v>
      </c>
      <c r="E294" s="23">
        <v>2</v>
      </c>
      <c r="F294" s="18">
        <f>E294* 0.999132697311362</f>
        <v>1.998265394622724</v>
      </c>
      <c r="G294" s="20">
        <v>0</v>
      </c>
      <c r="H294" s="18">
        <f>E294* 0.000867302688638335</f>
        <v>1.7346053772766699E-3</v>
      </c>
    </row>
    <row r="295" spans="1:8" ht="15.75" hidden="1" customHeight="1" x14ac:dyDescent="0.25">
      <c r="A295" s="20" t="s">
        <v>51</v>
      </c>
      <c r="B295" s="47" t="s">
        <v>297</v>
      </c>
      <c r="C295" s="49"/>
      <c r="D295" s="19" t="s">
        <v>28</v>
      </c>
      <c r="E295" s="23">
        <v>18</v>
      </c>
      <c r="F295" s="18">
        <f>E295* 0.00115651503469545</f>
        <v>2.0817270624518099E-2</v>
      </c>
      <c r="G295" s="18">
        <f>E295* 0.998843484965305</f>
        <v>17.979182729375488</v>
      </c>
      <c r="H295" s="20">
        <v>0</v>
      </c>
    </row>
    <row r="296" spans="1:8" ht="15.75" hidden="1" customHeight="1" x14ac:dyDescent="0.25">
      <c r="A296" s="20" t="s">
        <v>51</v>
      </c>
      <c r="B296" s="47" t="s">
        <v>297</v>
      </c>
      <c r="C296" s="49"/>
      <c r="D296" s="19" t="s">
        <v>12</v>
      </c>
      <c r="E296" s="23">
        <v>493</v>
      </c>
      <c r="F296" s="18">
        <f>E296* 0.924936238310357</f>
        <v>455.99356548700598</v>
      </c>
      <c r="G296" s="18">
        <f>E296* 0.0351064361799663</f>
        <v>17.307473036723383</v>
      </c>
      <c r="H296" s="18">
        <f>E296* 0.039932320925503</f>
        <v>19.686634216272978</v>
      </c>
    </row>
    <row r="297" spans="1:8" ht="15.75" hidden="1" customHeight="1" x14ac:dyDescent="0.25">
      <c r="A297" s="20" t="s">
        <v>51</v>
      </c>
      <c r="B297" s="20"/>
      <c r="C297" s="20"/>
      <c r="D297" s="46"/>
      <c r="E297" s="35"/>
    </row>
    <row r="298" spans="1:8" ht="15.75" hidden="1" customHeight="1" x14ac:dyDescent="0.25">
      <c r="A298" s="20" t="s">
        <v>51</v>
      </c>
      <c r="B298" s="47" t="s">
        <v>299</v>
      </c>
      <c r="C298" s="12" t="str">
        <f>B298&amp;"_"&amp;A298</f>
        <v>Apolo_La Paz</v>
      </c>
      <c r="D298" s="20"/>
      <c r="E298" s="48">
        <v>34</v>
      </c>
      <c r="F298" s="14">
        <f t="shared" ref="F298:H298" si="33">SUM(F299:F303)</f>
        <v>31.003500706255195</v>
      </c>
      <c r="G298" s="14">
        <f t="shared" si="33"/>
        <v>2.2323717712713602</v>
      </c>
      <c r="H298" s="14">
        <f t="shared" si="33"/>
        <v>0.76312729377049116</v>
      </c>
    </row>
    <row r="299" spans="1:8" ht="15.75" hidden="1" customHeight="1" x14ac:dyDescent="0.25">
      <c r="A299" s="20" t="s">
        <v>51</v>
      </c>
      <c r="B299" s="47" t="s">
        <v>299</v>
      </c>
      <c r="C299" s="49"/>
      <c r="D299" s="19" t="s">
        <v>11</v>
      </c>
      <c r="E299" s="23">
        <v>2</v>
      </c>
      <c r="F299" s="18">
        <f>E299* 0.178797409805735</f>
        <v>0.35759481961146999</v>
      </c>
      <c r="G299" s="18">
        <f>E299* 0.819278445883441</f>
        <v>1.638556891766882</v>
      </c>
      <c r="H299" s="18">
        <f>E299* 0.00181313598519889</f>
        <v>3.6262719703977798E-3</v>
      </c>
    </row>
    <row r="300" spans="1:8" ht="15.75" hidden="1" customHeight="1" x14ac:dyDescent="0.25">
      <c r="A300" s="20" t="s">
        <v>51</v>
      </c>
      <c r="B300" s="47" t="s">
        <v>299</v>
      </c>
      <c r="C300" s="49"/>
      <c r="D300" s="19" t="s">
        <v>17</v>
      </c>
      <c r="E300" s="23">
        <v>9</v>
      </c>
      <c r="F300" s="18">
        <f>E300* 0.916446662218225</f>
        <v>8.2480199599640258</v>
      </c>
      <c r="G300" s="18">
        <f>E300* 0.0292436682236212</f>
        <v>0.26319301401259076</v>
      </c>
      <c r="H300" s="18">
        <f>E300* 0.0543096695581537</f>
        <v>0.48878702602338331</v>
      </c>
    </row>
    <row r="301" spans="1:8" ht="15.75" hidden="1" customHeight="1" x14ac:dyDescent="0.25">
      <c r="A301" s="20" t="s">
        <v>51</v>
      </c>
      <c r="B301" s="47" t="s">
        <v>299</v>
      </c>
      <c r="C301" s="49"/>
      <c r="D301" s="19" t="s">
        <v>18</v>
      </c>
      <c r="E301" s="23">
        <v>9</v>
      </c>
      <c r="F301" s="18">
        <f>E301* 0.983388008654987</f>
        <v>8.8504920778948826</v>
      </c>
      <c r="G301" s="18">
        <f>E301* 0.0133314720457877</f>
        <v>0.11998324841208931</v>
      </c>
      <c r="H301" s="18">
        <f>E301* 0.003210721016263</f>
        <v>2.8896489146367003E-2</v>
      </c>
    </row>
    <row r="302" spans="1:8" ht="15.75" hidden="1" customHeight="1" x14ac:dyDescent="0.25">
      <c r="A302" s="20" t="s">
        <v>51</v>
      </c>
      <c r="B302" s="47" t="s">
        <v>299</v>
      </c>
      <c r="C302" s="49"/>
      <c r="D302" s="19" t="s">
        <v>21</v>
      </c>
      <c r="E302" s="23">
        <v>8</v>
      </c>
      <c r="F302" s="18">
        <f>E302* 0.999722052365334</f>
        <v>7.9977764189226717</v>
      </c>
      <c r="G302" s="20">
        <v>0</v>
      </c>
      <c r="H302" s="18">
        <f>E302* 0.000277947634665629</f>
        <v>2.2235810773250319E-3</v>
      </c>
    </row>
    <row r="303" spans="1:8" ht="15.75" hidden="1" customHeight="1" x14ac:dyDescent="0.25">
      <c r="A303" s="20" t="s">
        <v>51</v>
      </c>
      <c r="B303" s="47" t="s">
        <v>299</v>
      </c>
      <c r="C303" s="49"/>
      <c r="D303" s="19" t="s">
        <v>12</v>
      </c>
      <c r="E303" s="23">
        <v>6</v>
      </c>
      <c r="F303" s="18">
        <f>E303* 0.924936238310357</f>
        <v>5.5496174298621419</v>
      </c>
      <c r="G303" s="18">
        <f>E303* 0.0351064361799663</f>
        <v>0.21063861707979778</v>
      </c>
      <c r="H303" s="18">
        <f>E303* 0.039932320925503</f>
        <v>0.23959392555301801</v>
      </c>
    </row>
    <row r="304" spans="1:8" ht="15.75" hidden="1" customHeight="1" x14ac:dyDescent="0.25">
      <c r="A304" s="20" t="s">
        <v>51</v>
      </c>
      <c r="B304" s="20"/>
      <c r="C304" s="20"/>
      <c r="D304" s="46"/>
      <c r="E304" s="35"/>
    </row>
    <row r="305" spans="1:8" ht="15.75" hidden="1" customHeight="1" x14ac:dyDescent="0.25">
      <c r="A305" s="20" t="s">
        <v>51</v>
      </c>
      <c r="B305" s="47" t="s">
        <v>57</v>
      </c>
      <c r="C305" s="12" t="str">
        <f>B305&amp;"_"&amp;A305</f>
        <v>Ayata_La Paz</v>
      </c>
      <c r="D305" s="20"/>
      <c r="E305" s="50"/>
      <c r="F305" s="14">
        <f t="shared" ref="F305:H305" si="34">F306</f>
        <v>0</v>
      </c>
      <c r="G305" s="14">
        <f t="shared" si="34"/>
        <v>0</v>
      </c>
      <c r="H305" s="14">
        <f t="shared" si="34"/>
        <v>0</v>
      </c>
    </row>
    <row r="306" spans="1:8" ht="15.75" hidden="1" customHeight="1" x14ac:dyDescent="0.25">
      <c r="A306" s="20" t="s">
        <v>51</v>
      </c>
      <c r="B306" s="47" t="s">
        <v>57</v>
      </c>
      <c r="C306" s="49"/>
      <c r="D306" s="19" t="s">
        <v>12</v>
      </c>
      <c r="E306" s="35"/>
      <c r="F306" s="18">
        <f>E306* 0.924936238310357</f>
        <v>0</v>
      </c>
      <c r="G306" s="18">
        <f>E306* 0.0351064361799663</f>
        <v>0</v>
      </c>
      <c r="H306" s="18">
        <f>E306* 0.039932320925503</f>
        <v>0</v>
      </c>
    </row>
    <row r="307" spans="1:8" ht="15.75" hidden="1" customHeight="1" x14ac:dyDescent="0.25">
      <c r="A307" s="20" t="s">
        <v>51</v>
      </c>
      <c r="B307" s="20"/>
      <c r="C307" s="20"/>
      <c r="D307" s="46"/>
      <c r="E307" s="35"/>
    </row>
    <row r="308" spans="1:8" ht="15.75" hidden="1" customHeight="1" x14ac:dyDescent="0.25">
      <c r="A308" s="20" t="s">
        <v>51</v>
      </c>
      <c r="B308" s="47" t="s">
        <v>58</v>
      </c>
      <c r="C308" s="12" t="str">
        <f>B308&amp;"_"&amp;A308</f>
        <v>Ayo Ayo_La Paz</v>
      </c>
      <c r="D308" s="20"/>
      <c r="E308" s="48">
        <v>4359</v>
      </c>
      <c r="F308" s="14">
        <f t="shared" ref="F308:H308" si="35">SUM(F309:F320)</f>
        <v>3985.3395446721688</v>
      </c>
      <c r="G308" s="14">
        <f t="shared" si="35"/>
        <v>274.59660497165862</v>
      </c>
      <c r="H308" s="14">
        <f t="shared" si="35"/>
        <v>98.964083829280696</v>
      </c>
    </row>
    <row r="309" spans="1:8" ht="15.75" hidden="1" customHeight="1" x14ac:dyDescent="0.25">
      <c r="A309" s="20" t="s">
        <v>51</v>
      </c>
      <c r="B309" s="47" t="s">
        <v>58</v>
      </c>
      <c r="C309" s="49"/>
      <c r="D309" s="29" t="s">
        <v>300</v>
      </c>
      <c r="E309" s="23">
        <v>0</v>
      </c>
      <c r="F309" s="20">
        <v>0</v>
      </c>
      <c r="G309" s="24">
        <f>E309</f>
        <v>0</v>
      </c>
      <c r="H309" s="20">
        <v>0</v>
      </c>
    </row>
    <row r="310" spans="1:8" ht="15.75" hidden="1" customHeight="1" x14ac:dyDescent="0.25">
      <c r="A310" s="20" t="s">
        <v>51</v>
      </c>
      <c r="B310" s="47" t="s">
        <v>58</v>
      </c>
      <c r="C310" s="49"/>
      <c r="D310" s="19" t="s">
        <v>15</v>
      </c>
      <c r="E310" s="23">
        <v>396</v>
      </c>
      <c r="F310" s="18">
        <f>E310* 0.981163265034061</f>
        <v>388.54065295348818</v>
      </c>
      <c r="G310" s="18">
        <f>E310* 0.0027595216829083</f>
        <v>1.0927705864316868</v>
      </c>
      <c r="H310" s="18">
        <f>E310* 0.0160372202151627</f>
        <v>6.3507392052044294</v>
      </c>
    </row>
    <row r="311" spans="1:8" ht="15.75" hidden="1" customHeight="1" x14ac:dyDescent="0.25">
      <c r="A311" s="20" t="s">
        <v>51</v>
      </c>
      <c r="B311" s="47" t="s">
        <v>58</v>
      </c>
      <c r="C311" s="49"/>
      <c r="D311" s="29" t="s">
        <v>301</v>
      </c>
      <c r="E311" s="23">
        <v>20</v>
      </c>
      <c r="F311" s="18">
        <f>E311* 0.142974979378609</f>
        <v>2.8594995875721803</v>
      </c>
      <c r="G311" s="18">
        <f>E311* 0.852350838603245</f>
        <v>17.0470167720649</v>
      </c>
      <c r="H311" s="18">
        <f>E311* 0.00467418201814682</f>
        <v>9.3483640362936396E-2</v>
      </c>
    </row>
    <row r="312" spans="1:8" ht="15.75" hidden="1" customHeight="1" x14ac:dyDescent="0.25">
      <c r="A312" s="20" t="s">
        <v>51</v>
      </c>
      <c r="B312" s="47" t="s">
        <v>58</v>
      </c>
      <c r="C312" s="49"/>
      <c r="D312" s="19" t="s">
        <v>11</v>
      </c>
      <c r="E312" s="23">
        <v>180</v>
      </c>
      <c r="F312" s="18">
        <f>E312* 0.178797409805735</f>
        <v>32.183533765032301</v>
      </c>
      <c r="G312" s="18">
        <f>E312* 0.819278445883441</f>
        <v>147.47012025901938</v>
      </c>
      <c r="H312" s="18">
        <f>E312* 0.00181313598519889</f>
        <v>0.32636447733580021</v>
      </c>
    </row>
    <row r="313" spans="1:8" ht="15.75" hidden="1" customHeight="1" x14ac:dyDescent="0.25">
      <c r="A313" s="20" t="s">
        <v>51</v>
      </c>
      <c r="B313" s="47" t="s">
        <v>58</v>
      </c>
      <c r="C313" s="49"/>
      <c r="D313" s="19" t="s">
        <v>17</v>
      </c>
      <c r="E313" s="23">
        <v>272</v>
      </c>
      <c r="F313" s="18">
        <f>E313* 0.916446662218225</f>
        <v>249.27349212335722</v>
      </c>
      <c r="G313" s="18">
        <f>E313* 0.0292436682236212</f>
        <v>7.9542777568249656</v>
      </c>
      <c r="H313" s="18">
        <f>E313* 0.0543096695581537</f>
        <v>14.772230119817808</v>
      </c>
    </row>
    <row r="314" spans="1:8" ht="15.75" hidden="1" customHeight="1" x14ac:dyDescent="0.25">
      <c r="A314" s="20" t="s">
        <v>51</v>
      </c>
      <c r="B314" s="47" t="s">
        <v>58</v>
      </c>
      <c r="C314" s="49"/>
      <c r="D314" s="19" t="s">
        <v>31</v>
      </c>
      <c r="E314" s="23">
        <v>43</v>
      </c>
      <c r="F314" s="18">
        <f>E314* 0.957442434210526</f>
        <v>41.170024671052616</v>
      </c>
      <c r="G314" s="18">
        <f>E314* 0.0158305921052632</f>
        <v>0.68071546052631748</v>
      </c>
      <c r="H314" s="18">
        <f>E314* 0.0263157894736842</f>
        <v>1.1315789473684206</v>
      </c>
    </row>
    <row r="315" spans="1:8" ht="15.75" hidden="1" customHeight="1" x14ac:dyDescent="0.25">
      <c r="A315" s="20" t="s">
        <v>51</v>
      </c>
      <c r="B315" s="47" t="s">
        <v>58</v>
      </c>
      <c r="C315" s="49"/>
      <c r="D315" s="19" t="s">
        <v>18</v>
      </c>
      <c r="E315" s="23">
        <v>56</v>
      </c>
      <c r="F315" s="18">
        <f>E315* 0.983388008654987</f>
        <v>55.069728484679274</v>
      </c>
      <c r="G315" s="18">
        <f>E315* 0.0133314720457877</f>
        <v>0.7465624345641112</v>
      </c>
      <c r="H315" s="18">
        <f>E315* 0.003210721016263</f>
        <v>0.179800376910728</v>
      </c>
    </row>
    <row r="316" spans="1:8" ht="15.75" hidden="1" customHeight="1" x14ac:dyDescent="0.25">
      <c r="A316" s="20" t="s">
        <v>51</v>
      </c>
      <c r="B316" s="47" t="s">
        <v>58</v>
      </c>
      <c r="C316" s="49"/>
      <c r="D316" s="19" t="s">
        <v>20</v>
      </c>
      <c r="E316" s="23">
        <v>346</v>
      </c>
      <c r="F316" s="18">
        <f>E316* 0.814615536880747</f>
        <v>281.85697576073846</v>
      </c>
      <c r="G316" s="18">
        <f>E316* 0.0763167839340663</f>
        <v>26.405607241186939</v>
      </c>
      <c r="H316" s="18">
        <f>E316* 0.109013694193014</f>
        <v>37.718738190782844</v>
      </c>
    </row>
    <row r="317" spans="1:8" ht="15.75" hidden="1" customHeight="1" x14ac:dyDescent="0.25">
      <c r="A317" s="20" t="s">
        <v>51</v>
      </c>
      <c r="B317" s="47" t="s">
        <v>58</v>
      </c>
      <c r="C317" s="49"/>
      <c r="D317" s="19" t="s">
        <v>21</v>
      </c>
      <c r="E317" s="23">
        <v>2054</v>
      </c>
      <c r="F317" s="18">
        <f>E317* 0.999722052365334</f>
        <v>2053.4290955583961</v>
      </c>
      <c r="G317" s="20">
        <v>0</v>
      </c>
      <c r="H317" s="18">
        <f>E317* 0.000277947634665629</f>
        <v>0.57090444160320197</v>
      </c>
    </row>
    <row r="318" spans="1:8" ht="15.75" hidden="1" customHeight="1" x14ac:dyDescent="0.25">
      <c r="A318" s="20" t="s">
        <v>51</v>
      </c>
      <c r="B318" s="47" t="s">
        <v>58</v>
      </c>
      <c r="C318" s="49"/>
      <c r="D318" s="19" t="s">
        <v>36</v>
      </c>
      <c r="E318" s="23">
        <v>5</v>
      </c>
      <c r="F318" s="18">
        <f>E318* 0.999132697311362</f>
        <v>4.9956634865568104</v>
      </c>
      <c r="G318" s="20">
        <v>0</v>
      </c>
      <c r="H318" s="18">
        <f>E318* 0.000867302688638335</f>
        <v>4.3365134431916745E-3</v>
      </c>
    </row>
    <row r="319" spans="1:8" ht="15.75" hidden="1" customHeight="1" x14ac:dyDescent="0.25">
      <c r="A319" s="20" t="s">
        <v>51</v>
      </c>
      <c r="B319" s="47" t="s">
        <v>58</v>
      </c>
      <c r="C319" s="49"/>
      <c r="D319" s="19" t="s">
        <v>28</v>
      </c>
      <c r="E319" s="23">
        <v>40</v>
      </c>
      <c r="F319" s="18">
        <f>E319* 0.00115651503469545</f>
        <v>4.6260601387817998E-2</v>
      </c>
      <c r="G319" s="18">
        <f>E319* 0.998843484965305</f>
        <v>39.9537393986122</v>
      </c>
      <c r="H319" s="20">
        <v>0</v>
      </c>
    </row>
    <row r="320" spans="1:8" ht="15.75" hidden="1" customHeight="1" x14ac:dyDescent="0.25">
      <c r="A320" s="20" t="s">
        <v>51</v>
      </c>
      <c r="B320" s="47" t="s">
        <v>58</v>
      </c>
      <c r="C320" s="49"/>
      <c r="D320" s="19" t="s">
        <v>12</v>
      </c>
      <c r="E320" s="23">
        <v>947</v>
      </c>
      <c r="F320" s="18">
        <f>E320* 0.924936238310357</f>
        <v>875.91461767990802</v>
      </c>
      <c r="G320" s="18">
        <f>E320* 0.0351064361799663</f>
        <v>33.24579506242808</v>
      </c>
      <c r="H320" s="18">
        <f>E320* 0.039932320925503</f>
        <v>37.815907916451344</v>
      </c>
    </row>
    <row r="321" spans="1:8" ht="15.75" hidden="1" customHeight="1" x14ac:dyDescent="0.25">
      <c r="A321" s="20" t="s">
        <v>51</v>
      </c>
      <c r="B321" s="20"/>
      <c r="C321" s="20"/>
      <c r="D321" s="46"/>
      <c r="E321" s="35"/>
    </row>
    <row r="322" spans="1:8" ht="15.75" hidden="1" customHeight="1" x14ac:dyDescent="0.25">
      <c r="A322" s="20" t="s">
        <v>51</v>
      </c>
      <c r="B322" s="47" t="s">
        <v>59</v>
      </c>
      <c r="C322" s="12" t="str">
        <f>B322&amp;"_"&amp;A322</f>
        <v>Batallas_La Paz</v>
      </c>
      <c r="D322" s="20"/>
      <c r="E322" s="48">
        <v>706</v>
      </c>
      <c r="F322" s="14">
        <f t="shared" ref="F322:H322" si="36">SUM(F323:F334)</f>
        <v>535.36391651894246</v>
      </c>
      <c r="G322" s="14">
        <f t="shared" si="36"/>
        <v>140.20414518216367</v>
      </c>
      <c r="H322" s="14">
        <f t="shared" si="36"/>
        <v>30.403547033145855</v>
      </c>
    </row>
    <row r="323" spans="1:8" ht="15.75" hidden="1" customHeight="1" x14ac:dyDescent="0.25">
      <c r="A323" s="20" t="s">
        <v>51</v>
      </c>
      <c r="B323" s="47" t="s">
        <v>59</v>
      </c>
      <c r="C323" s="49"/>
      <c r="D323" s="29" t="s">
        <v>302</v>
      </c>
      <c r="E323" s="23">
        <v>0</v>
      </c>
      <c r="F323" s="20">
        <v>0</v>
      </c>
      <c r="G323" s="24">
        <f>E323</f>
        <v>0</v>
      </c>
      <c r="H323" s="20">
        <v>0</v>
      </c>
    </row>
    <row r="324" spans="1:8" ht="15.75" hidden="1" customHeight="1" x14ac:dyDescent="0.25">
      <c r="A324" s="20" t="s">
        <v>51</v>
      </c>
      <c r="B324" s="47" t="s">
        <v>59</v>
      </c>
      <c r="C324" s="49"/>
      <c r="D324" s="19" t="s">
        <v>15</v>
      </c>
      <c r="E324" s="23">
        <v>73</v>
      </c>
      <c r="F324" s="18">
        <f>E324* 0.981163265034061</f>
        <v>71.624918347486457</v>
      </c>
      <c r="G324" s="18">
        <f>E324* 0.0027595216829083</f>
        <v>0.20144508285230589</v>
      </c>
      <c r="H324" s="18">
        <f>E324* 0.0160372202151627</f>
        <v>1.1707170757068772</v>
      </c>
    </row>
    <row r="325" spans="1:8" ht="15.75" hidden="1" customHeight="1" x14ac:dyDescent="0.25">
      <c r="A325" s="20" t="s">
        <v>51</v>
      </c>
      <c r="B325" s="47" t="s">
        <v>59</v>
      </c>
      <c r="C325" s="49"/>
      <c r="D325" s="29" t="s">
        <v>303</v>
      </c>
      <c r="E325" s="23">
        <v>3</v>
      </c>
      <c r="F325" s="18">
        <f>E325* 0.142974979378609</f>
        <v>0.42892493813582699</v>
      </c>
      <c r="G325" s="18">
        <f>E325* 0.852350838603245</f>
        <v>2.557052515809735</v>
      </c>
      <c r="H325" s="18">
        <f>E325* 0.00467418201814682</f>
        <v>1.4022546054440459E-2</v>
      </c>
    </row>
    <row r="326" spans="1:8" ht="15.75" hidden="1" customHeight="1" x14ac:dyDescent="0.25">
      <c r="A326" s="20" t="s">
        <v>51</v>
      </c>
      <c r="B326" s="47" t="s">
        <v>59</v>
      </c>
      <c r="C326" s="49"/>
      <c r="D326" s="19" t="s">
        <v>11</v>
      </c>
      <c r="E326" s="23">
        <v>56</v>
      </c>
      <c r="F326" s="18">
        <f>E326* 0.178797409805735</f>
        <v>10.01265494912116</v>
      </c>
      <c r="G326" s="18">
        <f>E326* 0.819278445883441</f>
        <v>45.879592969472696</v>
      </c>
      <c r="H326" s="18">
        <f>E326* 0.00181313598519889</f>
        <v>0.10153561517113784</v>
      </c>
    </row>
    <row r="327" spans="1:8" ht="15.75" hidden="1" customHeight="1" x14ac:dyDescent="0.25">
      <c r="A327" s="20" t="s">
        <v>51</v>
      </c>
      <c r="B327" s="47" t="s">
        <v>59</v>
      </c>
      <c r="C327" s="49"/>
      <c r="D327" s="19" t="s">
        <v>17</v>
      </c>
      <c r="E327" s="23">
        <v>87</v>
      </c>
      <c r="F327" s="18">
        <f>E327* 0.916446662218225</f>
        <v>79.730859612985583</v>
      </c>
      <c r="G327" s="18">
        <f>E327* 0.0292436682236212</f>
        <v>2.5441991354550444</v>
      </c>
      <c r="H327" s="18">
        <f>E327* 0.0543096695581537</f>
        <v>4.7249412515593718</v>
      </c>
    </row>
    <row r="328" spans="1:8" ht="15.75" hidden="1" customHeight="1" x14ac:dyDescent="0.25">
      <c r="A328" s="20" t="s">
        <v>51</v>
      </c>
      <c r="B328" s="47" t="s">
        <v>59</v>
      </c>
      <c r="C328" s="49"/>
      <c r="D328" s="19" t="s">
        <v>31</v>
      </c>
      <c r="E328" s="23">
        <v>13</v>
      </c>
      <c r="F328" s="18">
        <f>E328* 0.957442434210526</f>
        <v>12.446751644736837</v>
      </c>
      <c r="G328" s="18">
        <f>E328* 0.0158305921052632</f>
        <v>0.20579769736842157</v>
      </c>
      <c r="H328" s="18">
        <f>E328* 0.0263157894736842</f>
        <v>0.34210526315789458</v>
      </c>
    </row>
    <row r="329" spans="1:8" ht="15.75" hidden="1" customHeight="1" x14ac:dyDescent="0.25">
      <c r="A329" s="20" t="s">
        <v>51</v>
      </c>
      <c r="B329" s="47" t="s">
        <v>59</v>
      </c>
      <c r="C329" s="49"/>
      <c r="D329" s="19" t="s">
        <v>18</v>
      </c>
      <c r="E329" s="23">
        <v>14</v>
      </c>
      <c r="F329" s="18">
        <f>E329* 0.983388008654987</f>
        <v>13.767432121169819</v>
      </c>
      <c r="G329" s="18">
        <f>E329* 0.0133314720457877</f>
        <v>0.1866406086410278</v>
      </c>
      <c r="H329" s="18">
        <f>E329* 0.003210721016263</f>
        <v>4.4950094227682001E-2</v>
      </c>
    </row>
    <row r="330" spans="1:8" ht="15.75" hidden="1" customHeight="1" x14ac:dyDescent="0.25">
      <c r="A330" s="20" t="s">
        <v>51</v>
      </c>
      <c r="B330" s="47" t="s">
        <v>59</v>
      </c>
      <c r="C330" s="49"/>
      <c r="D330" s="19" t="s">
        <v>19</v>
      </c>
      <c r="E330" s="23">
        <v>1</v>
      </c>
      <c r="F330" s="18">
        <f>E330* 0.511826182618262</f>
        <v>0.51182618261826196</v>
      </c>
      <c r="G330" s="18">
        <f>E330* 0.476622662266227</f>
        <v>0.47662266226622702</v>
      </c>
      <c r="H330" s="18">
        <f>E330* 0.0115511551155116</f>
        <v>1.1551155115511601E-2</v>
      </c>
    </row>
    <row r="331" spans="1:8" ht="15.75" hidden="1" customHeight="1" x14ac:dyDescent="0.25">
      <c r="A331" s="20" t="s">
        <v>51</v>
      </c>
      <c r="B331" s="47" t="s">
        <v>59</v>
      </c>
      <c r="C331" s="49"/>
      <c r="D331" s="19" t="s">
        <v>20</v>
      </c>
      <c r="E331" s="23">
        <v>146</v>
      </c>
      <c r="F331" s="18">
        <f>E331* 0.814615536880747</f>
        <v>118.93386838458906</v>
      </c>
      <c r="G331" s="18">
        <f>E331* 0.0763167839340663</f>
        <v>11.142250454373679</v>
      </c>
      <c r="H331" s="18">
        <f>E331* 0.109013694193014</f>
        <v>15.915999352180044</v>
      </c>
    </row>
    <row r="332" spans="1:8" ht="15.75" hidden="1" customHeight="1" x14ac:dyDescent="0.25">
      <c r="A332" s="20" t="s">
        <v>51</v>
      </c>
      <c r="B332" s="47" t="s">
        <v>59</v>
      </c>
      <c r="C332" s="49"/>
      <c r="D332" s="19" t="s">
        <v>21</v>
      </c>
      <c r="E332" s="23">
        <v>41</v>
      </c>
      <c r="F332" s="18">
        <f>E332* 0.999722052365334</f>
        <v>40.988604146978695</v>
      </c>
      <c r="G332" s="20">
        <v>0</v>
      </c>
      <c r="H332" s="18">
        <f>E332* 0.000277947634665629</f>
        <v>1.1395853021290788E-2</v>
      </c>
    </row>
    <row r="333" spans="1:8" ht="15.75" hidden="1" customHeight="1" x14ac:dyDescent="0.25">
      <c r="A333" s="20" t="s">
        <v>51</v>
      </c>
      <c r="B333" s="47" t="s">
        <v>59</v>
      </c>
      <c r="C333" s="49"/>
      <c r="D333" s="19" t="s">
        <v>28</v>
      </c>
      <c r="E333" s="23">
        <v>70</v>
      </c>
      <c r="F333" s="18">
        <f>E333* 0.00115651503469545</f>
        <v>8.0956052428681494E-2</v>
      </c>
      <c r="G333" s="18">
        <f>E333* 0.998843484965305</f>
        <v>69.919043947571353</v>
      </c>
      <c r="H333" s="20">
        <v>0</v>
      </c>
    </row>
    <row r="334" spans="1:8" ht="15.75" hidden="1" customHeight="1" x14ac:dyDescent="0.25">
      <c r="A334" s="20" t="s">
        <v>51</v>
      </c>
      <c r="B334" s="47" t="s">
        <v>59</v>
      </c>
      <c r="C334" s="49"/>
      <c r="D334" s="19" t="s">
        <v>12</v>
      </c>
      <c r="E334" s="23">
        <v>202</v>
      </c>
      <c r="F334" s="18">
        <f>E334* 0.924936238310357</f>
        <v>186.83712013869211</v>
      </c>
      <c r="G334" s="18">
        <f>E334* 0.0351064361799663</f>
        <v>7.0915001083531921</v>
      </c>
      <c r="H334" s="18">
        <f>E334* 0.039932320925503</f>
        <v>8.0663288269516062</v>
      </c>
    </row>
    <row r="335" spans="1:8" ht="15.75" hidden="1" customHeight="1" x14ac:dyDescent="0.25">
      <c r="A335" s="20" t="s">
        <v>51</v>
      </c>
      <c r="B335" s="20"/>
      <c r="C335" s="20"/>
      <c r="D335" s="46"/>
      <c r="E335" s="35"/>
    </row>
    <row r="336" spans="1:8" ht="15.75" hidden="1" customHeight="1" x14ac:dyDescent="0.25">
      <c r="A336" s="20" t="s">
        <v>51</v>
      </c>
      <c r="B336" s="47" t="s">
        <v>304</v>
      </c>
      <c r="C336" s="12" t="str">
        <f>B336&amp;"_"&amp;A336</f>
        <v>Cairoma_La Paz</v>
      </c>
      <c r="D336" s="20"/>
      <c r="E336" s="48">
        <v>19</v>
      </c>
      <c r="F336" s="14">
        <f t="shared" ref="F336:H336" si="37">SUM(F337:F344)</f>
        <v>11.873302950253901</v>
      </c>
      <c r="G336" s="14">
        <f t="shared" si="37"/>
        <v>6.2401217628022074</v>
      </c>
      <c r="H336" s="14">
        <f t="shared" si="37"/>
        <v>0.88600833157925718</v>
      </c>
    </row>
    <row r="337" spans="1:8" ht="15.75" hidden="1" customHeight="1" x14ac:dyDescent="0.25">
      <c r="A337" s="20" t="s">
        <v>51</v>
      </c>
      <c r="B337" s="47" t="s">
        <v>304</v>
      </c>
      <c r="C337" s="49"/>
      <c r="D337" s="29" t="s">
        <v>305</v>
      </c>
      <c r="E337" s="23">
        <v>2</v>
      </c>
      <c r="F337" s="20">
        <v>0</v>
      </c>
      <c r="G337" s="24">
        <f>E337</f>
        <v>2</v>
      </c>
      <c r="H337" s="20">
        <v>0</v>
      </c>
    </row>
    <row r="338" spans="1:8" ht="15.75" hidden="1" customHeight="1" x14ac:dyDescent="0.25">
      <c r="A338" s="20" t="s">
        <v>51</v>
      </c>
      <c r="B338" s="47" t="s">
        <v>304</v>
      </c>
      <c r="C338" s="49"/>
      <c r="D338" s="29" t="s">
        <v>306</v>
      </c>
      <c r="E338" s="23">
        <v>0</v>
      </c>
      <c r="F338" s="18">
        <f>E338* 0.142974979378609</f>
        <v>0</v>
      </c>
      <c r="G338" s="18">
        <f>E338* 0.852350838603245</f>
        <v>0</v>
      </c>
      <c r="H338" s="18">
        <f>E338* 0.00467418201814682</f>
        <v>0</v>
      </c>
    </row>
    <row r="339" spans="1:8" ht="15.75" hidden="1" customHeight="1" x14ac:dyDescent="0.25">
      <c r="A339" s="20" t="s">
        <v>51</v>
      </c>
      <c r="B339" s="47" t="s">
        <v>304</v>
      </c>
      <c r="C339" s="49"/>
      <c r="D339" s="19" t="s">
        <v>11</v>
      </c>
      <c r="E339" s="23">
        <v>2</v>
      </c>
      <c r="F339" s="18">
        <f>E339* 0.178797409805735</f>
        <v>0.35759481961146999</v>
      </c>
      <c r="G339" s="18">
        <f>E339* 0.819278445883441</f>
        <v>1.638556891766882</v>
      </c>
      <c r="H339" s="18">
        <f>E339* 0.00181313598519889</f>
        <v>3.6262719703977798E-3</v>
      </c>
    </row>
    <row r="340" spans="1:8" ht="15.75" hidden="1" customHeight="1" x14ac:dyDescent="0.25">
      <c r="A340" s="20" t="s">
        <v>51</v>
      </c>
      <c r="B340" s="47" t="s">
        <v>304</v>
      </c>
      <c r="C340" s="49"/>
      <c r="D340" s="19" t="s">
        <v>17</v>
      </c>
      <c r="E340" s="23">
        <v>4</v>
      </c>
      <c r="F340" s="18">
        <f>E340* 0.916446662218225</f>
        <v>3.6657866488729001</v>
      </c>
      <c r="G340" s="18">
        <f>E340* 0.0292436682236212</f>
        <v>0.11697467289448479</v>
      </c>
      <c r="H340" s="18">
        <f>E340* 0.0543096695581537</f>
        <v>0.21723867823261481</v>
      </c>
    </row>
    <row r="341" spans="1:8" ht="15.75" hidden="1" customHeight="1" x14ac:dyDescent="0.25">
      <c r="A341" s="20" t="s">
        <v>51</v>
      </c>
      <c r="B341" s="47" t="s">
        <v>304</v>
      </c>
      <c r="C341" s="49"/>
      <c r="D341" s="19" t="s">
        <v>20</v>
      </c>
      <c r="E341" s="23">
        <v>5</v>
      </c>
      <c r="F341" s="18">
        <f>E341* 0.814615536880747</f>
        <v>4.0730776844037351</v>
      </c>
      <c r="G341" s="18">
        <f>E341* 0.0763167839340663</f>
        <v>0.38158391967033145</v>
      </c>
      <c r="H341" s="18">
        <f>E341* 0.109013694193014</f>
        <v>0.54506847096507005</v>
      </c>
    </row>
    <row r="342" spans="1:8" ht="15.75" hidden="1" customHeight="1" x14ac:dyDescent="0.25">
      <c r="A342" s="20" t="s">
        <v>51</v>
      </c>
      <c r="B342" s="47" t="s">
        <v>304</v>
      </c>
      <c r="C342" s="49"/>
      <c r="D342" s="19" t="s">
        <v>21</v>
      </c>
      <c r="E342" s="23">
        <v>1</v>
      </c>
      <c r="F342" s="18">
        <f>E342* 0.999722052365334</f>
        <v>0.99972205236533396</v>
      </c>
      <c r="G342" s="20">
        <v>0</v>
      </c>
      <c r="H342" s="18">
        <f>E342* 0.000277947634665629</f>
        <v>2.7794763466562898E-4</v>
      </c>
    </row>
    <row r="343" spans="1:8" ht="15.75" hidden="1" customHeight="1" x14ac:dyDescent="0.25">
      <c r="A343" s="20" t="s">
        <v>51</v>
      </c>
      <c r="B343" s="47" t="s">
        <v>304</v>
      </c>
      <c r="C343" s="49"/>
      <c r="D343" s="19" t="s">
        <v>28</v>
      </c>
      <c r="E343" s="23">
        <v>2</v>
      </c>
      <c r="F343" s="18">
        <f>E343* 0.00115651503469545</f>
        <v>2.3130300693908999E-3</v>
      </c>
      <c r="G343" s="18">
        <f>E343* 0.998843484965305</f>
        <v>1.9976869699306099</v>
      </c>
      <c r="H343" s="20">
        <v>0</v>
      </c>
    </row>
    <row r="344" spans="1:8" ht="15.75" hidden="1" customHeight="1" x14ac:dyDescent="0.25">
      <c r="A344" s="20" t="s">
        <v>51</v>
      </c>
      <c r="B344" s="47" t="s">
        <v>304</v>
      </c>
      <c r="C344" s="49"/>
      <c r="D344" s="19" t="s">
        <v>12</v>
      </c>
      <c r="E344" s="23">
        <v>3</v>
      </c>
      <c r="F344" s="18">
        <f>E344* 0.924936238310357</f>
        <v>2.774808714931071</v>
      </c>
      <c r="G344" s="18">
        <f>E344* 0.0351064361799663</f>
        <v>0.10531930853989889</v>
      </c>
      <c r="H344" s="18">
        <f>E344* 0.039932320925503</f>
        <v>0.119796962776509</v>
      </c>
    </row>
    <row r="345" spans="1:8" ht="15.75" hidden="1" customHeight="1" x14ac:dyDescent="0.25">
      <c r="A345" s="20" t="s">
        <v>51</v>
      </c>
      <c r="B345" s="20"/>
      <c r="C345" s="20"/>
      <c r="D345" s="46"/>
      <c r="E345" s="35"/>
    </row>
    <row r="346" spans="1:8" ht="15.75" hidden="1" customHeight="1" x14ac:dyDescent="0.25">
      <c r="A346" s="20" t="s">
        <v>51</v>
      </c>
      <c r="B346" s="47" t="s">
        <v>307</v>
      </c>
      <c r="C346" s="12" t="str">
        <f>B346&amp;"_"&amp;A346</f>
        <v>Cajuata_La Paz</v>
      </c>
      <c r="D346" s="20"/>
      <c r="E346" s="48">
        <v>23</v>
      </c>
      <c r="F346" s="14">
        <f t="shared" ref="F346:H346" si="38">SUM(F347:F351)</f>
        <v>17.864254369331086</v>
      </c>
      <c r="G346" s="14">
        <f t="shared" si="38"/>
        <v>4.5471542754182099</v>
      </c>
      <c r="H346" s="14">
        <f t="shared" si="38"/>
        <v>0.58775728737283672</v>
      </c>
    </row>
    <row r="347" spans="1:8" ht="15.75" hidden="1" customHeight="1" x14ac:dyDescent="0.25">
      <c r="A347" s="20" t="s">
        <v>51</v>
      </c>
      <c r="B347" s="47" t="s">
        <v>307</v>
      </c>
      <c r="C347" s="49"/>
      <c r="D347" s="19" t="s">
        <v>11</v>
      </c>
      <c r="E347" s="23">
        <v>5</v>
      </c>
      <c r="F347" s="18">
        <f>E347* 0.178797409805735</f>
        <v>0.89398704902867498</v>
      </c>
      <c r="G347" s="18">
        <f>E347* 0.819278445883441</f>
        <v>4.096392229417205</v>
      </c>
      <c r="H347" s="18">
        <f>E347* 0.00181313598519889</f>
        <v>9.0656799259944496E-3</v>
      </c>
    </row>
    <row r="348" spans="1:8" ht="15.75" hidden="1" customHeight="1" x14ac:dyDescent="0.25">
      <c r="A348" s="20" t="s">
        <v>51</v>
      </c>
      <c r="B348" s="47" t="s">
        <v>307</v>
      </c>
      <c r="C348" s="49"/>
      <c r="D348" s="19" t="s">
        <v>17</v>
      </c>
      <c r="E348" s="23">
        <v>2</v>
      </c>
      <c r="F348" s="18">
        <f>E348* 0.916446662218225</f>
        <v>1.83289332443645</v>
      </c>
      <c r="G348" s="18">
        <f>E348* 0.0292436682236212</f>
        <v>5.8487336447242397E-2</v>
      </c>
      <c r="H348" s="18">
        <f>E348* 0.0543096695581537</f>
        <v>0.1086193391163074</v>
      </c>
    </row>
    <row r="349" spans="1:8" ht="15.75" hidden="1" customHeight="1" x14ac:dyDescent="0.25">
      <c r="A349" s="20" t="s">
        <v>51</v>
      </c>
      <c r="B349" s="47" t="s">
        <v>307</v>
      </c>
      <c r="C349" s="49"/>
      <c r="D349" s="19" t="s">
        <v>20</v>
      </c>
      <c r="E349" s="23">
        <v>1</v>
      </c>
      <c r="F349" s="18">
        <f>E349* 0.814615536880747</f>
        <v>0.81461553688074695</v>
      </c>
      <c r="G349" s="18">
        <f>E349* 0.0763167839340663</f>
        <v>7.6316783934066296E-2</v>
      </c>
      <c r="H349" s="18">
        <f>E349* 0.109013694193014</f>
        <v>0.109013694193014</v>
      </c>
    </row>
    <row r="350" spans="1:8" ht="15.75" hidden="1" customHeight="1" x14ac:dyDescent="0.25">
      <c r="A350" s="20" t="s">
        <v>51</v>
      </c>
      <c r="B350" s="47" t="s">
        <v>307</v>
      </c>
      <c r="C350" s="49"/>
      <c r="D350" s="19" t="s">
        <v>21</v>
      </c>
      <c r="E350" s="23">
        <v>6</v>
      </c>
      <c r="F350" s="18">
        <f>E350* 0.999722052365334</f>
        <v>5.9983323141920035</v>
      </c>
      <c r="G350" s="20">
        <v>0</v>
      </c>
      <c r="H350" s="18">
        <f>E350* 0.000277947634665629</f>
        <v>1.6676858079937738E-3</v>
      </c>
    </row>
    <row r="351" spans="1:8" ht="15.75" hidden="1" customHeight="1" x14ac:dyDescent="0.25">
      <c r="A351" s="20" t="s">
        <v>51</v>
      </c>
      <c r="B351" s="47" t="s">
        <v>307</v>
      </c>
      <c r="C351" s="49"/>
      <c r="D351" s="19" t="s">
        <v>12</v>
      </c>
      <c r="E351" s="23">
        <v>9</v>
      </c>
      <c r="F351" s="18">
        <f>E351* 0.924936238310357</f>
        <v>8.3244261447932129</v>
      </c>
      <c r="G351" s="18">
        <f>E351* 0.0351064361799663</f>
        <v>0.31595792561969666</v>
      </c>
      <c r="H351" s="18">
        <f>E351* 0.039932320925503</f>
        <v>0.35939088832952704</v>
      </c>
    </row>
    <row r="352" spans="1:8" ht="15.75" hidden="1" customHeight="1" x14ac:dyDescent="0.25">
      <c r="A352" s="20" t="s">
        <v>51</v>
      </c>
      <c r="B352" s="20"/>
      <c r="C352" s="20"/>
      <c r="D352" s="46"/>
      <c r="E352" s="35"/>
    </row>
    <row r="353" spans="1:8" ht="15.75" hidden="1" customHeight="1" x14ac:dyDescent="0.25">
      <c r="A353" s="20" t="s">
        <v>51</v>
      </c>
      <c r="B353" s="47" t="s">
        <v>60</v>
      </c>
      <c r="C353" s="12" t="str">
        <f>B353&amp;"_"&amp;A353</f>
        <v>Calacoto_La Paz</v>
      </c>
      <c r="D353" s="20"/>
      <c r="E353" s="48">
        <v>176</v>
      </c>
      <c r="F353" s="14">
        <f t="shared" ref="F353:H353" si="39">SUM(F354:F363)</f>
        <v>149.46042478766782</v>
      </c>
      <c r="G353" s="14">
        <f t="shared" si="39"/>
        <v>21.01057321477013</v>
      </c>
      <c r="H353" s="14">
        <f t="shared" si="39"/>
        <v>5.5242760325663189</v>
      </c>
    </row>
    <row r="354" spans="1:8" ht="15.75" hidden="1" customHeight="1" x14ac:dyDescent="0.25">
      <c r="A354" s="20" t="s">
        <v>51</v>
      </c>
      <c r="B354" s="47" t="s">
        <v>60</v>
      </c>
      <c r="C354" s="49"/>
      <c r="D354" s="19" t="s">
        <v>15</v>
      </c>
      <c r="E354" s="23">
        <v>7</v>
      </c>
      <c r="F354" s="18">
        <f>E354* 0.981163265034061</f>
        <v>6.8681428552384274</v>
      </c>
      <c r="G354" s="18">
        <f>E354* 0.0027595216829083</f>
        <v>1.9316651780358098E-2</v>
      </c>
      <c r="H354" s="18">
        <f>E354* 0.0160372202151627</f>
        <v>0.11226054150613891</v>
      </c>
    </row>
    <row r="355" spans="1:8" ht="15.75" hidden="1" customHeight="1" x14ac:dyDescent="0.25">
      <c r="A355" s="20" t="s">
        <v>51</v>
      </c>
      <c r="B355" s="47" t="s">
        <v>60</v>
      </c>
      <c r="C355" s="49"/>
      <c r="D355" s="29" t="s">
        <v>308</v>
      </c>
      <c r="E355" s="23">
        <v>9</v>
      </c>
      <c r="F355" s="18">
        <f>E355* 0.142974979378609</f>
        <v>1.2867748144074811</v>
      </c>
      <c r="G355" s="18">
        <f>E355* 0.852350838603245</f>
        <v>7.6711575474292051</v>
      </c>
      <c r="H355" s="18">
        <f>E355* 0.00467418201814682</f>
        <v>4.2067638163321375E-2</v>
      </c>
    </row>
    <row r="356" spans="1:8" ht="15.75" hidden="1" customHeight="1" x14ac:dyDescent="0.25">
      <c r="A356" s="20" t="s">
        <v>51</v>
      </c>
      <c r="B356" s="47" t="s">
        <v>60</v>
      </c>
      <c r="C356" s="49"/>
      <c r="D356" s="19" t="s">
        <v>11</v>
      </c>
      <c r="E356" s="23">
        <v>11</v>
      </c>
      <c r="F356" s="18">
        <f>E356* 0.178797409805735</f>
        <v>1.966771507863085</v>
      </c>
      <c r="G356" s="18">
        <f>E356* 0.819278445883441</f>
        <v>9.0120629047178511</v>
      </c>
      <c r="H356" s="18">
        <f>E356* 0.00181313598519889</f>
        <v>1.9944495837187791E-2</v>
      </c>
    </row>
    <row r="357" spans="1:8" ht="15.75" hidden="1" customHeight="1" x14ac:dyDescent="0.25">
      <c r="A357" s="20" t="s">
        <v>51</v>
      </c>
      <c r="B357" s="47" t="s">
        <v>60</v>
      </c>
      <c r="C357" s="49"/>
      <c r="D357" s="19" t="s">
        <v>17</v>
      </c>
      <c r="E357" s="23">
        <v>17</v>
      </c>
      <c r="F357" s="18">
        <f>E357* 0.916446662218225</f>
        <v>15.579593257709826</v>
      </c>
      <c r="G357" s="18">
        <f>E357* 0.0292436682236212</f>
        <v>0.49714235980156035</v>
      </c>
      <c r="H357" s="18">
        <f>E357* 0.0543096695581537</f>
        <v>0.92326438248861298</v>
      </c>
    </row>
    <row r="358" spans="1:8" ht="15.75" hidden="1" customHeight="1" x14ac:dyDescent="0.25">
      <c r="A358" s="20" t="s">
        <v>51</v>
      </c>
      <c r="B358" s="47" t="s">
        <v>60</v>
      </c>
      <c r="C358" s="49"/>
      <c r="D358" s="19" t="s">
        <v>309</v>
      </c>
      <c r="E358" s="23">
        <v>2</v>
      </c>
      <c r="F358" s="18">
        <f>E358* 0.957442434210526</f>
        <v>1.914884868421052</v>
      </c>
      <c r="G358" s="18">
        <f>E358* 0.0158305921052632</f>
        <v>3.1661184210526397E-2</v>
      </c>
      <c r="H358" s="18">
        <f>E358* 0.0263157894736842</f>
        <v>5.2631578947368397E-2</v>
      </c>
    </row>
    <row r="359" spans="1:8" ht="15.75" hidden="1" customHeight="1" x14ac:dyDescent="0.25">
      <c r="A359" s="20" t="s">
        <v>51</v>
      </c>
      <c r="B359" s="47" t="s">
        <v>60</v>
      </c>
      <c r="C359" s="49"/>
      <c r="D359" s="19" t="s">
        <v>18</v>
      </c>
      <c r="E359" s="23">
        <v>1</v>
      </c>
      <c r="F359" s="18">
        <f>E359* 0.983388008654987</f>
        <v>0.98338800865498699</v>
      </c>
      <c r="G359" s="18">
        <f>E359* 0.0133314720457877</f>
        <v>1.33314720457877E-2</v>
      </c>
      <c r="H359" s="18">
        <f>E359* 0.003210721016263</f>
        <v>3.2107210162630002E-3</v>
      </c>
    </row>
    <row r="360" spans="1:8" ht="15.75" hidden="1" customHeight="1" x14ac:dyDescent="0.25">
      <c r="A360" s="20" t="s">
        <v>51</v>
      </c>
      <c r="B360" s="47" t="s">
        <v>60</v>
      </c>
      <c r="C360" s="49"/>
      <c r="D360" s="19" t="s">
        <v>19</v>
      </c>
      <c r="E360" s="23">
        <v>1</v>
      </c>
      <c r="F360" s="18">
        <f>E360* 0.511826182618262</f>
        <v>0.51182618261826196</v>
      </c>
      <c r="G360" s="18">
        <f>E360* 0.476622662266227</f>
        <v>0.47662266226622702</v>
      </c>
      <c r="H360" s="18">
        <f>E360* 0.0115511551155116</f>
        <v>1.1551155115511601E-2</v>
      </c>
    </row>
    <row r="361" spans="1:8" ht="15.75" hidden="1" customHeight="1" x14ac:dyDescent="0.25">
      <c r="A361" s="20" t="s">
        <v>51</v>
      </c>
      <c r="B361" s="47" t="s">
        <v>60</v>
      </c>
      <c r="C361" s="49"/>
      <c r="D361" s="19" t="s">
        <v>20</v>
      </c>
      <c r="E361" s="23">
        <v>27</v>
      </c>
      <c r="F361" s="18">
        <f>E361* 0.814615536880747</f>
        <v>21.994619495780167</v>
      </c>
      <c r="G361" s="18">
        <f>E361* 0.0763167839340663</f>
        <v>2.06055316621979</v>
      </c>
      <c r="H361" s="18">
        <f>E361* 0.109013694193014</f>
        <v>2.9433697432113779</v>
      </c>
    </row>
    <row r="362" spans="1:8" ht="15.75" hidden="1" customHeight="1" x14ac:dyDescent="0.25">
      <c r="A362" s="20" t="s">
        <v>51</v>
      </c>
      <c r="B362" s="47" t="s">
        <v>60</v>
      </c>
      <c r="C362" s="49"/>
      <c r="D362" s="19" t="s">
        <v>21</v>
      </c>
      <c r="E362" s="23">
        <v>66</v>
      </c>
      <c r="F362" s="18">
        <f>E362* 0.999722052365334</f>
        <v>65.981655456112037</v>
      </c>
      <c r="G362" s="20">
        <v>0</v>
      </c>
      <c r="H362" s="18">
        <f>E362* 0.000277947634665629</f>
        <v>1.8344543887931514E-2</v>
      </c>
    </row>
    <row r="363" spans="1:8" ht="15.75" hidden="1" customHeight="1" x14ac:dyDescent="0.25">
      <c r="A363" s="20" t="s">
        <v>51</v>
      </c>
      <c r="B363" s="47" t="s">
        <v>60</v>
      </c>
      <c r="C363" s="49"/>
      <c r="D363" s="19" t="s">
        <v>12</v>
      </c>
      <c r="E363" s="23">
        <v>35</v>
      </c>
      <c r="F363" s="18">
        <f>E363* 0.924936238310357</f>
        <v>32.372768340862493</v>
      </c>
      <c r="G363" s="18">
        <f>E363* 0.0351064361799663</f>
        <v>1.2287252662988204</v>
      </c>
      <c r="H363" s="18">
        <f>E363* 0.039932320925503</f>
        <v>1.397631232392605</v>
      </c>
    </row>
    <row r="364" spans="1:8" ht="15.75" hidden="1" customHeight="1" x14ac:dyDescent="0.25">
      <c r="A364" s="20" t="s">
        <v>51</v>
      </c>
      <c r="B364" s="20"/>
      <c r="C364" s="20"/>
      <c r="D364" s="46"/>
      <c r="E364" s="35"/>
    </row>
    <row r="365" spans="1:8" ht="15.75" hidden="1" customHeight="1" x14ac:dyDescent="0.25">
      <c r="A365" s="20" t="s">
        <v>51</v>
      </c>
      <c r="B365" s="47" t="s">
        <v>61</v>
      </c>
      <c r="C365" s="12" t="str">
        <f>B365&amp;"_"&amp;A365</f>
        <v>Calamarca_La Paz</v>
      </c>
      <c r="D365" s="20"/>
      <c r="E365" s="48">
        <v>12648</v>
      </c>
      <c r="F365" s="14">
        <f t="shared" ref="F365:H365" si="40">SUM(F366:F378)</f>
        <v>9401.2832828814608</v>
      </c>
      <c r="G365" s="14">
        <f t="shared" si="40"/>
        <v>2562.6977023951704</v>
      </c>
      <c r="H365" s="14">
        <f t="shared" si="40"/>
        <v>683.38563901540613</v>
      </c>
    </row>
    <row r="366" spans="1:8" ht="15.75" hidden="1" customHeight="1" x14ac:dyDescent="0.25">
      <c r="A366" s="20" t="s">
        <v>51</v>
      </c>
      <c r="B366" s="47" t="s">
        <v>61</v>
      </c>
      <c r="C366" s="49"/>
      <c r="D366" s="29" t="s">
        <v>310</v>
      </c>
      <c r="E366" s="23">
        <v>13</v>
      </c>
      <c r="F366" s="20">
        <v>0</v>
      </c>
      <c r="G366" s="24">
        <f>E366</f>
        <v>13</v>
      </c>
      <c r="H366" s="20">
        <v>0</v>
      </c>
    </row>
    <row r="367" spans="1:8" ht="15.75" hidden="1" customHeight="1" x14ac:dyDescent="0.25">
      <c r="A367" s="20" t="s">
        <v>51</v>
      </c>
      <c r="B367" s="47" t="s">
        <v>61</v>
      </c>
      <c r="C367" s="49"/>
      <c r="D367" s="19" t="s">
        <v>15</v>
      </c>
      <c r="E367" s="23">
        <v>390</v>
      </c>
      <c r="F367" s="18">
        <f>E367* 0.981163265034061</f>
        <v>382.65367336328381</v>
      </c>
      <c r="G367" s="18">
        <f>E367* 0.0027595216829083</f>
        <v>1.0762134563342369</v>
      </c>
      <c r="H367" s="18">
        <f>E367* 0.0160372202151627</f>
        <v>6.2545158839134531</v>
      </c>
    </row>
    <row r="368" spans="1:8" ht="15.75" hidden="1" customHeight="1" x14ac:dyDescent="0.25">
      <c r="A368" s="20" t="s">
        <v>51</v>
      </c>
      <c r="B368" s="47" t="s">
        <v>61</v>
      </c>
      <c r="C368" s="49"/>
      <c r="D368" s="29" t="s">
        <v>311</v>
      </c>
      <c r="E368" s="23">
        <v>77</v>
      </c>
      <c r="F368" s="18">
        <f>E368* 0.142974979378609</f>
        <v>11.009073412152894</v>
      </c>
      <c r="G368" s="18">
        <f>E368* 0.852350838603245</f>
        <v>65.631014572449871</v>
      </c>
      <c r="H368" s="18">
        <f>E368* 0.00467418201814682</f>
        <v>0.35991201539730511</v>
      </c>
    </row>
    <row r="369" spans="1:8" ht="15.75" hidden="1" customHeight="1" x14ac:dyDescent="0.25">
      <c r="A369" s="20" t="s">
        <v>51</v>
      </c>
      <c r="B369" s="47" t="s">
        <v>61</v>
      </c>
      <c r="C369" s="49"/>
      <c r="D369" s="19" t="s">
        <v>11</v>
      </c>
      <c r="E369" s="23">
        <v>1810</v>
      </c>
      <c r="F369" s="18">
        <f>E369* 0.178797409805735</f>
        <v>323.62331174838033</v>
      </c>
      <c r="G369" s="18">
        <f>E369* 0.819278445883441</f>
        <v>1482.8939870490283</v>
      </c>
      <c r="H369" s="18">
        <f>E369* 0.00181313598519889</f>
        <v>3.2817761332099908</v>
      </c>
    </row>
    <row r="370" spans="1:8" ht="15.75" hidden="1" customHeight="1" x14ac:dyDescent="0.25">
      <c r="A370" s="20" t="s">
        <v>51</v>
      </c>
      <c r="B370" s="47" t="s">
        <v>61</v>
      </c>
      <c r="C370" s="49"/>
      <c r="D370" s="19" t="s">
        <v>17</v>
      </c>
      <c r="E370" s="23">
        <v>1462</v>
      </c>
      <c r="F370" s="18">
        <f>E370* 0.916446662218225</f>
        <v>1339.8450201630449</v>
      </c>
      <c r="G370" s="18">
        <f>E370* 0.0292436682236212</f>
        <v>42.754242942934191</v>
      </c>
      <c r="H370" s="18">
        <f>E370* 0.0543096695581537</f>
        <v>79.40073689402071</v>
      </c>
    </row>
    <row r="371" spans="1:8" ht="15.75" hidden="1" customHeight="1" x14ac:dyDescent="0.25">
      <c r="A371" s="20" t="s">
        <v>51</v>
      </c>
      <c r="B371" s="47" t="s">
        <v>61</v>
      </c>
      <c r="C371" s="49"/>
      <c r="D371" s="19" t="s">
        <v>31</v>
      </c>
      <c r="E371" s="23">
        <v>259</v>
      </c>
      <c r="F371" s="18">
        <f>E371* 0.957442434210526</f>
        <v>247.97759046052624</v>
      </c>
      <c r="G371" s="18">
        <f>E371* 0.0158305921052632</f>
        <v>4.1001233552631682</v>
      </c>
      <c r="H371" s="18">
        <f>E371* 0.0263157894736842</f>
        <v>6.8157894736842071</v>
      </c>
    </row>
    <row r="372" spans="1:8" ht="15.75" hidden="1" customHeight="1" x14ac:dyDescent="0.25">
      <c r="A372" s="20" t="s">
        <v>51</v>
      </c>
      <c r="B372" s="47" t="s">
        <v>61</v>
      </c>
      <c r="C372" s="49"/>
      <c r="D372" s="19" t="s">
        <v>18</v>
      </c>
      <c r="E372" s="23">
        <v>62</v>
      </c>
      <c r="F372" s="18">
        <f>E372* 0.983388008654987</f>
        <v>60.970056536609192</v>
      </c>
      <c r="G372" s="18">
        <f>E372* 0.0133314720457877</f>
        <v>0.8265512668388374</v>
      </c>
      <c r="H372" s="18">
        <f>E372* 0.003210721016263</f>
        <v>0.199064703008306</v>
      </c>
    </row>
    <row r="373" spans="1:8" ht="15.75" hidden="1" customHeight="1" x14ac:dyDescent="0.25">
      <c r="A373" s="20" t="s">
        <v>51</v>
      </c>
      <c r="B373" s="47" t="s">
        <v>61</v>
      </c>
      <c r="C373" s="49"/>
      <c r="D373" s="19" t="s">
        <v>19</v>
      </c>
      <c r="E373" s="23">
        <v>17</v>
      </c>
      <c r="F373" s="18">
        <f>E373* 0.511826182618262</f>
        <v>8.7010451045104524</v>
      </c>
      <c r="G373" s="18">
        <f>E373* 0.476622662266227</f>
        <v>8.1025852585258598</v>
      </c>
      <c r="H373" s="18">
        <f>E373* 0.0115511551155116</f>
        <v>0.19636963696369722</v>
      </c>
    </row>
    <row r="374" spans="1:8" ht="15.75" hidden="1" customHeight="1" x14ac:dyDescent="0.25">
      <c r="A374" s="20" t="s">
        <v>51</v>
      </c>
      <c r="B374" s="47" t="s">
        <v>61</v>
      </c>
      <c r="C374" s="49"/>
      <c r="D374" s="19" t="s">
        <v>20</v>
      </c>
      <c r="E374" s="23">
        <v>4295</v>
      </c>
      <c r="F374" s="18">
        <f>E374* 0.814615536880747</f>
        <v>3498.773730902808</v>
      </c>
      <c r="G374" s="18">
        <f>E374* 0.0763167839340663</f>
        <v>327.78058699681475</v>
      </c>
      <c r="H374" s="18">
        <f>E374* 0.109013694193014</f>
        <v>468.21381655899512</v>
      </c>
    </row>
    <row r="375" spans="1:8" ht="15.75" hidden="1" customHeight="1" x14ac:dyDescent="0.25">
      <c r="A375" s="20" t="s">
        <v>51</v>
      </c>
      <c r="B375" s="47" t="s">
        <v>61</v>
      </c>
      <c r="C375" s="49"/>
      <c r="D375" s="19" t="s">
        <v>21</v>
      </c>
      <c r="E375" s="23">
        <v>773</v>
      </c>
      <c r="F375" s="18">
        <f>E375* 0.999722052365334</f>
        <v>772.78514647840314</v>
      </c>
      <c r="G375" s="20">
        <v>0</v>
      </c>
      <c r="H375" s="18">
        <f>E375* 0.000277947634665629</f>
        <v>0.21485352159653121</v>
      </c>
    </row>
    <row r="376" spans="1:8" ht="15.75" hidden="1" customHeight="1" x14ac:dyDescent="0.25">
      <c r="A376" s="20" t="s">
        <v>51</v>
      </c>
      <c r="B376" s="47" t="s">
        <v>61</v>
      </c>
      <c r="C376" s="49"/>
      <c r="D376" s="19" t="s">
        <v>36</v>
      </c>
      <c r="E376" s="23">
        <v>11</v>
      </c>
      <c r="F376" s="18">
        <f>E376* 0.999132697311362</f>
        <v>10.990459670424983</v>
      </c>
      <c r="G376" s="20">
        <v>0</v>
      </c>
      <c r="H376" s="18">
        <f>E376* 0.000867302688638335</f>
        <v>9.540329575021685E-3</v>
      </c>
    </row>
    <row r="377" spans="1:8" ht="15.75" hidden="1" customHeight="1" x14ac:dyDescent="0.25">
      <c r="A377" s="20" t="s">
        <v>51</v>
      </c>
      <c r="B377" s="47" t="s">
        <v>61</v>
      </c>
      <c r="C377" s="49"/>
      <c r="D377" s="19" t="s">
        <v>28</v>
      </c>
      <c r="E377" s="23">
        <v>513</v>
      </c>
      <c r="F377" s="18">
        <f>E377* 0.00115651503469545</f>
        <v>0.59329221279876587</v>
      </c>
      <c r="G377" s="18">
        <f>E377* 0.998843484965305</f>
        <v>512.40670778720141</v>
      </c>
      <c r="H377" s="20">
        <v>0</v>
      </c>
    </row>
    <row r="378" spans="1:8" ht="15.75" hidden="1" customHeight="1" x14ac:dyDescent="0.25">
      <c r="A378" s="20" t="s">
        <v>51</v>
      </c>
      <c r="B378" s="47" t="s">
        <v>61</v>
      </c>
      <c r="C378" s="49"/>
      <c r="D378" s="19" t="s">
        <v>12</v>
      </c>
      <c r="E378" s="23">
        <v>2966</v>
      </c>
      <c r="F378" s="18">
        <f>E378* 0.924936238310357</f>
        <v>2743.3608828285187</v>
      </c>
      <c r="G378" s="18">
        <f>E378* 0.0351064361799663</f>
        <v>104.12568970978003</v>
      </c>
      <c r="H378" s="18">
        <f>E378* 0.039932320925503</f>
        <v>118.43926386504189</v>
      </c>
    </row>
    <row r="379" spans="1:8" ht="15.75" hidden="1" customHeight="1" x14ac:dyDescent="0.25">
      <c r="A379" s="20" t="s">
        <v>51</v>
      </c>
      <c r="B379" s="20"/>
      <c r="C379" s="20"/>
      <c r="D379" s="46"/>
      <c r="E379" s="35"/>
    </row>
    <row r="380" spans="1:8" ht="15.75" hidden="1" customHeight="1" x14ac:dyDescent="0.25">
      <c r="A380" s="20" t="s">
        <v>51</v>
      </c>
      <c r="B380" s="47" t="s">
        <v>62</v>
      </c>
      <c r="C380" s="12" t="str">
        <f>B380&amp;"_"&amp;A380</f>
        <v>Caquiaviri_La Paz</v>
      </c>
      <c r="D380" s="20"/>
      <c r="E380" s="48">
        <v>2</v>
      </c>
      <c r="F380" s="14">
        <f t="shared" ref="F380:H380" si="41">F381</f>
        <v>0.35759481961146999</v>
      </c>
      <c r="G380" s="14">
        <f t="shared" si="41"/>
        <v>1.638556891766882</v>
      </c>
      <c r="H380" s="14">
        <f t="shared" si="41"/>
        <v>3.6262719703977798E-3</v>
      </c>
    </row>
    <row r="381" spans="1:8" ht="15.75" hidden="1" customHeight="1" x14ac:dyDescent="0.25">
      <c r="A381" s="20" t="s">
        <v>51</v>
      </c>
      <c r="B381" s="47" t="s">
        <v>62</v>
      </c>
      <c r="C381" s="49"/>
      <c r="D381" s="19" t="s">
        <v>11</v>
      </c>
      <c r="E381" s="23">
        <v>2</v>
      </c>
      <c r="F381" s="18">
        <f>E381* 0.178797409805735</f>
        <v>0.35759481961146999</v>
      </c>
      <c r="G381" s="18">
        <f>E381* 0.819278445883441</f>
        <v>1.638556891766882</v>
      </c>
      <c r="H381" s="18">
        <f>E381* 0.00181313598519889</f>
        <v>3.6262719703977798E-3</v>
      </c>
    </row>
    <row r="382" spans="1:8" ht="15.75" hidden="1" customHeight="1" x14ac:dyDescent="0.25">
      <c r="A382" s="20" t="s">
        <v>51</v>
      </c>
      <c r="B382" s="20"/>
      <c r="C382" s="20"/>
      <c r="D382" s="46"/>
      <c r="E382" s="35"/>
    </row>
    <row r="383" spans="1:8" ht="15.75" hidden="1" customHeight="1" x14ac:dyDescent="0.25">
      <c r="A383" s="20" t="s">
        <v>51</v>
      </c>
      <c r="B383" s="47" t="s">
        <v>63</v>
      </c>
      <c r="C383" s="12" t="str">
        <f>B383&amp;"_"&amp;A383</f>
        <v>Caranavi_La Paz</v>
      </c>
      <c r="D383" s="20"/>
      <c r="E383" s="48">
        <v>3432</v>
      </c>
      <c r="F383" s="14">
        <f t="shared" ref="F383:H383" si="42">SUM(F384:F398)</f>
        <v>3054.4834547313449</v>
      </c>
      <c r="G383" s="14">
        <f t="shared" si="42"/>
        <v>248.42864375873489</v>
      </c>
      <c r="H383" s="14">
        <f t="shared" si="42"/>
        <v>128.99094116347004</v>
      </c>
    </row>
    <row r="384" spans="1:8" ht="15.75" hidden="1" customHeight="1" x14ac:dyDescent="0.25">
      <c r="A384" s="20" t="s">
        <v>51</v>
      </c>
      <c r="B384" s="47" t="s">
        <v>63</v>
      </c>
      <c r="C384" s="49"/>
      <c r="D384" s="29" t="s">
        <v>312</v>
      </c>
      <c r="E384" s="23">
        <v>4</v>
      </c>
      <c r="F384" s="20">
        <v>0</v>
      </c>
      <c r="G384" s="24">
        <f>E384</f>
        <v>4</v>
      </c>
      <c r="H384" s="20">
        <v>0</v>
      </c>
    </row>
    <row r="385" spans="1:8" ht="15.75" hidden="1" customHeight="1" x14ac:dyDescent="0.25">
      <c r="A385" s="20" t="s">
        <v>51</v>
      </c>
      <c r="B385" s="47" t="s">
        <v>63</v>
      </c>
      <c r="C385" s="49"/>
      <c r="D385" s="19" t="s">
        <v>15</v>
      </c>
      <c r="E385" s="23">
        <v>37</v>
      </c>
      <c r="F385" s="18">
        <f>E385* 0.981163265034061</f>
        <v>36.303040806260256</v>
      </c>
      <c r="G385" s="18">
        <f>E385* 0.0027595216829083</f>
        <v>0.1021023022676071</v>
      </c>
      <c r="H385" s="18">
        <f>E385* 0.0160372202151627</f>
        <v>0.59337714796101992</v>
      </c>
    </row>
    <row r="386" spans="1:8" ht="15.75" hidden="1" customHeight="1" x14ac:dyDescent="0.25">
      <c r="A386" s="20" t="s">
        <v>51</v>
      </c>
      <c r="B386" s="47" t="s">
        <v>63</v>
      </c>
      <c r="C386" s="49"/>
      <c r="D386" s="29" t="s">
        <v>313</v>
      </c>
      <c r="E386" s="23">
        <v>1</v>
      </c>
      <c r="F386" s="18">
        <f>E386* 0.142974979378609</f>
        <v>0.14297497937860901</v>
      </c>
      <c r="G386" s="18">
        <f>E386* 0.852350838603245</f>
        <v>0.85235083860324501</v>
      </c>
      <c r="H386" s="18">
        <f>E386* 0.00467418201814682</f>
        <v>4.6741820181468198E-3</v>
      </c>
    </row>
    <row r="387" spans="1:8" ht="15.75" hidden="1" customHeight="1" x14ac:dyDescent="0.25">
      <c r="A387" s="20" t="s">
        <v>51</v>
      </c>
      <c r="B387" s="47" t="s">
        <v>63</v>
      </c>
      <c r="C387" s="49"/>
      <c r="D387" s="19" t="s">
        <v>11</v>
      </c>
      <c r="E387" s="23">
        <v>168</v>
      </c>
      <c r="F387" s="18">
        <f>E387* 0.178797409805735</f>
        <v>30.037964847363479</v>
      </c>
      <c r="G387" s="18">
        <f>E387* 0.819278445883441</f>
        <v>137.63877890841809</v>
      </c>
      <c r="H387" s="18">
        <f>E387* 0.00181313598519889</f>
        <v>0.30460684551341349</v>
      </c>
    </row>
    <row r="388" spans="1:8" ht="15.75" hidden="1" customHeight="1" x14ac:dyDescent="0.25">
      <c r="A388" s="20" t="s">
        <v>51</v>
      </c>
      <c r="B388" s="47" t="s">
        <v>63</v>
      </c>
      <c r="C388" s="49"/>
      <c r="D388" s="19" t="s">
        <v>17</v>
      </c>
      <c r="E388" s="23">
        <v>203</v>
      </c>
      <c r="F388" s="18">
        <f>E388* 0.916446662218225</f>
        <v>186.03867243029967</v>
      </c>
      <c r="G388" s="18">
        <f>E388* 0.0292436682236212</f>
        <v>5.936464649395103</v>
      </c>
      <c r="H388" s="18">
        <f>E388* 0.0543096695581537</f>
        <v>11.024862920305202</v>
      </c>
    </row>
    <row r="389" spans="1:8" ht="15.75" hidden="1" customHeight="1" x14ac:dyDescent="0.25">
      <c r="A389" s="20" t="s">
        <v>51</v>
      </c>
      <c r="B389" s="47" t="s">
        <v>63</v>
      </c>
      <c r="C389" s="49"/>
      <c r="D389" s="19" t="s">
        <v>31</v>
      </c>
      <c r="E389" s="23">
        <v>23</v>
      </c>
      <c r="F389" s="18">
        <f>E389* 0.957442434210526</f>
        <v>22.021175986842099</v>
      </c>
      <c r="G389" s="18">
        <f>E389* 0.0158305921052632</f>
        <v>0.36410361842105354</v>
      </c>
      <c r="H389" s="18">
        <f>E389* 0.0263157894736842</f>
        <v>0.60526315789473661</v>
      </c>
    </row>
    <row r="390" spans="1:8" ht="15.75" hidden="1" customHeight="1" x14ac:dyDescent="0.25">
      <c r="A390" s="20" t="s">
        <v>51</v>
      </c>
      <c r="B390" s="47" t="s">
        <v>63</v>
      </c>
      <c r="C390" s="49"/>
      <c r="D390" s="19" t="s">
        <v>18</v>
      </c>
      <c r="E390" s="23">
        <v>21</v>
      </c>
      <c r="F390" s="18">
        <f>E390* 0.983388008654987</f>
        <v>20.651148181754728</v>
      </c>
      <c r="G390" s="18">
        <f>E390* 0.0133314720457877</f>
        <v>0.27996091296154169</v>
      </c>
      <c r="H390" s="18">
        <f>E390* 0.003210721016263</f>
        <v>6.7425141341522998E-2</v>
      </c>
    </row>
    <row r="391" spans="1:8" ht="15.75" hidden="1" customHeight="1" x14ac:dyDescent="0.25">
      <c r="A391" s="20" t="s">
        <v>51</v>
      </c>
      <c r="B391" s="47" t="s">
        <v>63</v>
      </c>
      <c r="C391" s="49"/>
      <c r="D391" s="19" t="s">
        <v>314</v>
      </c>
      <c r="E391" s="23">
        <v>1</v>
      </c>
      <c r="F391" s="20">
        <v>0</v>
      </c>
      <c r="G391" s="24">
        <f>E391</f>
        <v>1</v>
      </c>
      <c r="H391" s="20">
        <v>0</v>
      </c>
    </row>
    <row r="392" spans="1:8" ht="15.75" hidden="1" customHeight="1" x14ac:dyDescent="0.25">
      <c r="A392" s="20" t="s">
        <v>51</v>
      </c>
      <c r="B392" s="47" t="s">
        <v>63</v>
      </c>
      <c r="C392" s="49"/>
      <c r="D392" s="19" t="s">
        <v>315</v>
      </c>
      <c r="E392" s="23">
        <v>1</v>
      </c>
      <c r="F392" s="18">
        <f>E392* 0.511826182618262</f>
        <v>0.51182618261826196</v>
      </c>
      <c r="G392" s="18">
        <f>E392* 0.476622662266227</f>
        <v>0.47662266226622702</v>
      </c>
      <c r="H392" s="18">
        <f>E392* 0.0115511551155116</f>
        <v>1.1551155115511601E-2</v>
      </c>
    </row>
    <row r="393" spans="1:8" ht="15.75" hidden="1" customHeight="1" x14ac:dyDescent="0.25">
      <c r="A393" s="20" t="s">
        <v>51</v>
      </c>
      <c r="B393" s="47" t="s">
        <v>63</v>
      </c>
      <c r="C393" s="49"/>
      <c r="D393" s="19" t="s">
        <v>20</v>
      </c>
      <c r="E393" s="23">
        <v>477</v>
      </c>
      <c r="F393" s="18">
        <f>E393* 0.814615536880747</f>
        <v>388.57161109211631</v>
      </c>
      <c r="G393" s="18">
        <f>E393* 0.0763167839340663</f>
        <v>36.403105936549622</v>
      </c>
      <c r="H393" s="18">
        <f>E393* 0.109013694193014</f>
        <v>51.999532130067678</v>
      </c>
    </row>
    <row r="394" spans="1:8" ht="15.75" hidden="1" customHeight="1" x14ac:dyDescent="0.25">
      <c r="A394" s="20" t="s">
        <v>51</v>
      </c>
      <c r="B394" s="47" t="s">
        <v>63</v>
      </c>
      <c r="C394" s="49"/>
      <c r="D394" s="19" t="s">
        <v>21</v>
      </c>
      <c r="E394" s="23">
        <v>881</v>
      </c>
      <c r="F394" s="18">
        <f>E394* 0.999722052365334</f>
        <v>880.75512813385922</v>
      </c>
      <c r="G394" s="20">
        <v>0</v>
      </c>
      <c r="H394" s="18">
        <f>E394* 0.000277947634665629</f>
        <v>0.24487186614041914</v>
      </c>
    </row>
    <row r="395" spans="1:8" ht="15.75" hidden="1" customHeight="1" x14ac:dyDescent="0.25">
      <c r="A395" s="20" t="s">
        <v>51</v>
      </c>
      <c r="B395" s="47" t="s">
        <v>63</v>
      </c>
      <c r="C395" s="49"/>
      <c r="D395" s="19" t="s">
        <v>36</v>
      </c>
      <c r="E395" s="23">
        <v>4</v>
      </c>
      <c r="F395" s="18">
        <f>E395* 0.999132697311362</f>
        <v>3.996530789245448</v>
      </c>
      <c r="G395" s="20">
        <v>0</v>
      </c>
      <c r="H395" s="18">
        <f>E395* 0.000867302688638335</f>
        <v>3.4692107545533399E-3</v>
      </c>
    </row>
    <row r="396" spans="1:8" ht="15.75" hidden="1" customHeight="1" x14ac:dyDescent="0.25">
      <c r="A396" s="20" t="s">
        <v>51</v>
      </c>
      <c r="B396" s="47" t="s">
        <v>63</v>
      </c>
      <c r="C396" s="49"/>
      <c r="D396" s="19" t="s">
        <v>37</v>
      </c>
      <c r="E396" s="23">
        <v>0</v>
      </c>
      <c r="F396" s="18">
        <f>E396* 0.0555555555555556</f>
        <v>0</v>
      </c>
      <c r="G396" s="18">
        <f>E396* 0.944444444444444</f>
        <v>0</v>
      </c>
      <c r="H396" s="20">
        <v>0</v>
      </c>
    </row>
    <row r="397" spans="1:8" ht="15.75" hidden="1" customHeight="1" x14ac:dyDescent="0.25">
      <c r="A397" s="20" t="s">
        <v>51</v>
      </c>
      <c r="B397" s="47" t="s">
        <v>63</v>
      </c>
      <c r="C397" s="49"/>
      <c r="D397" s="19" t="s">
        <v>28</v>
      </c>
      <c r="E397" s="23">
        <v>5</v>
      </c>
      <c r="F397" s="18">
        <f>E397* 0.00115651503469545</f>
        <v>5.7825751734772498E-3</v>
      </c>
      <c r="G397" s="18">
        <f>E397* 0.998843484965305</f>
        <v>4.994217424826525</v>
      </c>
      <c r="H397" s="20">
        <v>0</v>
      </c>
    </row>
    <row r="398" spans="1:8" ht="15.75" hidden="1" customHeight="1" x14ac:dyDescent="0.25">
      <c r="A398" s="20" t="s">
        <v>51</v>
      </c>
      <c r="B398" s="47" t="s">
        <v>63</v>
      </c>
      <c r="C398" s="49"/>
      <c r="D398" s="19" t="s">
        <v>12</v>
      </c>
      <c r="E398" s="23">
        <v>1606</v>
      </c>
      <c r="F398" s="18">
        <f>E398* 0.924936238310357</f>
        <v>1485.4475987264334</v>
      </c>
      <c r="G398" s="18">
        <f>E398* 0.0351064361799663</f>
        <v>56.380936505025872</v>
      </c>
      <c r="H398" s="18">
        <f>E398* 0.039932320925503</f>
        <v>64.13130740635782</v>
      </c>
    </row>
    <row r="399" spans="1:8" ht="15.75" hidden="1" customHeight="1" x14ac:dyDescent="0.25">
      <c r="A399" s="20" t="s">
        <v>51</v>
      </c>
      <c r="B399" s="20"/>
      <c r="C399" s="20"/>
      <c r="D399" s="46"/>
      <c r="E399" s="35"/>
    </row>
    <row r="400" spans="1:8" ht="15.75" hidden="1" customHeight="1" x14ac:dyDescent="0.25">
      <c r="A400" s="20" t="s">
        <v>51</v>
      </c>
      <c r="B400" s="47" t="s">
        <v>64</v>
      </c>
      <c r="C400" s="12" t="str">
        <f>B400&amp;"_"&amp;A400</f>
        <v>Charaña_La Paz</v>
      </c>
      <c r="D400" s="20"/>
      <c r="E400" s="48">
        <v>121</v>
      </c>
      <c r="F400" s="14">
        <f t="shared" ref="F400:H400" si="43">SUM(F401:F410)</f>
        <v>57.323156747937873</v>
      </c>
      <c r="G400" s="14">
        <f t="shared" si="43"/>
        <v>60.75903421916388</v>
      </c>
      <c r="H400" s="14">
        <f t="shared" si="43"/>
        <v>2.9141920531174588</v>
      </c>
    </row>
    <row r="401" spans="1:8" ht="15.75" hidden="1" customHeight="1" x14ac:dyDescent="0.25">
      <c r="A401" s="20" t="s">
        <v>51</v>
      </c>
      <c r="B401" s="47" t="s">
        <v>64</v>
      </c>
      <c r="C401" s="49"/>
      <c r="D401" s="29" t="s">
        <v>15</v>
      </c>
      <c r="E401" s="23">
        <v>3</v>
      </c>
      <c r="F401" s="18">
        <f>E401* 0.981163265034061</f>
        <v>2.9434897951021832</v>
      </c>
      <c r="G401" s="18">
        <f>E401* 0.0027595216829083</f>
        <v>8.278565048724899E-3</v>
      </c>
      <c r="H401" s="18">
        <f>E401* 0.0160372202151627</f>
        <v>4.8111660645488108E-2</v>
      </c>
    </row>
    <row r="402" spans="1:8" ht="15.75" hidden="1" customHeight="1" x14ac:dyDescent="0.25">
      <c r="A402" s="20" t="s">
        <v>51</v>
      </c>
      <c r="B402" s="47" t="s">
        <v>64</v>
      </c>
      <c r="C402" s="49"/>
      <c r="D402" s="29" t="s">
        <v>316</v>
      </c>
      <c r="E402" s="23">
        <v>20</v>
      </c>
      <c r="F402" s="18">
        <f>E402* 0.142974979378609</f>
        <v>2.8594995875721803</v>
      </c>
      <c r="G402" s="18">
        <f>E402* 0.852350838603245</f>
        <v>17.0470167720649</v>
      </c>
      <c r="H402" s="18">
        <f>E402* 0.00467418201814682</f>
        <v>9.3483640362936396E-2</v>
      </c>
    </row>
    <row r="403" spans="1:8" ht="15.75" hidden="1" customHeight="1" x14ac:dyDescent="0.25">
      <c r="A403" s="20" t="s">
        <v>51</v>
      </c>
      <c r="B403" s="47" t="s">
        <v>64</v>
      </c>
      <c r="C403" s="49"/>
      <c r="D403" s="19" t="s">
        <v>11</v>
      </c>
      <c r="E403" s="23">
        <v>23</v>
      </c>
      <c r="F403" s="18">
        <f>E403* 0.178797409805735</f>
        <v>4.1123404255319045</v>
      </c>
      <c r="G403" s="18">
        <f>E403* 0.819278445883441</f>
        <v>18.843404255319143</v>
      </c>
      <c r="H403" s="18">
        <f>E403* 0.00181313598519889</f>
        <v>4.170212765957447E-2</v>
      </c>
    </row>
    <row r="404" spans="1:8" ht="15.75" hidden="1" customHeight="1" x14ac:dyDescent="0.25">
      <c r="A404" s="20" t="s">
        <v>51</v>
      </c>
      <c r="B404" s="47" t="s">
        <v>64</v>
      </c>
      <c r="C404" s="49"/>
      <c r="D404" s="29" t="s">
        <v>17</v>
      </c>
      <c r="E404" s="23">
        <v>22</v>
      </c>
      <c r="F404" s="18">
        <f>E404* 0.916446662218225</f>
        <v>20.161826568800951</v>
      </c>
      <c r="G404" s="18">
        <f>E404* 0.0292436682236212</f>
        <v>0.64336070091966635</v>
      </c>
      <c r="H404" s="18">
        <f>E404* 0.0543096695581537</f>
        <v>1.1948127302793814</v>
      </c>
    </row>
    <row r="405" spans="1:8" ht="15.75" hidden="1" customHeight="1" x14ac:dyDescent="0.25">
      <c r="A405" s="20" t="s">
        <v>51</v>
      </c>
      <c r="B405" s="47" t="s">
        <v>64</v>
      </c>
      <c r="C405" s="49"/>
      <c r="D405" s="29" t="s">
        <v>18</v>
      </c>
      <c r="E405" s="23">
        <v>1</v>
      </c>
      <c r="F405" s="18">
        <f>E405* 0.983388008654987</f>
        <v>0.98338800865498699</v>
      </c>
      <c r="G405" s="18">
        <f>E405* 0.0133314720457877</f>
        <v>1.33314720457877E-2</v>
      </c>
      <c r="H405" s="18">
        <f>E405* 0.003210721016263</f>
        <v>3.2107210162630002E-3</v>
      </c>
    </row>
    <row r="406" spans="1:8" ht="15.75" hidden="1" customHeight="1" x14ac:dyDescent="0.25">
      <c r="A406" s="20" t="s">
        <v>51</v>
      </c>
      <c r="B406" s="47" t="s">
        <v>64</v>
      </c>
      <c r="C406" s="49"/>
      <c r="D406" s="29" t="s">
        <v>287</v>
      </c>
      <c r="E406" s="23">
        <v>6</v>
      </c>
      <c r="F406" s="18">
        <f>E406* 0.814615536880747</f>
        <v>4.8876932212844819</v>
      </c>
      <c r="G406" s="18">
        <f>E406* 0.0763167839340663</f>
        <v>0.45790070360439777</v>
      </c>
      <c r="H406" s="18">
        <f>E406* 0.109013694193014</f>
        <v>0.65408216515808404</v>
      </c>
    </row>
    <row r="407" spans="1:8" ht="15.75" hidden="1" customHeight="1" x14ac:dyDescent="0.25">
      <c r="A407" s="20" t="s">
        <v>51</v>
      </c>
      <c r="B407" s="47" t="s">
        <v>64</v>
      </c>
      <c r="C407" s="49"/>
      <c r="D407" s="29" t="s">
        <v>21</v>
      </c>
      <c r="E407" s="23">
        <v>1</v>
      </c>
      <c r="F407" s="18">
        <f>E407* 0.999722052365334</f>
        <v>0.99972205236533396</v>
      </c>
      <c r="G407" s="20">
        <v>0</v>
      </c>
      <c r="H407" s="18">
        <f>E407* 0.000277947634665629</f>
        <v>2.7794763466562898E-4</v>
      </c>
    </row>
    <row r="408" spans="1:8" ht="15.75" hidden="1" customHeight="1" x14ac:dyDescent="0.25">
      <c r="A408" s="20" t="s">
        <v>51</v>
      </c>
      <c r="B408" s="47" t="s">
        <v>64</v>
      </c>
      <c r="C408" s="49"/>
      <c r="D408" s="29" t="s">
        <v>317</v>
      </c>
      <c r="E408" s="23">
        <v>0</v>
      </c>
      <c r="F408" s="18">
        <f>E408* 0.142974979378609</f>
        <v>0</v>
      </c>
      <c r="G408" s="18">
        <f>E408* 0.852350838603245</f>
        <v>0</v>
      </c>
      <c r="H408" s="18">
        <f>E408* 0.00467418201814682</f>
        <v>0</v>
      </c>
    </row>
    <row r="409" spans="1:8" ht="15.75" hidden="1" customHeight="1" x14ac:dyDescent="0.25">
      <c r="A409" s="20" t="s">
        <v>51</v>
      </c>
      <c r="B409" s="47" t="s">
        <v>64</v>
      </c>
      <c r="C409" s="49"/>
      <c r="D409" s="29" t="s">
        <v>318</v>
      </c>
      <c r="E409" s="23">
        <v>23</v>
      </c>
      <c r="F409" s="18">
        <f>E409* 0.00115651503469545</f>
        <v>2.6599845797995347E-2</v>
      </c>
      <c r="G409" s="18">
        <f>E409* 0.998843484965305</f>
        <v>22.973400154202015</v>
      </c>
      <c r="H409" s="20">
        <v>0</v>
      </c>
    </row>
    <row r="410" spans="1:8" ht="15.75" hidden="1" customHeight="1" x14ac:dyDescent="0.25">
      <c r="A410" s="20" t="s">
        <v>51</v>
      </c>
      <c r="B410" s="47" t="s">
        <v>64</v>
      </c>
      <c r="C410" s="49"/>
      <c r="D410" s="19" t="s">
        <v>12</v>
      </c>
      <c r="E410" s="23">
        <v>22</v>
      </c>
      <c r="F410" s="18">
        <f>E410* 0.924936238310357</f>
        <v>20.348597242827854</v>
      </c>
      <c r="G410" s="18">
        <f>E410* 0.0351064361799663</f>
        <v>0.77234159595925855</v>
      </c>
      <c r="H410" s="18">
        <f>E410* 0.039932320925503</f>
        <v>0.87851106036106597</v>
      </c>
    </row>
    <row r="411" spans="1:8" ht="15.75" hidden="1" customHeight="1" x14ac:dyDescent="0.25">
      <c r="A411" s="20" t="s">
        <v>51</v>
      </c>
      <c r="B411" s="20"/>
      <c r="C411" s="20"/>
      <c r="D411" s="46"/>
      <c r="E411" s="35"/>
    </row>
    <row r="412" spans="1:8" ht="15.75" hidden="1" customHeight="1" x14ac:dyDescent="0.25">
      <c r="A412" s="20" t="s">
        <v>51</v>
      </c>
      <c r="B412" s="47" t="s">
        <v>319</v>
      </c>
      <c r="C412" s="12" t="str">
        <f>B412&amp;"_"&amp;A412</f>
        <v>Chua Cocani_La Paz</v>
      </c>
      <c r="D412" s="20"/>
      <c r="E412" s="48">
        <v>763</v>
      </c>
      <c r="F412" s="14">
        <f t="shared" ref="F412:H412" si="44">SUM(F413:F425)</f>
        <v>652.67591472764752</v>
      </c>
      <c r="G412" s="14">
        <f t="shared" si="44"/>
        <v>76.480609609379144</v>
      </c>
      <c r="H412" s="14">
        <f t="shared" si="44"/>
        <v>33.806816255406225</v>
      </c>
    </row>
    <row r="413" spans="1:8" ht="15.75" hidden="1" customHeight="1" x14ac:dyDescent="0.25">
      <c r="A413" s="20" t="s">
        <v>51</v>
      </c>
      <c r="B413" s="47" t="s">
        <v>319</v>
      </c>
      <c r="C413" s="49"/>
      <c r="D413" s="19" t="s">
        <v>15</v>
      </c>
      <c r="E413" s="23">
        <v>46</v>
      </c>
      <c r="F413" s="18">
        <f>E413* 0.981163265034061</f>
        <v>45.133510191566806</v>
      </c>
      <c r="G413" s="18">
        <f>E413* 0.0027595216829083</f>
        <v>0.12693799741378178</v>
      </c>
      <c r="H413" s="18">
        <f>E413* 0.0160372202151627</f>
        <v>0.73771212989748425</v>
      </c>
    </row>
    <row r="414" spans="1:8" ht="15.75" hidden="1" customHeight="1" x14ac:dyDescent="0.25">
      <c r="A414" s="20" t="s">
        <v>51</v>
      </c>
      <c r="B414" s="47" t="s">
        <v>319</v>
      </c>
      <c r="C414" s="49"/>
      <c r="D414" s="29" t="s">
        <v>320</v>
      </c>
      <c r="E414" s="23">
        <v>1</v>
      </c>
      <c r="F414" s="18">
        <f>E414* 0.142974979378609</f>
        <v>0.14297497937860901</v>
      </c>
      <c r="G414" s="18">
        <f>E414* 0.852350838603245</f>
        <v>0.85235083860324501</v>
      </c>
      <c r="H414" s="18">
        <f>E414* 0.00467418201814682</f>
        <v>4.6741820181468198E-3</v>
      </c>
    </row>
    <row r="415" spans="1:8" ht="15.75" hidden="1" customHeight="1" x14ac:dyDescent="0.25">
      <c r="A415" s="20" t="s">
        <v>51</v>
      </c>
      <c r="B415" s="47" t="s">
        <v>319</v>
      </c>
      <c r="C415" s="49"/>
      <c r="D415" s="19" t="s">
        <v>11</v>
      </c>
      <c r="E415" s="23">
        <v>42</v>
      </c>
      <c r="F415" s="18">
        <f>E415* 0.178797409805735</f>
        <v>7.5094912118408699</v>
      </c>
      <c r="G415" s="18">
        <f>E415* 0.819278445883441</f>
        <v>34.409694727104522</v>
      </c>
      <c r="H415" s="18">
        <f>E415* 0.00181313598519889</f>
        <v>7.6151711378353373E-2</v>
      </c>
    </row>
    <row r="416" spans="1:8" ht="15.75" hidden="1" customHeight="1" x14ac:dyDescent="0.25">
      <c r="A416" s="20" t="s">
        <v>51</v>
      </c>
      <c r="B416" s="47" t="s">
        <v>319</v>
      </c>
      <c r="C416" s="49"/>
      <c r="D416" s="19" t="s">
        <v>17</v>
      </c>
      <c r="E416" s="23">
        <v>55</v>
      </c>
      <c r="F416" s="18">
        <f>E416* 0.916446662218225</f>
        <v>50.404566422002375</v>
      </c>
      <c r="G416" s="18">
        <f>E416* 0.0292436682236212</f>
        <v>1.6084017522991658</v>
      </c>
      <c r="H416" s="18">
        <f>E416* 0.0543096695581537</f>
        <v>2.9870318256984536</v>
      </c>
    </row>
    <row r="417" spans="1:8" ht="15.75" hidden="1" customHeight="1" x14ac:dyDescent="0.25">
      <c r="A417" s="20" t="s">
        <v>51</v>
      </c>
      <c r="B417" s="47" t="s">
        <v>319</v>
      </c>
      <c r="C417" s="49"/>
      <c r="D417" s="19" t="s">
        <v>31</v>
      </c>
      <c r="E417" s="23">
        <v>34</v>
      </c>
      <c r="F417" s="18">
        <f>E417* 0.957442434210526</f>
        <v>32.553042763157883</v>
      </c>
      <c r="G417" s="18">
        <f>E417* 0.0158305921052632</f>
        <v>0.53824013157894879</v>
      </c>
      <c r="H417" s="18">
        <f>E417* 0.0263157894736842</f>
        <v>0.89473684210526272</v>
      </c>
    </row>
    <row r="418" spans="1:8" ht="15.75" hidden="1" customHeight="1" x14ac:dyDescent="0.25">
      <c r="A418" s="20" t="s">
        <v>51</v>
      </c>
      <c r="B418" s="47" t="s">
        <v>319</v>
      </c>
      <c r="C418" s="49"/>
      <c r="D418" s="19" t="s">
        <v>18</v>
      </c>
      <c r="E418" s="23">
        <v>10</v>
      </c>
      <c r="F418" s="18">
        <f>E418* 0.983388008654987</f>
        <v>9.8338800865498701</v>
      </c>
      <c r="G418" s="18">
        <f>E418* 0.0133314720457877</f>
        <v>0.13331472045787701</v>
      </c>
      <c r="H418" s="18">
        <f>E418* 0.003210721016263</f>
        <v>3.2107210162630004E-2</v>
      </c>
    </row>
    <row r="419" spans="1:8" ht="15.75" hidden="1" customHeight="1" x14ac:dyDescent="0.25">
      <c r="A419" s="20" t="s">
        <v>51</v>
      </c>
      <c r="B419" s="47" t="s">
        <v>319</v>
      </c>
      <c r="C419" s="49"/>
      <c r="D419" s="19" t="s">
        <v>19</v>
      </c>
      <c r="E419" s="23">
        <v>0</v>
      </c>
      <c r="F419" s="18">
        <f>E419* 0.511826182618262</f>
        <v>0</v>
      </c>
      <c r="G419" s="18">
        <f>E419* 0.476622662266227</f>
        <v>0</v>
      </c>
      <c r="H419" s="18">
        <f>E419* 0.0115511551155116</f>
        <v>0</v>
      </c>
    </row>
    <row r="420" spans="1:8" ht="15.75" hidden="1" customHeight="1" x14ac:dyDescent="0.25">
      <c r="A420" s="20" t="s">
        <v>51</v>
      </c>
      <c r="B420" s="47" t="s">
        <v>319</v>
      </c>
      <c r="C420" s="49"/>
      <c r="D420" s="19" t="s">
        <v>20</v>
      </c>
      <c r="E420" s="23">
        <v>189</v>
      </c>
      <c r="F420" s="18">
        <f>E420* 0.814615536880747</f>
        <v>153.96233647046117</v>
      </c>
      <c r="G420" s="18">
        <f>E420* 0.0763167839340663</f>
        <v>14.42387216353853</v>
      </c>
      <c r="H420" s="18">
        <f>E420* 0.109013694193014</f>
        <v>20.603588202479646</v>
      </c>
    </row>
    <row r="421" spans="1:8" ht="15.75" hidden="1" customHeight="1" x14ac:dyDescent="0.25">
      <c r="A421" s="20" t="s">
        <v>51</v>
      </c>
      <c r="B421" s="47" t="s">
        <v>319</v>
      </c>
      <c r="C421" s="49"/>
      <c r="D421" s="19" t="s">
        <v>21</v>
      </c>
      <c r="E421" s="23">
        <v>156</v>
      </c>
      <c r="F421" s="18">
        <f>E421* 0.999722052365334</f>
        <v>155.9566401689921</v>
      </c>
      <c r="G421" s="20">
        <v>0</v>
      </c>
      <c r="H421" s="18">
        <f>E421* 0.000277947634665629</f>
        <v>4.335983100783812E-2</v>
      </c>
    </row>
    <row r="422" spans="1:8" ht="15.75" hidden="1" customHeight="1" x14ac:dyDescent="0.25">
      <c r="A422" s="20" t="s">
        <v>51</v>
      </c>
      <c r="B422" s="47" t="s">
        <v>319</v>
      </c>
      <c r="C422" s="49"/>
      <c r="D422" s="19" t="s">
        <v>36</v>
      </c>
      <c r="E422" s="23">
        <v>2</v>
      </c>
      <c r="F422" s="18">
        <f>E422* 0.999132697311362</f>
        <v>1.998265394622724</v>
      </c>
      <c r="G422" s="20">
        <v>0</v>
      </c>
      <c r="H422" s="18">
        <f>E422* 0.000867302688638335</f>
        <v>1.7346053772766699E-3</v>
      </c>
    </row>
    <row r="423" spans="1:8" ht="15.75" hidden="1" customHeight="1" x14ac:dyDescent="0.25">
      <c r="A423" s="20" t="s">
        <v>51</v>
      </c>
      <c r="B423" s="47" t="s">
        <v>319</v>
      </c>
      <c r="C423" s="49"/>
      <c r="D423" s="19" t="s">
        <v>37</v>
      </c>
      <c r="E423" s="23">
        <v>0</v>
      </c>
      <c r="F423" s="18">
        <f>E423* 0.0555555555555556</f>
        <v>0</v>
      </c>
      <c r="G423" s="18">
        <f>E423* 0.944444444444444</f>
        <v>0</v>
      </c>
      <c r="H423" s="20">
        <v>0</v>
      </c>
    </row>
    <row r="424" spans="1:8" ht="15.75" hidden="1" customHeight="1" x14ac:dyDescent="0.25">
      <c r="A424" s="20" t="s">
        <v>51</v>
      </c>
      <c r="B424" s="47" t="s">
        <v>319</v>
      </c>
      <c r="C424" s="49"/>
      <c r="D424" s="19" t="s">
        <v>28</v>
      </c>
      <c r="E424" s="23">
        <v>17</v>
      </c>
      <c r="F424" s="18">
        <f>E424* 0.00115651503469545</f>
        <v>1.9660755589822651E-2</v>
      </c>
      <c r="G424" s="18">
        <f>E424* 0.998843484965305</f>
        <v>16.980339244410185</v>
      </c>
      <c r="H424" s="20">
        <v>0</v>
      </c>
    </row>
    <row r="425" spans="1:8" ht="15.75" hidden="1" customHeight="1" x14ac:dyDescent="0.25">
      <c r="A425" s="20" t="s">
        <v>51</v>
      </c>
      <c r="B425" s="47" t="s">
        <v>319</v>
      </c>
      <c r="C425" s="49"/>
      <c r="D425" s="19" t="s">
        <v>12</v>
      </c>
      <c r="E425" s="23">
        <v>211</v>
      </c>
      <c r="F425" s="18">
        <f>E425* 0.924936238310357</f>
        <v>195.16154628348534</v>
      </c>
      <c r="G425" s="18">
        <f>E425* 0.0351064361799663</f>
        <v>7.4074580339728886</v>
      </c>
      <c r="H425" s="18">
        <f>E425* 0.039932320925503</f>
        <v>8.4257197152811329</v>
      </c>
    </row>
    <row r="426" spans="1:8" ht="15.75" hidden="1" customHeight="1" x14ac:dyDescent="0.25">
      <c r="A426" s="20" t="s">
        <v>51</v>
      </c>
      <c r="B426" s="20"/>
      <c r="C426" s="20"/>
      <c r="D426" s="46"/>
      <c r="E426" s="35"/>
    </row>
    <row r="427" spans="1:8" ht="15.75" hidden="1" customHeight="1" x14ac:dyDescent="0.25">
      <c r="A427" s="20" t="s">
        <v>51</v>
      </c>
      <c r="B427" s="47" t="s">
        <v>65</v>
      </c>
      <c r="C427" s="12" t="str">
        <f>B427&amp;"_"&amp;A427</f>
        <v>Chulumani_La Paz</v>
      </c>
      <c r="D427" s="20"/>
      <c r="E427" s="48">
        <v>275</v>
      </c>
      <c r="F427" s="14">
        <f t="shared" ref="F427:H427" si="45">SUM(F428:F440)</f>
        <v>178.83509194174013</v>
      </c>
      <c r="G427" s="14">
        <f t="shared" si="45"/>
        <v>88.005642083008766</v>
      </c>
      <c r="H427" s="14">
        <f t="shared" si="45"/>
        <v>8.1488938781354712</v>
      </c>
    </row>
    <row r="428" spans="1:8" ht="15.75" hidden="1" customHeight="1" x14ac:dyDescent="0.25">
      <c r="A428" s="20" t="s">
        <v>51</v>
      </c>
      <c r="B428" s="47" t="s">
        <v>65</v>
      </c>
      <c r="C428" s="49"/>
      <c r="D428" s="29" t="s">
        <v>321</v>
      </c>
      <c r="E428" s="23">
        <v>0</v>
      </c>
      <c r="F428" s="20">
        <v>0</v>
      </c>
      <c r="G428" s="24">
        <f>E428</f>
        <v>0</v>
      </c>
      <c r="H428" s="20">
        <v>0</v>
      </c>
    </row>
    <row r="429" spans="1:8" ht="15.75" hidden="1" customHeight="1" x14ac:dyDescent="0.25">
      <c r="A429" s="20" t="s">
        <v>51</v>
      </c>
      <c r="B429" s="47" t="s">
        <v>65</v>
      </c>
      <c r="C429" s="49"/>
      <c r="D429" s="19" t="s">
        <v>15</v>
      </c>
      <c r="E429" s="23">
        <v>22</v>
      </c>
      <c r="F429" s="18">
        <f>E429* 0.981163265034061</f>
        <v>21.585591830749344</v>
      </c>
      <c r="G429" s="18">
        <f>E429* 0.0027595216829083</f>
        <v>6.0709477023982598E-2</v>
      </c>
      <c r="H429" s="18">
        <f>E429* 0.0160372202151627</f>
        <v>0.35281884473357944</v>
      </c>
    </row>
    <row r="430" spans="1:8" ht="15.75" hidden="1" customHeight="1" x14ac:dyDescent="0.25">
      <c r="A430" s="20" t="s">
        <v>51</v>
      </c>
      <c r="B430" s="47" t="s">
        <v>65</v>
      </c>
      <c r="C430" s="49"/>
      <c r="D430" s="29" t="s">
        <v>322</v>
      </c>
      <c r="E430" s="23">
        <v>8</v>
      </c>
      <c r="F430" s="18">
        <f>E430* 0.142974979378609</f>
        <v>1.1437998350288721</v>
      </c>
      <c r="G430" s="18">
        <f>E430* 0.852350838603245</f>
        <v>6.8188067088259601</v>
      </c>
      <c r="H430" s="18">
        <f>E430* 0.00467418201814682</f>
        <v>3.7393456145174558E-2</v>
      </c>
    </row>
    <row r="431" spans="1:8" ht="15.75" hidden="1" customHeight="1" x14ac:dyDescent="0.25">
      <c r="A431" s="20" t="s">
        <v>51</v>
      </c>
      <c r="B431" s="47" t="s">
        <v>65</v>
      </c>
      <c r="C431" s="49"/>
      <c r="D431" s="19" t="s">
        <v>11</v>
      </c>
      <c r="E431" s="23">
        <v>47</v>
      </c>
      <c r="F431" s="18">
        <f>E431* 0.178797409805735</f>
        <v>8.4034782608695444</v>
      </c>
      <c r="G431" s="18">
        <f>E431* 0.819278445883441</f>
        <v>38.506086956521727</v>
      </c>
      <c r="H431" s="18">
        <f>E431* 0.00181313598519889</f>
        <v>8.5217391304347828E-2</v>
      </c>
    </row>
    <row r="432" spans="1:8" ht="15.75" hidden="1" customHeight="1" x14ac:dyDescent="0.25">
      <c r="A432" s="20" t="s">
        <v>51</v>
      </c>
      <c r="B432" s="47" t="s">
        <v>65</v>
      </c>
      <c r="C432" s="49"/>
      <c r="D432" s="19" t="s">
        <v>17</v>
      </c>
      <c r="E432" s="23">
        <v>26</v>
      </c>
      <c r="F432" s="18">
        <f>E432* 0.916446662218225</f>
        <v>23.82761321767385</v>
      </c>
      <c r="G432" s="18">
        <f>E432* 0.0292436682236212</f>
        <v>0.76033537381415117</v>
      </c>
      <c r="H432" s="18">
        <f>E432* 0.0543096695581537</f>
        <v>1.4120514085119962</v>
      </c>
    </row>
    <row r="433" spans="1:8" ht="15.75" hidden="1" customHeight="1" x14ac:dyDescent="0.25">
      <c r="A433" s="20" t="s">
        <v>51</v>
      </c>
      <c r="B433" s="47" t="s">
        <v>65</v>
      </c>
      <c r="C433" s="49"/>
      <c r="D433" s="19" t="s">
        <v>31</v>
      </c>
      <c r="E433" s="23">
        <v>1</v>
      </c>
      <c r="F433" s="18">
        <f>E433* 0.957442434210526</f>
        <v>0.95744243421052599</v>
      </c>
      <c r="G433" s="18">
        <f>E433* 0.0158305921052632</f>
        <v>1.5830592105263198E-2</v>
      </c>
      <c r="H433" s="18">
        <f>E433* 0.0263157894736842</f>
        <v>2.6315789473684199E-2</v>
      </c>
    </row>
    <row r="434" spans="1:8" ht="15.75" hidden="1" customHeight="1" x14ac:dyDescent="0.25">
      <c r="A434" s="20" t="s">
        <v>51</v>
      </c>
      <c r="B434" s="47" t="s">
        <v>65</v>
      </c>
      <c r="C434" s="49"/>
      <c r="D434" s="19" t="s">
        <v>18</v>
      </c>
      <c r="E434" s="23">
        <v>6</v>
      </c>
      <c r="F434" s="18">
        <f>E434* 0.983388008654987</f>
        <v>5.9003280519299217</v>
      </c>
      <c r="G434" s="18">
        <f>E434* 0.0133314720457877</f>
        <v>7.9988832274726196E-2</v>
      </c>
      <c r="H434" s="18">
        <f>E434* 0.003210721016263</f>
        <v>1.9264326097578E-2</v>
      </c>
    </row>
    <row r="435" spans="1:8" ht="15.75" hidden="1" customHeight="1" x14ac:dyDescent="0.25">
      <c r="A435" s="20" t="s">
        <v>51</v>
      </c>
      <c r="B435" s="47" t="s">
        <v>65</v>
      </c>
      <c r="C435" s="49"/>
      <c r="D435" s="19" t="s">
        <v>19</v>
      </c>
      <c r="E435" s="23">
        <v>2</v>
      </c>
      <c r="F435" s="18">
        <f>E435* 0.511826182618262</f>
        <v>1.0236523652365239</v>
      </c>
      <c r="G435" s="18">
        <f>E435* 0.476622662266227</f>
        <v>0.95324532453245403</v>
      </c>
      <c r="H435" s="18">
        <f>E435* 0.0115511551155116</f>
        <v>2.3102310231023201E-2</v>
      </c>
    </row>
    <row r="436" spans="1:8" ht="15.75" hidden="1" customHeight="1" x14ac:dyDescent="0.25">
      <c r="A436" s="20" t="s">
        <v>51</v>
      </c>
      <c r="B436" s="47" t="s">
        <v>65</v>
      </c>
      <c r="C436" s="49"/>
      <c r="D436" s="19" t="s">
        <v>20</v>
      </c>
      <c r="E436" s="23">
        <v>30</v>
      </c>
      <c r="F436" s="18">
        <f>E436* 0.814615536880747</f>
        <v>24.438466106422407</v>
      </c>
      <c r="G436" s="18">
        <f>E436* 0.0763167839340663</f>
        <v>2.2895035180219887</v>
      </c>
      <c r="H436" s="18">
        <f>E436* 0.109013694193014</f>
        <v>3.2704108257904201</v>
      </c>
    </row>
    <row r="437" spans="1:8" ht="15.75" hidden="1" customHeight="1" x14ac:dyDescent="0.25">
      <c r="A437" s="20" t="s">
        <v>51</v>
      </c>
      <c r="B437" s="47" t="s">
        <v>65</v>
      </c>
      <c r="C437" s="49"/>
      <c r="D437" s="19" t="s">
        <v>21</v>
      </c>
      <c r="E437" s="23">
        <v>23</v>
      </c>
      <c r="F437" s="18">
        <f>E437* 0.999722052365334</f>
        <v>22.993607204402682</v>
      </c>
      <c r="G437" s="20">
        <v>0</v>
      </c>
      <c r="H437" s="18">
        <f>E437* 0.000277947634665629</f>
        <v>6.3927955973094664E-3</v>
      </c>
    </row>
    <row r="438" spans="1:8" ht="15.75" hidden="1" customHeight="1" x14ac:dyDescent="0.25">
      <c r="A438" s="20" t="s">
        <v>51</v>
      </c>
      <c r="B438" s="47" t="s">
        <v>65</v>
      </c>
      <c r="C438" s="49"/>
      <c r="D438" s="19" t="s">
        <v>36</v>
      </c>
      <c r="E438" s="23">
        <v>1</v>
      </c>
      <c r="F438" s="18">
        <f>E438* 0.999132697311362</f>
        <v>0.99913269731136201</v>
      </c>
      <c r="G438" s="20">
        <v>0</v>
      </c>
      <c r="H438" s="18">
        <f>E438* 0.000867302688638335</f>
        <v>8.6730268863833497E-4</v>
      </c>
    </row>
    <row r="439" spans="1:8" ht="15.75" hidden="1" customHeight="1" x14ac:dyDescent="0.25">
      <c r="A439" s="20" t="s">
        <v>51</v>
      </c>
      <c r="B439" s="47" t="s">
        <v>65</v>
      </c>
      <c r="C439" s="49"/>
      <c r="D439" s="19" t="s">
        <v>28</v>
      </c>
      <c r="E439" s="23">
        <v>36</v>
      </c>
      <c r="F439" s="18">
        <f>E439* 0.00115651503469545</f>
        <v>4.1634541249036199E-2</v>
      </c>
      <c r="G439" s="18">
        <f>E439* 0.998843484965305</f>
        <v>35.958365458750976</v>
      </c>
      <c r="H439" s="20">
        <v>0</v>
      </c>
    </row>
    <row r="440" spans="1:8" ht="15.75" hidden="1" customHeight="1" x14ac:dyDescent="0.25">
      <c r="A440" s="20" t="s">
        <v>51</v>
      </c>
      <c r="B440" s="47" t="s">
        <v>65</v>
      </c>
      <c r="C440" s="49"/>
      <c r="D440" s="19" t="s">
        <v>12</v>
      </c>
      <c r="E440" s="23">
        <v>73</v>
      </c>
      <c r="F440" s="18">
        <f>E440* 0.924936238310357</f>
        <v>67.520345396656055</v>
      </c>
      <c r="G440" s="18">
        <f>E440* 0.0351064361799663</f>
        <v>2.5627698411375395</v>
      </c>
      <c r="H440" s="18">
        <f>E440* 0.039932320925503</f>
        <v>2.9150594275617192</v>
      </c>
    </row>
    <row r="441" spans="1:8" ht="15.75" hidden="1" customHeight="1" x14ac:dyDescent="0.25">
      <c r="A441" s="20" t="s">
        <v>51</v>
      </c>
      <c r="B441" s="20"/>
      <c r="C441" s="20"/>
      <c r="D441" s="46"/>
      <c r="E441" s="35"/>
    </row>
    <row r="442" spans="1:8" ht="15.75" hidden="1" customHeight="1" x14ac:dyDescent="0.25">
      <c r="A442" s="20" t="s">
        <v>51</v>
      </c>
      <c r="B442" s="47" t="s">
        <v>66</v>
      </c>
      <c r="C442" s="12" t="str">
        <f>B442&amp;"_"&amp;A442</f>
        <v>Chuma_La Paz</v>
      </c>
      <c r="D442" s="20"/>
      <c r="E442" s="48">
        <v>2</v>
      </c>
      <c r="F442" s="14">
        <f t="shared" ref="F442:H442" si="46">SUM(F443:F444)</f>
        <v>1.849872476620714</v>
      </c>
      <c r="G442" s="14">
        <f t="shared" si="46"/>
        <v>7.0212872359932593E-2</v>
      </c>
      <c r="H442" s="14">
        <f t="shared" si="46"/>
        <v>7.9864641851006002E-2</v>
      </c>
    </row>
    <row r="443" spans="1:8" ht="15.75" hidden="1" customHeight="1" x14ac:dyDescent="0.25">
      <c r="A443" s="20" t="s">
        <v>51</v>
      </c>
      <c r="B443" s="47" t="s">
        <v>66</v>
      </c>
      <c r="C443" s="49"/>
      <c r="D443" s="19" t="s">
        <v>17</v>
      </c>
      <c r="E443" s="35"/>
      <c r="F443" s="18">
        <f>E443* 0.916446662218225</f>
        <v>0</v>
      </c>
      <c r="G443" s="18">
        <f>E443* 0.0292436682236212</f>
        <v>0</v>
      </c>
      <c r="H443" s="18">
        <f>E443* 0.0543096695581537</f>
        <v>0</v>
      </c>
    </row>
    <row r="444" spans="1:8" ht="15.75" hidden="1" customHeight="1" x14ac:dyDescent="0.25">
      <c r="A444" s="20" t="s">
        <v>51</v>
      </c>
      <c r="B444" s="47" t="s">
        <v>66</v>
      </c>
      <c r="C444" s="49"/>
      <c r="D444" s="19" t="s">
        <v>12</v>
      </c>
      <c r="E444" s="23">
        <v>2</v>
      </c>
      <c r="F444" s="18">
        <f>E444* 0.924936238310357</f>
        <v>1.849872476620714</v>
      </c>
      <c r="G444" s="18">
        <f>E444* 0.0351064361799663</f>
        <v>7.0212872359932593E-2</v>
      </c>
      <c r="H444" s="18">
        <f>E444* 0.039932320925503</f>
        <v>7.9864641851006002E-2</v>
      </c>
    </row>
    <row r="445" spans="1:8" ht="15.75" hidden="1" customHeight="1" x14ac:dyDescent="0.25">
      <c r="A445" s="20" t="s">
        <v>51</v>
      </c>
      <c r="B445" s="20"/>
      <c r="C445" s="20"/>
      <c r="D445" s="46"/>
      <c r="E445" s="35"/>
    </row>
    <row r="446" spans="1:8" ht="15.75" hidden="1" customHeight="1" x14ac:dyDescent="0.25">
      <c r="A446" s="20" t="s">
        <v>51</v>
      </c>
      <c r="B446" s="47" t="s">
        <v>67</v>
      </c>
      <c r="C446" s="12" t="str">
        <f>B446&amp;"_"&amp;A446</f>
        <v>Collana_La Paz</v>
      </c>
      <c r="D446" s="20"/>
      <c r="E446" s="48">
        <v>437</v>
      </c>
      <c r="F446" s="14">
        <f t="shared" ref="F446:H446" si="47">SUM(F447:F458)</f>
        <v>239.26829510796614</v>
      </c>
      <c r="G446" s="14">
        <f t="shared" si="47"/>
        <v>184.14772751284741</v>
      </c>
      <c r="H446" s="14">
        <f t="shared" si="47"/>
        <v>13.559812845336287</v>
      </c>
    </row>
    <row r="447" spans="1:8" ht="15.75" hidden="1" customHeight="1" x14ac:dyDescent="0.25">
      <c r="A447" s="20" t="s">
        <v>51</v>
      </c>
      <c r="B447" s="47" t="s">
        <v>67</v>
      </c>
      <c r="C447" s="49"/>
      <c r="D447" s="29" t="s">
        <v>323</v>
      </c>
      <c r="E447" s="23">
        <v>0</v>
      </c>
      <c r="F447" s="20">
        <v>0</v>
      </c>
      <c r="G447" s="24">
        <f>E447</f>
        <v>0</v>
      </c>
      <c r="H447" s="20">
        <v>0</v>
      </c>
    </row>
    <row r="448" spans="1:8" ht="15.75" hidden="1" customHeight="1" x14ac:dyDescent="0.25">
      <c r="A448" s="20" t="s">
        <v>51</v>
      </c>
      <c r="B448" s="47" t="s">
        <v>67</v>
      </c>
      <c r="C448" s="49"/>
      <c r="D448" s="19" t="s">
        <v>15</v>
      </c>
      <c r="E448" s="23">
        <v>23</v>
      </c>
      <c r="F448" s="18">
        <f>E448* 0.981163265034061</f>
        <v>22.566755095783403</v>
      </c>
      <c r="G448" s="18">
        <f>E448* 0.0027595216829083</f>
        <v>6.3468998706890892E-2</v>
      </c>
      <c r="H448" s="18">
        <f>E448* 0.0160372202151627</f>
        <v>0.36885606494874212</v>
      </c>
    </row>
    <row r="449" spans="1:8" ht="15.75" hidden="1" customHeight="1" x14ac:dyDescent="0.25">
      <c r="A449" s="20" t="s">
        <v>51</v>
      </c>
      <c r="B449" s="47" t="s">
        <v>67</v>
      </c>
      <c r="C449" s="49"/>
      <c r="D449" s="29" t="s">
        <v>324</v>
      </c>
      <c r="E449" s="23">
        <v>3</v>
      </c>
      <c r="F449" s="18">
        <f>E449* 0.142974979378609</f>
        <v>0.42892493813582699</v>
      </c>
      <c r="G449" s="18">
        <f>E449* 0.852350838603245</f>
        <v>2.557052515809735</v>
      </c>
      <c r="H449" s="18">
        <f>E449* 0.00467418201814682</f>
        <v>1.4022546054440459E-2</v>
      </c>
    </row>
    <row r="450" spans="1:8" ht="15.75" hidden="1" customHeight="1" x14ac:dyDescent="0.25">
      <c r="A450" s="20" t="s">
        <v>51</v>
      </c>
      <c r="B450" s="47" t="s">
        <v>67</v>
      </c>
      <c r="C450" s="49"/>
      <c r="D450" s="19" t="s">
        <v>11</v>
      </c>
      <c r="E450" s="23">
        <v>114</v>
      </c>
      <c r="F450" s="18">
        <f>E450* 0.178797409805735</f>
        <v>20.382904717853791</v>
      </c>
      <c r="G450" s="18">
        <f>E450* 0.819278445883441</f>
        <v>93.397742830712275</v>
      </c>
      <c r="H450" s="18">
        <f>E450* 0.00181313598519889</f>
        <v>0.20669750231267345</v>
      </c>
    </row>
    <row r="451" spans="1:8" ht="15.75" hidden="1" customHeight="1" x14ac:dyDescent="0.25">
      <c r="A451" s="20" t="s">
        <v>51</v>
      </c>
      <c r="B451" s="47" t="s">
        <v>67</v>
      </c>
      <c r="C451" s="49"/>
      <c r="D451" s="19" t="s">
        <v>17</v>
      </c>
      <c r="E451" s="23">
        <v>37</v>
      </c>
      <c r="F451" s="18">
        <f>E451* 0.916446662218225</f>
        <v>33.908526502074324</v>
      </c>
      <c r="G451" s="18">
        <f>E451* 0.0292436682236212</f>
        <v>1.0820157242739843</v>
      </c>
      <c r="H451" s="18">
        <f>E451* 0.0543096695581537</f>
        <v>2.009457773651687</v>
      </c>
    </row>
    <row r="452" spans="1:8" ht="15.75" hidden="1" customHeight="1" x14ac:dyDescent="0.25">
      <c r="A452" s="20" t="s">
        <v>51</v>
      </c>
      <c r="B452" s="47" t="s">
        <v>67</v>
      </c>
      <c r="C452" s="49"/>
      <c r="D452" s="19" t="s">
        <v>31</v>
      </c>
      <c r="E452" s="23">
        <v>11</v>
      </c>
      <c r="F452" s="18">
        <f>E452* 0.957442434210526</f>
        <v>10.531866776315786</v>
      </c>
      <c r="G452" s="18">
        <f>E452* 0.0158305921052632</f>
        <v>0.17413651315789519</v>
      </c>
      <c r="H452" s="18">
        <f>E452* 0.0263157894736842</f>
        <v>0.28947368421052616</v>
      </c>
    </row>
    <row r="453" spans="1:8" ht="15.75" hidden="1" customHeight="1" x14ac:dyDescent="0.25">
      <c r="A453" s="20" t="s">
        <v>51</v>
      </c>
      <c r="B453" s="47" t="s">
        <v>67</v>
      </c>
      <c r="C453" s="49"/>
      <c r="D453" s="19" t="s">
        <v>18</v>
      </c>
      <c r="E453" s="23">
        <v>7</v>
      </c>
      <c r="F453" s="18">
        <f>E453* 0.983388008654987</f>
        <v>6.8837160605849093</v>
      </c>
      <c r="G453" s="18">
        <f>E453* 0.0133314720457877</f>
        <v>9.33203043205139E-2</v>
      </c>
      <c r="H453" s="18">
        <f>E453* 0.003210721016263</f>
        <v>2.2475047113841001E-2</v>
      </c>
    </row>
    <row r="454" spans="1:8" ht="15.75" hidden="1" customHeight="1" x14ac:dyDescent="0.25">
      <c r="A454" s="20" t="s">
        <v>51</v>
      </c>
      <c r="B454" s="47" t="s">
        <v>67</v>
      </c>
      <c r="C454" s="49"/>
      <c r="D454" s="19" t="s">
        <v>19</v>
      </c>
      <c r="E454" s="23">
        <v>0</v>
      </c>
      <c r="F454" s="18">
        <f>E454* 0.511826182618262</f>
        <v>0</v>
      </c>
      <c r="G454" s="18">
        <f>E454* 0.476622662266227</f>
        <v>0</v>
      </c>
      <c r="H454" s="18">
        <f>E454* 0.0115511551155116</f>
        <v>0</v>
      </c>
    </row>
    <row r="455" spans="1:8" ht="15.75" hidden="1" customHeight="1" x14ac:dyDescent="0.25">
      <c r="A455" s="20" t="s">
        <v>51</v>
      </c>
      <c r="B455" s="47" t="s">
        <v>67</v>
      </c>
      <c r="C455" s="49"/>
      <c r="D455" s="19" t="s">
        <v>20</v>
      </c>
      <c r="E455" s="23">
        <v>76</v>
      </c>
      <c r="F455" s="18">
        <f>E455* 0.814615536880747</f>
        <v>61.91078080293677</v>
      </c>
      <c r="G455" s="18">
        <f>E455* 0.0763167839340663</f>
        <v>5.8000755789890386</v>
      </c>
      <c r="H455" s="18">
        <f>E455* 0.109013694193014</f>
        <v>8.285040758669064</v>
      </c>
    </row>
    <row r="456" spans="1:8" ht="15.75" hidden="1" customHeight="1" x14ac:dyDescent="0.25">
      <c r="A456" s="20" t="s">
        <v>51</v>
      </c>
      <c r="B456" s="47" t="s">
        <v>67</v>
      </c>
      <c r="C456" s="49"/>
      <c r="D456" s="19" t="s">
        <v>21</v>
      </c>
      <c r="E456" s="23">
        <v>28</v>
      </c>
      <c r="F456" s="18">
        <f>E456* 0.999722052365334</f>
        <v>27.992217466229352</v>
      </c>
      <c r="G456" s="20">
        <v>0</v>
      </c>
      <c r="H456" s="18">
        <f>E456* 0.000277947634665629</f>
        <v>7.7825337706376113E-3</v>
      </c>
    </row>
    <row r="457" spans="1:8" ht="15.75" hidden="1" customHeight="1" x14ac:dyDescent="0.25">
      <c r="A457" s="20" t="s">
        <v>51</v>
      </c>
      <c r="B457" s="47" t="s">
        <v>67</v>
      </c>
      <c r="C457" s="49"/>
      <c r="D457" s="19" t="s">
        <v>28</v>
      </c>
      <c r="E457" s="23">
        <v>79</v>
      </c>
      <c r="F457" s="18">
        <f>E457* 0.00115651503469545</f>
        <v>9.1364687740940545E-2</v>
      </c>
      <c r="G457" s="18">
        <f>E457* 0.998843484965305</f>
        <v>78.908635312259094</v>
      </c>
      <c r="H457" s="20">
        <v>0</v>
      </c>
    </row>
    <row r="458" spans="1:8" ht="15.75" hidden="1" customHeight="1" x14ac:dyDescent="0.25">
      <c r="A458" s="20" t="s">
        <v>51</v>
      </c>
      <c r="B458" s="47" t="s">
        <v>67</v>
      </c>
      <c r="C458" s="49"/>
      <c r="D458" s="19" t="s">
        <v>12</v>
      </c>
      <c r="E458" s="23">
        <v>59</v>
      </c>
      <c r="F458" s="18">
        <f>E458* 0.924936238310357</f>
        <v>54.57123806031106</v>
      </c>
      <c r="G458" s="18">
        <f>E458* 0.0351064361799663</f>
        <v>2.0712797346180114</v>
      </c>
      <c r="H458" s="18">
        <f>E458* 0.039932320925503</f>
        <v>2.356006934604677</v>
      </c>
    </row>
    <row r="459" spans="1:8" ht="15.75" hidden="1" customHeight="1" x14ac:dyDescent="0.25">
      <c r="A459" s="20" t="s">
        <v>51</v>
      </c>
      <c r="B459" s="20"/>
      <c r="C459" s="20"/>
      <c r="D459" s="46"/>
      <c r="E459" s="35"/>
    </row>
    <row r="460" spans="1:8" ht="15.75" hidden="1" customHeight="1" x14ac:dyDescent="0.25">
      <c r="A460" s="20" t="s">
        <v>51</v>
      </c>
      <c r="B460" s="47" t="s">
        <v>68</v>
      </c>
      <c r="C460" s="12" t="str">
        <f>B460&amp;"_"&amp;A460</f>
        <v>Colquencha_La Paz</v>
      </c>
      <c r="D460" s="20"/>
      <c r="E460" s="48">
        <v>242</v>
      </c>
      <c r="F460" s="14">
        <f t="shared" ref="F460:H460" si="48">SUM(F461:F470)</f>
        <v>76.068092897043101</v>
      </c>
      <c r="G460" s="14">
        <f t="shared" si="48"/>
        <v>162.34040908019958</v>
      </c>
      <c r="H460" s="14">
        <f t="shared" si="48"/>
        <v>3.5715630676742141</v>
      </c>
    </row>
    <row r="461" spans="1:8" ht="15.75" hidden="1" customHeight="1" x14ac:dyDescent="0.25">
      <c r="A461" s="20" t="s">
        <v>51</v>
      </c>
      <c r="B461" s="47" t="s">
        <v>68</v>
      </c>
      <c r="C461" s="49"/>
      <c r="D461" s="19" t="s">
        <v>15</v>
      </c>
      <c r="E461" s="23">
        <v>2</v>
      </c>
      <c r="F461" s="18">
        <f>E461* 0.981163265034061</f>
        <v>1.9623265300681221</v>
      </c>
      <c r="G461" s="18">
        <f>E461* 0.0027595216829083</f>
        <v>5.5190433658165996E-3</v>
      </c>
      <c r="H461" s="18">
        <f>E461* 0.0160372202151627</f>
        <v>3.2074440430325403E-2</v>
      </c>
    </row>
    <row r="462" spans="1:8" ht="15.75" hidden="1" customHeight="1" x14ac:dyDescent="0.25">
      <c r="A462" s="20" t="s">
        <v>51</v>
      </c>
      <c r="B462" s="47" t="s">
        <v>68</v>
      </c>
      <c r="C462" s="49"/>
      <c r="D462" s="29" t="s">
        <v>325</v>
      </c>
      <c r="E462" s="23">
        <v>1</v>
      </c>
      <c r="F462" s="18">
        <f>E462* 0.142974979378609</f>
        <v>0.14297497937860901</v>
      </c>
      <c r="G462" s="18">
        <f>E462* 0.852350838603245</f>
        <v>0.85235083860324501</v>
      </c>
      <c r="H462" s="18">
        <f>E462* 0.00467418201814682</f>
        <v>4.6741820181468198E-3</v>
      </c>
    </row>
    <row r="463" spans="1:8" ht="15.75" hidden="1" customHeight="1" x14ac:dyDescent="0.25">
      <c r="A463" s="20" t="s">
        <v>51</v>
      </c>
      <c r="B463" s="47" t="s">
        <v>68</v>
      </c>
      <c r="C463" s="49"/>
      <c r="D463" s="19" t="s">
        <v>11</v>
      </c>
      <c r="E463" s="23">
        <v>167</v>
      </c>
      <c r="F463" s="18">
        <f>E463* 0.178797409805735</f>
        <v>29.859167437557744</v>
      </c>
      <c r="G463" s="18">
        <f>E463* 0.819278445883441</f>
        <v>136.81950046253465</v>
      </c>
      <c r="H463" s="18">
        <f>E463* 0.00181313598519889</f>
        <v>0.30279370952821461</v>
      </c>
    </row>
    <row r="464" spans="1:8" ht="15.75" hidden="1" customHeight="1" x14ac:dyDescent="0.25">
      <c r="A464" s="20" t="s">
        <v>51</v>
      </c>
      <c r="B464" s="47" t="s">
        <v>68</v>
      </c>
      <c r="C464" s="49"/>
      <c r="D464" s="19" t="s">
        <v>17</v>
      </c>
      <c r="E464" s="23">
        <v>15</v>
      </c>
      <c r="F464" s="18">
        <f>E464* 0.916446662218225</f>
        <v>13.746699933273375</v>
      </c>
      <c r="G464" s="18">
        <f>E464* 0.0292436682236212</f>
        <v>0.438655023354318</v>
      </c>
      <c r="H464" s="18">
        <f>E464* 0.0543096695581537</f>
        <v>0.81464504337230548</v>
      </c>
    </row>
    <row r="465" spans="1:8" ht="15.75" hidden="1" customHeight="1" x14ac:dyDescent="0.25">
      <c r="A465" s="20" t="s">
        <v>51</v>
      </c>
      <c r="B465" s="47" t="s">
        <v>68</v>
      </c>
      <c r="C465" s="49"/>
      <c r="D465" s="19" t="s">
        <v>18</v>
      </c>
      <c r="E465" s="23">
        <v>1</v>
      </c>
      <c r="F465" s="18">
        <f>E465* 0.983388008654987</f>
        <v>0.98338800865498699</v>
      </c>
      <c r="G465" s="18">
        <f>E465* 0.0133314720457877</f>
        <v>1.33314720457877E-2</v>
      </c>
      <c r="H465" s="18">
        <f>E465* 0.003210721016263</f>
        <v>3.2107210162630002E-3</v>
      </c>
    </row>
    <row r="466" spans="1:8" ht="15.75" hidden="1" customHeight="1" x14ac:dyDescent="0.25">
      <c r="A466" s="20" t="s">
        <v>51</v>
      </c>
      <c r="B466" s="47" t="s">
        <v>68</v>
      </c>
      <c r="C466" s="49"/>
      <c r="D466" s="19" t="s">
        <v>19</v>
      </c>
      <c r="E466" s="23">
        <v>1</v>
      </c>
      <c r="F466" s="18">
        <f>E466* 0.511826182618262</f>
        <v>0.51182618261826196</v>
      </c>
      <c r="G466" s="18">
        <f>E466* 0.476622662266227</f>
        <v>0.47662266226622702</v>
      </c>
      <c r="H466" s="18">
        <f>E466* 0.0115511551155116</f>
        <v>1.1551155115511601E-2</v>
      </c>
    </row>
    <row r="467" spans="1:8" ht="15.75" hidden="1" customHeight="1" x14ac:dyDescent="0.25">
      <c r="A467" s="20" t="s">
        <v>51</v>
      </c>
      <c r="B467" s="47" t="s">
        <v>68</v>
      </c>
      <c r="C467" s="49"/>
      <c r="D467" s="19" t="s">
        <v>20</v>
      </c>
      <c r="E467" s="23">
        <v>18</v>
      </c>
      <c r="F467" s="18">
        <f>E467* 0.814615536880747</f>
        <v>14.663079663853445</v>
      </c>
      <c r="G467" s="18">
        <f>E467* 0.0763167839340663</f>
        <v>1.3737021108131933</v>
      </c>
      <c r="H467" s="18">
        <f>E467* 0.109013694193014</f>
        <v>1.962246495474252</v>
      </c>
    </row>
    <row r="468" spans="1:8" ht="15.75" hidden="1" customHeight="1" x14ac:dyDescent="0.25">
      <c r="A468" s="20" t="s">
        <v>51</v>
      </c>
      <c r="B468" s="47" t="s">
        <v>68</v>
      </c>
      <c r="C468" s="49"/>
      <c r="D468" s="19" t="s">
        <v>21</v>
      </c>
      <c r="E468" s="23">
        <v>4</v>
      </c>
      <c r="F468" s="18">
        <f>E468* 0.999722052365334</f>
        <v>3.9988882094613358</v>
      </c>
      <c r="G468" s="20">
        <v>0</v>
      </c>
      <c r="H468" s="18">
        <f>E468* 0.000277947634665629</f>
        <v>1.1117905386625159E-3</v>
      </c>
    </row>
    <row r="469" spans="1:8" ht="15.75" hidden="1" customHeight="1" x14ac:dyDescent="0.25">
      <c r="A469" s="20" t="s">
        <v>51</v>
      </c>
      <c r="B469" s="47" t="s">
        <v>68</v>
      </c>
      <c r="C469" s="49"/>
      <c r="D469" s="19" t="s">
        <v>28</v>
      </c>
      <c r="E469" s="23">
        <v>22</v>
      </c>
      <c r="F469" s="18">
        <f>E469* 0.00115651503469545</f>
        <v>2.5443330763299899E-2</v>
      </c>
      <c r="G469" s="18">
        <f>E469* 0.998843484965305</f>
        <v>21.974556669236708</v>
      </c>
      <c r="H469" s="20">
        <v>0</v>
      </c>
    </row>
    <row r="470" spans="1:8" ht="15.75" hidden="1" customHeight="1" x14ac:dyDescent="0.25">
      <c r="A470" s="20" t="s">
        <v>51</v>
      </c>
      <c r="B470" s="47" t="s">
        <v>68</v>
      </c>
      <c r="C470" s="49"/>
      <c r="D470" s="19" t="s">
        <v>12</v>
      </c>
      <c r="E470" s="23">
        <v>11</v>
      </c>
      <c r="F470" s="18">
        <f>E470* 0.924936238310357</f>
        <v>10.174298621413927</v>
      </c>
      <c r="G470" s="18">
        <f>E470* 0.0351064361799663</f>
        <v>0.38617079797962928</v>
      </c>
      <c r="H470" s="18">
        <f>E470* 0.039932320925503</f>
        <v>0.43925553018053298</v>
      </c>
    </row>
    <row r="471" spans="1:8" ht="15.75" hidden="1" customHeight="1" x14ac:dyDescent="0.25">
      <c r="A471" s="20" t="s">
        <v>51</v>
      </c>
      <c r="B471" s="20"/>
      <c r="C471" s="20"/>
      <c r="D471" s="46"/>
      <c r="E471" s="35"/>
    </row>
    <row r="472" spans="1:8" ht="15.75" hidden="1" customHeight="1" x14ac:dyDescent="0.25">
      <c r="A472" s="20" t="s">
        <v>51</v>
      </c>
      <c r="B472" s="47" t="s">
        <v>69</v>
      </c>
      <c r="C472" s="12" t="str">
        <f>B472&amp;"_"&amp;A472</f>
        <v>Colquiri_La Paz</v>
      </c>
      <c r="D472" s="20"/>
      <c r="E472" s="48">
        <v>254</v>
      </c>
      <c r="F472" s="14">
        <f t="shared" ref="F472:H472" si="49">SUM(F473:F485)</f>
        <v>201.88334786377192</v>
      </c>
      <c r="G472" s="14">
        <f t="shared" si="49"/>
        <v>40.777412396137876</v>
      </c>
      <c r="H472" s="14">
        <f t="shared" si="49"/>
        <v>11.329018265292007</v>
      </c>
    </row>
    <row r="473" spans="1:8" ht="15.75" hidden="1" customHeight="1" x14ac:dyDescent="0.25">
      <c r="A473" s="20" t="s">
        <v>51</v>
      </c>
      <c r="B473" s="47" t="s">
        <v>69</v>
      </c>
      <c r="C473" s="49"/>
      <c r="D473" s="29" t="s">
        <v>326</v>
      </c>
      <c r="E473" s="23">
        <v>0</v>
      </c>
      <c r="F473" s="20">
        <v>0</v>
      </c>
      <c r="G473" s="24">
        <f>E473</f>
        <v>0</v>
      </c>
      <c r="H473" s="20">
        <v>0</v>
      </c>
    </row>
    <row r="474" spans="1:8" ht="15.75" hidden="1" customHeight="1" x14ac:dyDescent="0.25">
      <c r="A474" s="20" t="s">
        <v>51</v>
      </c>
      <c r="B474" s="47" t="s">
        <v>69</v>
      </c>
      <c r="C474" s="49"/>
      <c r="D474" s="19" t="s">
        <v>15</v>
      </c>
      <c r="E474" s="23">
        <v>14</v>
      </c>
      <c r="F474" s="18">
        <f>E474* 0.981163265034061</f>
        <v>13.736285710476855</v>
      </c>
      <c r="G474" s="18">
        <f>E474* 0.0027595216829083</f>
        <v>3.8633303560716196E-2</v>
      </c>
      <c r="H474" s="18">
        <f>E474* 0.0160372202151627</f>
        <v>0.22452108301227783</v>
      </c>
    </row>
    <row r="475" spans="1:8" ht="15.75" hidden="1" customHeight="1" x14ac:dyDescent="0.25">
      <c r="A475" s="20" t="s">
        <v>51</v>
      </c>
      <c r="B475" s="47" t="s">
        <v>69</v>
      </c>
      <c r="C475" s="49"/>
      <c r="D475" s="29" t="s">
        <v>327</v>
      </c>
      <c r="E475" s="23">
        <v>4</v>
      </c>
      <c r="F475" s="18">
        <f>E475* 0.142974979378609</f>
        <v>0.57189991751443603</v>
      </c>
      <c r="G475" s="18">
        <f>E475* 0.852350838603245</f>
        <v>3.40940335441298</v>
      </c>
      <c r="H475" s="18">
        <f>E475* 0.00467418201814682</f>
        <v>1.8696728072587279E-2</v>
      </c>
    </row>
    <row r="476" spans="1:8" ht="15.75" hidden="1" customHeight="1" x14ac:dyDescent="0.25">
      <c r="A476" s="20" t="s">
        <v>51</v>
      </c>
      <c r="B476" s="47" t="s">
        <v>69</v>
      </c>
      <c r="C476" s="49"/>
      <c r="D476" s="19" t="s">
        <v>11</v>
      </c>
      <c r="E476" s="23">
        <v>31</v>
      </c>
      <c r="F476" s="18">
        <f>E476* 0.178797409805735</f>
        <v>5.5427197039777845</v>
      </c>
      <c r="G476" s="18">
        <f>E476* 0.819278445883441</f>
        <v>25.397631822386671</v>
      </c>
      <c r="H476" s="18">
        <f>E476* 0.00181313598519889</f>
        <v>5.6207215541165589E-2</v>
      </c>
    </row>
    <row r="477" spans="1:8" ht="15.75" hidden="1" customHeight="1" x14ac:dyDescent="0.25">
      <c r="A477" s="20" t="s">
        <v>51</v>
      </c>
      <c r="B477" s="47" t="s">
        <v>69</v>
      </c>
      <c r="C477" s="49"/>
      <c r="D477" s="19" t="s">
        <v>17</v>
      </c>
      <c r="E477" s="23">
        <v>41</v>
      </c>
      <c r="F477" s="18">
        <f>E477* 0.916446662218225</f>
        <v>37.574313150947226</v>
      </c>
      <c r="G477" s="18">
        <f>E477* 0.0292436682236212</f>
        <v>1.1989903971684692</v>
      </c>
      <c r="H477" s="18">
        <f>E477* 0.0543096695581537</f>
        <v>2.226696451884302</v>
      </c>
    </row>
    <row r="478" spans="1:8" ht="15.75" hidden="1" customHeight="1" x14ac:dyDescent="0.25">
      <c r="A478" s="20" t="s">
        <v>51</v>
      </c>
      <c r="B478" s="47" t="s">
        <v>69</v>
      </c>
      <c r="C478" s="49"/>
      <c r="D478" s="19" t="s">
        <v>31</v>
      </c>
      <c r="E478" s="23">
        <v>3</v>
      </c>
      <c r="F478" s="18">
        <f>E478* 0.957442434210526</f>
        <v>2.8723273026315779</v>
      </c>
      <c r="G478" s="18">
        <f>E478* 0.0158305921052632</f>
        <v>4.7491776315789595E-2</v>
      </c>
      <c r="H478" s="18">
        <f>E478* 0.0263157894736842</f>
        <v>7.8947368421052599E-2</v>
      </c>
    </row>
    <row r="479" spans="1:8" ht="15.75" hidden="1" customHeight="1" x14ac:dyDescent="0.25">
      <c r="A479" s="20" t="s">
        <v>51</v>
      </c>
      <c r="B479" s="47" t="s">
        <v>69</v>
      </c>
      <c r="C479" s="49"/>
      <c r="D479" s="19" t="s">
        <v>18</v>
      </c>
      <c r="E479" s="23">
        <v>4</v>
      </c>
      <c r="F479" s="18">
        <f>E479* 0.983388008654987</f>
        <v>3.933552034619948</v>
      </c>
      <c r="G479" s="18">
        <f>E479* 0.0133314720457877</f>
        <v>5.3325888183150802E-2</v>
      </c>
      <c r="H479" s="18">
        <f>E479* 0.003210721016263</f>
        <v>1.2842884065052001E-2</v>
      </c>
    </row>
    <row r="480" spans="1:8" ht="15.75" hidden="1" customHeight="1" x14ac:dyDescent="0.25">
      <c r="A480" s="20" t="s">
        <v>51</v>
      </c>
      <c r="B480" s="47" t="s">
        <v>69</v>
      </c>
      <c r="C480" s="49"/>
      <c r="D480" s="19" t="s">
        <v>19</v>
      </c>
      <c r="E480" s="23">
        <v>0</v>
      </c>
      <c r="F480" s="18">
        <f>E480* 0.511826182618262</f>
        <v>0</v>
      </c>
      <c r="G480" s="18">
        <f>E480* 0.476622662266227</f>
        <v>0</v>
      </c>
      <c r="H480" s="18">
        <f>E480* 0.0115511551155116</f>
        <v>0</v>
      </c>
    </row>
    <row r="481" spans="1:8" ht="15.75" hidden="1" customHeight="1" x14ac:dyDescent="0.25">
      <c r="A481" s="20" t="s">
        <v>51</v>
      </c>
      <c r="B481" s="47" t="s">
        <v>69</v>
      </c>
      <c r="C481" s="49"/>
      <c r="D481" s="19" t="s">
        <v>20</v>
      </c>
      <c r="E481" s="23">
        <v>52</v>
      </c>
      <c r="F481" s="18">
        <f>E481* 0.814615536880747</f>
        <v>42.360007917798839</v>
      </c>
      <c r="G481" s="18">
        <f>E481* 0.0763167839340663</f>
        <v>3.9684727645714473</v>
      </c>
      <c r="H481" s="18">
        <f>E481* 0.109013694193014</f>
        <v>5.6687120980367283</v>
      </c>
    </row>
    <row r="482" spans="1:8" ht="15.75" hidden="1" customHeight="1" x14ac:dyDescent="0.25">
      <c r="A482" s="20" t="s">
        <v>51</v>
      </c>
      <c r="B482" s="47" t="s">
        <v>69</v>
      </c>
      <c r="C482" s="49"/>
      <c r="D482" s="19" t="s">
        <v>21</v>
      </c>
      <c r="E482" s="23">
        <v>24</v>
      </c>
      <c r="F482" s="18">
        <f>E482* 0.999722052365334</f>
        <v>23.993329256768014</v>
      </c>
      <c r="G482" s="20">
        <v>0</v>
      </c>
      <c r="H482" s="18">
        <f>E482* 0.000277947634665629</f>
        <v>6.6707432319750952E-3</v>
      </c>
    </row>
    <row r="483" spans="1:8" ht="15.75" hidden="1" customHeight="1" x14ac:dyDescent="0.25">
      <c r="A483" s="20" t="s">
        <v>51</v>
      </c>
      <c r="B483" s="47" t="s">
        <v>69</v>
      </c>
      <c r="C483" s="49"/>
      <c r="D483" s="19" t="s">
        <v>36</v>
      </c>
      <c r="E483" s="23">
        <v>1</v>
      </c>
      <c r="F483" s="18">
        <f>E483* 0.999132697311362</f>
        <v>0.99913269731136201</v>
      </c>
      <c r="G483" s="20">
        <v>0</v>
      </c>
      <c r="H483" s="18">
        <f>E483* 0.000867302688638335</f>
        <v>8.6730268863833497E-4</v>
      </c>
    </row>
    <row r="484" spans="1:8" ht="15.75" hidden="1" customHeight="1" x14ac:dyDescent="0.25">
      <c r="A484" s="20" t="s">
        <v>51</v>
      </c>
      <c r="B484" s="47" t="s">
        <v>69</v>
      </c>
      <c r="C484" s="49"/>
      <c r="D484" s="19" t="s">
        <v>28</v>
      </c>
      <c r="E484" s="23">
        <v>4</v>
      </c>
      <c r="F484" s="18">
        <f>E484* 0.00115651503469545</f>
        <v>4.6260601387817998E-3</v>
      </c>
      <c r="G484" s="18">
        <f>E484* 0.998843484965305</f>
        <v>3.9953739398612198</v>
      </c>
      <c r="H484" s="20">
        <v>0</v>
      </c>
    </row>
    <row r="485" spans="1:8" ht="15.75" hidden="1" customHeight="1" x14ac:dyDescent="0.25">
      <c r="A485" s="20" t="s">
        <v>51</v>
      </c>
      <c r="B485" s="47" t="s">
        <v>69</v>
      </c>
      <c r="C485" s="49"/>
      <c r="D485" s="19" t="s">
        <v>12</v>
      </c>
      <c r="E485" s="23">
        <v>76</v>
      </c>
      <c r="F485" s="18">
        <f>E485* 0.924936238310357</f>
        <v>70.295154111587124</v>
      </c>
      <c r="G485" s="18">
        <f>E485* 0.0351064361799663</f>
        <v>2.6680891496774386</v>
      </c>
      <c r="H485" s="18">
        <f>E485* 0.039932320925503</f>
        <v>3.034856390338228</v>
      </c>
    </row>
    <row r="486" spans="1:8" ht="15.75" hidden="1" customHeight="1" x14ac:dyDescent="0.25">
      <c r="A486" s="20" t="s">
        <v>51</v>
      </c>
      <c r="B486" s="20"/>
      <c r="C486" s="20"/>
      <c r="D486" s="46"/>
      <c r="E486" s="35"/>
    </row>
    <row r="487" spans="1:8" ht="15.75" hidden="1" customHeight="1" x14ac:dyDescent="0.25">
      <c r="A487" s="20" t="s">
        <v>51</v>
      </c>
      <c r="B487" s="47" t="s">
        <v>328</v>
      </c>
      <c r="C487" s="12" t="str">
        <f>B487&amp;"_"&amp;A487</f>
        <v>Combaya_La Paz</v>
      </c>
      <c r="D487" s="20"/>
      <c r="E487" s="48">
        <v>223</v>
      </c>
      <c r="F487" s="14">
        <f t="shared" ref="F487:H487" si="50">SUM(F488:F497)</f>
        <v>197.92756887383075</v>
      </c>
      <c r="G487" s="14">
        <f t="shared" si="50"/>
        <v>20.513206134389396</v>
      </c>
      <c r="H487" s="14">
        <f t="shared" si="50"/>
        <v>4.5549947005335563</v>
      </c>
    </row>
    <row r="488" spans="1:8" ht="15.75" hidden="1" customHeight="1" x14ac:dyDescent="0.25">
      <c r="A488" s="20" t="s">
        <v>51</v>
      </c>
      <c r="B488" s="47" t="s">
        <v>328</v>
      </c>
      <c r="C488" s="49"/>
      <c r="D488" s="29" t="s">
        <v>329</v>
      </c>
      <c r="E488" s="23">
        <v>1</v>
      </c>
      <c r="F488" s="20">
        <v>0</v>
      </c>
      <c r="G488" s="24">
        <f>E488</f>
        <v>1</v>
      </c>
      <c r="H488" s="20">
        <v>0</v>
      </c>
    </row>
    <row r="489" spans="1:8" ht="15.75" hidden="1" customHeight="1" x14ac:dyDescent="0.25">
      <c r="A489" s="20" t="s">
        <v>51</v>
      </c>
      <c r="B489" s="47" t="s">
        <v>328</v>
      </c>
      <c r="C489" s="49"/>
      <c r="D489" s="19" t="s">
        <v>15</v>
      </c>
      <c r="E489" s="23">
        <v>1</v>
      </c>
      <c r="F489" s="18">
        <f>E489* 0.981163265034061</f>
        <v>0.98116326503406104</v>
      </c>
      <c r="G489" s="18">
        <f>E489* 0.0027595216829083</f>
        <v>2.7595216829082998E-3</v>
      </c>
      <c r="H489" s="18">
        <f>E489* 0.0160372202151627</f>
        <v>1.6037220215162701E-2</v>
      </c>
    </row>
    <row r="490" spans="1:8" ht="15.75" hidden="1" customHeight="1" x14ac:dyDescent="0.25">
      <c r="A490" s="20" t="s">
        <v>51</v>
      </c>
      <c r="B490" s="47" t="s">
        <v>328</v>
      </c>
      <c r="C490" s="49"/>
      <c r="D490" s="29" t="s">
        <v>330</v>
      </c>
      <c r="E490" s="23">
        <v>1</v>
      </c>
      <c r="F490" s="18">
        <f>E490* 0.142974979378609</f>
        <v>0.14297497937860901</v>
      </c>
      <c r="G490" s="18">
        <f>E490* 0.852350838603245</f>
        <v>0.85235083860324501</v>
      </c>
      <c r="H490" s="18">
        <f>E490* 0.00467418201814682</f>
        <v>4.6741820181468198E-3</v>
      </c>
    </row>
    <row r="491" spans="1:8" ht="15.75" hidden="1" customHeight="1" x14ac:dyDescent="0.25">
      <c r="A491" s="20" t="s">
        <v>51</v>
      </c>
      <c r="B491" s="47" t="s">
        <v>328</v>
      </c>
      <c r="C491" s="49"/>
      <c r="D491" s="19" t="s">
        <v>11</v>
      </c>
      <c r="E491" s="23">
        <v>15</v>
      </c>
      <c r="F491" s="18">
        <f>E491* 0.178797409805735</f>
        <v>2.681961147086025</v>
      </c>
      <c r="G491" s="18">
        <f>E491* 0.819278445883441</f>
        <v>12.289176688251615</v>
      </c>
      <c r="H491" s="18">
        <f>E491* 0.00181313598519889</f>
        <v>2.7197039777983351E-2</v>
      </c>
    </row>
    <row r="492" spans="1:8" ht="15.75" hidden="1" customHeight="1" x14ac:dyDescent="0.25">
      <c r="A492" s="20" t="s">
        <v>51</v>
      </c>
      <c r="B492" s="47" t="s">
        <v>328</v>
      </c>
      <c r="C492" s="49"/>
      <c r="D492" s="19" t="s">
        <v>17</v>
      </c>
      <c r="E492" s="23">
        <v>13</v>
      </c>
      <c r="F492" s="18">
        <f>E492* 0.916446662218225</f>
        <v>11.913806608836925</v>
      </c>
      <c r="G492" s="18">
        <f>E492* 0.0292436682236212</f>
        <v>0.38016768690707559</v>
      </c>
      <c r="H492" s="18">
        <f>E492* 0.0543096695581537</f>
        <v>0.70602570425599809</v>
      </c>
    </row>
    <row r="493" spans="1:8" ht="15.75" hidden="1" customHeight="1" x14ac:dyDescent="0.25">
      <c r="A493" s="20" t="s">
        <v>51</v>
      </c>
      <c r="B493" s="47" t="s">
        <v>328</v>
      </c>
      <c r="C493" s="49"/>
      <c r="D493" s="19" t="s">
        <v>31</v>
      </c>
      <c r="E493" s="23">
        <v>1</v>
      </c>
      <c r="F493" s="18">
        <f>E493* 0.957442434210526</f>
        <v>0.95744243421052599</v>
      </c>
      <c r="G493" s="18">
        <f>E493* 0.0158305921052632</f>
        <v>1.5830592105263198E-2</v>
      </c>
      <c r="H493" s="18">
        <f>E493* 0.0263157894736842</f>
        <v>2.6315789473684199E-2</v>
      </c>
    </row>
    <row r="494" spans="1:8" ht="15.75" hidden="1" customHeight="1" x14ac:dyDescent="0.25">
      <c r="A494" s="20" t="s">
        <v>51</v>
      </c>
      <c r="B494" s="47" t="s">
        <v>328</v>
      </c>
      <c r="C494" s="49"/>
      <c r="D494" s="19" t="s">
        <v>20</v>
      </c>
      <c r="E494" s="23">
        <v>16</v>
      </c>
      <c r="F494" s="18">
        <f>E494* 0.814615536880747</f>
        <v>13.033848590091951</v>
      </c>
      <c r="G494" s="18">
        <f>E494* 0.0763167839340663</f>
        <v>1.2210685429450607</v>
      </c>
      <c r="H494" s="18">
        <f>E494* 0.109013694193014</f>
        <v>1.744219107088224</v>
      </c>
    </row>
    <row r="495" spans="1:8" ht="15.75" hidden="1" customHeight="1" x14ac:dyDescent="0.25">
      <c r="A495" s="20" t="s">
        <v>51</v>
      </c>
      <c r="B495" s="47" t="s">
        <v>328</v>
      </c>
      <c r="C495" s="49"/>
      <c r="D495" s="19" t="s">
        <v>21</v>
      </c>
      <c r="E495" s="23">
        <v>122</v>
      </c>
      <c r="F495" s="18">
        <f>E495* 0.999722052365334</f>
        <v>121.96609038857075</v>
      </c>
      <c r="G495" s="20">
        <v>0</v>
      </c>
      <c r="H495" s="18">
        <f>E495* 0.000277947634665629</f>
        <v>3.3909611429206739E-2</v>
      </c>
    </row>
    <row r="496" spans="1:8" ht="15.75" hidden="1" customHeight="1" x14ac:dyDescent="0.25">
      <c r="A496" s="20" t="s">
        <v>51</v>
      </c>
      <c r="B496" s="47" t="s">
        <v>328</v>
      </c>
      <c r="C496" s="49"/>
      <c r="D496" s="19" t="s">
        <v>28</v>
      </c>
      <c r="E496" s="23">
        <v>3</v>
      </c>
      <c r="F496" s="18">
        <f>E496* 0.00115651503469545</f>
        <v>3.4695451040863499E-3</v>
      </c>
      <c r="G496" s="18">
        <f>E496* 0.998843484965305</f>
        <v>2.9965304548959146</v>
      </c>
      <c r="H496" s="20">
        <v>0</v>
      </c>
    </row>
    <row r="497" spans="1:8" ht="15.75" hidden="1" customHeight="1" x14ac:dyDescent="0.25">
      <c r="A497" s="20" t="s">
        <v>51</v>
      </c>
      <c r="B497" s="47" t="s">
        <v>328</v>
      </c>
      <c r="C497" s="49"/>
      <c r="D497" s="19" t="s">
        <v>12</v>
      </c>
      <c r="E497" s="23">
        <v>50</v>
      </c>
      <c r="F497" s="18">
        <f>E497* 0.924936238310357</f>
        <v>46.246811915517853</v>
      </c>
      <c r="G497" s="18">
        <f>E497* 0.0351064361799663</f>
        <v>1.7553218089983149</v>
      </c>
      <c r="H497" s="18">
        <f>E497* 0.039932320925503</f>
        <v>1.9966160462751501</v>
      </c>
    </row>
    <row r="498" spans="1:8" ht="15.75" hidden="1" customHeight="1" x14ac:dyDescent="0.25">
      <c r="A498" s="20" t="s">
        <v>51</v>
      </c>
      <c r="B498" s="20"/>
      <c r="C498" s="20"/>
      <c r="D498" s="46"/>
      <c r="E498" s="35"/>
    </row>
    <row r="499" spans="1:8" ht="15.75" hidden="1" customHeight="1" x14ac:dyDescent="0.25">
      <c r="A499" s="20" t="s">
        <v>51</v>
      </c>
      <c r="B499" s="47" t="s">
        <v>70</v>
      </c>
      <c r="C499" s="12" t="str">
        <f>B499&amp;"_"&amp;A499</f>
        <v>Copacabana_La Paz</v>
      </c>
      <c r="D499" s="20"/>
      <c r="E499" s="48">
        <v>222</v>
      </c>
      <c r="F499" s="14">
        <f t="shared" ref="F499:H499" si="51">SUM(F500:F511)</f>
        <v>175.04916374767132</v>
      </c>
      <c r="G499" s="14">
        <f t="shared" si="51"/>
        <v>37.529117823798835</v>
      </c>
      <c r="H499" s="14">
        <f t="shared" si="51"/>
        <v>9.4087445779213219</v>
      </c>
    </row>
    <row r="500" spans="1:8" ht="15.75" hidden="1" customHeight="1" x14ac:dyDescent="0.25">
      <c r="A500" s="20" t="s">
        <v>51</v>
      </c>
      <c r="B500" s="47" t="s">
        <v>70</v>
      </c>
      <c r="C500" s="49"/>
      <c r="D500" s="29" t="s">
        <v>331</v>
      </c>
      <c r="E500" s="35"/>
      <c r="F500" s="20">
        <v>0</v>
      </c>
      <c r="G500" s="24">
        <f>E500</f>
        <v>0</v>
      </c>
      <c r="H500" s="20">
        <v>0</v>
      </c>
    </row>
    <row r="501" spans="1:8" ht="15.75" hidden="1" customHeight="1" x14ac:dyDescent="0.25">
      <c r="A501" s="20" t="s">
        <v>51</v>
      </c>
      <c r="B501" s="47" t="s">
        <v>70</v>
      </c>
      <c r="C501" s="49"/>
      <c r="D501" s="19" t="s">
        <v>15</v>
      </c>
      <c r="E501" s="23">
        <v>20</v>
      </c>
      <c r="F501" s="18">
        <f>E501* 0.981163265034061</f>
        <v>19.623265300681222</v>
      </c>
      <c r="G501" s="18">
        <f>E501* 0.0027595216829083</f>
        <v>5.5190433658165998E-2</v>
      </c>
      <c r="H501" s="18">
        <f>E501* 0.0160372202151627</f>
        <v>0.32074440430325402</v>
      </c>
    </row>
    <row r="502" spans="1:8" ht="15.75" hidden="1" customHeight="1" x14ac:dyDescent="0.25">
      <c r="A502" s="20" t="s">
        <v>51</v>
      </c>
      <c r="B502" s="47" t="s">
        <v>70</v>
      </c>
      <c r="C502" s="49"/>
      <c r="D502" s="29" t="s">
        <v>332</v>
      </c>
      <c r="E502" s="23">
        <v>16</v>
      </c>
      <c r="F502" s="18">
        <f>E502* 0.142974979378609</f>
        <v>2.2875996700577441</v>
      </c>
      <c r="G502" s="18">
        <f>E502* 0.852350838603245</f>
        <v>13.63761341765192</v>
      </c>
      <c r="H502" s="18">
        <f>E502* 0.00467418201814682</f>
        <v>7.4786912290349117E-2</v>
      </c>
    </row>
    <row r="503" spans="1:8" ht="15.75" hidden="1" customHeight="1" x14ac:dyDescent="0.25">
      <c r="A503" s="20" t="s">
        <v>51</v>
      </c>
      <c r="B503" s="47" t="s">
        <v>70</v>
      </c>
      <c r="C503" s="49"/>
      <c r="D503" s="19" t="s">
        <v>11</v>
      </c>
      <c r="E503" s="23">
        <v>18</v>
      </c>
      <c r="F503" s="18">
        <f>E503* 0.178797409805735</f>
        <v>3.2183533765032299</v>
      </c>
      <c r="G503" s="18">
        <f>E503* 0.819278445883441</f>
        <v>14.747012025901938</v>
      </c>
      <c r="H503" s="18">
        <f>E503* 0.00181313598519889</f>
        <v>3.2636447733580015E-2</v>
      </c>
    </row>
    <row r="504" spans="1:8" ht="15.75" hidden="1" customHeight="1" x14ac:dyDescent="0.25">
      <c r="A504" s="20" t="s">
        <v>51</v>
      </c>
      <c r="B504" s="47" t="s">
        <v>70</v>
      </c>
      <c r="C504" s="49"/>
      <c r="D504" s="19" t="s">
        <v>17</v>
      </c>
      <c r="E504" s="23">
        <v>13</v>
      </c>
      <c r="F504" s="18">
        <f>E504* 0.916446662218225</f>
        <v>11.913806608836925</v>
      </c>
      <c r="G504" s="18">
        <f>E504* 0.0292436682236212</f>
        <v>0.38016768690707559</v>
      </c>
      <c r="H504" s="18">
        <f>E504* 0.0543096695581537</f>
        <v>0.70602570425599809</v>
      </c>
    </row>
    <row r="505" spans="1:8" ht="15.75" hidden="1" customHeight="1" x14ac:dyDescent="0.25">
      <c r="A505" s="20" t="s">
        <v>51</v>
      </c>
      <c r="B505" s="47" t="s">
        <v>70</v>
      </c>
      <c r="C505" s="49"/>
      <c r="D505" s="19" t="s">
        <v>31</v>
      </c>
      <c r="E505" s="23">
        <v>14</v>
      </c>
      <c r="F505" s="18">
        <f>E505* 0.957442434210526</f>
        <v>13.404194078947365</v>
      </c>
      <c r="G505" s="18">
        <f>E505* 0.0158305921052632</f>
        <v>0.22162828947368479</v>
      </c>
      <c r="H505" s="18">
        <f>E505* 0.0263157894736842</f>
        <v>0.36842105263157876</v>
      </c>
    </row>
    <row r="506" spans="1:8" ht="15.75" hidden="1" customHeight="1" x14ac:dyDescent="0.25">
      <c r="A506" s="20" t="s">
        <v>51</v>
      </c>
      <c r="B506" s="47" t="s">
        <v>70</v>
      </c>
      <c r="C506" s="49"/>
      <c r="D506" s="19" t="s">
        <v>18</v>
      </c>
      <c r="E506" s="23">
        <v>2</v>
      </c>
      <c r="F506" s="18">
        <f>E506* 0.983388008654987</f>
        <v>1.966776017309974</v>
      </c>
      <c r="G506" s="18">
        <f>E506* 0.0133314720457877</f>
        <v>2.6662944091575401E-2</v>
      </c>
      <c r="H506" s="18">
        <f>E506* 0.003210721016263</f>
        <v>6.4214420325260004E-3</v>
      </c>
    </row>
    <row r="507" spans="1:8" ht="15.75" hidden="1" customHeight="1" x14ac:dyDescent="0.25">
      <c r="A507" s="20" t="s">
        <v>51</v>
      </c>
      <c r="B507" s="47" t="s">
        <v>70</v>
      </c>
      <c r="C507" s="49"/>
      <c r="D507" s="19" t="s">
        <v>19</v>
      </c>
      <c r="E507" s="23">
        <v>3</v>
      </c>
      <c r="F507" s="18">
        <f>E507* 0.511826182618262</f>
        <v>1.5354785478547859</v>
      </c>
      <c r="G507" s="18">
        <f>E507* 0.476622662266227</f>
        <v>1.429867986798681</v>
      </c>
      <c r="H507" s="18">
        <f>E507* 0.0115511551155116</f>
        <v>3.4653465346534802E-2</v>
      </c>
    </row>
    <row r="508" spans="1:8" ht="15.75" hidden="1" customHeight="1" x14ac:dyDescent="0.25">
      <c r="A508" s="20" t="s">
        <v>51</v>
      </c>
      <c r="B508" s="47" t="s">
        <v>70</v>
      </c>
      <c r="C508" s="49"/>
      <c r="D508" s="19" t="s">
        <v>20</v>
      </c>
      <c r="E508" s="23">
        <v>45</v>
      </c>
      <c r="F508" s="18">
        <f>E508* 0.814615536880747</f>
        <v>36.657699159633616</v>
      </c>
      <c r="G508" s="18">
        <f>E508* 0.0763167839340663</f>
        <v>3.4342552770329835</v>
      </c>
      <c r="H508" s="18">
        <f>E508* 0.109013694193014</f>
        <v>4.9056162386856297</v>
      </c>
    </row>
    <row r="509" spans="1:8" ht="15.75" hidden="1" customHeight="1" x14ac:dyDescent="0.25">
      <c r="A509" s="20" t="s">
        <v>51</v>
      </c>
      <c r="B509" s="47" t="s">
        <v>70</v>
      </c>
      <c r="C509" s="49"/>
      <c r="D509" s="19" t="s">
        <v>21</v>
      </c>
      <c r="E509" s="23">
        <v>16</v>
      </c>
      <c r="F509" s="18">
        <f>E509* 0.999722052365334</f>
        <v>15.995552837845343</v>
      </c>
      <c r="G509" s="20">
        <v>0</v>
      </c>
      <c r="H509" s="18">
        <f>E509* 0.000277947634665629</f>
        <v>4.4471621546500638E-3</v>
      </c>
    </row>
    <row r="510" spans="1:8" ht="15.75" hidden="1" customHeight="1" x14ac:dyDescent="0.25">
      <c r="A510" s="20" t="s">
        <v>51</v>
      </c>
      <c r="B510" s="47" t="s">
        <v>70</v>
      </c>
      <c r="C510" s="49"/>
      <c r="D510" s="19" t="s">
        <v>28</v>
      </c>
      <c r="E510" s="23">
        <v>1</v>
      </c>
      <c r="F510" s="18">
        <f>E510* 0.00115651503469545</f>
        <v>1.15651503469545E-3</v>
      </c>
      <c r="G510" s="18">
        <f>E510* 0.998843484965305</f>
        <v>0.99884348496530495</v>
      </c>
      <c r="H510" s="20">
        <v>0</v>
      </c>
    </row>
    <row r="511" spans="1:8" ht="15.75" hidden="1" customHeight="1" x14ac:dyDescent="0.25">
      <c r="A511" s="20" t="s">
        <v>51</v>
      </c>
      <c r="B511" s="47" t="s">
        <v>70</v>
      </c>
      <c r="C511" s="49"/>
      <c r="D511" s="19" t="s">
        <v>12</v>
      </c>
      <c r="E511" s="23">
        <v>74</v>
      </c>
      <c r="F511" s="18">
        <f>E511* 0.924936238310357</f>
        <v>68.44528163496642</v>
      </c>
      <c r="G511" s="18">
        <f>E511* 0.0351064361799663</f>
        <v>2.5978762773175061</v>
      </c>
      <c r="H511" s="18">
        <f>E511* 0.039932320925503</f>
        <v>2.9549917484872221</v>
      </c>
    </row>
    <row r="512" spans="1:8" ht="15.75" hidden="1" customHeight="1" x14ac:dyDescent="0.25">
      <c r="A512" s="20" t="s">
        <v>51</v>
      </c>
      <c r="B512" s="20"/>
      <c r="C512" s="20"/>
      <c r="D512" s="46"/>
      <c r="E512" s="35"/>
    </row>
    <row r="513" spans="1:8" ht="15.75" hidden="1" customHeight="1" x14ac:dyDescent="0.25">
      <c r="A513" s="20" t="s">
        <v>51</v>
      </c>
      <c r="B513" s="47" t="s">
        <v>71</v>
      </c>
      <c r="C513" s="12" t="str">
        <f>B513&amp;"_"&amp;A513</f>
        <v>Coro Coro_La Paz</v>
      </c>
      <c r="D513" s="20"/>
      <c r="E513" s="48">
        <v>265</v>
      </c>
      <c r="F513" s="14">
        <f t="shared" ref="F513:H513" si="52">SUM(F514:F524)</f>
        <v>215.49375970283921</v>
      </c>
      <c r="G513" s="14">
        <f t="shared" si="52"/>
        <v>39.324578802775413</v>
      </c>
      <c r="H513" s="14">
        <f t="shared" si="52"/>
        <v>10.170416989208306</v>
      </c>
    </row>
    <row r="514" spans="1:8" ht="15.75" hidden="1" customHeight="1" x14ac:dyDescent="0.25">
      <c r="A514" s="20" t="s">
        <v>51</v>
      </c>
      <c r="B514" s="47" t="s">
        <v>71</v>
      </c>
      <c r="C514" s="49"/>
      <c r="D514" s="19" t="s">
        <v>15</v>
      </c>
      <c r="E514" s="23">
        <v>34</v>
      </c>
      <c r="F514" s="18">
        <f>E514* 0.981163265034061</f>
        <v>33.359551011158075</v>
      </c>
      <c r="G514" s="18">
        <f>E514* 0.0027595216829083</f>
        <v>9.3823737218882194E-2</v>
      </c>
      <c r="H514" s="18">
        <f>E514* 0.0160372202151627</f>
        <v>0.54526548731553182</v>
      </c>
    </row>
    <row r="515" spans="1:8" ht="15.75" hidden="1" customHeight="1" x14ac:dyDescent="0.25">
      <c r="A515" s="20" t="s">
        <v>51</v>
      </c>
      <c r="B515" s="47" t="s">
        <v>71</v>
      </c>
      <c r="C515" s="49"/>
      <c r="D515" s="29" t="s">
        <v>333</v>
      </c>
      <c r="E515" s="23">
        <v>5</v>
      </c>
      <c r="F515" s="18">
        <f>E515* 0.142974979378609</f>
        <v>0.71487489689304506</v>
      </c>
      <c r="G515" s="18">
        <f>E515* 0.852350838603245</f>
        <v>4.261754193016225</v>
      </c>
      <c r="H515" s="18">
        <f>E515* 0.00467418201814682</f>
        <v>2.3370910090734099E-2</v>
      </c>
    </row>
    <row r="516" spans="1:8" ht="15.75" hidden="1" customHeight="1" x14ac:dyDescent="0.25">
      <c r="A516" s="20" t="s">
        <v>51</v>
      </c>
      <c r="B516" s="47" t="s">
        <v>71</v>
      </c>
      <c r="C516" s="49"/>
      <c r="D516" s="19" t="s">
        <v>11</v>
      </c>
      <c r="E516" s="23">
        <v>27</v>
      </c>
      <c r="F516" s="18">
        <f>E516* 0.178797409805735</f>
        <v>4.8275300647548445</v>
      </c>
      <c r="G516" s="18">
        <f>E516* 0.819278445883441</f>
        <v>22.120518038852907</v>
      </c>
      <c r="H516" s="18">
        <f>E516* 0.00181313598519889</f>
        <v>4.895467160037003E-2</v>
      </c>
    </row>
    <row r="517" spans="1:8" ht="15.75" hidden="1" customHeight="1" x14ac:dyDescent="0.25">
      <c r="A517" s="20" t="s">
        <v>51</v>
      </c>
      <c r="B517" s="47" t="s">
        <v>71</v>
      </c>
      <c r="C517" s="49"/>
      <c r="D517" s="19" t="s">
        <v>17</v>
      </c>
      <c r="E517" s="23">
        <v>31</v>
      </c>
      <c r="F517" s="18">
        <f>E517* 0.916446662218225</f>
        <v>28.409846528764977</v>
      </c>
      <c r="G517" s="18">
        <f>E517* 0.0292436682236212</f>
        <v>0.90655371493225712</v>
      </c>
      <c r="H517" s="18">
        <f>E517* 0.0543096695581537</f>
        <v>1.6835997563027647</v>
      </c>
    </row>
    <row r="518" spans="1:8" ht="15.75" hidden="1" customHeight="1" x14ac:dyDescent="0.25">
      <c r="A518" s="20" t="s">
        <v>51</v>
      </c>
      <c r="B518" s="47" t="s">
        <v>71</v>
      </c>
      <c r="C518" s="49"/>
      <c r="D518" s="19" t="s">
        <v>31</v>
      </c>
      <c r="E518" s="23">
        <v>5</v>
      </c>
      <c r="F518" s="18">
        <f>E518* 0.957442434210526</f>
        <v>4.7872121710526301</v>
      </c>
      <c r="G518" s="18">
        <f>E518* 0.0158305921052632</f>
        <v>7.9152960526315985E-2</v>
      </c>
      <c r="H518" s="18">
        <f>E518* 0.0263157894736842</f>
        <v>0.13157894736842099</v>
      </c>
    </row>
    <row r="519" spans="1:8" ht="15.75" hidden="1" customHeight="1" x14ac:dyDescent="0.25">
      <c r="A519" s="20" t="s">
        <v>51</v>
      </c>
      <c r="B519" s="47" t="s">
        <v>71</v>
      </c>
      <c r="C519" s="49"/>
      <c r="D519" s="19" t="s">
        <v>18</v>
      </c>
      <c r="E519" s="23">
        <v>10</v>
      </c>
      <c r="F519" s="18">
        <f>E519* 0.983388008654987</f>
        <v>9.8338800865498701</v>
      </c>
      <c r="G519" s="18">
        <f>E519* 0.0133314720457877</f>
        <v>0.13331472045787701</v>
      </c>
      <c r="H519" s="18">
        <f>E519* 0.003210721016263</f>
        <v>3.2107210162630004E-2</v>
      </c>
    </row>
    <row r="520" spans="1:8" ht="15.75" hidden="1" customHeight="1" x14ac:dyDescent="0.25">
      <c r="A520" s="20" t="s">
        <v>51</v>
      </c>
      <c r="B520" s="47" t="s">
        <v>71</v>
      </c>
      <c r="C520" s="49"/>
      <c r="D520" s="19" t="s">
        <v>19</v>
      </c>
      <c r="E520" s="23">
        <v>4</v>
      </c>
      <c r="F520" s="18">
        <f>E520* 0.511826182618262</f>
        <v>2.0473047304730478</v>
      </c>
      <c r="G520" s="18">
        <f>E520* 0.476622662266227</f>
        <v>1.9064906490649081</v>
      </c>
      <c r="H520" s="18">
        <f>E520* 0.0115511551155116</f>
        <v>4.6204620462046403E-2</v>
      </c>
    </row>
    <row r="521" spans="1:8" ht="15.75" hidden="1" customHeight="1" x14ac:dyDescent="0.25">
      <c r="A521" s="20" t="s">
        <v>51</v>
      </c>
      <c r="B521" s="47" t="s">
        <v>71</v>
      </c>
      <c r="C521" s="49"/>
      <c r="D521" s="19" t="s">
        <v>20</v>
      </c>
      <c r="E521" s="23">
        <v>46</v>
      </c>
      <c r="F521" s="18">
        <f>E521* 0.814615536880747</f>
        <v>37.47231469651436</v>
      </c>
      <c r="G521" s="18">
        <f>E521* 0.0763167839340663</f>
        <v>3.5105720609670494</v>
      </c>
      <c r="H521" s="18">
        <f>E521* 0.109013694193014</f>
        <v>5.0146299328786439</v>
      </c>
    </row>
    <row r="522" spans="1:8" ht="15.75" hidden="1" customHeight="1" x14ac:dyDescent="0.25">
      <c r="A522" s="20" t="s">
        <v>51</v>
      </c>
      <c r="B522" s="47" t="s">
        <v>71</v>
      </c>
      <c r="C522" s="49"/>
      <c r="D522" s="19" t="s">
        <v>21</v>
      </c>
      <c r="E522" s="23">
        <v>33</v>
      </c>
      <c r="F522" s="18">
        <f>E522* 0.999722052365334</f>
        <v>32.990827728056018</v>
      </c>
      <c r="G522" s="20">
        <v>0</v>
      </c>
      <c r="H522" s="18">
        <f>E522* 0.000277947634665629</f>
        <v>9.1722719439657572E-3</v>
      </c>
    </row>
    <row r="523" spans="1:8" ht="15.75" hidden="1" customHeight="1" x14ac:dyDescent="0.25">
      <c r="A523" s="20" t="s">
        <v>51</v>
      </c>
      <c r="B523" s="47" t="s">
        <v>71</v>
      </c>
      <c r="C523" s="49"/>
      <c r="D523" s="19" t="s">
        <v>28</v>
      </c>
      <c r="E523" s="23">
        <v>4</v>
      </c>
      <c r="F523" s="18">
        <f>E523* 0.00115651503469545</f>
        <v>4.6260601387817998E-3</v>
      </c>
      <c r="G523" s="18">
        <f>E523* 0.998843484965305</f>
        <v>3.9953739398612198</v>
      </c>
      <c r="H523" s="20">
        <v>0</v>
      </c>
    </row>
    <row r="524" spans="1:8" ht="15.75" hidden="1" customHeight="1" x14ac:dyDescent="0.25">
      <c r="A524" s="20" t="s">
        <v>51</v>
      </c>
      <c r="B524" s="47" t="s">
        <v>71</v>
      </c>
      <c r="C524" s="49"/>
      <c r="D524" s="19" t="s">
        <v>12</v>
      </c>
      <c r="E524" s="23">
        <v>66</v>
      </c>
      <c r="F524" s="18">
        <f>E524* 0.924936238310357</f>
        <v>61.045791728483564</v>
      </c>
      <c r="G524" s="18">
        <f>E524* 0.0351064361799663</f>
        <v>2.3170247878777754</v>
      </c>
      <c r="H524" s="18">
        <f>E524* 0.039932320925503</f>
        <v>2.6355331810831979</v>
      </c>
    </row>
    <row r="525" spans="1:8" ht="15.75" hidden="1" customHeight="1" x14ac:dyDescent="0.25">
      <c r="A525" s="20" t="s">
        <v>51</v>
      </c>
      <c r="B525" s="20"/>
      <c r="C525" s="20"/>
      <c r="D525" s="46"/>
      <c r="E525" s="35"/>
    </row>
    <row r="526" spans="1:8" ht="15.75" hidden="1" customHeight="1" x14ac:dyDescent="0.25">
      <c r="A526" s="20" t="s">
        <v>51</v>
      </c>
      <c r="B526" s="47" t="s">
        <v>334</v>
      </c>
      <c r="C526" s="12" t="str">
        <f>B526&amp;"_"&amp;A526</f>
        <v>Coripata_La Paz</v>
      </c>
      <c r="D526" s="20"/>
      <c r="E526" s="48">
        <v>36</v>
      </c>
      <c r="F526" s="14">
        <f t="shared" ref="F526:H526" si="53">SUM(F527:F535)</f>
        <v>29.688582513603109</v>
      </c>
      <c r="G526" s="14">
        <f t="shared" si="53"/>
        <v>4.1642256414447818</v>
      </c>
      <c r="H526" s="14">
        <f t="shared" si="53"/>
        <v>2.1454302647287746</v>
      </c>
    </row>
    <row r="527" spans="1:8" ht="15.75" hidden="1" customHeight="1" x14ac:dyDescent="0.25">
      <c r="A527" s="20" t="s">
        <v>51</v>
      </c>
      <c r="B527" s="47" t="s">
        <v>334</v>
      </c>
      <c r="C527" s="49"/>
      <c r="D527" s="19" t="s">
        <v>11</v>
      </c>
      <c r="E527" s="23">
        <v>2</v>
      </c>
      <c r="F527" s="18">
        <f>E527* 0.178797409805735</f>
        <v>0.35759481961146999</v>
      </c>
      <c r="G527" s="18">
        <f>E527* 0.819278445883441</f>
        <v>1.638556891766882</v>
      </c>
      <c r="H527" s="18">
        <f>E527* 0.00181313598519889</f>
        <v>3.6262719703977798E-3</v>
      </c>
    </row>
    <row r="528" spans="1:8" ht="15.75" hidden="1" customHeight="1" x14ac:dyDescent="0.25">
      <c r="A528" s="20" t="s">
        <v>51</v>
      </c>
      <c r="B528" s="47" t="s">
        <v>334</v>
      </c>
      <c r="C528" s="49"/>
      <c r="D528" s="19" t="s">
        <v>17</v>
      </c>
      <c r="E528" s="23">
        <v>3</v>
      </c>
      <c r="F528" s="18">
        <f>E528* 0.916446662218225</f>
        <v>2.7493399866546753</v>
      </c>
      <c r="G528" s="18">
        <f>E528* 0.0292436682236212</f>
        <v>8.7731004670863588E-2</v>
      </c>
      <c r="H528" s="18">
        <f>E528* 0.0543096695581537</f>
        <v>0.16292900867446111</v>
      </c>
    </row>
    <row r="529" spans="1:8" ht="15.75" hidden="1" customHeight="1" x14ac:dyDescent="0.25">
      <c r="A529" s="20" t="s">
        <v>51</v>
      </c>
      <c r="B529" s="47" t="s">
        <v>334</v>
      </c>
      <c r="C529" s="49"/>
      <c r="D529" s="19" t="s">
        <v>31</v>
      </c>
      <c r="E529" s="23">
        <v>1</v>
      </c>
      <c r="F529" s="18">
        <f>E529* 0.957442434210526</f>
        <v>0.95744243421052599</v>
      </c>
      <c r="G529" s="18">
        <f>E529* 0.0158305921052632</f>
        <v>1.5830592105263198E-2</v>
      </c>
      <c r="H529" s="18">
        <f>E529* 0.0263157894736842</f>
        <v>2.6315789473684199E-2</v>
      </c>
    </row>
    <row r="530" spans="1:8" ht="15.75" hidden="1" customHeight="1" x14ac:dyDescent="0.25">
      <c r="A530" s="20" t="s">
        <v>51</v>
      </c>
      <c r="B530" s="47" t="s">
        <v>334</v>
      </c>
      <c r="C530" s="49"/>
      <c r="D530" s="19" t="s">
        <v>18</v>
      </c>
      <c r="E530" s="23">
        <v>2</v>
      </c>
      <c r="F530" s="18">
        <f>E530* 0.983388008654987</f>
        <v>1.966776017309974</v>
      </c>
      <c r="G530" s="18">
        <f>E530* 0.0133314720457877</f>
        <v>2.6662944091575401E-2</v>
      </c>
      <c r="H530" s="18">
        <f>E530* 0.003210721016263</f>
        <v>6.4214420325260004E-3</v>
      </c>
    </row>
    <row r="531" spans="1:8" ht="15.75" hidden="1" customHeight="1" x14ac:dyDescent="0.25">
      <c r="A531" s="20" t="s">
        <v>51</v>
      </c>
      <c r="B531" s="47" t="s">
        <v>334</v>
      </c>
      <c r="C531" s="49"/>
      <c r="D531" s="19" t="s">
        <v>20</v>
      </c>
      <c r="E531" s="23">
        <v>16</v>
      </c>
      <c r="F531" s="18">
        <f>E531* 0.814615536880747</f>
        <v>13.033848590091951</v>
      </c>
      <c r="G531" s="18">
        <f>E531* 0.0763167839340663</f>
        <v>1.2210685429450607</v>
      </c>
      <c r="H531" s="18">
        <f>E531* 0.109013694193014</f>
        <v>1.744219107088224</v>
      </c>
    </row>
    <row r="532" spans="1:8" ht="15.75" hidden="1" customHeight="1" x14ac:dyDescent="0.25">
      <c r="A532" s="20" t="s">
        <v>51</v>
      </c>
      <c r="B532" s="47" t="s">
        <v>334</v>
      </c>
      <c r="C532" s="49"/>
      <c r="D532" s="19" t="s">
        <v>21</v>
      </c>
      <c r="E532" s="23">
        <v>5</v>
      </c>
      <c r="F532" s="18">
        <f>E532* 0.999722052365334</f>
        <v>4.9986102618266699</v>
      </c>
      <c r="G532" s="20">
        <v>0</v>
      </c>
      <c r="H532" s="18">
        <f>E532* 0.000277947634665629</f>
        <v>1.389738173328145E-3</v>
      </c>
    </row>
    <row r="533" spans="1:8" ht="15.75" hidden="1" customHeight="1" x14ac:dyDescent="0.25">
      <c r="A533" s="20" t="s">
        <v>51</v>
      </c>
      <c r="B533" s="47" t="s">
        <v>334</v>
      </c>
      <c r="C533" s="49"/>
      <c r="D533" s="19" t="s">
        <v>36</v>
      </c>
      <c r="E533" s="23">
        <v>1</v>
      </c>
      <c r="F533" s="18">
        <f>E533* 0.999132697311362</f>
        <v>0.99913269731136201</v>
      </c>
      <c r="G533" s="20">
        <v>0</v>
      </c>
      <c r="H533" s="18">
        <f>E533* 0.000867302688638335</f>
        <v>8.6730268863833497E-4</v>
      </c>
    </row>
    <row r="534" spans="1:8" ht="15.75" hidden="1" customHeight="1" x14ac:dyDescent="0.25">
      <c r="A534" s="20" t="s">
        <v>51</v>
      </c>
      <c r="B534" s="47" t="s">
        <v>334</v>
      </c>
      <c r="C534" s="49"/>
      <c r="D534" s="19" t="s">
        <v>28</v>
      </c>
      <c r="E534" s="23">
        <v>1</v>
      </c>
      <c r="F534" s="18">
        <f>E534* 0.00115651503469545</f>
        <v>1.15651503469545E-3</v>
      </c>
      <c r="G534" s="18">
        <f>E534* 0.998843484965305</f>
        <v>0.99884348496530495</v>
      </c>
      <c r="H534" s="20">
        <v>0</v>
      </c>
    </row>
    <row r="535" spans="1:8" ht="15.75" hidden="1" customHeight="1" x14ac:dyDescent="0.25">
      <c r="A535" s="20" t="s">
        <v>51</v>
      </c>
      <c r="B535" s="47" t="s">
        <v>334</v>
      </c>
      <c r="C535" s="49"/>
      <c r="D535" s="19" t="s">
        <v>12</v>
      </c>
      <c r="E535" s="23">
        <v>5</v>
      </c>
      <c r="F535" s="18">
        <f>E535* 0.924936238310357</f>
        <v>4.6246811915517849</v>
      </c>
      <c r="G535" s="18">
        <f>E535* 0.0351064361799663</f>
        <v>0.17553218089983147</v>
      </c>
      <c r="H535" s="18">
        <f>E535* 0.039932320925503</f>
        <v>0.199661604627515</v>
      </c>
    </row>
    <row r="536" spans="1:8" ht="15.75" hidden="1" customHeight="1" x14ac:dyDescent="0.25">
      <c r="A536" s="20" t="s">
        <v>51</v>
      </c>
      <c r="B536" s="20"/>
      <c r="C536" s="20"/>
      <c r="D536" s="46"/>
      <c r="E536" s="35"/>
    </row>
    <row r="537" spans="1:8" ht="15.75" hidden="1" customHeight="1" x14ac:dyDescent="0.25">
      <c r="A537" s="20" t="s">
        <v>51</v>
      </c>
      <c r="B537" s="47" t="s">
        <v>72</v>
      </c>
      <c r="C537" s="12" t="str">
        <f>B537&amp;"_"&amp;A537</f>
        <v>Coroico_La Paz</v>
      </c>
      <c r="D537" s="20"/>
      <c r="E537" s="48">
        <v>45</v>
      </c>
      <c r="F537" s="14">
        <f t="shared" ref="F537:H537" si="54">SUM(F538:F545)</f>
        <v>37.982479940745705</v>
      </c>
      <c r="G537" s="14">
        <f t="shared" si="54"/>
        <v>5.2711833975368654</v>
      </c>
      <c r="H537" s="14">
        <f t="shared" si="54"/>
        <v>1.744381909296389</v>
      </c>
    </row>
    <row r="538" spans="1:8" ht="15.75" hidden="1" customHeight="1" x14ac:dyDescent="0.25">
      <c r="A538" s="20" t="s">
        <v>51</v>
      </c>
      <c r="B538" s="47" t="s">
        <v>72</v>
      </c>
      <c r="C538" s="49"/>
      <c r="D538" s="19" t="s">
        <v>15</v>
      </c>
      <c r="E538" s="23">
        <v>2</v>
      </c>
      <c r="F538" s="18">
        <f>E538* 0.981163265034061</f>
        <v>1.9623265300681221</v>
      </c>
      <c r="G538" s="18">
        <f>E538* 0.0027595216829083</f>
        <v>5.5190433658165996E-3</v>
      </c>
      <c r="H538" s="18">
        <f>E538* 0.0160372202151627</f>
        <v>3.2074440430325403E-2</v>
      </c>
    </row>
    <row r="539" spans="1:8" ht="15.75" hidden="1" customHeight="1" x14ac:dyDescent="0.25">
      <c r="A539" s="20" t="s">
        <v>51</v>
      </c>
      <c r="B539" s="47" t="s">
        <v>72</v>
      </c>
      <c r="C539" s="49"/>
      <c r="D539" s="19" t="s">
        <v>11</v>
      </c>
      <c r="E539" s="23">
        <v>5</v>
      </c>
      <c r="F539" s="18">
        <f>E539* 0.178797409805735</f>
        <v>0.89398704902867498</v>
      </c>
      <c r="G539" s="18">
        <f>E539* 0.819278445883441</f>
        <v>4.096392229417205</v>
      </c>
      <c r="H539" s="18">
        <f>E539* 0.00181313598519889</f>
        <v>9.0656799259944496E-3</v>
      </c>
    </row>
    <row r="540" spans="1:8" ht="15.75" hidden="1" customHeight="1" x14ac:dyDescent="0.25">
      <c r="A540" s="20" t="s">
        <v>51</v>
      </c>
      <c r="B540" s="47" t="s">
        <v>72</v>
      </c>
      <c r="C540" s="49"/>
      <c r="D540" s="19" t="s">
        <v>17</v>
      </c>
      <c r="E540" s="23">
        <v>16</v>
      </c>
      <c r="F540" s="18">
        <f>E540* 0.916446662218225</f>
        <v>14.6631465954916</v>
      </c>
      <c r="G540" s="18">
        <f>E540* 0.0292436682236212</f>
        <v>0.46789869157793917</v>
      </c>
      <c r="H540" s="18">
        <f>E540* 0.0543096695581537</f>
        <v>0.86895471293045923</v>
      </c>
    </row>
    <row r="541" spans="1:8" ht="15.75" hidden="1" customHeight="1" x14ac:dyDescent="0.25">
      <c r="A541" s="20" t="s">
        <v>51</v>
      </c>
      <c r="B541" s="47" t="s">
        <v>72</v>
      </c>
      <c r="C541" s="49"/>
      <c r="D541" s="19" t="s">
        <v>31</v>
      </c>
      <c r="E541" s="23">
        <v>1</v>
      </c>
      <c r="F541" s="18">
        <f>E541* 0.957442434210526</f>
        <v>0.95744243421052599</v>
      </c>
      <c r="G541" s="18">
        <f>E541* 0.0158305921052632</f>
        <v>1.5830592105263198E-2</v>
      </c>
      <c r="H541" s="18">
        <f>E541* 0.0263157894736842</f>
        <v>2.6315789473684199E-2</v>
      </c>
    </row>
    <row r="542" spans="1:8" ht="15.75" hidden="1" customHeight="1" x14ac:dyDescent="0.25">
      <c r="A542" s="20" t="s">
        <v>51</v>
      </c>
      <c r="B542" s="47" t="s">
        <v>72</v>
      </c>
      <c r="C542" s="49"/>
      <c r="D542" s="19" t="s">
        <v>18</v>
      </c>
      <c r="E542" s="23">
        <v>7</v>
      </c>
      <c r="F542" s="18">
        <f>E542* 0.983388008654987</f>
        <v>6.8837160605849093</v>
      </c>
      <c r="G542" s="18">
        <f>E542* 0.0133314720457877</f>
        <v>9.33203043205139E-2</v>
      </c>
      <c r="H542" s="18">
        <f>E542* 0.003210721016263</f>
        <v>2.2475047113841001E-2</v>
      </c>
    </row>
    <row r="543" spans="1:8" ht="15.75" hidden="1" customHeight="1" x14ac:dyDescent="0.25">
      <c r="A543" s="20" t="s">
        <v>51</v>
      </c>
      <c r="B543" s="47" t="s">
        <v>72</v>
      </c>
      <c r="C543" s="49"/>
      <c r="D543" s="19" t="s">
        <v>20</v>
      </c>
      <c r="E543" s="23">
        <v>5</v>
      </c>
      <c r="F543" s="18">
        <f>E543* 0.814615536880747</f>
        <v>4.0730776844037351</v>
      </c>
      <c r="G543" s="18">
        <f>E543* 0.0763167839340663</f>
        <v>0.38158391967033145</v>
      </c>
      <c r="H543" s="18">
        <f>E543* 0.109013694193014</f>
        <v>0.54506847096507005</v>
      </c>
    </row>
    <row r="544" spans="1:8" ht="15.75" hidden="1" customHeight="1" x14ac:dyDescent="0.25">
      <c r="A544" s="20" t="s">
        <v>51</v>
      </c>
      <c r="B544" s="47" t="s">
        <v>72</v>
      </c>
      <c r="C544" s="49"/>
      <c r="D544" s="19" t="s">
        <v>21</v>
      </c>
      <c r="E544" s="23">
        <v>3</v>
      </c>
      <c r="F544" s="18">
        <f>E544* 0.999722052365334</f>
        <v>2.9991661570960018</v>
      </c>
      <c r="G544" s="20">
        <v>0</v>
      </c>
      <c r="H544" s="18">
        <f>E544* 0.000277947634665629</f>
        <v>8.338429039968869E-4</v>
      </c>
    </row>
    <row r="545" spans="1:8" ht="15.75" hidden="1" customHeight="1" x14ac:dyDescent="0.25">
      <c r="A545" s="20" t="s">
        <v>51</v>
      </c>
      <c r="B545" s="47" t="s">
        <v>72</v>
      </c>
      <c r="C545" s="49"/>
      <c r="D545" s="19" t="s">
        <v>12</v>
      </c>
      <c r="E545" s="23">
        <v>6</v>
      </c>
      <c r="F545" s="18">
        <f>E545* 0.924936238310357</f>
        <v>5.5496174298621419</v>
      </c>
      <c r="G545" s="18">
        <f>E545* 0.0351064361799663</f>
        <v>0.21063861707979778</v>
      </c>
      <c r="H545" s="18">
        <f>E545* 0.039932320925503</f>
        <v>0.23959392555301801</v>
      </c>
    </row>
    <row r="546" spans="1:8" ht="15.75" hidden="1" customHeight="1" x14ac:dyDescent="0.25">
      <c r="A546" s="20" t="s">
        <v>51</v>
      </c>
      <c r="B546" s="20"/>
      <c r="C546" s="20"/>
      <c r="D546" s="46"/>
      <c r="E546" s="35"/>
    </row>
    <row r="547" spans="1:8" ht="15.75" hidden="1" customHeight="1" x14ac:dyDescent="0.25">
      <c r="A547" s="20" t="s">
        <v>51</v>
      </c>
      <c r="B547" s="47" t="s">
        <v>73</v>
      </c>
      <c r="C547" s="12" t="str">
        <f>B547&amp;"_"&amp;A547</f>
        <v>Desaguadero_La Paz</v>
      </c>
      <c r="D547" s="20"/>
      <c r="E547" s="48">
        <v>4554</v>
      </c>
      <c r="F547" s="14">
        <f t="shared" ref="F547:H547" si="55">SUM(F548:F561)</f>
        <v>3620.4884771248239</v>
      </c>
      <c r="G547" s="14">
        <f t="shared" si="55"/>
        <v>744.00879654257312</v>
      </c>
      <c r="H547" s="14">
        <f t="shared" si="55"/>
        <v>189.31465030730834</v>
      </c>
    </row>
    <row r="548" spans="1:8" ht="15.75" hidden="1" customHeight="1" x14ac:dyDescent="0.25">
      <c r="A548" s="20" t="s">
        <v>51</v>
      </c>
      <c r="B548" s="47" t="s">
        <v>73</v>
      </c>
      <c r="C548" s="49"/>
      <c r="D548" s="29" t="s">
        <v>335</v>
      </c>
      <c r="E548" s="23">
        <v>2</v>
      </c>
      <c r="F548" s="20">
        <v>0</v>
      </c>
      <c r="G548" s="24">
        <f>E548</f>
        <v>2</v>
      </c>
      <c r="H548" s="20">
        <v>0</v>
      </c>
    </row>
    <row r="549" spans="1:8" ht="15.75" hidden="1" customHeight="1" x14ac:dyDescent="0.25">
      <c r="A549" s="20" t="s">
        <v>51</v>
      </c>
      <c r="B549" s="47" t="s">
        <v>73</v>
      </c>
      <c r="C549" s="49"/>
      <c r="D549" s="19" t="s">
        <v>15</v>
      </c>
      <c r="E549" s="23">
        <v>488</v>
      </c>
      <c r="F549" s="18">
        <f>E549* 0.981163265034061</f>
        <v>478.8076733366218</v>
      </c>
      <c r="G549" s="18">
        <f>E549* 0.0027595216829083</f>
        <v>1.3466465812592503</v>
      </c>
      <c r="H549" s="18">
        <f>E549* 0.0160372202151627</f>
        <v>7.8261634649993983</v>
      </c>
    </row>
    <row r="550" spans="1:8" ht="15.75" hidden="1" customHeight="1" x14ac:dyDescent="0.25">
      <c r="A550" s="20" t="s">
        <v>51</v>
      </c>
      <c r="B550" s="47" t="s">
        <v>73</v>
      </c>
      <c r="C550" s="49"/>
      <c r="D550" s="29" t="s">
        <v>336</v>
      </c>
      <c r="E550" s="23">
        <v>43</v>
      </c>
      <c r="F550" s="18">
        <f>E550* 0.142974979378609</f>
        <v>6.1479241132801876</v>
      </c>
      <c r="G550" s="18">
        <f>E550* 0.852350838603245</f>
        <v>36.651086059939537</v>
      </c>
      <c r="H550" s="18">
        <f>E550* 0.00467418201814682</f>
        <v>0.20098982678031324</v>
      </c>
    </row>
    <row r="551" spans="1:8" ht="15.75" hidden="1" customHeight="1" x14ac:dyDescent="0.25">
      <c r="A551" s="20" t="s">
        <v>51</v>
      </c>
      <c r="B551" s="47" t="s">
        <v>73</v>
      </c>
      <c r="C551" s="49"/>
      <c r="D551" s="19" t="s">
        <v>11</v>
      </c>
      <c r="E551" s="23">
        <v>472</v>
      </c>
      <c r="F551" s="18">
        <f>E551* 0.178797409805735</f>
        <v>84.392377428306915</v>
      </c>
      <c r="G551" s="18">
        <f>E551* 0.819278445883441</f>
        <v>386.69942645698416</v>
      </c>
      <c r="H551" s="18">
        <f>E551* 0.00181313598519889</f>
        <v>0.855800185013876</v>
      </c>
    </row>
    <row r="552" spans="1:8" ht="15.75" hidden="1" customHeight="1" x14ac:dyDescent="0.25">
      <c r="A552" s="20" t="s">
        <v>51</v>
      </c>
      <c r="B552" s="47" t="s">
        <v>73</v>
      </c>
      <c r="C552" s="49"/>
      <c r="D552" s="19" t="s">
        <v>17</v>
      </c>
      <c r="E552" s="23">
        <v>384</v>
      </c>
      <c r="F552" s="18">
        <f>E552* 0.916446662218225</f>
        <v>351.91551829179843</v>
      </c>
      <c r="G552" s="18">
        <f>E552* 0.0292436682236212</f>
        <v>11.229568597870539</v>
      </c>
      <c r="H552" s="18">
        <f>E552* 0.0543096695581537</f>
        <v>20.854913110331022</v>
      </c>
    </row>
    <row r="553" spans="1:8" ht="15.75" hidden="1" customHeight="1" x14ac:dyDescent="0.25">
      <c r="A553" s="20" t="s">
        <v>51</v>
      </c>
      <c r="B553" s="47" t="s">
        <v>73</v>
      </c>
      <c r="C553" s="49"/>
      <c r="D553" s="19" t="s">
        <v>31</v>
      </c>
      <c r="E553" s="23">
        <v>57</v>
      </c>
      <c r="F553" s="18">
        <f>E553* 0.957442434210526</f>
        <v>54.574218749999979</v>
      </c>
      <c r="G553" s="18">
        <f>E553* 0.0158305921052632</f>
        <v>0.90234375000000233</v>
      </c>
      <c r="H553" s="18">
        <f>E553* 0.0263157894736842</f>
        <v>1.4999999999999993</v>
      </c>
    </row>
    <row r="554" spans="1:8" ht="15.75" hidden="1" customHeight="1" x14ac:dyDescent="0.25">
      <c r="A554" s="20" t="s">
        <v>51</v>
      </c>
      <c r="B554" s="47" t="s">
        <v>73</v>
      </c>
      <c r="C554" s="49"/>
      <c r="D554" s="19" t="s">
        <v>18</v>
      </c>
      <c r="E554" s="23">
        <v>95</v>
      </c>
      <c r="F554" s="18">
        <f>E554* 0.983388008654987</f>
        <v>93.421860822223763</v>
      </c>
      <c r="G554" s="18">
        <f>E554* 0.0133314720457877</f>
        <v>1.2664898443498316</v>
      </c>
      <c r="H554" s="18">
        <f>E554* 0.003210721016263</f>
        <v>0.30501849654498503</v>
      </c>
    </row>
    <row r="555" spans="1:8" ht="15.75" hidden="1" customHeight="1" x14ac:dyDescent="0.25">
      <c r="A555" s="20" t="s">
        <v>51</v>
      </c>
      <c r="B555" s="47" t="s">
        <v>73</v>
      </c>
      <c r="C555" s="49"/>
      <c r="D555" s="19" t="s">
        <v>19</v>
      </c>
      <c r="E555" s="23">
        <v>31</v>
      </c>
      <c r="F555" s="18">
        <f>E555* 0.511826182618262</f>
        <v>15.866611661166122</v>
      </c>
      <c r="G555" s="18">
        <f>E555* 0.476622662266227</f>
        <v>14.775302530253038</v>
      </c>
      <c r="H555" s="18">
        <f>E555* 0.0115511551155116</f>
        <v>0.35808580858085964</v>
      </c>
    </row>
    <row r="556" spans="1:8" ht="15.75" hidden="1" customHeight="1" x14ac:dyDescent="0.25">
      <c r="A556" s="20" t="s">
        <v>51</v>
      </c>
      <c r="B556" s="47" t="s">
        <v>73</v>
      </c>
      <c r="C556" s="49"/>
      <c r="D556" s="19" t="s">
        <v>20</v>
      </c>
      <c r="E556" s="23">
        <v>869</v>
      </c>
      <c r="F556" s="18">
        <f>E556* 0.814615536880747</f>
        <v>707.90090154936911</v>
      </c>
      <c r="G556" s="18">
        <f>E556* 0.0763167839340663</f>
        <v>66.319285238703614</v>
      </c>
      <c r="H556" s="18">
        <f>E556* 0.109013694193014</f>
        <v>94.73290025372917</v>
      </c>
    </row>
    <row r="557" spans="1:8" ht="15.75" hidden="1" customHeight="1" x14ac:dyDescent="0.25">
      <c r="A557" s="20" t="s">
        <v>51</v>
      </c>
      <c r="B557" s="47" t="s">
        <v>73</v>
      </c>
      <c r="C557" s="49"/>
      <c r="D557" s="19" t="s">
        <v>21</v>
      </c>
      <c r="E557" s="23">
        <v>375</v>
      </c>
      <c r="F557" s="18">
        <f>E557* 0.999722052365334</f>
        <v>374.89576963700023</v>
      </c>
      <c r="G557" s="20">
        <v>0</v>
      </c>
      <c r="H557" s="18">
        <f>E557* 0.000277947634665629</f>
        <v>0.10423036299961087</v>
      </c>
    </row>
    <row r="558" spans="1:8" ht="15.75" hidden="1" customHeight="1" x14ac:dyDescent="0.25">
      <c r="A558" s="20" t="s">
        <v>51</v>
      </c>
      <c r="B558" s="47" t="s">
        <v>73</v>
      </c>
      <c r="C558" s="49"/>
      <c r="D558" s="19" t="s">
        <v>36</v>
      </c>
      <c r="E558" s="23">
        <v>3</v>
      </c>
      <c r="F558" s="18">
        <f>E558* 0.999132697311362</f>
        <v>2.9973980919340861</v>
      </c>
      <c r="G558" s="20">
        <v>0</v>
      </c>
      <c r="H558" s="18">
        <f>E558* 0.000867302688638335</f>
        <v>2.6019080659150048E-3</v>
      </c>
    </row>
    <row r="559" spans="1:8" ht="15.75" hidden="1" customHeight="1" x14ac:dyDescent="0.25">
      <c r="A559" s="20" t="s">
        <v>51</v>
      </c>
      <c r="B559" s="47" t="s">
        <v>73</v>
      </c>
      <c r="C559" s="49"/>
      <c r="D559" s="19" t="s">
        <v>28</v>
      </c>
      <c r="E559" s="23">
        <v>167</v>
      </c>
      <c r="F559" s="18">
        <f>E559* 0.00115651503469545</f>
        <v>0.19313801079414014</v>
      </c>
      <c r="G559" s="18">
        <f>E559* 0.998843484965305</f>
        <v>166.80686198920591</v>
      </c>
      <c r="H559" s="20">
        <v>0</v>
      </c>
    </row>
    <row r="560" spans="1:8" ht="15.75" hidden="1" customHeight="1" x14ac:dyDescent="0.25">
      <c r="A560" s="20" t="s">
        <v>51</v>
      </c>
      <c r="B560" s="47" t="s">
        <v>73</v>
      </c>
      <c r="C560" s="49"/>
      <c r="D560" s="19" t="s">
        <v>75</v>
      </c>
      <c r="E560" s="23">
        <v>1</v>
      </c>
      <c r="F560" s="20">
        <v>0</v>
      </c>
      <c r="G560" s="24">
        <f>E560</f>
        <v>1</v>
      </c>
      <c r="H560" s="20">
        <v>0</v>
      </c>
    </row>
    <row r="561" spans="1:8" ht="15.75" hidden="1" customHeight="1" x14ac:dyDescent="0.25">
      <c r="A561" s="20" t="s">
        <v>51</v>
      </c>
      <c r="B561" s="47" t="s">
        <v>73</v>
      </c>
      <c r="C561" s="49"/>
      <c r="D561" s="19" t="s">
        <v>12</v>
      </c>
      <c r="E561" s="23">
        <v>1567</v>
      </c>
      <c r="F561" s="18">
        <f>E561* 0.924936238310357</f>
        <v>1449.3750854323293</v>
      </c>
      <c r="G561" s="18">
        <f>E561* 0.0351064361799663</f>
        <v>55.011785494007185</v>
      </c>
      <c r="H561" s="18">
        <f>E561* 0.039932320925503</f>
        <v>62.573946890263201</v>
      </c>
    </row>
    <row r="562" spans="1:8" ht="15.75" hidden="1" customHeight="1" x14ac:dyDescent="0.25">
      <c r="A562" s="20" t="s">
        <v>51</v>
      </c>
      <c r="B562" s="20"/>
      <c r="C562" s="20"/>
      <c r="D562" s="46"/>
      <c r="E562" s="35"/>
    </row>
    <row r="563" spans="1:8" ht="15.75" hidden="1" customHeight="1" x14ac:dyDescent="0.25">
      <c r="A563" s="20" t="s">
        <v>51</v>
      </c>
      <c r="B563" s="47" t="s">
        <v>74</v>
      </c>
      <c r="C563" s="12" t="str">
        <f>B563&amp;"_"&amp;A563</f>
        <v>El Alto_La Paz</v>
      </c>
      <c r="D563" s="20"/>
      <c r="E563" s="48">
        <v>123758</v>
      </c>
      <c r="F563" s="14">
        <f t="shared" ref="F563:H563" si="56">SUM(F564:F578)</f>
        <v>99023.351728926194</v>
      </c>
      <c r="G563" s="14">
        <f t="shared" si="56"/>
        <v>19587.962734441084</v>
      </c>
      <c r="H563" s="14">
        <f t="shared" si="56"/>
        <v>5141.5240707554767</v>
      </c>
    </row>
    <row r="564" spans="1:8" ht="15.75" hidden="1" customHeight="1" x14ac:dyDescent="0.25">
      <c r="A564" s="20" t="s">
        <v>51</v>
      </c>
      <c r="B564" s="47" t="s">
        <v>74</v>
      </c>
      <c r="C564" s="49"/>
      <c r="D564" s="29" t="s">
        <v>337</v>
      </c>
      <c r="E564" s="23">
        <v>60</v>
      </c>
      <c r="F564" s="20">
        <v>0</v>
      </c>
      <c r="G564" s="24">
        <f>E564</f>
        <v>60</v>
      </c>
      <c r="H564" s="20">
        <v>0</v>
      </c>
    </row>
    <row r="565" spans="1:8" ht="15.75" hidden="1" customHeight="1" x14ac:dyDescent="0.25">
      <c r="A565" s="20" t="s">
        <v>51</v>
      </c>
      <c r="B565" s="47" t="s">
        <v>74</v>
      </c>
      <c r="C565" s="49"/>
      <c r="D565" s="19" t="s">
        <v>15</v>
      </c>
      <c r="E565" s="23">
        <v>13230</v>
      </c>
      <c r="F565" s="18">
        <f>E565* 0.981163265034061</f>
        <v>12980.789996400628</v>
      </c>
      <c r="G565" s="18">
        <f>E565* 0.0027595216829083</f>
        <v>36.508471864876803</v>
      </c>
      <c r="H565" s="18">
        <f>E565* 0.0160372202151627</f>
        <v>212.17242344660255</v>
      </c>
    </row>
    <row r="566" spans="1:8" ht="15.75" hidden="1" customHeight="1" x14ac:dyDescent="0.25">
      <c r="A566" s="20" t="s">
        <v>51</v>
      </c>
      <c r="B566" s="47" t="s">
        <v>74</v>
      </c>
      <c r="C566" s="49"/>
      <c r="D566" s="29" t="s">
        <v>338</v>
      </c>
      <c r="E566" s="23">
        <v>1467</v>
      </c>
      <c r="F566" s="18">
        <f>E566* 0.142974979378609</f>
        <v>209.74429474841941</v>
      </c>
      <c r="G566" s="18">
        <f>E566* 0.852350838603245</f>
        <v>1250.3986802309605</v>
      </c>
      <c r="H566" s="18">
        <f>E566* 0.00467418201814682</f>
        <v>6.8570250206213847</v>
      </c>
    </row>
    <row r="567" spans="1:8" ht="15.75" hidden="1" customHeight="1" x14ac:dyDescent="0.25">
      <c r="A567" s="20" t="s">
        <v>51</v>
      </c>
      <c r="B567" s="47" t="s">
        <v>74</v>
      </c>
      <c r="C567" s="49"/>
      <c r="D567" s="19" t="s">
        <v>11</v>
      </c>
      <c r="E567" s="23">
        <v>12850</v>
      </c>
      <c r="F567" s="18">
        <f>E567* 0.178797409805735</f>
        <v>2297.5467160036947</v>
      </c>
      <c r="G567" s="18">
        <f>E567* 0.819278445883441</f>
        <v>10527.728029602216</v>
      </c>
      <c r="H567" s="18">
        <f>E567* 0.00181313598519889</f>
        <v>23.298797409805736</v>
      </c>
    </row>
    <row r="568" spans="1:8" ht="15.75" hidden="1" customHeight="1" x14ac:dyDescent="0.25">
      <c r="A568" s="20" t="s">
        <v>51</v>
      </c>
      <c r="B568" s="47" t="s">
        <v>74</v>
      </c>
      <c r="C568" s="49"/>
      <c r="D568" s="19" t="s">
        <v>17</v>
      </c>
      <c r="E568" s="23">
        <v>10197</v>
      </c>
      <c r="F568" s="18">
        <f>E568* 0.916446662218225</f>
        <v>9345.0066146392401</v>
      </c>
      <c r="G568" s="18">
        <f>E568* 0.0292436682236212</f>
        <v>298.19768487626538</v>
      </c>
      <c r="H568" s="18">
        <f>E568* 0.0543096695581537</f>
        <v>553.7957004844933</v>
      </c>
    </row>
    <row r="569" spans="1:8" ht="15.75" hidden="1" customHeight="1" x14ac:dyDescent="0.25">
      <c r="A569" s="20" t="s">
        <v>51</v>
      </c>
      <c r="B569" s="47" t="s">
        <v>74</v>
      </c>
      <c r="C569" s="49"/>
      <c r="D569" s="19" t="s">
        <v>31</v>
      </c>
      <c r="E569" s="23">
        <v>1782</v>
      </c>
      <c r="F569" s="18">
        <f>E569* 0.957442434210526</f>
        <v>1706.1624177631572</v>
      </c>
      <c r="G569" s="18">
        <f>E569* 0.0158305921052632</f>
        <v>28.21011513157902</v>
      </c>
      <c r="H569" s="18">
        <f>E569* 0.0263157894736842</f>
        <v>46.894736842105239</v>
      </c>
    </row>
    <row r="570" spans="1:8" ht="15.75" hidden="1" customHeight="1" x14ac:dyDescent="0.25">
      <c r="A570" s="20" t="s">
        <v>51</v>
      </c>
      <c r="B570" s="47" t="s">
        <v>74</v>
      </c>
      <c r="C570" s="49"/>
      <c r="D570" s="19" t="s">
        <v>18</v>
      </c>
      <c r="E570" s="23">
        <v>2496</v>
      </c>
      <c r="F570" s="18">
        <f>E570* 0.983388008654987</f>
        <v>2454.5364696028473</v>
      </c>
      <c r="G570" s="18">
        <f>E570* 0.0133314720457877</f>
        <v>33.275354226286098</v>
      </c>
      <c r="H570" s="18">
        <f>E570* 0.003210721016263</f>
        <v>8.0139596565924478</v>
      </c>
    </row>
    <row r="571" spans="1:8" ht="15.75" hidden="1" customHeight="1" x14ac:dyDescent="0.25">
      <c r="A571" s="20" t="s">
        <v>51</v>
      </c>
      <c r="B571" s="47" t="s">
        <v>74</v>
      </c>
      <c r="C571" s="49"/>
      <c r="D571" s="19" t="s">
        <v>19</v>
      </c>
      <c r="E571" s="23">
        <v>1170</v>
      </c>
      <c r="F571" s="18">
        <f>E571* 0.511826182618262</f>
        <v>598.83663366336646</v>
      </c>
      <c r="G571" s="18">
        <f>E571* 0.476622662266227</f>
        <v>557.64851485148563</v>
      </c>
      <c r="H571" s="18">
        <f>E571* 0.0115511551155116</f>
        <v>13.514851485148572</v>
      </c>
    </row>
    <row r="572" spans="1:8" ht="15.75" hidden="1" customHeight="1" x14ac:dyDescent="0.25">
      <c r="A572" s="20" t="s">
        <v>51</v>
      </c>
      <c r="B572" s="47" t="s">
        <v>74</v>
      </c>
      <c r="C572" s="49"/>
      <c r="D572" s="19" t="s">
        <v>20</v>
      </c>
      <c r="E572" s="23">
        <v>26366</v>
      </c>
      <c r="F572" s="18">
        <f>E572* 0.814615536880747</f>
        <v>21478.153245397774</v>
      </c>
      <c r="G572" s="18">
        <f>E572* 0.0763167839340663</f>
        <v>2012.1683252055921</v>
      </c>
      <c r="H572" s="18">
        <f>E572* 0.109013694193014</f>
        <v>2874.255061093007</v>
      </c>
    </row>
    <row r="573" spans="1:8" ht="15.75" hidden="1" customHeight="1" x14ac:dyDescent="0.25">
      <c r="A573" s="20" t="s">
        <v>51</v>
      </c>
      <c r="B573" s="47" t="s">
        <v>74</v>
      </c>
      <c r="C573" s="49"/>
      <c r="D573" s="19" t="s">
        <v>21</v>
      </c>
      <c r="E573" s="23">
        <v>15419</v>
      </c>
      <c r="F573" s="18">
        <f>E573* 0.999722052365334</f>
        <v>15414.714325421084</v>
      </c>
      <c r="G573" s="20">
        <v>0</v>
      </c>
      <c r="H573" s="18">
        <f>E573* 0.000277947634665629</f>
        <v>4.2856745789093331</v>
      </c>
    </row>
    <row r="574" spans="1:8" ht="15.75" hidden="1" customHeight="1" x14ac:dyDescent="0.25">
      <c r="A574" s="20" t="s">
        <v>51</v>
      </c>
      <c r="B574" s="47" t="s">
        <v>74</v>
      </c>
      <c r="C574" s="49"/>
      <c r="D574" s="19" t="s">
        <v>36</v>
      </c>
      <c r="E574" s="23">
        <v>145</v>
      </c>
      <c r="F574" s="18">
        <f>E574* 0.999132697311362</f>
        <v>144.87424111014749</v>
      </c>
      <c r="G574" s="20">
        <v>0</v>
      </c>
      <c r="H574" s="18">
        <f>E574* 0.000867302688638335</f>
        <v>0.12575888985255856</v>
      </c>
    </row>
    <row r="575" spans="1:8" ht="15.75" hidden="1" customHeight="1" x14ac:dyDescent="0.25">
      <c r="A575" s="20" t="s">
        <v>51</v>
      </c>
      <c r="B575" s="47" t="s">
        <v>74</v>
      </c>
      <c r="C575" s="49"/>
      <c r="D575" s="19" t="s">
        <v>37</v>
      </c>
      <c r="E575" s="23">
        <v>7</v>
      </c>
      <c r="F575" s="18">
        <f>E575* 0.0555555555555556</f>
        <v>0.38888888888888923</v>
      </c>
      <c r="G575" s="18">
        <f>E575* 0.944444444444444</f>
        <v>6.6111111111111081</v>
      </c>
      <c r="H575" s="20">
        <v>0</v>
      </c>
    </row>
    <row r="576" spans="1:8" ht="15.75" hidden="1" customHeight="1" x14ac:dyDescent="0.25">
      <c r="A576" s="20" t="s">
        <v>51</v>
      </c>
      <c r="B576" s="47" t="s">
        <v>74</v>
      </c>
      <c r="C576" s="49"/>
      <c r="D576" s="19" t="s">
        <v>28</v>
      </c>
      <c r="E576" s="23">
        <v>3550</v>
      </c>
      <c r="F576" s="18">
        <f>E576* 0.00115651503469545</f>
        <v>4.1056283731688472</v>
      </c>
      <c r="G576" s="18">
        <f>E576* 0.998843484965305</f>
        <v>3545.8943716268327</v>
      </c>
      <c r="H576" s="20">
        <v>0</v>
      </c>
    </row>
    <row r="577" spans="1:8" ht="15.75" hidden="1" customHeight="1" x14ac:dyDescent="0.25">
      <c r="A577" s="20" t="s">
        <v>51</v>
      </c>
      <c r="B577" s="47" t="s">
        <v>74</v>
      </c>
      <c r="C577" s="49"/>
      <c r="D577" s="19" t="s">
        <v>75</v>
      </c>
      <c r="E577" s="23">
        <v>2</v>
      </c>
      <c r="F577" s="20">
        <v>0</v>
      </c>
      <c r="G577" s="24">
        <f>E577</f>
        <v>2</v>
      </c>
      <c r="H577" s="20">
        <v>0</v>
      </c>
    </row>
    <row r="578" spans="1:8" ht="15.75" hidden="1" customHeight="1" x14ac:dyDescent="0.25">
      <c r="A578" s="20" t="s">
        <v>51</v>
      </c>
      <c r="B578" s="47" t="s">
        <v>74</v>
      </c>
      <c r="C578" s="49"/>
      <c r="D578" s="19" t="s">
        <v>12</v>
      </c>
      <c r="E578" s="23">
        <v>35017</v>
      </c>
      <c r="F578" s="18">
        <f>E578* 0.924936238310357</f>
        <v>32388.492256913771</v>
      </c>
      <c r="G578" s="18">
        <f>E578* 0.0351064361799663</f>
        <v>1229.3220757138797</v>
      </c>
      <c r="H578" s="18">
        <f>E578* 0.039932320925503</f>
        <v>1398.3100818483385</v>
      </c>
    </row>
    <row r="579" spans="1:8" ht="15.75" hidden="1" customHeight="1" x14ac:dyDescent="0.25">
      <c r="A579" s="20" t="s">
        <v>51</v>
      </c>
      <c r="B579" s="20"/>
      <c r="C579" s="20"/>
      <c r="D579" s="46"/>
      <c r="E579" s="35"/>
    </row>
    <row r="580" spans="1:8" ht="15.75" hidden="1" customHeight="1" x14ac:dyDescent="0.25">
      <c r="A580" s="20" t="s">
        <v>51</v>
      </c>
      <c r="B580" s="47" t="s">
        <v>339</v>
      </c>
      <c r="C580" s="12" t="str">
        <f>B580&amp;"_"&amp;A580</f>
        <v>Escoma_La Paz</v>
      </c>
      <c r="D580" s="20"/>
      <c r="E580" s="48">
        <v>178</v>
      </c>
      <c r="F580" s="14">
        <f t="shared" ref="F580:H580" si="57">SUM(F581:F589)</f>
        <v>141.2397304251611</v>
      </c>
      <c r="G580" s="14">
        <f t="shared" si="57"/>
        <v>24.976176970794423</v>
      </c>
      <c r="H580" s="14">
        <f t="shared" si="57"/>
        <v>11.77054829066336</v>
      </c>
    </row>
    <row r="581" spans="1:8" ht="15.75" hidden="1" customHeight="1" x14ac:dyDescent="0.25">
      <c r="A581" s="20" t="s">
        <v>51</v>
      </c>
      <c r="B581" s="47" t="s">
        <v>339</v>
      </c>
      <c r="C581" s="49"/>
      <c r="D581" s="19" t="s">
        <v>15</v>
      </c>
      <c r="E581" s="23">
        <v>7</v>
      </c>
      <c r="F581" s="18">
        <f>E581* 0.981163265034061</f>
        <v>6.8681428552384274</v>
      </c>
      <c r="G581" s="18">
        <f>E581* 0.0027595216829083</f>
        <v>1.9316651780358098E-2</v>
      </c>
      <c r="H581" s="18">
        <f>E581* 0.0160372202151627</f>
        <v>0.11226054150613891</v>
      </c>
    </row>
    <row r="582" spans="1:8" ht="15.75" hidden="1" customHeight="1" x14ac:dyDescent="0.25">
      <c r="A582" s="20" t="s">
        <v>51</v>
      </c>
      <c r="B582" s="47" t="s">
        <v>339</v>
      </c>
      <c r="C582" s="49"/>
      <c r="D582" s="19" t="s">
        <v>11</v>
      </c>
      <c r="E582" s="23">
        <v>13</v>
      </c>
      <c r="F582" s="18">
        <f>E582* 0.178797409805735</f>
        <v>2.324366327474555</v>
      </c>
      <c r="G582" s="18">
        <f>E582* 0.819278445883441</f>
        <v>10.650619796484733</v>
      </c>
      <c r="H582" s="18">
        <f>E582* 0.00181313598519889</f>
        <v>2.3570767807585567E-2</v>
      </c>
    </row>
    <row r="583" spans="1:8" ht="15.75" hidden="1" customHeight="1" x14ac:dyDescent="0.25">
      <c r="A583" s="20" t="s">
        <v>51</v>
      </c>
      <c r="B583" s="47" t="s">
        <v>339</v>
      </c>
      <c r="C583" s="49"/>
      <c r="D583" s="19" t="s">
        <v>17</v>
      </c>
      <c r="E583" s="23">
        <v>9</v>
      </c>
      <c r="F583" s="18">
        <f>E583* 0.916446662218225</f>
        <v>8.2480199599640258</v>
      </c>
      <c r="G583" s="18">
        <f>E583* 0.0292436682236212</f>
        <v>0.26319301401259076</v>
      </c>
      <c r="H583" s="18">
        <f>E583* 0.0543096695581537</f>
        <v>0.48878702602338331</v>
      </c>
    </row>
    <row r="584" spans="1:8" ht="15.75" hidden="1" customHeight="1" x14ac:dyDescent="0.25">
      <c r="A584" s="20" t="s">
        <v>51</v>
      </c>
      <c r="B584" s="47" t="s">
        <v>339</v>
      </c>
      <c r="C584" s="49"/>
      <c r="D584" s="19" t="s">
        <v>31</v>
      </c>
      <c r="E584" s="23">
        <v>15</v>
      </c>
      <c r="F584" s="18">
        <f>E584* 0.957442434210526</f>
        <v>14.36163651315789</v>
      </c>
      <c r="G584" s="18">
        <f>E584* 0.0158305921052632</f>
        <v>0.23745888157894798</v>
      </c>
      <c r="H584" s="18">
        <f>E584* 0.0263157894736842</f>
        <v>0.394736842105263</v>
      </c>
    </row>
    <row r="585" spans="1:8" ht="15.75" hidden="1" customHeight="1" x14ac:dyDescent="0.25">
      <c r="A585" s="20" t="s">
        <v>51</v>
      </c>
      <c r="B585" s="47" t="s">
        <v>339</v>
      </c>
      <c r="C585" s="49"/>
      <c r="D585" s="19" t="s">
        <v>18</v>
      </c>
      <c r="E585" s="23">
        <v>2</v>
      </c>
      <c r="F585" s="18">
        <f>E585* 0.983388008654987</f>
        <v>1.966776017309974</v>
      </c>
      <c r="G585" s="18">
        <f>E585* 0.0133314720457877</f>
        <v>2.6662944091575401E-2</v>
      </c>
      <c r="H585" s="18">
        <f>E585* 0.003210721016263</f>
        <v>6.4214420325260004E-3</v>
      </c>
    </row>
    <row r="586" spans="1:8" ht="15.75" hidden="1" customHeight="1" x14ac:dyDescent="0.25">
      <c r="A586" s="20" t="s">
        <v>51</v>
      </c>
      <c r="B586" s="47" t="s">
        <v>339</v>
      </c>
      <c r="C586" s="49"/>
      <c r="D586" s="19" t="s">
        <v>20</v>
      </c>
      <c r="E586" s="23">
        <v>85</v>
      </c>
      <c r="F586" s="18">
        <f>E586* 0.814615536880747</f>
        <v>69.242320634863489</v>
      </c>
      <c r="G586" s="18">
        <f>E586* 0.0763167839340663</f>
        <v>6.4869266343956351</v>
      </c>
      <c r="H586" s="18">
        <f>E586* 0.109013694193014</f>
        <v>9.266164006406191</v>
      </c>
    </row>
    <row r="587" spans="1:8" ht="15.75" hidden="1" customHeight="1" x14ac:dyDescent="0.25">
      <c r="A587" s="20" t="s">
        <v>51</v>
      </c>
      <c r="B587" s="47" t="s">
        <v>339</v>
      </c>
      <c r="C587" s="49"/>
      <c r="D587" s="19" t="s">
        <v>21</v>
      </c>
      <c r="E587" s="23">
        <v>4</v>
      </c>
      <c r="F587" s="18">
        <f>E587* 0.999722052365334</f>
        <v>3.9988882094613358</v>
      </c>
      <c r="G587" s="20">
        <v>0</v>
      </c>
      <c r="H587" s="18">
        <f>E587* 0.000277947634665629</f>
        <v>1.1117905386625159E-3</v>
      </c>
    </row>
    <row r="588" spans="1:8" ht="15.75" hidden="1" customHeight="1" x14ac:dyDescent="0.25">
      <c r="A588" s="20" t="s">
        <v>51</v>
      </c>
      <c r="B588" s="47" t="s">
        <v>339</v>
      </c>
      <c r="C588" s="49"/>
      <c r="D588" s="19" t="s">
        <v>28</v>
      </c>
      <c r="E588" s="23">
        <v>6</v>
      </c>
      <c r="F588" s="18">
        <f>E588* 0.00115651503469545</f>
        <v>6.9390902081726998E-3</v>
      </c>
      <c r="G588" s="18">
        <f>E588* 0.998843484965305</f>
        <v>5.9930609097918293</v>
      </c>
      <c r="H588" s="20">
        <v>0</v>
      </c>
    </row>
    <row r="589" spans="1:8" ht="15.75" hidden="1" customHeight="1" x14ac:dyDescent="0.25">
      <c r="A589" s="20" t="s">
        <v>51</v>
      </c>
      <c r="B589" s="47" t="s">
        <v>339</v>
      </c>
      <c r="C589" s="49"/>
      <c r="D589" s="19" t="s">
        <v>12</v>
      </c>
      <c r="E589" s="23">
        <v>37</v>
      </c>
      <c r="F589" s="18">
        <f>E589* 0.924936238310357</f>
        <v>34.22264081748321</v>
      </c>
      <c r="G589" s="18">
        <f>E589* 0.0351064361799663</f>
        <v>1.2989381386587531</v>
      </c>
      <c r="H589" s="18">
        <f>E589* 0.039932320925503</f>
        <v>1.4774958742436111</v>
      </c>
    </row>
    <row r="590" spans="1:8" ht="15.75" hidden="1" customHeight="1" x14ac:dyDescent="0.25">
      <c r="A590" s="20" t="s">
        <v>51</v>
      </c>
      <c r="B590" s="20"/>
      <c r="C590" s="20"/>
      <c r="D590" s="46"/>
      <c r="E590" s="35"/>
    </row>
    <row r="591" spans="1:8" ht="15.75" hidden="1" customHeight="1" x14ac:dyDescent="0.25">
      <c r="A591" s="20" t="s">
        <v>51</v>
      </c>
      <c r="B591" s="47" t="s">
        <v>76</v>
      </c>
      <c r="C591" s="12" t="str">
        <f>B591&amp;"_"&amp;A591</f>
        <v>Gral. Pérez (Charazani)_La Paz</v>
      </c>
      <c r="D591" s="20"/>
      <c r="E591" s="48">
        <v>41</v>
      </c>
      <c r="F591" s="14">
        <f t="shared" ref="F591:H591" si="58">SUM(F592:F600)</f>
        <v>29.590756066848385</v>
      </c>
      <c r="G591" s="14">
        <f t="shared" si="58"/>
        <v>9.6905515658424584</v>
      </c>
      <c r="H591" s="14">
        <f t="shared" si="58"/>
        <v>1.7166904050405045</v>
      </c>
    </row>
    <row r="592" spans="1:8" ht="15.75" hidden="1" customHeight="1" x14ac:dyDescent="0.25">
      <c r="A592" s="20" t="s">
        <v>51</v>
      </c>
      <c r="B592" s="47" t="s">
        <v>76</v>
      </c>
      <c r="C592" s="49"/>
      <c r="D592" s="29" t="s">
        <v>340</v>
      </c>
      <c r="E592" s="23">
        <v>2</v>
      </c>
      <c r="F592" s="20">
        <v>0</v>
      </c>
      <c r="G592" s="24">
        <f>E592</f>
        <v>2</v>
      </c>
      <c r="H592" s="20">
        <v>0</v>
      </c>
    </row>
    <row r="593" spans="1:8" ht="15.75" hidden="1" customHeight="1" x14ac:dyDescent="0.25">
      <c r="A593" s="20" t="s">
        <v>51</v>
      </c>
      <c r="B593" s="47" t="s">
        <v>76</v>
      </c>
      <c r="C593" s="49"/>
      <c r="D593" s="19" t="s">
        <v>15</v>
      </c>
      <c r="E593" s="23">
        <v>2</v>
      </c>
      <c r="F593" s="18">
        <f>E593* 0.981163265034061</f>
        <v>1.9623265300681221</v>
      </c>
      <c r="G593" s="18">
        <f>E593* 0.0027595216829083</f>
        <v>5.5190433658165996E-3</v>
      </c>
      <c r="H593" s="18">
        <f>E593* 0.0160372202151627</f>
        <v>3.2074440430325403E-2</v>
      </c>
    </row>
    <row r="594" spans="1:8" ht="15.75" hidden="1" customHeight="1" x14ac:dyDescent="0.25">
      <c r="A594" s="20" t="s">
        <v>51</v>
      </c>
      <c r="B594" s="47" t="s">
        <v>76</v>
      </c>
      <c r="C594" s="49"/>
      <c r="D594" s="19" t="s">
        <v>11</v>
      </c>
      <c r="E594" s="23">
        <v>8</v>
      </c>
      <c r="F594" s="18">
        <f>E594* 0.178797409805735</f>
        <v>1.43037927844588</v>
      </c>
      <c r="G594" s="18">
        <f>E594* 0.819278445883441</f>
        <v>6.5542275670675281</v>
      </c>
      <c r="H594" s="18">
        <f>E594* 0.00181313598519889</f>
        <v>1.4505087881591119E-2</v>
      </c>
    </row>
    <row r="595" spans="1:8" ht="15.75" hidden="1" customHeight="1" x14ac:dyDescent="0.25">
      <c r="A595" s="20" t="s">
        <v>51</v>
      </c>
      <c r="B595" s="47" t="s">
        <v>76</v>
      </c>
      <c r="C595" s="49"/>
      <c r="D595" s="19" t="s">
        <v>17</v>
      </c>
      <c r="E595" s="23">
        <v>11</v>
      </c>
      <c r="F595" s="18">
        <f>E595* 0.916446662218225</f>
        <v>10.080913284400475</v>
      </c>
      <c r="G595" s="18">
        <f>E595* 0.0292436682236212</f>
        <v>0.32168035045983318</v>
      </c>
      <c r="H595" s="18">
        <f>E595* 0.0543096695581537</f>
        <v>0.5974063651396907</v>
      </c>
    </row>
    <row r="596" spans="1:8" ht="15.75" hidden="1" customHeight="1" x14ac:dyDescent="0.25">
      <c r="A596" s="20" t="s">
        <v>51</v>
      </c>
      <c r="B596" s="47" t="s">
        <v>76</v>
      </c>
      <c r="C596" s="49"/>
      <c r="D596" s="19" t="s">
        <v>31</v>
      </c>
      <c r="E596" s="23">
        <v>1</v>
      </c>
      <c r="F596" s="18">
        <f>E596* 0.957442434210526</f>
        <v>0.95744243421052599</v>
      </c>
      <c r="G596" s="18">
        <f>E596* 0.0158305921052632</f>
        <v>1.5830592105263198E-2</v>
      </c>
      <c r="H596" s="18">
        <f>E596* 0.0263157894736842</f>
        <v>2.6315789473684199E-2</v>
      </c>
    </row>
    <row r="597" spans="1:8" ht="15.75" hidden="1" customHeight="1" x14ac:dyDescent="0.25">
      <c r="A597" s="20" t="s">
        <v>51</v>
      </c>
      <c r="B597" s="47" t="s">
        <v>76</v>
      </c>
      <c r="C597" s="49"/>
      <c r="D597" s="19" t="s">
        <v>18</v>
      </c>
      <c r="E597" s="23">
        <v>1</v>
      </c>
      <c r="F597" s="18">
        <f>E597* 0.983388008654987</f>
        <v>0.98338800865498699</v>
      </c>
      <c r="G597" s="18">
        <f>E597* 0.0133314720457877</f>
        <v>1.33314720457877E-2</v>
      </c>
      <c r="H597" s="18">
        <f>E597* 0.003210721016263</f>
        <v>3.2107210162630002E-3</v>
      </c>
    </row>
    <row r="598" spans="1:8" ht="15.75" hidden="1" customHeight="1" x14ac:dyDescent="0.25">
      <c r="A598" s="20" t="s">
        <v>51</v>
      </c>
      <c r="B598" s="47" t="s">
        <v>76</v>
      </c>
      <c r="C598" s="49"/>
      <c r="D598" s="19" t="s">
        <v>20</v>
      </c>
      <c r="E598" s="23">
        <v>7</v>
      </c>
      <c r="F598" s="18">
        <f>E598* 0.814615536880747</f>
        <v>5.7023087581652288</v>
      </c>
      <c r="G598" s="18">
        <f>E598* 0.0763167839340663</f>
        <v>0.5342174875384641</v>
      </c>
      <c r="H598" s="18">
        <f>E598* 0.109013694193014</f>
        <v>0.76309585935109803</v>
      </c>
    </row>
    <row r="599" spans="1:8" ht="15.75" hidden="1" customHeight="1" x14ac:dyDescent="0.25">
      <c r="A599" s="20" t="s">
        <v>51</v>
      </c>
      <c r="B599" s="47" t="s">
        <v>76</v>
      </c>
      <c r="C599" s="49"/>
      <c r="D599" s="19" t="s">
        <v>21</v>
      </c>
      <c r="E599" s="23">
        <v>2</v>
      </c>
      <c r="F599" s="18">
        <f>E599* 0.999722052365334</f>
        <v>1.9994441047306679</v>
      </c>
      <c r="G599" s="20">
        <v>0</v>
      </c>
      <c r="H599" s="18">
        <f>E599* 0.000277947634665629</f>
        <v>5.5589526933125797E-4</v>
      </c>
    </row>
    <row r="600" spans="1:8" ht="15.75" hidden="1" customHeight="1" x14ac:dyDescent="0.25">
      <c r="A600" s="20" t="s">
        <v>51</v>
      </c>
      <c r="B600" s="47" t="s">
        <v>76</v>
      </c>
      <c r="C600" s="49"/>
      <c r="D600" s="19" t="s">
        <v>12</v>
      </c>
      <c r="E600" s="23">
        <v>7</v>
      </c>
      <c r="F600" s="18">
        <f>E600* 0.924936238310357</f>
        <v>6.4745536681724989</v>
      </c>
      <c r="G600" s="18">
        <f>E600* 0.0351064361799663</f>
        <v>0.24574505325976409</v>
      </c>
      <c r="H600" s="18">
        <f>E600* 0.039932320925503</f>
        <v>0.27952624647852098</v>
      </c>
    </row>
    <row r="601" spans="1:8" ht="15.75" hidden="1" customHeight="1" x14ac:dyDescent="0.25">
      <c r="A601" s="20" t="s">
        <v>51</v>
      </c>
      <c r="B601" s="20"/>
      <c r="C601" s="20"/>
      <c r="D601" s="46"/>
      <c r="E601" s="46"/>
    </row>
    <row r="602" spans="1:8" ht="15.75" hidden="1" customHeight="1" x14ac:dyDescent="0.25">
      <c r="A602" s="20" t="s">
        <v>51</v>
      </c>
      <c r="B602" s="47" t="s">
        <v>77</v>
      </c>
      <c r="C602" s="12" t="str">
        <f>B602&amp;"_"&amp;A602</f>
        <v>Guanay_La Paz</v>
      </c>
      <c r="D602" s="20"/>
      <c r="E602" s="48">
        <v>671</v>
      </c>
      <c r="F602" s="14">
        <f t="shared" ref="F602:H602" si="59">SUM(F603:F613)</f>
        <v>578.8965626636691</v>
      </c>
      <c r="G602" s="14">
        <f t="shared" si="59"/>
        <v>68.550569954329291</v>
      </c>
      <c r="H602" s="14">
        <f t="shared" si="59"/>
        <v>23.530575066858525</v>
      </c>
    </row>
    <row r="603" spans="1:8" ht="15.75" hidden="1" customHeight="1" x14ac:dyDescent="0.25">
      <c r="A603" s="20" t="s">
        <v>51</v>
      </c>
      <c r="B603" s="47" t="s">
        <v>77</v>
      </c>
      <c r="C603" s="49"/>
      <c r="D603" s="19" t="s">
        <v>15</v>
      </c>
      <c r="E603" s="23">
        <v>38</v>
      </c>
      <c r="F603" s="18">
        <f>E603* 0.981163265034061</f>
        <v>37.284204071294319</v>
      </c>
      <c r="G603" s="18">
        <f>E603* 0.0027595216829083</f>
        <v>0.1048618239505154</v>
      </c>
      <c r="H603" s="18">
        <f>E603* 0.0160372202151627</f>
        <v>0.60941436817618266</v>
      </c>
    </row>
    <row r="604" spans="1:8" ht="15.75" hidden="1" customHeight="1" x14ac:dyDescent="0.25">
      <c r="A604" s="20" t="s">
        <v>51</v>
      </c>
      <c r="B604" s="47" t="s">
        <v>77</v>
      </c>
      <c r="C604" s="49"/>
      <c r="D604" s="29" t="s">
        <v>341</v>
      </c>
      <c r="E604" s="23">
        <v>2</v>
      </c>
      <c r="F604" s="18">
        <f>E604* 0.142974979378609</f>
        <v>0.28594995875721801</v>
      </c>
      <c r="G604" s="18">
        <f>E604* 0.852350838603245</f>
        <v>1.70470167720649</v>
      </c>
      <c r="H604" s="18">
        <f>E604* 0.00467418201814682</f>
        <v>9.3483640362936396E-3</v>
      </c>
    </row>
    <row r="605" spans="1:8" ht="15.75" hidden="1" customHeight="1" x14ac:dyDescent="0.25">
      <c r="A605" s="20" t="s">
        <v>51</v>
      </c>
      <c r="B605" s="47" t="s">
        <v>77</v>
      </c>
      <c r="C605" s="49"/>
      <c r="D605" s="19" t="s">
        <v>11</v>
      </c>
      <c r="E605" s="23">
        <v>60</v>
      </c>
      <c r="F605" s="18">
        <f>E605* 0.178797409805735</f>
        <v>10.7278445883441</v>
      </c>
      <c r="G605" s="18">
        <f>E605* 0.819278445883441</f>
        <v>49.156706753006461</v>
      </c>
      <c r="H605" s="18">
        <f>E605* 0.00181313598519889</f>
        <v>0.1087881591119334</v>
      </c>
    </row>
    <row r="606" spans="1:8" ht="15.75" hidden="1" customHeight="1" x14ac:dyDescent="0.25">
      <c r="A606" s="20" t="s">
        <v>51</v>
      </c>
      <c r="B606" s="47" t="s">
        <v>77</v>
      </c>
      <c r="C606" s="49"/>
      <c r="D606" s="19" t="s">
        <v>17</v>
      </c>
      <c r="E606" s="23">
        <v>79</v>
      </c>
      <c r="F606" s="18">
        <f>E606* 0.916446662218225</f>
        <v>72.399286315239777</v>
      </c>
      <c r="G606" s="18">
        <f>E606* 0.0292436682236212</f>
        <v>2.3102497896660745</v>
      </c>
      <c r="H606" s="18">
        <f>E606* 0.0543096695581537</f>
        <v>4.2904638950941427</v>
      </c>
    </row>
    <row r="607" spans="1:8" ht="15.75" hidden="1" customHeight="1" x14ac:dyDescent="0.25">
      <c r="A607" s="20" t="s">
        <v>51</v>
      </c>
      <c r="B607" s="47" t="s">
        <v>77</v>
      </c>
      <c r="C607" s="49"/>
      <c r="D607" s="19" t="s">
        <v>31</v>
      </c>
      <c r="E607" s="23">
        <v>8</v>
      </c>
      <c r="F607" s="18">
        <f>E607* 0.957442434210526</f>
        <v>7.659539473684208</v>
      </c>
      <c r="G607" s="18">
        <f>E607* 0.0158305921052632</f>
        <v>0.12664473684210559</v>
      </c>
      <c r="H607" s="18">
        <f>E607* 0.0263157894736842</f>
        <v>0.21052631578947359</v>
      </c>
    </row>
    <row r="608" spans="1:8" ht="15.75" hidden="1" customHeight="1" x14ac:dyDescent="0.25">
      <c r="A608" s="20" t="s">
        <v>51</v>
      </c>
      <c r="B608" s="47" t="s">
        <v>77</v>
      </c>
      <c r="C608" s="49"/>
      <c r="D608" s="19" t="s">
        <v>18</v>
      </c>
      <c r="E608" s="23">
        <v>13</v>
      </c>
      <c r="F608" s="18">
        <f>E608* 0.983388008654987</f>
        <v>12.784044112514831</v>
      </c>
      <c r="G608" s="18">
        <f>E608* 0.0133314720457877</f>
        <v>0.17330913659524011</v>
      </c>
      <c r="H608" s="18">
        <f>E608* 0.003210721016263</f>
        <v>4.1739373211419004E-2</v>
      </c>
    </row>
    <row r="609" spans="1:8" ht="15.75" hidden="1" customHeight="1" x14ac:dyDescent="0.25">
      <c r="A609" s="20" t="s">
        <v>51</v>
      </c>
      <c r="B609" s="47" t="s">
        <v>77</v>
      </c>
      <c r="C609" s="49"/>
      <c r="D609" s="19" t="s">
        <v>20</v>
      </c>
      <c r="E609" s="23">
        <v>104</v>
      </c>
      <c r="F609" s="18">
        <f>E609* 0.814615536880747</f>
        <v>84.720015835597678</v>
      </c>
      <c r="G609" s="18">
        <f>E609* 0.0763167839340663</f>
        <v>7.9369455291428945</v>
      </c>
      <c r="H609" s="18">
        <f>E609* 0.109013694193014</f>
        <v>11.337424196073457</v>
      </c>
    </row>
    <row r="610" spans="1:8" ht="15.75" hidden="1" customHeight="1" x14ac:dyDescent="0.25">
      <c r="A610" s="20" t="s">
        <v>51</v>
      </c>
      <c r="B610" s="47" t="s">
        <v>77</v>
      </c>
      <c r="C610" s="49"/>
      <c r="D610" s="19" t="s">
        <v>21</v>
      </c>
      <c r="E610" s="23">
        <v>193</v>
      </c>
      <c r="F610" s="18">
        <f>E610* 0.999722052365334</f>
        <v>192.94635610650946</v>
      </c>
      <c r="G610" s="20">
        <v>0</v>
      </c>
      <c r="H610" s="18">
        <f>E610* 0.000277947634665629</f>
        <v>5.3643893490466395E-2</v>
      </c>
    </row>
    <row r="611" spans="1:8" ht="15.75" hidden="1" customHeight="1" x14ac:dyDescent="0.25">
      <c r="A611" s="20" t="s">
        <v>51</v>
      </c>
      <c r="B611" s="47" t="s">
        <v>77</v>
      </c>
      <c r="C611" s="49"/>
      <c r="D611" s="19" t="s">
        <v>36</v>
      </c>
      <c r="E611" s="23">
        <v>1</v>
      </c>
      <c r="F611" s="18">
        <f>E611* 0.999132697311362</f>
        <v>0.99913269731136201</v>
      </c>
      <c r="G611" s="20">
        <v>0</v>
      </c>
      <c r="H611" s="18">
        <f>E611* 0.000867302688638335</f>
        <v>8.6730268863833497E-4</v>
      </c>
    </row>
    <row r="612" spans="1:8" ht="15.75" hidden="1" customHeight="1" x14ac:dyDescent="0.25">
      <c r="A612" s="20" t="s">
        <v>51</v>
      </c>
      <c r="B612" s="47" t="s">
        <v>77</v>
      </c>
      <c r="C612" s="49"/>
      <c r="D612" s="19" t="s">
        <v>28</v>
      </c>
      <c r="E612" s="23">
        <v>1</v>
      </c>
      <c r="F612" s="18">
        <f>E612* 0.00115651503469545</f>
        <v>1.15651503469545E-3</v>
      </c>
      <c r="G612" s="18">
        <f>E612* 0.998843484965305</f>
        <v>0.99884348496530495</v>
      </c>
      <c r="H612" s="20">
        <v>0</v>
      </c>
    </row>
    <row r="613" spans="1:8" ht="15.75" hidden="1" customHeight="1" x14ac:dyDescent="0.25">
      <c r="A613" s="20" t="s">
        <v>51</v>
      </c>
      <c r="B613" s="47" t="s">
        <v>77</v>
      </c>
      <c r="C613" s="49"/>
      <c r="D613" s="19" t="s">
        <v>12</v>
      </c>
      <c r="E613" s="23">
        <v>172</v>
      </c>
      <c r="F613" s="18">
        <f>E613* 0.924936238310357</f>
        <v>159.08903298938139</v>
      </c>
      <c r="G613" s="18">
        <f>E613* 0.0351064361799663</f>
        <v>6.0383070229542026</v>
      </c>
      <c r="H613" s="18">
        <f>E613* 0.039932320925503</f>
        <v>6.8683591991865161</v>
      </c>
    </row>
    <row r="614" spans="1:8" ht="15.75" hidden="1" customHeight="1" x14ac:dyDescent="0.25">
      <c r="A614" s="20" t="s">
        <v>51</v>
      </c>
      <c r="B614" s="20"/>
      <c r="C614" s="20"/>
      <c r="D614" s="46"/>
      <c r="E614" s="35"/>
    </row>
    <row r="615" spans="1:8" ht="15.75" hidden="1" customHeight="1" x14ac:dyDescent="0.25">
      <c r="A615" s="20" t="s">
        <v>51</v>
      </c>
      <c r="B615" s="47" t="s">
        <v>78</v>
      </c>
      <c r="C615" s="12" t="str">
        <f>B615&amp;"_"&amp;A615</f>
        <v>Guaqui_La Paz</v>
      </c>
      <c r="D615" s="20"/>
      <c r="E615" s="48">
        <v>1638</v>
      </c>
      <c r="F615" s="14">
        <f t="shared" ref="F615:H615" si="60">SUM(F616:F627)</f>
        <v>1458.2445372183752</v>
      </c>
      <c r="G615" s="14">
        <f t="shared" si="60"/>
        <v>121.83641000942183</v>
      </c>
      <c r="H615" s="14">
        <f t="shared" si="60"/>
        <v>57.868200305062885</v>
      </c>
    </row>
    <row r="616" spans="1:8" ht="15.75" hidden="1" customHeight="1" x14ac:dyDescent="0.25">
      <c r="A616" s="20" t="s">
        <v>51</v>
      </c>
      <c r="B616" s="47" t="s">
        <v>78</v>
      </c>
      <c r="C616" s="49"/>
      <c r="D616" s="19" t="s">
        <v>15</v>
      </c>
      <c r="E616" s="23">
        <v>161</v>
      </c>
      <c r="F616" s="18">
        <f>E616* 0.981163265034061</f>
        <v>157.96728567048382</v>
      </c>
      <c r="G616" s="18">
        <f>E616* 0.0027595216829083</f>
        <v>0.44428299094823626</v>
      </c>
      <c r="H616" s="18">
        <f>E616* 0.0160372202151627</f>
        <v>2.581992454641195</v>
      </c>
    </row>
    <row r="617" spans="1:8" ht="15.75" hidden="1" customHeight="1" x14ac:dyDescent="0.25">
      <c r="A617" s="20" t="s">
        <v>51</v>
      </c>
      <c r="B617" s="47" t="s">
        <v>78</v>
      </c>
      <c r="C617" s="49"/>
      <c r="D617" s="29" t="s">
        <v>342</v>
      </c>
      <c r="E617" s="23">
        <v>7</v>
      </c>
      <c r="F617" s="18">
        <f>E617* 0.142974979378609</f>
        <v>1.000824855650263</v>
      </c>
      <c r="G617" s="18">
        <f>E617* 0.852350838603245</f>
        <v>5.9664558702227151</v>
      </c>
      <c r="H617" s="18">
        <f>E617* 0.00467418201814682</f>
        <v>3.2719274127027742E-2</v>
      </c>
    </row>
    <row r="618" spans="1:8" ht="15.75" hidden="1" customHeight="1" x14ac:dyDescent="0.25">
      <c r="A618" s="20" t="s">
        <v>51</v>
      </c>
      <c r="B618" s="47" t="s">
        <v>78</v>
      </c>
      <c r="C618" s="49"/>
      <c r="D618" s="19" t="s">
        <v>11</v>
      </c>
      <c r="E618" s="23">
        <v>62</v>
      </c>
      <c r="F618" s="18">
        <f>E618* 0.178797409805735</f>
        <v>11.085439407955569</v>
      </c>
      <c r="G618" s="18">
        <f>E618* 0.819278445883441</f>
        <v>50.795263644773343</v>
      </c>
      <c r="H618" s="18">
        <f>E618* 0.00181313598519889</f>
        <v>0.11241443108233118</v>
      </c>
    </row>
    <row r="619" spans="1:8" ht="15.75" hidden="1" customHeight="1" x14ac:dyDescent="0.25">
      <c r="A619" s="20" t="s">
        <v>51</v>
      </c>
      <c r="B619" s="47" t="s">
        <v>78</v>
      </c>
      <c r="C619" s="49"/>
      <c r="D619" s="19" t="s">
        <v>17</v>
      </c>
      <c r="E619" s="23">
        <v>125</v>
      </c>
      <c r="F619" s="18">
        <f>E619* 0.916446662218225</f>
        <v>114.55583277727813</v>
      </c>
      <c r="G619" s="18">
        <f>E619* 0.0292436682236212</f>
        <v>3.6554585279526499</v>
      </c>
      <c r="H619" s="18">
        <f>E619* 0.0543096695581537</f>
        <v>6.7887086947692126</v>
      </c>
    </row>
    <row r="620" spans="1:8" ht="15.75" hidden="1" customHeight="1" x14ac:dyDescent="0.25">
      <c r="A620" s="20" t="s">
        <v>51</v>
      </c>
      <c r="B620" s="47" t="s">
        <v>78</v>
      </c>
      <c r="C620" s="49"/>
      <c r="D620" s="19" t="s">
        <v>31</v>
      </c>
      <c r="E620" s="23">
        <v>23</v>
      </c>
      <c r="F620" s="18">
        <f>E620* 0.957442434210526</f>
        <v>22.021175986842099</v>
      </c>
      <c r="G620" s="18">
        <f>E620* 0.0158305921052632</f>
        <v>0.36410361842105354</v>
      </c>
      <c r="H620" s="18">
        <f>E620* 0.0263157894736842</f>
        <v>0.60526315789473661</v>
      </c>
    </row>
    <row r="621" spans="1:8" ht="15.75" hidden="1" customHeight="1" x14ac:dyDescent="0.25">
      <c r="A621" s="20" t="s">
        <v>51</v>
      </c>
      <c r="B621" s="47" t="s">
        <v>78</v>
      </c>
      <c r="C621" s="49"/>
      <c r="D621" s="19" t="s">
        <v>18</v>
      </c>
      <c r="E621" s="23">
        <v>34</v>
      </c>
      <c r="F621" s="18">
        <f>E621* 0.983388008654987</f>
        <v>33.435192294269555</v>
      </c>
      <c r="G621" s="18">
        <f>E621* 0.0133314720457877</f>
        <v>0.4532700495567818</v>
      </c>
      <c r="H621" s="18">
        <f>E621* 0.003210721016263</f>
        <v>0.109164514552942</v>
      </c>
    </row>
    <row r="622" spans="1:8" ht="15.75" hidden="1" customHeight="1" x14ac:dyDescent="0.25">
      <c r="A622" s="20" t="s">
        <v>51</v>
      </c>
      <c r="B622" s="47" t="s">
        <v>78</v>
      </c>
      <c r="C622" s="49"/>
      <c r="D622" s="19" t="s">
        <v>19</v>
      </c>
      <c r="E622" s="23">
        <v>2</v>
      </c>
      <c r="F622" s="18">
        <f>E622* 0.511826182618262</f>
        <v>1.0236523652365239</v>
      </c>
      <c r="G622" s="18">
        <f>E622* 0.476622662266227</f>
        <v>0.95324532453245403</v>
      </c>
      <c r="H622" s="18">
        <f>E622* 0.0115511551155116</f>
        <v>2.3102310231023201E-2</v>
      </c>
    </row>
    <row r="623" spans="1:8" ht="15.75" hidden="1" customHeight="1" x14ac:dyDescent="0.25">
      <c r="A623" s="20" t="s">
        <v>51</v>
      </c>
      <c r="B623" s="47" t="s">
        <v>78</v>
      </c>
      <c r="C623" s="49"/>
      <c r="D623" s="19" t="s">
        <v>20</v>
      </c>
      <c r="E623" s="23">
        <v>282</v>
      </c>
      <c r="F623" s="18">
        <f>E623* 0.814615536880747</f>
        <v>229.72158140037064</v>
      </c>
      <c r="G623" s="18">
        <f>E623* 0.0763167839340663</f>
        <v>21.521333069406694</v>
      </c>
      <c r="H623" s="18">
        <f>E623* 0.109013694193014</f>
        <v>30.741861762429949</v>
      </c>
    </row>
    <row r="624" spans="1:8" ht="15.75" hidden="1" customHeight="1" x14ac:dyDescent="0.25">
      <c r="A624" s="20" t="s">
        <v>51</v>
      </c>
      <c r="B624" s="47" t="s">
        <v>78</v>
      </c>
      <c r="C624" s="49"/>
      <c r="D624" s="19" t="s">
        <v>21</v>
      </c>
      <c r="E624" s="23">
        <v>496</v>
      </c>
      <c r="F624" s="18">
        <f>E624* 0.999722052365334</f>
        <v>495.86213797320562</v>
      </c>
      <c r="G624" s="20">
        <v>0</v>
      </c>
      <c r="H624" s="18">
        <f>E624* 0.000277947634665629</f>
        <v>0.13786202679415197</v>
      </c>
    </row>
    <row r="625" spans="1:8" ht="15.75" hidden="1" customHeight="1" x14ac:dyDescent="0.25">
      <c r="A625" s="20" t="s">
        <v>51</v>
      </c>
      <c r="B625" s="47" t="s">
        <v>78</v>
      </c>
      <c r="C625" s="49"/>
      <c r="D625" s="19" t="s">
        <v>36</v>
      </c>
      <c r="E625" s="23">
        <v>4</v>
      </c>
      <c r="F625" s="18">
        <f>E625* 0.999132697311362</f>
        <v>3.996530789245448</v>
      </c>
      <c r="G625" s="20">
        <v>0</v>
      </c>
      <c r="H625" s="18">
        <f>E625* 0.000867302688638335</f>
        <v>3.4692107545533399E-3</v>
      </c>
    </row>
    <row r="626" spans="1:8" ht="15.75" hidden="1" customHeight="1" x14ac:dyDescent="0.25">
      <c r="A626" s="20" t="s">
        <v>51</v>
      </c>
      <c r="B626" s="47" t="s">
        <v>78</v>
      </c>
      <c r="C626" s="49"/>
      <c r="D626" s="19" t="s">
        <v>28</v>
      </c>
      <c r="E626" s="23">
        <v>23</v>
      </c>
      <c r="F626" s="18">
        <f>E626* 0.00115651503469545</f>
        <v>2.6599845797995347E-2</v>
      </c>
      <c r="G626" s="18">
        <f>E626* 0.998843484965305</f>
        <v>22.973400154202015</v>
      </c>
      <c r="H626" s="20">
        <v>0</v>
      </c>
    </row>
    <row r="627" spans="1:8" ht="15.75" hidden="1" customHeight="1" x14ac:dyDescent="0.25">
      <c r="A627" s="20" t="s">
        <v>51</v>
      </c>
      <c r="B627" s="47" t="s">
        <v>78</v>
      </c>
      <c r="C627" s="49"/>
      <c r="D627" s="19" t="s">
        <v>12</v>
      </c>
      <c r="E627" s="23">
        <v>419</v>
      </c>
      <c r="F627" s="18">
        <f>E627* 0.924936238310357</f>
        <v>387.54828385203956</v>
      </c>
      <c r="G627" s="18">
        <f>E627* 0.0351064361799663</f>
        <v>14.709596759405878</v>
      </c>
      <c r="H627" s="18">
        <f>E627* 0.039932320925503</f>
        <v>16.731642467785758</v>
      </c>
    </row>
    <row r="628" spans="1:8" ht="15.75" hidden="1" customHeight="1" x14ac:dyDescent="0.25">
      <c r="A628" s="20" t="s">
        <v>51</v>
      </c>
      <c r="B628" s="20"/>
      <c r="C628" s="20"/>
      <c r="D628" s="46"/>
      <c r="E628" s="35"/>
    </row>
    <row r="629" spans="1:8" ht="15.75" hidden="1" customHeight="1" x14ac:dyDescent="0.25">
      <c r="A629" s="20" t="s">
        <v>51</v>
      </c>
      <c r="B629" s="47" t="s">
        <v>79</v>
      </c>
      <c r="C629" s="12" t="str">
        <f>B629&amp;"_"&amp;A629</f>
        <v>Huarina_La Paz</v>
      </c>
      <c r="D629" s="20"/>
      <c r="E629" s="48">
        <v>3707</v>
      </c>
      <c r="F629" s="14">
        <f t="shared" ref="F629:H629" si="61">SUM(F630:F642)</f>
        <v>3129.7650680867282</v>
      </c>
      <c r="G629" s="14">
        <f t="shared" si="61"/>
        <v>417.23374526708676</v>
      </c>
      <c r="H629" s="14">
        <f t="shared" si="61"/>
        <v>159.85352235204317</v>
      </c>
    </row>
    <row r="630" spans="1:8" ht="15.75" hidden="1" customHeight="1" x14ac:dyDescent="0.25">
      <c r="A630" s="20" t="s">
        <v>51</v>
      </c>
      <c r="B630" s="47" t="s">
        <v>79</v>
      </c>
      <c r="C630" s="49"/>
      <c r="D630" s="19" t="s">
        <v>15</v>
      </c>
      <c r="E630" s="23">
        <v>271</v>
      </c>
      <c r="F630" s="18">
        <f>E630* 0.981163265034061</f>
        <v>265.89524482423053</v>
      </c>
      <c r="G630" s="18">
        <f>E630* 0.0027595216829083</f>
        <v>0.74783037606814928</v>
      </c>
      <c r="H630" s="18">
        <f>E630* 0.0160372202151627</f>
        <v>4.3460866783090921</v>
      </c>
    </row>
    <row r="631" spans="1:8" ht="15.75" hidden="1" customHeight="1" x14ac:dyDescent="0.25">
      <c r="A631" s="20" t="s">
        <v>51</v>
      </c>
      <c r="B631" s="47" t="s">
        <v>79</v>
      </c>
      <c r="C631" s="49"/>
      <c r="D631" s="29" t="s">
        <v>343</v>
      </c>
      <c r="E631" s="23">
        <v>17</v>
      </c>
      <c r="F631" s="18">
        <f>E631* 0.142974979378609</f>
        <v>2.4305746494363532</v>
      </c>
      <c r="G631" s="18">
        <f>E631* 0.852350838603245</f>
        <v>14.489964256255165</v>
      </c>
      <c r="H631" s="18">
        <f>E631* 0.00467418201814682</f>
        <v>7.9461094308495933E-2</v>
      </c>
    </row>
    <row r="632" spans="1:8" ht="15.75" hidden="1" customHeight="1" x14ac:dyDescent="0.25">
      <c r="A632" s="20" t="s">
        <v>51</v>
      </c>
      <c r="B632" s="47" t="s">
        <v>79</v>
      </c>
      <c r="C632" s="49"/>
      <c r="D632" s="19" t="s">
        <v>11</v>
      </c>
      <c r="E632" s="23">
        <v>307</v>
      </c>
      <c r="F632" s="18">
        <f>E632* 0.178797409805735</f>
        <v>54.890804810360642</v>
      </c>
      <c r="G632" s="18">
        <f>E632* 0.819278445883441</f>
        <v>251.51848288621639</v>
      </c>
      <c r="H632" s="18">
        <f>E632* 0.00181313598519889</f>
        <v>0.55663274745605917</v>
      </c>
    </row>
    <row r="633" spans="1:8" ht="15.75" hidden="1" customHeight="1" x14ac:dyDescent="0.25">
      <c r="A633" s="20" t="s">
        <v>51</v>
      </c>
      <c r="B633" s="47" t="s">
        <v>79</v>
      </c>
      <c r="C633" s="49"/>
      <c r="D633" s="19" t="s">
        <v>17</v>
      </c>
      <c r="E633" s="23">
        <v>332</v>
      </c>
      <c r="F633" s="18">
        <f>E633* 0.916446662218225</f>
        <v>304.26029185645069</v>
      </c>
      <c r="G633" s="18">
        <f>E633* 0.0292436682236212</f>
        <v>9.7088978502422378</v>
      </c>
      <c r="H633" s="18">
        <f>E633* 0.0543096695581537</f>
        <v>18.030810293307027</v>
      </c>
    </row>
    <row r="634" spans="1:8" ht="15.75" hidden="1" customHeight="1" x14ac:dyDescent="0.25">
      <c r="A634" s="20" t="s">
        <v>51</v>
      </c>
      <c r="B634" s="47" t="s">
        <v>79</v>
      </c>
      <c r="C634" s="49"/>
      <c r="D634" s="19" t="s">
        <v>31</v>
      </c>
      <c r="E634" s="23">
        <v>62</v>
      </c>
      <c r="F634" s="18">
        <f>E634* 0.957442434210526</f>
        <v>59.361430921052609</v>
      </c>
      <c r="G634" s="18">
        <f>E634* 0.0158305921052632</f>
        <v>0.98149671052631826</v>
      </c>
      <c r="H634" s="18">
        <f>E634* 0.0263157894736842</f>
        <v>1.6315789473684204</v>
      </c>
    </row>
    <row r="635" spans="1:8" ht="15.75" hidden="1" customHeight="1" x14ac:dyDescent="0.25">
      <c r="A635" s="20" t="s">
        <v>51</v>
      </c>
      <c r="B635" s="47" t="s">
        <v>79</v>
      </c>
      <c r="C635" s="49"/>
      <c r="D635" s="19" t="s">
        <v>18</v>
      </c>
      <c r="E635" s="23">
        <v>58</v>
      </c>
      <c r="F635" s="18">
        <f>E635* 0.983388008654987</f>
        <v>57.036504501989242</v>
      </c>
      <c r="G635" s="18">
        <f>E635* 0.0133314720457877</f>
        <v>0.77322537865568663</v>
      </c>
      <c r="H635" s="18">
        <f>E635* 0.003210721016263</f>
        <v>0.18622181894325401</v>
      </c>
    </row>
    <row r="636" spans="1:8" ht="15.75" hidden="1" customHeight="1" x14ac:dyDescent="0.25">
      <c r="A636" s="20" t="s">
        <v>51</v>
      </c>
      <c r="B636" s="47" t="s">
        <v>79</v>
      </c>
      <c r="C636" s="49"/>
      <c r="D636" s="19" t="s">
        <v>344</v>
      </c>
      <c r="E636" s="23">
        <v>3</v>
      </c>
      <c r="F636" s="20">
        <v>0</v>
      </c>
      <c r="G636" s="24">
        <f>E636</f>
        <v>3</v>
      </c>
      <c r="H636" s="20">
        <v>0</v>
      </c>
    </row>
    <row r="637" spans="1:8" ht="15.75" hidden="1" customHeight="1" x14ac:dyDescent="0.25">
      <c r="A637" s="20" t="s">
        <v>51</v>
      </c>
      <c r="B637" s="47" t="s">
        <v>79</v>
      </c>
      <c r="C637" s="49"/>
      <c r="D637" s="19" t="s">
        <v>19</v>
      </c>
      <c r="E637" s="23">
        <v>6</v>
      </c>
      <c r="F637" s="18">
        <f>E637* 0.511826182618262</f>
        <v>3.0709570957095718</v>
      </c>
      <c r="G637" s="18">
        <f>E637* 0.476622662266227</f>
        <v>2.859735973597362</v>
      </c>
      <c r="H637" s="18">
        <f>E637* 0.0115511551155116</f>
        <v>6.9306930693069604E-2</v>
      </c>
    </row>
    <row r="638" spans="1:8" ht="15.75" hidden="1" customHeight="1" x14ac:dyDescent="0.25">
      <c r="A638" s="20" t="s">
        <v>51</v>
      </c>
      <c r="B638" s="47" t="s">
        <v>79</v>
      </c>
      <c r="C638" s="49"/>
      <c r="D638" s="19" t="s">
        <v>20</v>
      </c>
      <c r="E638" s="23">
        <v>784</v>
      </c>
      <c r="F638" s="18">
        <f>E638* 0.814615536880747</f>
        <v>638.65858091450559</v>
      </c>
      <c r="G638" s="18">
        <f>E638* 0.0763167839340663</f>
        <v>59.832358604307977</v>
      </c>
      <c r="H638" s="18">
        <f>E638* 0.109013694193014</f>
        <v>85.466736247322984</v>
      </c>
    </row>
    <row r="639" spans="1:8" ht="15.75" hidden="1" customHeight="1" x14ac:dyDescent="0.25">
      <c r="A639" s="20" t="s">
        <v>51</v>
      </c>
      <c r="B639" s="47" t="s">
        <v>79</v>
      </c>
      <c r="C639" s="49"/>
      <c r="D639" s="19" t="s">
        <v>21</v>
      </c>
      <c r="E639" s="23">
        <v>597</v>
      </c>
      <c r="F639" s="18">
        <f>E639* 0.999722052365334</f>
        <v>596.83406526210433</v>
      </c>
      <c r="G639" s="20">
        <v>0</v>
      </c>
      <c r="H639" s="18">
        <f>E639* 0.000277947634665629</f>
        <v>0.16593473789538049</v>
      </c>
    </row>
    <row r="640" spans="1:8" ht="15.75" hidden="1" customHeight="1" x14ac:dyDescent="0.25">
      <c r="A640" s="20" t="s">
        <v>51</v>
      </c>
      <c r="B640" s="47" t="s">
        <v>79</v>
      </c>
      <c r="C640" s="49"/>
      <c r="D640" s="19" t="s">
        <v>36</v>
      </c>
      <c r="E640" s="23">
        <v>5</v>
      </c>
      <c r="F640" s="18">
        <f>E640* 0.999132697311362</f>
        <v>4.9956634865568104</v>
      </c>
      <c r="G640" s="20">
        <v>0</v>
      </c>
      <c r="H640" s="18">
        <f>E640* 0.000867302688638335</f>
        <v>4.3365134431916745E-3</v>
      </c>
    </row>
    <row r="641" spans="1:8" ht="15.75" hidden="1" customHeight="1" x14ac:dyDescent="0.25">
      <c r="A641" s="20" t="s">
        <v>51</v>
      </c>
      <c r="B641" s="47" t="s">
        <v>79</v>
      </c>
      <c r="C641" s="49"/>
      <c r="D641" s="19" t="s">
        <v>28</v>
      </c>
      <c r="E641" s="23">
        <v>30</v>
      </c>
      <c r="F641" s="18">
        <f>E641* 0.00115651503469545</f>
        <v>3.4695451040863495E-2</v>
      </c>
      <c r="G641" s="18">
        <f>E641* 0.998843484965305</f>
        <v>29.96530454895915</v>
      </c>
      <c r="H641" s="20">
        <v>0</v>
      </c>
    </row>
    <row r="642" spans="1:8" ht="15.75" hidden="1" customHeight="1" x14ac:dyDescent="0.25">
      <c r="A642" s="20" t="s">
        <v>51</v>
      </c>
      <c r="B642" s="47" t="s">
        <v>79</v>
      </c>
      <c r="C642" s="49"/>
      <c r="D642" s="19" t="s">
        <v>12</v>
      </c>
      <c r="E642" s="23">
        <v>1235</v>
      </c>
      <c r="F642" s="18">
        <f>E642* 0.924936238310357</f>
        <v>1142.2962543132908</v>
      </c>
      <c r="G642" s="18">
        <f>E642* 0.0351064361799663</f>
        <v>43.356448682258375</v>
      </c>
      <c r="H642" s="18">
        <f>E642* 0.039932320925503</f>
        <v>49.316416342996206</v>
      </c>
    </row>
    <row r="643" spans="1:8" ht="15.75" hidden="1" customHeight="1" x14ac:dyDescent="0.25">
      <c r="A643" s="20" t="s">
        <v>51</v>
      </c>
      <c r="B643" s="20"/>
      <c r="C643" s="20"/>
      <c r="D643" s="46"/>
      <c r="E643" s="35"/>
    </row>
    <row r="644" spans="1:8" ht="15.75" hidden="1" customHeight="1" x14ac:dyDescent="0.25">
      <c r="A644" s="20" t="s">
        <v>51</v>
      </c>
      <c r="B644" s="47" t="s">
        <v>80</v>
      </c>
      <c r="C644" s="12" t="str">
        <f>B644&amp;"_"&amp;A644</f>
        <v>Huatajata_La Paz</v>
      </c>
      <c r="D644" s="20"/>
      <c r="E644" s="48">
        <v>3189</v>
      </c>
      <c r="F644" s="14">
        <f t="shared" ref="F644:H644" si="62">SUM(F645:F656)</f>
        <v>2742.1594241826406</v>
      </c>
      <c r="G644" s="14">
        <f t="shared" si="62"/>
        <v>340.45988832083981</v>
      </c>
      <c r="H644" s="14">
        <f t="shared" si="62"/>
        <v>106.27768708499323</v>
      </c>
    </row>
    <row r="645" spans="1:8" ht="15.75" hidden="1" customHeight="1" x14ac:dyDescent="0.25">
      <c r="A645" s="20" t="s">
        <v>51</v>
      </c>
      <c r="B645" s="47" t="s">
        <v>80</v>
      </c>
      <c r="C645" s="49"/>
      <c r="D645" s="19" t="s">
        <v>15</v>
      </c>
      <c r="E645" s="23">
        <v>180</v>
      </c>
      <c r="F645" s="18">
        <f>E645* 0.981163265034061</f>
        <v>176.60938770613097</v>
      </c>
      <c r="G645" s="18">
        <f>E645* 0.0027595216829083</f>
        <v>0.49671390292349399</v>
      </c>
      <c r="H645" s="18">
        <f>E645* 0.0160372202151627</f>
        <v>2.8866996387292865</v>
      </c>
    </row>
    <row r="646" spans="1:8" ht="15.75" hidden="1" customHeight="1" x14ac:dyDescent="0.25">
      <c r="A646" s="20" t="s">
        <v>51</v>
      </c>
      <c r="B646" s="47" t="s">
        <v>80</v>
      </c>
      <c r="C646" s="49"/>
      <c r="D646" s="29" t="s">
        <v>345</v>
      </c>
      <c r="E646" s="23">
        <v>4</v>
      </c>
      <c r="F646" s="18">
        <f>E646* 0.142974979378609</f>
        <v>0.57189991751443603</v>
      </c>
      <c r="G646" s="18">
        <f>E646* 0.852350838603245</f>
        <v>3.40940335441298</v>
      </c>
      <c r="H646" s="18">
        <f>E646* 0.00467418201814682</f>
        <v>1.8696728072587279E-2</v>
      </c>
    </row>
    <row r="647" spans="1:8" ht="15.75" hidden="1" customHeight="1" x14ac:dyDescent="0.25">
      <c r="A647" s="20" t="s">
        <v>51</v>
      </c>
      <c r="B647" s="47" t="s">
        <v>80</v>
      </c>
      <c r="C647" s="49"/>
      <c r="D647" s="19" t="s">
        <v>11</v>
      </c>
      <c r="E647" s="23">
        <v>246</v>
      </c>
      <c r="F647" s="18">
        <f>E647* 0.178797409805735</f>
        <v>43.984162812210812</v>
      </c>
      <c r="G647" s="18">
        <f>E647* 0.819278445883441</f>
        <v>201.54249768732649</v>
      </c>
      <c r="H647" s="18">
        <f>E647* 0.00181313598519889</f>
        <v>0.44603145235892694</v>
      </c>
    </row>
    <row r="648" spans="1:8" ht="15.75" hidden="1" customHeight="1" x14ac:dyDescent="0.25">
      <c r="A648" s="20" t="s">
        <v>51</v>
      </c>
      <c r="B648" s="47" t="s">
        <v>80</v>
      </c>
      <c r="C648" s="49"/>
      <c r="D648" s="19" t="s">
        <v>17</v>
      </c>
      <c r="E648" s="23">
        <v>270</v>
      </c>
      <c r="F648" s="18">
        <f>E648* 0.916446662218225</f>
        <v>247.44059879892075</v>
      </c>
      <c r="G648" s="18">
        <f>E648* 0.0292436682236212</f>
        <v>7.8957904203777236</v>
      </c>
      <c r="H648" s="18">
        <f>E648* 0.0543096695581537</f>
        <v>14.6636107807015</v>
      </c>
    </row>
    <row r="649" spans="1:8" ht="15.75" hidden="1" customHeight="1" x14ac:dyDescent="0.25">
      <c r="A649" s="20" t="s">
        <v>51</v>
      </c>
      <c r="B649" s="47" t="s">
        <v>80</v>
      </c>
      <c r="C649" s="49"/>
      <c r="D649" s="19" t="s">
        <v>31</v>
      </c>
      <c r="E649" s="23">
        <v>45</v>
      </c>
      <c r="F649" s="18">
        <f>E649* 0.957442434210526</f>
        <v>43.084909539473671</v>
      </c>
      <c r="G649" s="18">
        <f>E649* 0.0158305921052632</f>
        <v>0.71237664473684392</v>
      </c>
      <c r="H649" s="18">
        <f>E649* 0.0263157894736842</f>
        <v>1.1842105263157889</v>
      </c>
    </row>
    <row r="650" spans="1:8" ht="15.75" hidden="1" customHeight="1" x14ac:dyDescent="0.25">
      <c r="A650" s="20" t="s">
        <v>51</v>
      </c>
      <c r="B650" s="47" t="s">
        <v>80</v>
      </c>
      <c r="C650" s="49"/>
      <c r="D650" s="19" t="s">
        <v>18</v>
      </c>
      <c r="E650" s="23">
        <v>46</v>
      </c>
      <c r="F650" s="18">
        <f>E650* 0.983388008654987</f>
        <v>45.235848398129399</v>
      </c>
      <c r="G650" s="18">
        <f>E650* 0.0133314720457877</f>
        <v>0.61324771410623424</v>
      </c>
      <c r="H650" s="18">
        <f>E650* 0.003210721016263</f>
        <v>0.14769316674809801</v>
      </c>
    </row>
    <row r="651" spans="1:8" ht="15.75" hidden="1" customHeight="1" x14ac:dyDescent="0.25">
      <c r="A651" s="20" t="s">
        <v>51</v>
      </c>
      <c r="B651" s="47" t="s">
        <v>80</v>
      </c>
      <c r="C651" s="49"/>
      <c r="D651" s="19" t="s">
        <v>19</v>
      </c>
      <c r="E651" s="23">
        <v>4</v>
      </c>
      <c r="F651" s="18">
        <f>E651* 0.511826182618262</f>
        <v>2.0473047304730478</v>
      </c>
      <c r="G651" s="18">
        <f>E651* 0.476622662266227</f>
        <v>1.9064906490649081</v>
      </c>
      <c r="H651" s="18">
        <f>E651* 0.0115511551155116</f>
        <v>4.6204620462046403E-2</v>
      </c>
    </row>
    <row r="652" spans="1:8" ht="15.75" hidden="1" customHeight="1" x14ac:dyDescent="0.25">
      <c r="A652" s="20" t="s">
        <v>51</v>
      </c>
      <c r="B652" s="47" t="s">
        <v>80</v>
      </c>
      <c r="C652" s="49"/>
      <c r="D652" s="19" t="s">
        <v>20</v>
      </c>
      <c r="E652" s="23">
        <v>521</v>
      </c>
      <c r="F652" s="18">
        <f>E652* 0.814615536880747</f>
        <v>424.41469471486914</v>
      </c>
      <c r="G652" s="18">
        <f>E652* 0.0763167839340663</f>
        <v>39.761044429648543</v>
      </c>
      <c r="H652" s="18">
        <f>E652* 0.109013694193014</f>
        <v>56.796134674560292</v>
      </c>
    </row>
    <row r="653" spans="1:8" ht="15.75" hidden="1" customHeight="1" x14ac:dyDescent="0.25">
      <c r="A653" s="20" t="s">
        <v>51</v>
      </c>
      <c r="B653" s="47" t="s">
        <v>80</v>
      </c>
      <c r="C653" s="49"/>
      <c r="D653" s="19" t="s">
        <v>21</v>
      </c>
      <c r="E653" s="23">
        <v>1066</v>
      </c>
      <c r="F653" s="18">
        <f>E653* 0.999722052365334</f>
        <v>1065.703707821446</v>
      </c>
      <c r="G653" s="20">
        <v>0</v>
      </c>
      <c r="H653" s="18">
        <f>E653* 0.000277947634665629</f>
        <v>0.29629217855356049</v>
      </c>
    </row>
    <row r="654" spans="1:8" ht="15.75" hidden="1" customHeight="1" x14ac:dyDescent="0.25">
      <c r="A654" s="20" t="s">
        <v>51</v>
      </c>
      <c r="B654" s="47" t="s">
        <v>80</v>
      </c>
      <c r="C654" s="49"/>
      <c r="D654" s="19" t="s">
        <v>36</v>
      </c>
      <c r="E654" s="23">
        <v>3</v>
      </c>
      <c r="F654" s="18">
        <f>E654* 0.999132697311362</f>
        <v>2.9973980919340861</v>
      </c>
      <c r="G654" s="20">
        <v>0</v>
      </c>
      <c r="H654" s="18">
        <f>E654* 0.000867302688638335</f>
        <v>2.6019080659150048E-3</v>
      </c>
    </row>
    <row r="655" spans="1:8" ht="15.75" hidden="1" customHeight="1" x14ac:dyDescent="0.25">
      <c r="A655" s="20" t="s">
        <v>51</v>
      </c>
      <c r="B655" s="47" t="s">
        <v>80</v>
      </c>
      <c r="C655" s="49"/>
      <c r="D655" s="19" t="s">
        <v>28</v>
      </c>
      <c r="E655" s="23">
        <v>58</v>
      </c>
      <c r="F655" s="18">
        <f>E655* 0.00115651503469545</f>
        <v>6.7077872012336101E-2</v>
      </c>
      <c r="G655" s="18">
        <f>E655* 0.998843484965305</f>
        <v>57.932922127987688</v>
      </c>
      <c r="H655" s="20">
        <v>0</v>
      </c>
    </row>
    <row r="656" spans="1:8" ht="15.75" hidden="1" customHeight="1" x14ac:dyDescent="0.25">
      <c r="A656" s="20" t="s">
        <v>51</v>
      </c>
      <c r="B656" s="47" t="s">
        <v>80</v>
      </c>
      <c r="C656" s="49"/>
      <c r="D656" s="19" t="s">
        <v>12</v>
      </c>
      <c r="E656" s="23">
        <v>746</v>
      </c>
      <c r="F656" s="18">
        <f>E656* 0.924936238310357</f>
        <v>690.00243377952631</v>
      </c>
      <c r="G656" s="18">
        <f>E656* 0.0351064361799663</f>
        <v>26.189401390254858</v>
      </c>
      <c r="H656" s="18">
        <f>E656* 0.039932320925503</f>
        <v>29.789511410425238</v>
      </c>
    </row>
    <row r="657" spans="1:8" ht="15.75" hidden="1" customHeight="1" x14ac:dyDescent="0.25">
      <c r="A657" s="20" t="s">
        <v>51</v>
      </c>
      <c r="B657" s="20"/>
      <c r="C657" s="20"/>
      <c r="D657" s="46"/>
      <c r="E657" s="35"/>
    </row>
    <row r="658" spans="1:8" ht="15.75" hidden="1" customHeight="1" x14ac:dyDescent="0.25">
      <c r="A658" s="20" t="s">
        <v>51</v>
      </c>
      <c r="B658" s="47" t="s">
        <v>346</v>
      </c>
      <c r="C658" s="12" t="str">
        <f>B658&amp;"_"&amp;A658</f>
        <v>Humanata_La Paz</v>
      </c>
      <c r="D658" s="20"/>
      <c r="E658" s="48">
        <v>446</v>
      </c>
      <c r="F658" s="14">
        <f t="shared" ref="F658:H658" si="63">SUM(F659:F670)</f>
        <v>388.589964597228</v>
      </c>
      <c r="G658" s="14">
        <f t="shared" si="63"/>
        <v>44.253146118727159</v>
      </c>
      <c r="H658" s="14">
        <f t="shared" si="63"/>
        <v>13.144138415128511</v>
      </c>
    </row>
    <row r="659" spans="1:8" ht="15.75" hidden="1" customHeight="1" x14ac:dyDescent="0.25">
      <c r="A659" s="20" t="s">
        <v>51</v>
      </c>
      <c r="B659" s="47" t="s">
        <v>346</v>
      </c>
      <c r="C659" s="49"/>
      <c r="D659" s="19" t="s">
        <v>15</v>
      </c>
      <c r="E659" s="23">
        <v>45</v>
      </c>
      <c r="F659" s="18">
        <f>E659* 0.981163265034061</f>
        <v>44.152346926532744</v>
      </c>
      <c r="G659" s="18">
        <f>E659* 0.0027595216829083</f>
        <v>0.1241784757308735</v>
      </c>
      <c r="H659" s="18">
        <f>E659* 0.0160372202151627</f>
        <v>0.72167490968232162</v>
      </c>
    </row>
    <row r="660" spans="1:8" ht="15.75" hidden="1" customHeight="1" x14ac:dyDescent="0.25">
      <c r="A660" s="20" t="s">
        <v>51</v>
      </c>
      <c r="B660" s="47" t="s">
        <v>346</v>
      </c>
      <c r="C660" s="49"/>
      <c r="D660" s="29" t="s">
        <v>347</v>
      </c>
      <c r="E660" s="23">
        <v>3</v>
      </c>
      <c r="F660" s="18">
        <f>E660* 0.142974979378609</f>
        <v>0.42892493813582699</v>
      </c>
      <c r="G660" s="18">
        <f>E660* 0.852350838603245</f>
        <v>2.557052515809735</v>
      </c>
      <c r="H660" s="18">
        <f>E660* 0.00467418201814682</f>
        <v>1.4022546054440459E-2</v>
      </c>
    </row>
    <row r="661" spans="1:8" ht="15.75" hidden="1" customHeight="1" x14ac:dyDescent="0.25">
      <c r="A661" s="20" t="s">
        <v>51</v>
      </c>
      <c r="B661" s="47" t="s">
        <v>346</v>
      </c>
      <c r="C661" s="49"/>
      <c r="D661" s="19" t="s">
        <v>11</v>
      </c>
      <c r="E661" s="23">
        <v>33</v>
      </c>
      <c r="F661" s="18">
        <f>E661* 0.178797409805735</f>
        <v>5.9003145235892553</v>
      </c>
      <c r="G661" s="18">
        <f>E661* 0.819278445883441</f>
        <v>27.036188714153553</v>
      </c>
      <c r="H661" s="18">
        <f>E661* 0.00181313598519889</f>
        <v>5.9833487511563366E-2</v>
      </c>
    </row>
    <row r="662" spans="1:8" ht="15.75" hidden="1" customHeight="1" x14ac:dyDescent="0.25">
      <c r="A662" s="20" t="s">
        <v>51</v>
      </c>
      <c r="B662" s="47" t="s">
        <v>346</v>
      </c>
      <c r="C662" s="49"/>
      <c r="D662" s="19" t="s">
        <v>17</v>
      </c>
      <c r="E662" s="23">
        <v>34</v>
      </c>
      <c r="F662" s="18">
        <f>E662* 0.916446662218225</f>
        <v>31.159186515419652</v>
      </c>
      <c r="G662" s="18">
        <f>E662* 0.0292436682236212</f>
        <v>0.9942847196031207</v>
      </c>
      <c r="H662" s="18">
        <f>E662* 0.0543096695581537</f>
        <v>1.846528764977226</v>
      </c>
    </row>
    <row r="663" spans="1:8" ht="15.75" hidden="1" customHeight="1" x14ac:dyDescent="0.25">
      <c r="A663" s="20" t="s">
        <v>51</v>
      </c>
      <c r="B663" s="47" t="s">
        <v>346</v>
      </c>
      <c r="C663" s="49"/>
      <c r="D663" s="19" t="s">
        <v>31</v>
      </c>
      <c r="E663" s="23">
        <v>3</v>
      </c>
      <c r="F663" s="18">
        <f>E663* 0.957442434210526</f>
        <v>2.8723273026315779</v>
      </c>
      <c r="G663" s="18">
        <f>E663* 0.0158305921052632</f>
        <v>4.7491776315789595E-2</v>
      </c>
      <c r="H663" s="18">
        <f>E663* 0.0263157894736842</f>
        <v>7.8947368421052599E-2</v>
      </c>
    </row>
    <row r="664" spans="1:8" ht="15.75" hidden="1" customHeight="1" x14ac:dyDescent="0.25">
      <c r="A664" s="20" t="s">
        <v>51</v>
      </c>
      <c r="B664" s="47" t="s">
        <v>346</v>
      </c>
      <c r="C664" s="49"/>
      <c r="D664" s="19" t="s">
        <v>18</v>
      </c>
      <c r="E664" s="23">
        <v>6</v>
      </c>
      <c r="F664" s="18">
        <f>E664* 0.983388008654987</f>
        <v>5.9003280519299217</v>
      </c>
      <c r="G664" s="18">
        <f>E664* 0.0133314720457877</f>
        <v>7.9988832274726196E-2</v>
      </c>
      <c r="H664" s="18">
        <f>E664* 0.003210721016263</f>
        <v>1.9264326097578E-2</v>
      </c>
    </row>
    <row r="665" spans="1:8" ht="15.75" hidden="1" customHeight="1" x14ac:dyDescent="0.25">
      <c r="A665" s="20" t="s">
        <v>51</v>
      </c>
      <c r="B665" s="47" t="s">
        <v>346</v>
      </c>
      <c r="C665" s="49"/>
      <c r="D665" s="19" t="s">
        <v>19</v>
      </c>
      <c r="E665" s="23">
        <v>1</v>
      </c>
      <c r="F665" s="18">
        <f>E665* 0.511826182618262</f>
        <v>0.51182618261826196</v>
      </c>
      <c r="G665" s="18">
        <f>E665* 0.476622662266227</f>
        <v>0.47662266226622702</v>
      </c>
      <c r="H665" s="18">
        <f>E665* 0.0115511551155116</f>
        <v>1.1551155115511601E-2</v>
      </c>
    </row>
    <row r="666" spans="1:8" ht="15.75" hidden="1" customHeight="1" x14ac:dyDescent="0.25">
      <c r="A666" s="20" t="s">
        <v>51</v>
      </c>
      <c r="B666" s="47" t="s">
        <v>346</v>
      </c>
      <c r="C666" s="49"/>
      <c r="D666" s="19" t="s">
        <v>20</v>
      </c>
      <c r="E666" s="23">
        <v>59</v>
      </c>
      <c r="F666" s="18">
        <f>E666* 0.814615536880747</f>
        <v>48.06231667596407</v>
      </c>
      <c r="G666" s="18">
        <f>E666* 0.0763167839340663</f>
        <v>4.502690252109911</v>
      </c>
      <c r="H666" s="18">
        <f>E666* 0.109013694193014</f>
        <v>6.431807957387826</v>
      </c>
    </row>
    <row r="667" spans="1:8" ht="15.75" hidden="1" customHeight="1" x14ac:dyDescent="0.25">
      <c r="A667" s="20" t="s">
        <v>51</v>
      </c>
      <c r="B667" s="47" t="s">
        <v>346</v>
      </c>
      <c r="C667" s="49"/>
      <c r="D667" s="19" t="s">
        <v>21</v>
      </c>
      <c r="E667" s="23">
        <v>154</v>
      </c>
      <c r="F667" s="18">
        <f>E667* 0.999722052365334</f>
        <v>153.95719606426144</v>
      </c>
      <c r="G667" s="20">
        <v>0</v>
      </c>
      <c r="H667" s="18">
        <f>E667* 0.000277947634665629</f>
        <v>4.2803935738506861E-2</v>
      </c>
    </row>
    <row r="668" spans="1:8" ht="15.75" hidden="1" customHeight="1" x14ac:dyDescent="0.25">
      <c r="A668" s="20" t="s">
        <v>51</v>
      </c>
      <c r="B668" s="47" t="s">
        <v>346</v>
      </c>
      <c r="C668" s="49"/>
      <c r="D668" s="19" t="s">
        <v>36</v>
      </c>
      <c r="E668" s="23">
        <v>5</v>
      </c>
      <c r="F668" s="18">
        <f>E668* 0.999132697311362</f>
        <v>4.9956634865568104</v>
      </c>
      <c r="G668" s="20">
        <v>0</v>
      </c>
      <c r="H668" s="18">
        <f>E668* 0.000867302688638335</f>
        <v>4.3365134431916745E-3</v>
      </c>
    </row>
    <row r="669" spans="1:8" ht="15.75" hidden="1" customHeight="1" x14ac:dyDescent="0.25">
      <c r="A669" s="20" t="s">
        <v>51</v>
      </c>
      <c r="B669" s="47" t="s">
        <v>346</v>
      </c>
      <c r="C669" s="49"/>
      <c r="D669" s="19" t="s">
        <v>28</v>
      </c>
      <c r="E669" s="23">
        <v>5</v>
      </c>
      <c r="F669" s="18">
        <f>E669* 0.00115651503469545</f>
        <v>5.7825751734772498E-3</v>
      </c>
      <c r="G669" s="18">
        <f>E669* 0.998843484965305</f>
        <v>4.994217424826525</v>
      </c>
      <c r="H669" s="20">
        <v>0</v>
      </c>
    </row>
    <row r="670" spans="1:8" ht="15.75" hidden="1" customHeight="1" x14ac:dyDescent="0.25">
      <c r="A670" s="20" t="s">
        <v>51</v>
      </c>
      <c r="B670" s="47" t="s">
        <v>346</v>
      </c>
      <c r="C670" s="49"/>
      <c r="D670" s="19" t="s">
        <v>12</v>
      </c>
      <c r="E670" s="23">
        <v>98</v>
      </c>
      <c r="F670" s="18">
        <f>E670* 0.924936238310357</f>
        <v>90.643751354414988</v>
      </c>
      <c r="G670" s="18">
        <f>E670* 0.0351064361799663</f>
        <v>3.4404307456366969</v>
      </c>
      <c r="H670" s="18">
        <f>E670* 0.039932320925503</f>
        <v>3.9133674506992939</v>
      </c>
    </row>
    <row r="671" spans="1:8" ht="15.75" hidden="1" customHeight="1" x14ac:dyDescent="0.25">
      <c r="A671" s="20" t="s">
        <v>51</v>
      </c>
      <c r="B671" s="20"/>
      <c r="C671" s="20"/>
      <c r="D671" s="46"/>
      <c r="E671" s="35"/>
    </row>
    <row r="672" spans="1:8" ht="15.75" hidden="1" customHeight="1" x14ac:dyDescent="0.25">
      <c r="A672" s="20" t="s">
        <v>51</v>
      </c>
      <c r="B672" s="47" t="s">
        <v>81</v>
      </c>
      <c r="C672" s="12" t="str">
        <f>B672&amp;"_"&amp;A672</f>
        <v>Inquisivi_La Paz</v>
      </c>
      <c r="D672" s="20"/>
      <c r="E672" s="48">
        <v>3061</v>
      </c>
      <c r="F672" s="14">
        <f t="shared" ref="F672:H672" si="64">SUM(F673:F686)</f>
        <v>2284.0174378637721</v>
      </c>
      <c r="G672" s="14">
        <f t="shared" si="64"/>
        <v>677.34211258836933</v>
      </c>
      <c r="H672" s="14">
        <f t="shared" si="64"/>
        <v>99.521777410579162</v>
      </c>
    </row>
    <row r="673" spans="1:8" ht="15.75" hidden="1" customHeight="1" x14ac:dyDescent="0.25">
      <c r="A673" s="20" t="s">
        <v>51</v>
      </c>
      <c r="B673" s="47" t="s">
        <v>81</v>
      </c>
      <c r="C673" s="49"/>
      <c r="D673" s="29" t="s">
        <v>348</v>
      </c>
      <c r="E673" s="23">
        <v>0</v>
      </c>
      <c r="F673" s="20">
        <v>0</v>
      </c>
      <c r="G673" s="24">
        <f>E673</f>
        <v>0</v>
      </c>
      <c r="H673" s="20">
        <v>0</v>
      </c>
    </row>
    <row r="674" spans="1:8" ht="15.75" hidden="1" customHeight="1" x14ac:dyDescent="0.25">
      <c r="A674" s="20" t="s">
        <v>51</v>
      </c>
      <c r="B674" s="47" t="s">
        <v>81</v>
      </c>
      <c r="C674" s="49"/>
      <c r="D674" s="19" t="s">
        <v>15</v>
      </c>
      <c r="E674" s="23">
        <v>331</v>
      </c>
      <c r="F674" s="18">
        <f>E674* 0.981163265034061</f>
        <v>324.76504072627421</v>
      </c>
      <c r="G674" s="18">
        <f>E674* 0.0027595216829083</f>
        <v>0.91340167704264719</v>
      </c>
      <c r="H674" s="18">
        <f>E674* 0.0160372202151627</f>
        <v>5.3083198912188543</v>
      </c>
    </row>
    <row r="675" spans="1:8" ht="15.75" hidden="1" customHeight="1" x14ac:dyDescent="0.25">
      <c r="A675" s="20" t="s">
        <v>51</v>
      </c>
      <c r="B675" s="47" t="s">
        <v>81</v>
      </c>
      <c r="C675" s="49"/>
      <c r="D675" s="29" t="s">
        <v>349</v>
      </c>
      <c r="E675" s="23">
        <v>48</v>
      </c>
      <c r="F675" s="18">
        <f>E675* 0.142974979378609</f>
        <v>6.8627990101732319</v>
      </c>
      <c r="G675" s="18">
        <f>E675* 0.852350838603245</f>
        <v>40.91284025295576</v>
      </c>
      <c r="H675" s="18">
        <f>E675* 0.00467418201814682</f>
        <v>0.22436073687104735</v>
      </c>
    </row>
    <row r="676" spans="1:8" ht="15.75" hidden="1" customHeight="1" x14ac:dyDescent="0.25">
      <c r="A676" s="20" t="s">
        <v>51</v>
      </c>
      <c r="B676" s="47" t="s">
        <v>81</v>
      </c>
      <c r="C676" s="49"/>
      <c r="D676" s="19" t="s">
        <v>11</v>
      </c>
      <c r="E676" s="23">
        <v>459</v>
      </c>
      <c r="F676" s="18">
        <f>E676* 0.178797409805735</f>
        <v>82.068011100832365</v>
      </c>
      <c r="G676" s="18">
        <f>E676* 0.819278445883441</f>
        <v>376.04880666049939</v>
      </c>
      <c r="H676" s="18">
        <f>E676* 0.00181313598519889</f>
        <v>0.83222941720629051</v>
      </c>
    </row>
    <row r="677" spans="1:8" ht="15.75" hidden="1" customHeight="1" x14ac:dyDescent="0.25">
      <c r="A677" s="20" t="s">
        <v>51</v>
      </c>
      <c r="B677" s="47" t="s">
        <v>81</v>
      </c>
      <c r="C677" s="49"/>
      <c r="D677" s="19" t="s">
        <v>17</v>
      </c>
      <c r="E677" s="23">
        <v>572</v>
      </c>
      <c r="F677" s="18">
        <f>E677* 0.916446662218225</f>
        <v>524.20749078882466</v>
      </c>
      <c r="G677" s="18">
        <f>E677* 0.0292436682236212</f>
        <v>16.727378223911327</v>
      </c>
      <c r="H677" s="18">
        <f>E677* 0.0543096695581537</f>
        <v>31.065130987263917</v>
      </c>
    </row>
    <row r="678" spans="1:8" ht="15.75" hidden="1" customHeight="1" x14ac:dyDescent="0.25">
      <c r="A678" s="20" t="s">
        <v>51</v>
      </c>
      <c r="B678" s="47" t="s">
        <v>81</v>
      </c>
      <c r="C678" s="49"/>
      <c r="D678" s="19" t="s">
        <v>31</v>
      </c>
      <c r="E678" s="23">
        <v>21</v>
      </c>
      <c r="F678" s="18">
        <f>E678* 0.957442434210526</f>
        <v>20.106291118421044</v>
      </c>
      <c r="G678" s="18">
        <f>E678* 0.0158305921052632</f>
        <v>0.33244243421052716</v>
      </c>
      <c r="H678" s="18">
        <f>E678* 0.0263157894736842</f>
        <v>0.55263157894736814</v>
      </c>
    </row>
    <row r="679" spans="1:8" ht="15.75" hidden="1" customHeight="1" x14ac:dyDescent="0.25">
      <c r="A679" s="20" t="s">
        <v>51</v>
      </c>
      <c r="B679" s="47" t="s">
        <v>81</v>
      </c>
      <c r="C679" s="49"/>
      <c r="D679" s="19" t="s">
        <v>18</v>
      </c>
      <c r="E679" s="23">
        <v>161</v>
      </c>
      <c r="F679" s="18">
        <f>E679* 0.983388008654987</f>
        <v>158.32546939345289</v>
      </c>
      <c r="G679" s="18">
        <f>E679* 0.0133314720457877</f>
        <v>2.14636699937182</v>
      </c>
      <c r="H679" s="18">
        <f>E679* 0.003210721016263</f>
        <v>0.51692608361834302</v>
      </c>
    </row>
    <row r="680" spans="1:8" ht="15.75" hidden="1" customHeight="1" x14ac:dyDescent="0.25">
      <c r="A680" s="20" t="s">
        <v>51</v>
      </c>
      <c r="B680" s="47" t="s">
        <v>81</v>
      </c>
      <c r="C680" s="49"/>
      <c r="D680" s="19" t="s">
        <v>19</v>
      </c>
      <c r="E680" s="23">
        <v>8</v>
      </c>
      <c r="F680" s="18">
        <f>E680* 0.511826182618262</f>
        <v>4.0946094609460957</v>
      </c>
      <c r="G680" s="18">
        <f>E680* 0.476622662266227</f>
        <v>3.8129812981298161</v>
      </c>
      <c r="H680" s="18">
        <f>E680* 0.0115511551155116</f>
        <v>9.2409240924092806E-2</v>
      </c>
    </row>
    <row r="681" spans="1:8" ht="15.75" hidden="1" customHeight="1" x14ac:dyDescent="0.25">
      <c r="A681" s="20" t="s">
        <v>51</v>
      </c>
      <c r="B681" s="47" t="s">
        <v>81</v>
      </c>
      <c r="C681" s="49"/>
      <c r="D681" s="19" t="s">
        <v>20</v>
      </c>
      <c r="E681" s="23">
        <v>246</v>
      </c>
      <c r="F681" s="18">
        <f>E681* 0.814615536880747</f>
        <v>200.39542207266376</v>
      </c>
      <c r="G681" s="18">
        <f>E681* 0.0763167839340663</f>
        <v>18.773928847780308</v>
      </c>
      <c r="H681" s="18">
        <f>E681* 0.109013694193014</f>
        <v>26.817368771481444</v>
      </c>
    </row>
    <row r="682" spans="1:8" ht="15.75" hidden="1" customHeight="1" x14ac:dyDescent="0.25">
      <c r="A682" s="20" t="s">
        <v>51</v>
      </c>
      <c r="B682" s="47" t="s">
        <v>81</v>
      </c>
      <c r="C682" s="49"/>
      <c r="D682" s="19" t="s">
        <v>21</v>
      </c>
      <c r="E682" s="23">
        <v>171</v>
      </c>
      <c r="F682" s="18">
        <f>E682* 0.999722052365334</f>
        <v>170.95247095447212</v>
      </c>
      <c r="G682" s="20">
        <v>0</v>
      </c>
      <c r="H682" s="18">
        <f>E682* 0.000277947634665629</f>
        <v>4.7529045527822555E-2</v>
      </c>
    </row>
    <row r="683" spans="1:8" ht="15.75" hidden="1" customHeight="1" x14ac:dyDescent="0.25">
      <c r="A683" s="20" t="s">
        <v>51</v>
      </c>
      <c r="B683" s="47" t="s">
        <v>81</v>
      </c>
      <c r="C683" s="49"/>
      <c r="D683" s="19" t="s">
        <v>36</v>
      </c>
      <c r="E683" s="23">
        <v>3</v>
      </c>
      <c r="F683" s="18">
        <f>E683* 0.999132697311362</f>
        <v>2.9973980919340861</v>
      </c>
      <c r="G683" s="20">
        <v>0</v>
      </c>
      <c r="H683" s="18">
        <f>E683* 0.000867302688638335</f>
        <v>2.6019080659150048E-3</v>
      </c>
    </row>
    <row r="684" spans="1:8" ht="15.75" hidden="1" customHeight="1" x14ac:dyDescent="0.25">
      <c r="A684" s="20" t="s">
        <v>51</v>
      </c>
      <c r="B684" s="47" t="s">
        <v>81</v>
      </c>
      <c r="C684" s="49"/>
      <c r="D684" s="19" t="s">
        <v>37</v>
      </c>
      <c r="E684" s="23">
        <v>1</v>
      </c>
      <c r="F684" s="18">
        <f>E684* 0.0555555555555556</f>
        <v>5.5555555555555601E-2</v>
      </c>
      <c r="G684" s="18">
        <f>E684* 0.944444444444444</f>
        <v>0.94444444444444398</v>
      </c>
      <c r="H684" s="20">
        <v>0</v>
      </c>
    </row>
    <row r="685" spans="1:8" ht="15.75" hidden="1" customHeight="1" x14ac:dyDescent="0.25">
      <c r="A685" s="20" t="s">
        <v>51</v>
      </c>
      <c r="B685" s="47" t="s">
        <v>81</v>
      </c>
      <c r="C685" s="49"/>
      <c r="D685" s="19" t="s">
        <v>28</v>
      </c>
      <c r="E685" s="23">
        <v>187</v>
      </c>
      <c r="F685" s="18">
        <f>E685* 0.00115651503469545</f>
        <v>0.21626831148804915</v>
      </c>
      <c r="G685" s="18">
        <f>E685* 0.998843484965305</f>
        <v>186.78373168851203</v>
      </c>
      <c r="H685" s="20">
        <v>0</v>
      </c>
    </row>
    <row r="686" spans="1:8" ht="15.75" hidden="1" customHeight="1" x14ac:dyDescent="0.25">
      <c r="A686" s="20" t="s">
        <v>51</v>
      </c>
      <c r="B686" s="47" t="s">
        <v>81</v>
      </c>
      <c r="C686" s="49"/>
      <c r="D686" s="19" t="s">
        <v>12</v>
      </c>
      <c r="E686" s="23">
        <v>853</v>
      </c>
      <c r="F686" s="18">
        <f>E686* 0.924936238310357</f>
        <v>788.97061127873451</v>
      </c>
      <c r="G686" s="18">
        <f>E686* 0.0351064361799663</f>
        <v>29.94579006151125</v>
      </c>
      <c r="H686" s="18">
        <f>E686* 0.039932320925503</f>
        <v>34.06226974945406</v>
      </c>
    </row>
    <row r="687" spans="1:8" ht="15.75" hidden="1" customHeight="1" x14ac:dyDescent="0.25">
      <c r="A687" s="20" t="s">
        <v>51</v>
      </c>
      <c r="B687" s="20"/>
      <c r="C687" s="20"/>
      <c r="D687" s="46"/>
      <c r="E687" s="35"/>
    </row>
    <row r="688" spans="1:8" ht="15.75" hidden="1" customHeight="1" x14ac:dyDescent="0.25">
      <c r="A688" s="20" t="s">
        <v>51</v>
      </c>
      <c r="B688" s="47" t="s">
        <v>82</v>
      </c>
      <c r="C688" s="12" t="str">
        <f>B688&amp;"_"&amp;A688</f>
        <v>Irupana_La Paz</v>
      </c>
      <c r="D688" s="20"/>
      <c r="E688" s="48">
        <v>354</v>
      </c>
      <c r="F688" s="14">
        <f t="shared" ref="F688:H688" si="65">SUM(F689:F702)</f>
        <v>313.39048891423499</v>
      </c>
      <c r="G688" s="14">
        <f t="shared" si="65"/>
        <v>30.063699979456505</v>
      </c>
      <c r="H688" s="14">
        <f t="shared" si="65"/>
        <v>10.534545916298057</v>
      </c>
    </row>
    <row r="689" spans="1:8" ht="15.75" hidden="1" customHeight="1" x14ac:dyDescent="0.25">
      <c r="A689" s="20" t="s">
        <v>51</v>
      </c>
      <c r="B689" s="47" t="s">
        <v>82</v>
      </c>
      <c r="C689" s="49"/>
      <c r="D689" s="29" t="s">
        <v>350</v>
      </c>
      <c r="E689" s="23">
        <v>2</v>
      </c>
      <c r="F689" s="20">
        <v>0</v>
      </c>
      <c r="G689" s="24">
        <f>E689</f>
        <v>2</v>
      </c>
      <c r="H689" s="20">
        <v>0</v>
      </c>
    </row>
    <row r="690" spans="1:8" ht="15.75" hidden="1" customHeight="1" x14ac:dyDescent="0.25">
      <c r="A690" s="20" t="s">
        <v>51</v>
      </c>
      <c r="B690" s="47" t="s">
        <v>82</v>
      </c>
      <c r="C690" s="49"/>
      <c r="D690" s="19" t="s">
        <v>15</v>
      </c>
      <c r="E690" s="23">
        <v>8</v>
      </c>
      <c r="F690" s="18">
        <f>E690* 0.981163265034061</f>
        <v>7.8493061202724883</v>
      </c>
      <c r="G690" s="18">
        <f>E690* 0.0027595216829083</f>
        <v>2.2076173463266398E-2</v>
      </c>
      <c r="H690" s="18">
        <f>E690* 0.0160372202151627</f>
        <v>0.12829776172130161</v>
      </c>
    </row>
    <row r="691" spans="1:8" ht="15.75" hidden="1" customHeight="1" x14ac:dyDescent="0.25">
      <c r="A691" s="20" t="s">
        <v>51</v>
      </c>
      <c r="B691" s="47" t="s">
        <v>82</v>
      </c>
      <c r="C691" s="49"/>
      <c r="D691" s="29" t="s">
        <v>351</v>
      </c>
      <c r="E691" s="35"/>
      <c r="F691" s="18">
        <f>E691* 0.142974979378609</f>
        <v>0</v>
      </c>
      <c r="G691" s="18">
        <f>E691* 0.852350838603245</f>
        <v>0</v>
      </c>
      <c r="H691" s="18">
        <f>E691* 0.00467418201814682</f>
        <v>0</v>
      </c>
    </row>
    <row r="692" spans="1:8" ht="15.75" hidden="1" customHeight="1" x14ac:dyDescent="0.25">
      <c r="A692" s="20" t="s">
        <v>51</v>
      </c>
      <c r="B692" s="47" t="s">
        <v>82</v>
      </c>
      <c r="C692" s="49"/>
      <c r="D692" s="19" t="s">
        <v>11</v>
      </c>
      <c r="E692" s="23">
        <v>22</v>
      </c>
      <c r="F692" s="18">
        <f>E692* 0.178797409805735</f>
        <v>3.9335430157261699</v>
      </c>
      <c r="G692" s="18">
        <f>E692* 0.819278445883441</f>
        <v>18.024125809435702</v>
      </c>
      <c r="H692" s="18">
        <f>E692* 0.00181313598519889</f>
        <v>3.9888991674375582E-2</v>
      </c>
    </row>
    <row r="693" spans="1:8" ht="15.75" hidden="1" customHeight="1" x14ac:dyDescent="0.25">
      <c r="A693" s="20" t="s">
        <v>51</v>
      </c>
      <c r="B693" s="47" t="s">
        <v>82</v>
      </c>
      <c r="C693" s="49"/>
      <c r="D693" s="19" t="s">
        <v>17</v>
      </c>
      <c r="E693" s="23">
        <v>17</v>
      </c>
      <c r="F693" s="18">
        <f>E693* 0.916446662218225</f>
        <v>15.579593257709826</v>
      </c>
      <c r="G693" s="18">
        <f>E693* 0.0292436682236212</f>
        <v>0.49714235980156035</v>
      </c>
      <c r="H693" s="18">
        <f>E693* 0.0543096695581537</f>
        <v>0.92326438248861298</v>
      </c>
    </row>
    <row r="694" spans="1:8" ht="15.75" hidden="1" customHeight="1" x14ac:dyDescent="0.25">
      <c r="A694" s="20" t="s">
        <v>51</v>
      </c>
      <c r="B694" s="47" t="s">
        <v>82</v>
      </c>
      <c r="C694" s="49"/>
      <c r="D694" s="19" t="s">
        <v>31</v>
      </c>
      <c r="E694" s="17">
        <v>7</v>
      </c>
      <c r="F694" s="18">
        <f>E694* 0.957442434210526</f>
        <v>6.7020970394736823</v>
      </c>
      <c r="G694" s="18">
        <f>E694* 0.0158305921052632</f>
        <v>0.1108141447368424</v>
      </c>
      <c r="H694" s="18">
        <f>E694* 0.0263157894736842</f>
        <v>0.18421052631578938</v>
      </c>
    </row>
    <row r="695" spans="1:8" ht="15.75" hidden="1" customHeight="1" x14ac:dyDescent="0.25">
      <c r="A695" s="20" t="s">
        <v>51</v>
      </c>
      <c r="B695" s="47" t="s">
        <v>82</v>
      </c>
      <c r="C695" s="49"/>
      <c r="D695" s="19" t="s">
        <v>18</v>
      </c>
      <c r="E695" s="17">
        <v>6</v>
      </c>
      <c r="F695" s="18">
        <f>E695* 0.983388008654987</f>
        <v>5.9003280519299217</v>
      </c>
      <c r="G695" s="18">
        <f>E695* 0.0133314720457877</f>
        <v>7.9988832274726196E-2</v>
      </c>
      <c r="H695" s="18">
        <f>E695* 0.003210721016263</f>
        <v>1.9264326097578E-2</v>
      </c>
    </row>
    <row r="696" spans="1:8" ht="15.75" hidden="1" customHeight="1" x14ac:dyDescent="0.25">
      <c r="A696" s="20" t="s">
        <v>51</v>
      </c>
      <c r="B696" s="47" t="s">
        <v>82</v>
      </c>
      <c r="C696" s="49"/>
      <c r="D696" s="19" t="s">
        <v>352</v>
      </c>
      <c r="E696" s="23">
        <v>2</v>
      </c>
      <c r="F696" s="20">
        <v>0</v>
      </c>
      <c r="G696" s="24">
        <f>E696</f>
        <v>2</v>
      </c>
      <c r="H696" s="20">
        <v>0</v>
      </c>
    </row>
    <row r="697" spans="1:8" ht="15.75" hidden="1" customHeight="1" x14ac:dyDescent="0.25">
      <c r="A697" s="20" t="s">
        <v>51</v>
      </c>
      <c r="B697" s="47" t="s">
        <v>82</v>
      </c>
      <c r="C697" s="49"/>
      <c r="D697" s="19" t="s">
        <v>19</v>
      </c>
      <c r="E697" s="35"/>
      <c r="F697" s="18">
        <f>E697* 0.511826182618262</f>
        <v>0</v>
      </c>
      <c r="G697" s="18">
        <f>E697* 0.476622662266227</f>
        <v>0</v>
      </c>
      <c r="H697" s="18">
        <f>E697* 0.0115511551155116</f>
        <v>0</v>
      </c>
    </row>
    <row r="698" spans="1:8" ht="15.75" hidden="1" customHeight="1" x14ac:dyDescent="0.25">
      <c r="A698" s="20" t="s">
        <v>51</v>
      </c>
      <c r="B698" s="47" t="s">
        <v>82</v>
      </c>
      <c r="C698" s="49"/>
      <c r="D698" s="19" t="s">
        <v>20</v>
      </c>
      <c r="E698" s="23">
        <v>39</v>
      </c>
      <c r="F698" s="18">
        <f>E698* 0.814615536880747</f>
        <v>31.770005938349129</v>
      </c>
      <c r="G698" s="18">
        <f>E698* 0.0763167839340663</f>
        <v>2.9763545734285857</v>
      </c>
      <c r="H698" s="18">
        <f>E698* 0.109013694193014</f>
        <v>4.2515340735275462</v>
      </c>
    </row>
    <row r="699" spans="1:8" ht="15.75" hidden="1" customHeight="1" x14ac:dyDescent="0.25">
      <c r="A699" s="20" t="s">
        <v>51</v>
      </c>
      <c r="B699" s="47" t="s">
        <v>82</v>
      </c>
      <c r="C699" s="49"/>
      <c r="D699" s="19" t="s">
        <v>21</v>
      </c>
      <c r="E699" s="23">
        <v>125</v>
      </c>
      <c r="F699" s="18">
        <f>E699* 0.999722052365334</f>
        <v>124.96525654566675</v>
      </c>
      <c r="G699" s="20">
        <v>0</v>
      </c>
      <c r="H699" s="18">
        <f>E699* 0.000277947634665629</f>
        <v>3.4743454333203624E-2</v>
      </c>
    </row>
    <row r="700" spans="1:8" ht="15.75" hidden="1" customHeight="1" x14ac:dyDescent="0.25">
      <c r="A700" s="20" t="s">
        <v>51</v>
      </c>
      <c r="B700" s="47" t="s">
        <v>82</v>
      </c>
      <c r="C700" s="49"/>
      <c r="D700" s="19" t="s">
        <v>36</v>
      </c>
      <c r="E700" s="23">
        <v>2</v>
      </c>
      <c r="F700" s="18">
        <f>E700* 0.999132697311362</f>
        <v>1.998265394622724</v>
      </c>
      <c r="G700" s="20">
        <v>0</v>
      </c>
      <c r="H700" s="18">
        <f>E700* 0.000867302688638335</f>
        <v>1.7346053772766699E-3</v>
      </c>
    </row>
    <row r="701" spans="1:8" ht="15.75" hidden="1" customHeight="1" x14ac:dyDescent="0.25">
      <c r="A701" s="20" t="s">
        <v>51</v>
      </c>
      <c r="B701" s="47" t="s">
        <v>82</v>
      </c>
      <c r="C701" s="49"/>
      <c r="D701" s="19" t="s">
        <v>28</v>
      </c>
      <c r="E701" s="23">
        <v>0</v>
      </c>
      <c r="F701" s="18">
        <f>E701* 0.00115651503469545</f>
        <v>0</v>
      </c>
      <c r="G701" s="18">
        <f>E701* 0.998843484965305</f>
        <v>0</v>
      </c>
      <c r="H701" s="20">
        <v>0</v>
      </c>
    </row>
    <row r="702" spans="1:8" ht="15.75" hidden="1" customHeight="1" x14ac:dyDescent="0.25">
      <c r="A702" s="20" t="s">
        <v>51</v>
      </c>
      <c r="B702" s="47" t="s">
        <v>82</v>
      </c>
      <c r="C702" s="49"/>
      <c r="D702" s="19" t="s">
        <v>12</v>
      </c>
      <c r="E702" s="23">
        <v>124</v>
      </c>
      <c r="F702" s="18">
        <f>E702* 0.924936238310357</f>
        <v>114.69209355048426</v>
      </c>
      <c r="G702" s="18">
        <f>E702* 0.0351064361799663</f>
        <v>4.3531980863158211</v>
      </c>
      <c r="H702" s="18">
        <f>E702* 0.039932320925503</f>
        <v>4.9516077947623724</v>
      </c>
    </row>
    <row r="703" spans="1:8" ht="15.75" hidden="1" customHeight="1" x14ac:dyDescent="0.25">
      <c r="A703" s="20" t="s">
        <v>51</v>
      </c>
      <c r="B703" s="20"/>
      <c r="C703" s="20"/>
      <c r="D703" s="46"/>
      <c r="E703" s="35"/>
    </row>
    <row r="704" spans="1:8" ht="15.75" hidden="1" customHeight="1" x14ac:dyDescent="0.25">
      <c r="A704" s="20" t="s">
        <v>51</v>
      </c>
      <c r="B704" s="47" t="s">
        <v>353</v>
      </c>
      <c r="C704" s="12" t="str">
        <f>B704&amp;"_"&amp;A704</f>
        <v>Ixiamas_La Paz</v>
      </c>
      <c r="D704" s="20"/>
      <c r="E704" s="48">
        <v>57</v>
      </c>
      <c r="F704" s="14">
        <f t="shared" ref="F704:H704" si="66">SUM(F705:F711)</f>
        <v>46.854752395732696</v>
      </c>
      <c r="G704" s="14">
        <f t="shared" si="66"/>
        <v>9.1497506911317235</v>
      </c>
      <c r="H704" s="14">
        <f t="shared" si="66"/>
        <v>0.99401248431955991</v>
      </c>
    </row>
    <row r="705" spans="1:8" ht="15.75" hidden="1" customHeight="1" x14ac:dyDescent="0.25">
      <c r="A705" s="20" t="s">
        <v>51</v>
      </c>
      <c r="B705" s="47" t="s">
        <v>353</v>
      </c>
      <c r="C705" s="49"/>
      <c r="D705" s="19" t="s">
        <v>11</v>
      </c>
      <c r="E705" s="23">
        <v>3</v>
      </c>
      <c r="F705" s="18">
        <f>E705* 0.178797409805735</f>
        <v>0.53639222941720499</v>
      </c>
      <c r="G705" s="18">
        <f>E705* 0.819278445883441</f>
        <v>2.457835337650323</v>
      </c>
      <c r="H705" s="18">
        <f>E705* 0.00181313598519889</f>
        <v>5.4394079555966698E-3</v>
      </c>
    </row>
    <row r="706" spans="1:8" ht="15.75" hidden="1" customHeight="1" x14ac:dyDescent="0.25">
      <c r="A706" s="20" t="s">
        <v>51</v>
      </c>
      <c r="B706" s="47" t="s">
        <v>353</v>
      </c>
      <c r="C706" s="49"/>
      <c r="D706" s="19" t="s">
        <v>17</v>
      </c>
      <c r="E706" s="23">
        <v>7</v>
      </c>
      <c r="F706" s="18">
        <f>E706* 0.916446662218225</f>
        <v>6.4151266355275753</v>
      </c>
      <c r="G706" s="18">
        <f>E706* 0.0292436682236212</f>
        <v>0.20470567756534838</v>
      </c>
      <c r="H706" s="18">
        <f>E706* 0.0543096695581537</f>
        <v>0.38016768690707592</v>
      </c>
    </row>
    <row r="707" spans="1:8" ht="15.75" hidden="1" customHeight="1" x14ac:dyDescent="0.25">
      <c r="A707" s="20" t="s">
        <v>51</v>
      </c>
      <c r="B707" s="47" t="s">
        <v>353</v>
      </c>
      <c r="C707" s="49"/>
      <c r="D707" s="19" t="s">
        <v>31</v>
      </c>
      <c r="E707" s="23">
        <v>2</v>
      </c>
      <c r="F707" s="18">
        <f>E707* 0.957442434210526</f>
        <v>1.914884868421052</v>
      </c>
      <c r="G707" s="18">
        <f>E707* 0.0158305921052632</f>
        <v>3.1661184210526397E-2</v>
      </c>
      <c r="H707" s="18">
        <f>E707* 0.0263157894736842</f>
        <v>5.2631578947368397E-2</v>
      </c>
    </row>
    <row r="708" spans="1:8" ht="15.75" hidden="1" customHeight="1" x14ac:dyDescent="0.25">
      <c r="A708" s="20" t="s">
        <v>51</v>
      </c>
      <c r="B708" s="47" t="s">
        <v>353</v>
      </c>
      <c r="C708" s="49"/>
      <c r="D708" s="19" t="s">
        <v>20</v>
      </c>
      <c r="E708" s="23">
        <v>1</v>
      </c>
      <c r="F708" s="18">
        <f>E708* 0.814615536880747</f>
        <v>0.81461553688074695</v>
      </c>
      <c r="G708" s="18">
        <f>E708* 0.0763167839340663</f>
        <v>7.6316783934066296E-2</v>
      </c>
      <c r="H708" s="18">
        <f>E708* 0.109013694193014</f>
        <v>0.109013694193014</v>
      </c>
    </row>
    <row r="709" spans="1:8" ht="15.75" hidden="1" customHeight="1" x14ac:dyDescent="0.25">
      <c r="A709" s="20" t="s">
        <v>51</v>
      </c>
      <c r="B709" s="47" t="s">
        <v>353</v>
      </c>
      <c r="C709" s="49"/>
      <c r="D709" s="19" t="s">
        <v>21</v>
      </c>
      <c r="E709" s="23">
        <v>27</v>
      </c>
      <c r="F709" s="18">
        <f>E709* 0.999722052365334</f>
        <v>26.992495413864017</v>
      </c>
      <c r="G709" s="20">
        <v>0</v>
      </c>
      <c r="H709" s="18">
        <f>E709* 0.000277947634665629</f>
        <v>7.5045861359719825E-3</v>
      </c>
    </row>
    <row r="710" spans="1:8" ht="15.75" hidden="1" customHeight="1" x14ac:dyDescent="0.25">
      <c r="A710" s="20" t="s">
        <v>51</v>
      </c>
      <c r="B710" s="47" t="s">
        <v>353</v>
      </c>
      <c r="C710" s="49"/>
      <c r="D710" s="19" t="s">
        <v>28</v>
      </c>
      <c r="E710" s="23">
        <v>6</v>
      </c>
      <c r="F710" s="18">
        <f>E710* 0.00115651503469545</f>
        <v>6.9390902081726998E-3</v>
      </c>
      <c r="G710" s="18">
        <f>E710* 0.998843484965305</f>
        <v>5.9930609097918293</v>
      </c>
      <c r="H710" s="20">
        <v>0</v>
      </c>
    </row>
    <row r="711" spans="1:8" ht="15.75" hidden="1" customHeight="1" x14ac:dyDescent="0.25">
      <c r="A711" s="20" t="s">
        <v>51</v>
      </c>
      <c r="B711" s="47" t="s">
        <v>353</v>
      </c>
      <c r="C711" s="49"/>
      <c r="D711" s="19" t="s">
        <v>12</v>
      </c>
      <c r="E711" s="23">
        <v>11</v>
      </c>
      <c r="F711" s="18">
        <f>E711* 0.924936238310357</f>
        <v>10.174298621413927</v>
      </c>
      <c r="G711" s="18">
        <f>E711* 0.0351064361799663</f>
        <v>0.38617079797962928</v>
      </c>
      <c r="H711" s="18">
        <f>E711* 0.039932320925503</f>
        <v>0.43925553018053298</v>
      </c>
    </row>
    <row r="712" spans="1:8" ht="15.75" hidden="1" customHeight="1" x14ac:dyDescent="0.25">
      <c r="A712" s="20" t="s">
        <v>51</v>
      </c>
      <c r="B712" s="20"/>
      <c r="C712" s="20"/>
      <c r="D712" s="46"/>
      <c r="E712" s="35"/>
    </row>
    <row r="713" spans="1:8" ht="15.75" hidden="1" customHeight="1" x14ac:dyDescent="0.25">
      <c r="A713" s="20" t="s">
        <v>51</v>
      </c>
      <c r="B713" s="47" t="s">
        <v>83</v>
      </c>
      <c r="C713" s="12" t="str">
        <f>B713&amp;"_"&amp;A713</f>
        <v>Jesús de Machaca_La Paz</v>
      </c>
      <c r="D713" s="20"/>
      <c r="E713" s="48">
        <v>48</v>
      </c>
      <c r="F713" s="14">
        <f t="shared" ref="F713:H713" si="67">SUM(F714:F723)</f>
        <v>37.482588001298055</v>
      </c>
      <c r="G713" s="14">
        <f t="shared" si="67"/>
        <v>8.4857408241293921</v>
      </c>
      <c r="H713" s="14">
        <f t="shared" si="67"/>
        <v>1.0302045719572648</v>
      </c>
    </row>
    <row r="714" spans="1:8" ht="15.75" hidden="1" customHeight="1" x14ac:dyDescent="0.25">
      <c r="A714" s="20" t="s">
        <v>51</v>
      </c>
      <c r="B714" s="47" t="s">
        <v>83</v>
      </c>
      <c r="C714" s="49"/>
      <c r="D714" s="19" t="s">
        <v>15</v>
      </c>
      <c r="E714" s="23">
        <v>2</v>
      </c>
      <c r="F714" s="18">
        <f>E714* 0.981163265034061</f>
        <v>1.9623265300681221</v>
      </c>
      <c r="G714" s="18">
        <f>E714* 0.0027595216829083</f>
        <v>5.5190433658165996E-3</v>
      </c>
      <c r="H714" s="18">
        <f>E714* 0.0160372202151627</f>
        <v>3.2074440430325403E-2</v>
      </c>
    </row>
    <row r="715" spans="1:8" ht="15.75" hidden="1" customHeight="1" x14ac:dyDescent="0.25">
      <c r="A715" s="20" t="s">
        <v>51</v>
      </c>
      <c r="B715" s="47" t="s">
        <v>83</v>
      </c>
      <c r="C715" s="49"/>
      <c r="D715" s="46"/>
      <c r="E715" s="23">
        <v>1</v>
      </c>
    </row>
    <row r="716" spans="1:8" ht="15.75" hidden="1" customHeight="1" x14ac:dyDescent="0.25">
      <c r="A716" s="20" t="s">
        <v>51</v>
      </c>
      <c r="B716" s="47" t="s">
        <v>83</v>
      </c>
      <c r="C716" s="49"/>
      <c r="D716" s="19" t="s">
        <v>11</v>
      </c>
      <c r="E716" s="23">
        <v>7</v>
      </c>
      <c r="F716" s="18">
        <f>E716* 0.178797409805735</f>
        <v>1.251581868640145</v>
      </c>
      <c r="G716" s="18">
        <f>E716* 0.819278445883441</f>
        <v>5.7349491211840871</v>
      </c>
      <c r="H716" s="18">
        <f>E716* 0.00181313598519889</f>
        <v>1.2691951896392229E-2</v>
      </c>
    </row>
    <row r="717" spans="1:8" ht="15.75" hidden="1" customHeight="1" x14ac:dyDescent="0.25">
      <c r="A717" s="20" t="s">
        <v>51</v>
      </c>
      <c r="B717" s="47" t="s">
        <v>83</v>
      </c>
      <c r="C717" s="49"/>
      <c r="D717" s="19" t="s">
        <v>17</v>
      </c>
      <c r="E717" s="23">
        <v>2</v>
      </c>
      <c r="F717" s="18">
        <f>E717* 0.916446662218225</f>
        <v>1.83289332443645</v>
      </c>
      <c r="G717" s="18">
        <f>E717* 0.0292436682236212</f>
        <v>5.8487336447242397E-2</v>
      </c>
      <c r="H717" s="18">
        <f>E717* 0.0543096695581537</f>
        <v>0.1086193391163074</v>
      </c>
    </row>
    <row r="718" spans="1:8" ht="15.75" hidden="1" customHeight="1" x14ac:dyDescent="0.25">
      <c r="A718" s="20" t="s">
        <v>51</v>
      </c>
      <c r="B718" s="47" t="s">
        <v>83</v>
      </c>
      <c r="C718" s="49"/>
      <c r="D718" s="19" t="s">
        <v>18</v>
      </c>
      <c r="E718" s="23">
        <v>2</v>
      </c>
      <c r="F718" s="18">
        <f>E718* 0.983388008654987</f>
        <v>1.966776017309974</v>
      </c>
      <c r="G718" s="18">
        <f>E718* 0.0133314720457877</f>
        <v>2.6662944091575401E-2</v>
      </c>
      <c r="H718" s="18">
        <f>E718* 0.003210721016263</f>
        <v>6.4214420325260004E-3</v>
      </c>
    </row>
    <row r="719" spans="1:8" ht="15.75" hidden="1" customHeight="1" x14ac:dyDescent="0.25">
      <c r="A719" s="20" t="s">
        <v>51</v>
      </c>
      <c r="B719" s="47" t="s">
        <v>83</v>
      </c>
      <c r="C719" s="49"/>
      <c r="D719" s="19" t="s">
        <v>20</v>
      </c>
      <c r="E719" s="23">
        <v>5</v>
      </c>
      <c r="F719" s="18">
        <f>E719* 0.814615536880747</f>
        <v>4.0730776844037351</v>
      </c>
      <c r="G719" s="18">
        <f>E719* 0.0763167839340663</f>
        <v>0.38158391967033145</v>
      </c>
      <c r="H719" s="18">
        <f>E719* 0.109013694193014</f>
        <v>0.54506847096507005</v>
      </c>
    </row>
    <row r="720" spans="1:8" ht="15.75" hidden="1" customHeight="1" x14ac:dyDescent="0.25">
      <c r="A720" s="20" t="s">
        <v>51</v>
      </c>
      <c r="B720" s="47" t="s">
        <v>83</v>
      </c>
      <c r="C720" s="49"/>
      <c r="D720" s="19" t="s">
        <v>21</v>
      </c>
      <c r="E720" s="23">
        <v>18</v>
      </c>
      <c r="F720" s="18">
        <f>E720* 0.999722052365334</f>
        <v>17.994996942576012</v>
      </c>
      <c r="G720" s="20">
        <v>0</v>
      </c>
      <c r="H720" s="18">
        <f>E720* 0.000277947634665629</f>
        <v>5.0030574239813214E-3</v>
      </c>
    </row>
    <row r="721" spans="1:8" ht="15.75" hidden="1" customHeight="1" x14ac:dyDescent="0.25">
      <c r="A721" s="20" t="s">
        <v>51</v>
      </c>
      <c r="B721" s="47" t="s">
        <v>83</v>
      </c>
      <c r="C721" s="49"/>
      <c r="D721" s="19" t="s">
        <v>36</v>
      </c>
      <c r="E721" s="23">
        <v>1</v>
      </c>
      <c r="F721" s="18">
        <f>E721* 0.999132697311362</f>
        <v>0.99913269731136201</v>
      </c>
      <c r="G721" s="20">
        <v>0</v>
      </c>
      <c r="H721" s="18">
        <f>E721* 0.000867302688638335</f>
        <v>8.6730268863833497E-4</v>
      </c>
    </row>
    <row r="722" spans="1:8" ht="15.75" hidden="1" customHeight="1" x14ac:dyDescent="0.25">
      <c r="A722" s="20" t="s">
        <v>51</v>
      </c>
      <c r="B722" s="47" t="s">
        <v>83</v>
      </c>
      <c r="C722" s="49"/>
      <c r="D722" s="19" t="s">
        <v>28</v>
      </c>
      <c r="E722" s="23">
        <v>2</v>
      </c>
      <c r="F722" s="18">
        <f>E722* 0.00115651503469545</f>
        <v>2.3130300693908999E-3</v>
      </c>
      <c r="G722" s="18">
        <f>E722* 0.998843484965305</f>
        <v>1.9976869699306099</v>
      </c>
      <c r="H722" s="20">
        <v>0</v>
      </c>
    </row>
    <row r="723" spans="1:8" ht="15.75" hidden="1" customHeight="1" x14ac:dyDescent="0.25">
      <c r="A723" s="20" t="s">
        <v>51</v>
      </c>
      <c r="B723" s="47" t="s">
        <v>83</v>
      </c>
      <c r="C723" s="49"/>
      <c r="D723" s="19" t="s">
        <v>12</v>
      </c>
      <c r="E723" s="23">
        <v>8</v>
      </c>
      <c r="F723" s="18">
        <f>E723* 0.924936238310357</f>
        <v>7.3994899064828559</v>
      </c>
      <c r="G723" s="18">
        <f>E723* 0.0351064361799663</f>
        <v>0.28085148943973037</v>
      </c>
      <c r="H723" s="18">
        <f>E723* 0.039932320925503</f>
        <v>0.31945856740402401</v>
      </c>
    </row>
    <row r="724" spans="1:8" ht="15.75" hidden="1" customHeight="1" x14ac:dyDescent="0.25">
      <c r="A724" s="20" t="s">
        <v>51</v>
      </c>
      <c r="B724" s="20"/>
      <c r="C724" s="20"/>
      <c r="D724" s="46"/>
      <c r="E724" s="35"/>
    </row>
    <row r="725" spans="1:8" ht="15.75" hidden="1" customHeight="1" x14ac:dyDescent="0.25">
      <c r="A725" s="20" t="s">
        <v>51</v>
      </c>
      <c r="B725" s="47" t="s">
        <v>354</v>
      </c>
      <c r="C725" s="12" t="str">
        <f>B725&amp;"_"&amp;A725</f>
        <v>La Asunta_La Paz</v>
      </c>
      <c r="D725" s="20"/>
      <c r="E725" s="48">
        <v>53</v>
      </c>
      <c r="F725" s="14">
        <f t="shared" ref="F725:H725" si="68">SUM(F726:F732)</f>
        <v>43.720151099418359</v>
      </c>
      <c r="G725" s="14">
        <f t="shared" si="68"/>
        <v>7.7285358301519285</v>
      </c>
      <c r="H725" s="14">
        <f t="shared" si="68"/>
        <v>1.5493678884081599</v>
      </c>
    </row>
    <row r="726" spans="1:8" ht="15.75" hidden="1" customHeight="1" x14ac:dyDescent="0.25">
      <c r="A726" s="20" t="s">
        <v>51</v>
      </c>
      <c r="B726" s="47" t="s">
        <v>354</v>
      </c>
      <c r="C726" s="49"/>
      <c r="D726" s="29" t="s">
        <v>355</v>
      </c>
      <c r="E726" s="23">
        <v>1</v>
      </c>
      <c r="F726" s="18">
        <f>E726* 0.142974979378609</f>
        <v>0.14297497937860901</v>
      </c>
      <c r="G726" s="18">
        <f>E726* 0.852350838603245</f>
        <v>0.85235083860324501</v>
      </c>
      <c r="H726" s="18">
        <f>E726* 0.00467418201814682</f>
        <v>4.6741820181468198E-3</v>
      </c>
    </row>
    <row r="727" spans="1:8" ht="15.75" hidden="1" customHeight="1" x14ac:dyDescent="0.25">
      <c r="A727" s="20" t="s">
        <v>51</v>
      </c>
      <c r="B727" s="47" t="s">
        <v>354</v>
      </c>
      <c r="C727" s="49"/>
      <c r="D727" s="19" t="s">
        <v>11</v>
      </c>
      <c r="E727" s="23">
        <v>7</v>
      </c>
      <c r="F727" s="18">
        <f>E727* 0.178797409805735</f>
        <v>1.251581868640145</v>
      </c>
      <c r="G727" s="18">
        <f>E727* 0.819278445883441</f>
        <v>5.7349491211840871</v>
      </c>
      <c r="H727" s="18">
        <f>E727* 0.00181313598519889</f>
        <v>1.2691951896392229E-2</v>
      </c>
    </row>
    <row r="728" spans="1:8" ht="15.75" hidden="1" customHeight="1" x14ac:dyDescent="0.25">
      <c r="A728" s="20" t="s">
        <v>51</v>
      </c>
      <c r="B728" s="47" t="s">
        <v>354</v>
      </c>
      <c r="C728" s="49"/>
      <c r="D728" s="19" t="s">
        <v>17</v>
      </c>
      <c r="E728" s="23">
        <v>2</v>
      </c>
      <c r="F728" s="18">
        <f>E728* 0.916446662218225</f>
        <v>1.83289332443645</v>
      </c>
      <c r="G728" s="18">
        <f>E728* 0.0292436682236212</f>
        <v>5.8487336447242397E-2</v>
      </c>
      <c r="H728" s="18">
        <f>E728* 0.0543096695581537</f>
        <v>0.1086193391163074</v>
      </c>
    </row>
    <row r="729" spans="1:8" ht="15.75" hidden="1" customHeight="1" x14ac:dyDescent="0.25">
      <c r="A729" s="20" t="s">
        <v>51</v>
      </c>
      <c r="B729" s="47" t="s">
        <v>354</v>
      </c>
      <c r="C729" s="49"/>
      <c r="D729" s="19" t="s">
        <v>31</v>
      </c>
      <c r="E729" s="23">
        <v>1</v>
      </c>
      <c r="F729" s="18">
        <f>E729* 0.957442434210526</f>
        <v>0.95744243421052599</v>
      </c>
      <c r="G729" s="18">
        <f>E729* 0.0158305921052632</f>
        <v>1.5830592105263198E-2</v>
      </c>
      <c r="H729" s="18">
        <f>E729* 0.0263157894736842</f>
        <v>2.6315789473684199E-2</v>
      </c>
    </row>
    <row r="730" spans="1:8" ht="15.75" hidden="1" customHeight="1" x14ac:dyDescent="0.25">
      <c r="A730" s="20" t="s">
        <v>51</v>
      </c>
      <c r="B730" s="47" t="s">
        <v>354</v>
      </c>
      <c r="C730" s="49"/>
      <c r="D730" s="19" t="s">
        <v>20</v>
      </c>
      <c r="E730" s="23">
        <v>8</v>
      </c>
      <c r="F730" s="18">
        <f>E730* 0.814615536880747</f>
        <v>6.5169242950459756</v>
      </c>
      <c r="G730" s="18">
        <f>E730* 0.0763167839340663</f>
        <v>0.61053427147253037</v>
      </c>
      <c r="H730" s="18">
        <f>E730* 0.109013694193014</f>
        <v>0.87210955354411202</v>
      </c>
    </row>
    <row r="731" spans="1:8" ht="15.75" hidden="1" customHeight="1" x14ac:dyDescent="0.25">
      <c r="A731" s="20" t="s">
        <v>51</v>
      </c>
      <c r="B731" s="47" t="s">
        <v>354</v>
      </c>
      <c r="C731" s="49"/>
      <c r="D731" s="19" t="s">
        <v>21</v>
      </c>
      <c r="E731" s="23">
        <v>21</v>
      </c>
      <c r="F731" s="18">
        <f>E731* 0.999722052365334</f>
        <v>20.994163099672011</v>
      </c>
      <c r="G731" s="20">
        <v>0</v>
      </c>
      <c r="H731" s="18">
        <f>E731* 0.000277947634665629</f>
        <v>5.8369003279782087E-3</v>
      </c>
    </row>
    <row r="732" spans="1:8" ht="15.75" hidden="1" customHeight="1" x14ac:dyDescent="0.25">
      <c r="A732" s="20" t="s">
        <v>51</v>
      </c>
      <c r="B732" s="47" t="s">
        <v>354</v>
      </c>
      <c r="C732" s="49"/>
      <c r="D732" s="19" t="s">
        <v>12</v>
      </c>
      <c r="E732" s="23">
        <v>13</v>
      </c>
      <c r="F732" s="18">
        <f>E732* 0.924936238310357</f>
        <v>12.024171098034641</v>
      </c>
      <c r="G732" s="18">
        <f>E732* 0.0351064361799663</f>
        <v>0.45638367033956184</v>
      </c>
      <c r="H732" s="18">
        <f>E732* 0.039932320925503</f>
        <v>0.51912017203153904</v>
      </c>
    </row>
    <row r="733" spans="1:8" ht="15.75" hidden="1" customHeight="1" x14ac:dyDescent="0.25">
      <c r="A733" s="20" t="s">
        <v>51</v>
      </c>
      <c r="B733" s="20"/>
      <c r="C733" s="20"/>
      <c r="D733" s="46"/>
      <c r="E733" s="35"/>
    </row>
    <row r="734" spans="1:8" ht="15.75" hidden="1" customHeight="1" x14ac:dyDescent="0.25">
      <c r="A734" s="20" t="s">
        <v>51</v>
      </c>
      <c r="B734" s="47" t="s">
        <v>51</v>
      </c>
      <c r="C734" s="12" t="str">
        <f>B734&amp;"_"&amp;A734</f>
        <v>La Paz_La Paz</v>
      </c>
      <c r="D734" s="20"/>
      <c r="E734" s="48">
        <v>303571</v>
      </c>
      <c r="F734" s="14">
        <f t="shared" ref="F734:H734" si="69">SUM(F735:F750)</f>
        <v>273335.56784917053</v>
      </c>
      <c r="G734" s="14">
        <f t="shared" si="69"/>
        <v>20214.105967831943</v>
      </c>
      <c r="H734" s="14">
        <f t="shared" si="69"/>
        <v>10010.460365293349</v>
      </c>
    </row>
    <row r="735" spans="1:8" ht="15.75" hidden="1" customHeight="1" x14ac:dyDescent="0.25">
      <c r="A735" s="20" t="s">
        <v>51</v>
      </c>
      <c r="B735" s="47" t="s">
        <v>51</v>
      </c>
      <c r="C735" s="49"/>
      <c r="D735" s="29" t="s">
        <v>356</v>
      </c>
      <c r="E735" s="23">
        <v>321</v>
      </c>
      <c r="F735" s="20">
        <v>0</v>
      </c>
      <c r="G735" s="24">
        <f>E735</f>
        <v>321</v>
      </c>
      <c r="H735" s="20">
        <v>0</v>
      </c>
    </row>
    <row r="736" spans="1:8" ht="15.75" hidden="1" customHeight="1" x14ac:dyDescent="0.25">
      <c r="A736" s="20" t="s">
        <v>51</v>
      </c>
      <c r="B736" s="47" t="s">
        <v>51</v>
      </c>
      <c r="C736" s="49"/>
      <c r="D736" s="19" t="s">
        <v>15</v>
      </c>
      <c r="E736" s="23">
        <v>72069</v>
      </c>
      <c r="F736" s="18">
        <f>E736* 0.981163265034061</f>
        <v>70711.455347739742</v>
      </c>
      <c r="G736" s="18">
        <f>E736* 0.0027595216829083</f>
        <v>198.87596816551826</v>
      </c>
      <c r="H736" s="18">
        <f>E736* 0.0160372202151627</f>
        <v>1155.7864236865607</v>
      </c>
    </row>
    <row r="737" spans="1:8" ht="15.75" hidden="1" customHeight="1" x14ac:dyDescent="0.25">
      <c r="A737" s="20" t="s">
        <v>51</v>
      </c>
      <c r="B737" s="47" t="s">
        <v>51</v>
      </c>
      <c r="C737" s="49"/>
      <c r="D737" s="29" t="s">
        <v>357</v>
      </c>
      <c r="E737" s="23">
        <v>1459</v>
      </c>
      <c r="F737" s="18">
        <f>E737* 0.142974979378609</f>
        <v>208.60049491339055</v>
      </c>
      <c r="G737" s="18">
        <f>E737* 0.852350838603245</f>
        <v>1243.5798735221344</v>
      </c>
      <c r="H737" s="18">
        <f>E737* 0.00467418201814682</f>
        <v>6.81963156447621</v>
      </c>
    </row>
    <row r="738" spans="1:8" ht="15.75" hidden="1" customHeight="1" x14ac:dyDescent="0.25">
      <c r="A738" s="20" t="s">
        <v>51</v>
      </c>
      <c r="B738" s="47" t="s">
        <v>51</v>
      </c>
      <c r="C738" s="49"/>
      <c r="D738" s="19" t="s">
        <v>11</v>
      </c>
      <c r="E738" s="23">
        <v>12361</v>
      </c>
      <c r="F738" s="18">
        <f>E738* 0.178797409805735</f>
        <v>2210.1147826086903</v>
      </c>
      <c r="G738" s="18">
        <f>E738* 0.819278445883441</f>
        <v>10127.100869565214</v>
      </c>
      <c r="H738" s="18">
        <f>E738* 0.00181313598519889</f>
        <v>22.412173913043478</v>
      </c>
    </row>
    <row r="739" spans="1:8" ht="15.75" hidden="1" customHeight="1" x14ac:dyDescent="0.25">
      <c r="A739" s="20" t="s">
        <v>51</v>
      </c>
      <c r="B739" s="47" t="s">
        <v>51</v>
      </c>
      <c r="C739" s="49"/>
      <c r="D739" s="19" t="s">
        <v>17</v>
      </c>
      <c r="E739" s="23">
        <v>28816</v>
      </c>
      <c r="F739" s="18">
        <f>E739* 0.916446662218225</f>
        <v>26408.327018480373</v>
      </c>
      <c r="G739" s="18">
        <f>E739* 0.0292436682236212</f>
        <v>842.68554353186846</v>
      </c>
      <c r="H739" s="18">
        <f>E739* 0.0543096695581537</f>
        <v>1564.9874379877572</v>
      </c>
    </row>
    <row r="740" spans="1:8" ht="15.75" hidden="1" customHeight="1" x14ac:dyDescent="0.25">
      <c r="A740" s="20" t="s">
        <v>51</v>
      </c>
      <c r="B740" s="47" t="s">
        <v>51</v>
      </c>
      <c r="C740" s="49"/>
      <c r="D740" s="19" t="s">
        <v>31</v>
      </c>
      <c r="E740" s="23">
        <v>4328</v>
      </c>
      <c r="F740" s="18">
        <f>E740* 0.957442434210526</f>
        <v>4143.8108552631566</v>
      </c>
      <c r="G740" s="18">
        <f>E740* 0.0158305921052632</f>
        <v>68.51480263157913</v>
      </c>
      <c r="H740" s="18">
        <f>E740* 0.0263157894736842</f>
        <v>113.89473684210522</v>
      </c>
    </row>
    <row r="741" spans="1:8" ht="15.75" hidden="1" customHeight="1" x14ac:dyDescent="0.25">
      <c r="A741" s="20" t="s">
        <v>51</v>
      </c>
      <c r="B741" s="47" t="s">
        <v>51</v>
      </c>
      <c r="C741" s="49"/>
      <c r="D741" s="19" t="s">
        <v>18</v>
      </c>
      <c r="E741" s="23">
        <v>11910</v>
      </c>
      <c r="F741" s="18">
        <f>E741* 0.983388008654987</f>
        <v>11712.151183080896</v>
      </c>
      <c r="G741" s="18">
        <f>E741* 0.0133314720457877</f>
        <v>158.77783206533152</v>
      </c>
      <c r="H741" s="18">
        <f>E741* 0.003210721016263</f>
        <v>38.239687303692335</v>
      </c>
    </row>
    <row r="742" spans="1:8" ht="15.75" hidden="1" customHeight="1" x14ac:dyDescent="0.25">
      <c r="A742" s="20" t="s">
        <v>51</v>
      </c>
      <c r="B742" s="47" t="s">
        <v>51</v>
      </c>
      <c r="C742" s="49"/>
      <c r="D742" s="19" t="s">
        <v>358</v>
      </c>
      <c r="E742" s="23">
        <v>7</v>
      </c>
      <c r="F742" s="20">
        <v>0</v>
      </c>
      <c r="G742" s="24">
        <f>E742</f>
        <v>7</v>
      </c>
      <c r="H742" s="20">
        <v>0</v>
      </c>
    </row>
    <row r="743" spans="1:8" ht="15.75" hidden="1" customHeight="1" x14ac:dyDescent="0.25">
      <c r="A743" s="20" t="s">
        <v>51</v>
      </c>
      <c r="B743" s="47" t="s">
        <v>51</v>
      </c>
      <c r="C743" s="49"/>
      <c r="D743" s="19" t="s">
        <v>19</v>
      </c>
      <c r="E743" s="23">
        <v>1394</v>
      </c>
      <c r="F743" s="18">
        <f>E743* 0.511826182618262</f>
        <v>713.48569856985716</v>
      </c>
      <c r="G743" s="18">
        <f>E743* 0.476622662266227</f>
        <v>664.41199119912051</v>
      </c>
      <c r="H743" s="18">
        <f>E743* 0.0115511551155116</f>
        <v>16.102310231023171</v>
      </c>
    </row>
    <row r="744" spans="1:8" ht="15.75" hidden="1" customHeight="1" x14ac:dyDescent="0.25">
      <c r="A744" s="20" t="s">
        <v>51</v>
      </c>
      <c r="B744" s="47" t="s">
        <v>51</v>
      </c>
      <c r="C744" s="49"/>
      <c r="D744" s="19" t="s">
        <v>20</v>
      </c>
      <c r="E744" s="23">
        <v>30269</v>
      </c>
      <c r="F744" s="18">
        <f>E744* 0.814615536880747</f>
        <v>24657.597685843328</v>
      </c>
      <c r="G744" s="18">
        <f>E744* 0.0763167839340663</f>
        <v>2310.0327329002525</v>
      </c>
      <c r="H744" s="18">
        <f>E744* 0.109013694193014</f>
        <v>3299.735509528341</v>
      </c>
    </row>
    <row r="745" spans="1:8" ht="15.75" hidden="1" customHeight="1" x14ac:dyDescent="0.25">
      <c r="A745" s="20" t="s">
        <v>51</v>
      </c>
      <c r="B745" s="47" t="s">
        <v>51</v>
      </c>
      <c r="C745" s="49"/>
      <c r="D745" s="19" t="s">
        <v>21</v>
      </c>
      <c r="E745" s="23">
        <v>43678</v>
      </c>
      <c r="F745" s="18">
        <f>E745* 0.999722052365334</f>
        <v>43665.859803213054</v>
      </c>
      <c r="G745" s="20">
        <v>0</v>
      </c>
      <c r="H745" s="18">
        <f>E745* 0.000277947634665629</f>
        <v>12.140196786925342</v>
      </c>
    </row>
    <row r="746" spans="1:8" ht="15.75" hidden="1" customHeight="1" x14ac:dyDescent="0.25">
      <c r="A746" s="20" t="s">
        <v>51</v>
      </c>
      <c r="B746" s="47" t="s">
        <v>51</v>
      </c>
      <c r="C746" s="49"/>
      <c r="D746" s="19" t="s">
        <v>36</v>
      </c>
      <c r="E746" s="23">
        <v>1369</v>
      </c>
      <c r="F746" s="18">
        <f>E746* 0.999132697311362</f>
        <v>1367.8126626192545</v>
      </c>
      <c r="G746" s="20">
        <v>0</v>
      </c>
      <c r="H746" s="18">
        <f>E746* 0.000867302688638335</f>
        <v>1.1873373807458805</v>
      </c>
    </row>
    <row r="747" spans="1:8" ht="15.75" hidden="1" customHeight="1" x14ac:dyDescent="0.25">
      <c r="A747" s="20" t="s">
        <v>51</v>
      </c>
      <c r="B747" s="47" t="s">
        <v>51</v>
      </c>
      <c r="C747" s="49"/>
      <c r="D747" s="19" t="s">
        <v>37</v>
      </c>
      <c r="E747" s="23">
        <v>4</v>
      </c>
      <c r="F747" s="18">
        <f>E747* 0.0555555555555556</f>
        <v>0.2222222222222224</v>
      </c>
      <c r="G747" s="18">
        <f>E747* 0.944444444444444</f>
        <v>3.7777777777777759</v>
      </c>
      <c r="H747" s="20">
        <v>0</v>
      </c>
    </row>
    <row r="748" spans="1:8" ht="15.75" hidden="1" customHeight="1" x14ac:dyDescent="0.25">
      <c r="A748" s="20" t="s">
        <v>51</v>
      </c>
      <c r="B748" s="47" t="s">
        <v>51</v>
      </c>
      <c r="C748" s="49"/>
      <c r="D748" s="19" t="s">
        <v>28</v>
      </c>
      <c r="E748" s="23">
        <v>942</v>
      </c>
      <c r="F748" s="18">
        <f>E748* 0.00115651503469545</f>
        <v>1.0894371626831139</v>
      </c>
      <c r="G748" s="18">
        <f>E748* 0.998843484965305</f>
        <v>940.91056283731723</v>
      </c>
      <c r="H748" s="20">
        <v>0</v>
      </c>
    </row>
    <row r="749" spans="1:8" ht="15.75" hidden="1" customHeight="1" x14ac:dyDescent="0.25">
      <c r="A749" s="20" t="s">
        <v>51</v>
      </c>
      <c r="B749" s="47" t="s">
        <v>51</v>
      </c>
      <c r="C749" s="49"/>
      <c r="D749" s="19" t="s">
        <v>84</v>
      </c>
      <c r="E749" s="23">
        <v>5</v>
      </c>
      <c r="F749" s="20">
        <v>0</v>
      </c>
      <c r="G749" s="24">
        <f>E749</f>
        <v>5</v>
      </c>
      <c r="H749" s="20">
        <v>0</v>
      </c>
    </row>
    <row r="750" spans="1:8" ht="15.75" hidden="1" customHeight="1" x14ac:dyDescent="0.25">
      <c r="A750" s="20" t="s">
        <v>51</v>
      </c>
      <c r="B750" s="47" t="s">
        <v>51</v>
      </c>
      <c r="C750" s="49"/>
      <c r="D750" s="19" t="s">
        <v>12</v>
      </c>
      <c r="E750" s="23">
        <v>94639</v>
      </c>
      <c r="F750" s="18">
        <f>E750* 0.924936238310357</f>
        <v>87535.040657453879</v>
      </c>
      <c r="G750" s="18">
        <f>E750* 0.0351064361799663</f>
        <v>3322.4380136358304</v>
      </c>
      <c r="H750" s="18">
        <f>E750* 0.039932320925503</f>
        <v>3779.1549200686786</v>
      </c>
    </row>
    <row r="751" spans="1:8" ht="15.75" hidden="1" customHeight="1" x14ac:dyDescent="0.25">
      <c r="A751" s="20" t="s">
        <v>51</v>
      </c>
      <c r="B751" s="20"/>
      <c r="C751" s="20"/>
      <c r="D751" s="46"/>
      <c r="E751" s="35"/>
    </row>
    <row r="752" spans="1:8" ht="15.75" hidden="1" customHeight="1" x14ac:dyDescent="0.25">
      <c r="A752" s="20" t="s">
        <v>51</v>
      </c>
      <c r="B752" s="47" t="s">
        <v>85</v>
      </c>
      <c r="C752" s="12" t="str">
        <f>B752&amp;"_"&amp;A752</f>
        <v>Laja_La Paz</v>
      </c>
      <c r="D752" s="20"/>
      <c r="E752" s="48">
        <v>6985</v>
      </c>
      <c r="F752" s="14">
        <f t="shared" ref="F752:H752" si="70">SUM(F753:F766)</f>
        <v>5560.3204074770729</v>
      </c>
      <c r="G752" s="14">
        <f t="shared" si="70"/>
        <v>1139.6556426457792</v>
      </c>
      <c r="H752" s="14">
        <f t="shared" si="70"/>
        <v>284.75974629918261</v>
      </c>
    </row>
    <row r="753" spans="1:8" ht="15.75" hidden="1" customHeight="1" x14ac:dyDescent="0.25">
      <c r="A753" s="20" t="s">
        <v>51</v>
      </c>
      <c r="B753" s="47" t="s">
        <v>85</v>
      </c>
      <c r="C753" s="49"/>
      <c r="D753" s="29" t="s">
        <v>359</v>
      </c>
      <c r="E753" s="23">
        <v>0</v>
      </c>
      <c r="F753" s="20">
        <v>0</v>
      </c>
      <c r="G753" s="24">
        <f>E753</f>
        <v>0</v>
      </c>
      <c r="H753" s="20">
        <v>0</v>
      </c>
    </row>
    <row r="754" spans="1:8" ht="15.75" hidden="1" customHeight="1" x14ac:dyDescent="0.25">
      <c r="A754" s="20" t="s">
        <v>51</v>
      </c>
      <c r="B754" s="47" t="s">
        <v>85</v>
      </c>
      <c r="C754" s="49"/>
      <c r="D754" s="19" t="s">
        <v>15</v>
      </c>
      <c r="E754" s="51">
        <v>264</v>
      </c>
      <c r="F754" s="18">
        <f>E754* 0.981163265034061</f>
        <v>259.0271019689921</v>
      </c>
      <c r="G754" s="18">
        <f>E754* 0.0027595216829083</f>
        <v>0.72851372428779115</v>
      </c>
      <c r="H754" s="18">
        <f>E754* 0.0160372202151627</f>
        <v>4.2338261368029535</v>
      </c>
    </row>
    <row r="755" spans="1:8" ht="15.75" hidden="1" customHeight="1" x14ac:dyDescent="0.25">
      <c r="A755" s="20" t="s">
        <v>51</v>
      </c>
      <c r="B755" s="47" t="s">
        <v>85</v>
      </c>
      <c r="C755" s="49"/>
      <c r="D755" s="29" t="s">
        <v>360</v>
      </c>
      <c r="E755" s="51">
        <v>7</v>
      </c>
      <c r="F755" s="18">
        <f>E755* 0.142974979378609</f>
        <v>1.000824855650263</v>
      </c>
      <c r="G755" s="18">
        <f>E755* 0.852350838603245</f>
        <v>5.9664558702227151</v>
      </c>
      <c r="H755" s="18">
        <f>E755* 0.00467418201814682</f>
        <v>3.2719274127027742E-2</v>
      </c>
    </row>
    <row r="756" spans="1:8" ht="15.75" hidden="1" customHeight="1" x14ac:dyDescent="0.25">
      <c r="A756" s="20" t="s">
        <v>51</v>
      </c>
      <c r="B756" s="47" t="s">
        <v>85</v>
      </c>
      <c r="C756" s="49"/>
      <c r="D756" s="19" t="s">
        <v>11</v>
      </c>
      <c r="E756" s="51">
        <v>671</v>
      </c>
      <c r="F756" s="18">
        <f>E756* 0.178797409805735</f>
        <v>119.97306197964818</v>
      </c>
      <c r="G756" s="18">
        <f>E756* 0.819278445883441</f>
        <v>549.73583718778889</v>
      </c>
      <c r="H756" s="18">
        <f>E756* 0.00181313598519889</f>
        <v>1.216614246068455</v>
      </c>
    </row>
    <row r="757" spans="1:8" ht="15.75" hidden="1" customHeight="1" x14ac:dyDescent="0.25">
      <c r="A757" s="20" t="s">
        <v>51</v>
      </c>
      <c r="B757" s="47" t="s">
        <v>85</v>
      </c>
      <c r="C757" s="49"/>
      <c r="D757" s="19" t="s">
        <v>17</v>
      </c>
      <c r="E757" s="51">
        <v>622</v>
      </c>
      <c r="F757" s="18">
        <f>E757* 0.916446662218225</f>
        <v>570.02982389973602</v>
      </c>
      <c r="G757" s="18">
        <f>E757* 0.0292436682236212</f>
        <v>18.189561635092385</v>
      </c>
      <c r="H757" s="18">
        <f>E757* 0.0543096695581537</f>
        <v>33.780614465171602</v>
      </c>
    </row>
    <row r="758" spans="1:8" ht="15.75" hidden="1" customHeight="1" x14ac:dyDescent="0.25">
      <c r="A758" s="20" t="s">
        <v>51</v>
      </c>
      <c r="B758" s="47" t="s">
        <v>85</v>
      </c>
      <c r="C758" s="49"/>
      <c r="D758" s="19" t="s">
        <v>31</v>
      </c>
      <c r="E758" s="51">
        <v>119</v>
      </c>
      <c r="F758" s="18">
        <f>E758* 0.957442434210526</f>
        <v>113.93564967105259</v>
      </c>
      <c r="G758" s="18">
        <f>E758* 0.0158305921052632</f>
        <v>1.8838404605263206</v>
      </c>
      <c r="H758" s="18">
        <f>E758* 0.0263157894736842</f>
        <v>3.1315789473684195</v>
      </c>
    </row>
    <row r="759" spans="1:8" ht="15.75" hidden="1" customHeight="1" x14ac:dyDescent="0.25">
      <c r="A759" s="20" t="s">
        <v>51</v>
      </c>
      <c r="B759" s="47" t="s">
        <v>85</v>
      </c>
      <c r="C759" s="49"/>
      <c r="D759" s="19" t="s">
        <v>18</v>
      </c>
      <c r="E759" s="51">
        <v>42</v>
      </c>
      <c r="F759" s="18">
        <f>E759* 0.983388008654987</f>
        <v>41.302296363509456</v>
      </c>
      <c r="G759" s="18">
        <f>E759* 0.0133314720457877</f>
        <v>0.55992182592308337</v>
      </c>
      <c r="H759" s="18">
        <f>E759* 0.003210721016263</f>
        <v>0.134850282683046</v>
      </c>
    </row>
    <row r="760" spans="1:8" ht="15.75" hidden="1" customHeight="1" x14ac:dyDescent="0.25">
      <c r="A760" s="20" t="s">
        <v>51</v>
      </c>
      <c r="B760" s="47" t="s">
        <v>85</v>
      </c>
      <c r="C760" s="49"/>
      <c r="D760" s="19" t="s">
        <v>19</v>
      </c>
      <c r="E760" s="51">
        <v>3</v>
      </c>
      <c r="F760" s="18">
        <f>E760* 0.511826182618262</f>
        <v>1.5354785478547859</v>
      </c>
      <c r="G760" s="18">
        <f>E760* 0.476622662266227</f>
        <v>1.429867986798681</v>
      </c>
      <c r="H760" s="18">
        <f>E760* 0.0115511551155116</f>
        <v>3.4653465346534802E-2</v>
      </c>
    </row>
    <row r="761" spans="1:8" ht="15.75" hidden="1" customHeight="1" x14ac:dyDescent="0.25">
      <c r="A761" s="20" t="s">
        <v>51</v>
      </c>
      <c r="B761" s="47" t="s">
        <v>85</v>
      </c>
      <c r="C761" s="49"/>
      <c r="D761" s="19" t="s">
        <v>20</v>
      </c>
      <c r="E761" s="51">
        <v>1685</v>
      </c>
      <c r="F761" s="18">
        <f>E761* 0.814615536880747</f>
        <v>1372.6271796440585</v>
      </c>
      <c r="G761" s="18">
        <f>E761* 0.0763167839340663</f>
        <v>128.59378092890171</v>
      </c>
      <c r="H761" s="18">
        <f>E761* 0.109013694193014</f>
        <v>183.68807471522859</v>
      </c>
    </row>
    <row r="762" spans="1:8" ht="15.75" hidden="1" customHeight="1" x14ac:dyDescent="0.25">
      <c r="A762" s="20" t="s">
        <v>51</v>
      </c>
      <c r="B762" s="47" t="s">
        <v>85</v>
      </c>
      <c r="C762" s="49"/>
      <c r="D762" s="19" t="s">
        <v>21</v>
      </c>
      <c r="E762" s="51">
        <v>1733</v>
      </c>
      <c r="F762" s="18">
        <f>E762* 0.999722052365334</f>
        <v>1732.5183167491236</v>
      </c>
      <c r="G762" s="20">
        <v>0</v>
      </c>
      <c r="H762" s="18">
        <f>E762* 0.000277947634665629</f>
        <v>0.48168325087553504</v>
      </c>
    </row>
    <row r="763" spans="1:8" ht="15.75" hidden="1" customHeight="1" x14ac:dyDescent="0.25">
      <c r="A763" s="20" t="s">
        <v>51</v>
      </c>
      <c r="B763" s="47" t="s">
        <v>85</v>
      </c>
      <c r="C763" s="49"/>
      <c r="D763" s="19" t="s">
        <v>36</v>
      </c>
      <c r="E763" s="51">
        <v>4</v>
      </c>
      <c r="F763" s="18">
        <f>E763* 0.999132697311362</f>
        <v>3.996530789245448</v>
      </c>
      <c r="G763" s="20">
        <v>0</v>
      </c>
      <c r="H763" s="18">
        <f>E763* 0.000867302688638335</f>
        <v>3.4692107545533399E-3</v>
      </c>
    </row>
    <row r="764" spans="1:8" ht="15.75" hidden="1" customHeight="1" x14ac:dyDescent="0.25">
      <c r="A764" s="20" t="s">
        <v>51</v>
      </c>
      <c r="B764" s="47" t="s">
        <v>85</v>
      </c>
      <c r="C764" s="49"/>
      <c r="D764" s="19" t="s">
        <v>28</v>
      </c>
      <c r="E764" s="51">
        <v>382</v>
      </c>
      <c r="F764" s="18">
        <f>E764* 0.00115651503469545</f>
        <v>0.44178874325366191</v>
      </c>
      <c r="G764" s="18">
        <f>E764* 0.998843484965305</f>
        <v>381.55821125674652</v>
      </c>
      <c r="H764" s="20">
        <v>0</v>
      </c>
    </row>
    <row r="765" spans="1:8" ht="15.75" hidden="1" customHeight="1" x14ac:dyDescent="0.25">
      <c r="A765" s="20" t="s">
        <v>51</v>
      </c>
      <c r="B765" s="47" t="s">
        <v>85</v>
      </c>
      <c r="C765" s="49"/>
      <c r="D765" s="19" t="s">
        <v>84</v>
      </c>
      <c r="E765" s="51">
        <v>0</v>
      </c>
      <c r="F765" s="20">
        <v>0</v>
      </c>
      <c r="G765" s="20">
        <f>E765</f>
        <v>0</v>
      </c>
      <c r="H765" s="20">
        <v>0</v>
      </c>
    </row>
    <row r="766" spans="1:8" ht="15.75" hidden="1" customHeight="1" x14ac:dyDescent="0.25">
      <c r="A766" s="20" t="s">
        <v>51</v>
      </c>
      <c r="B766" s="47" t="s">
        <v>85</v>
      </c>
      <c r="C766" s="49"/>
      <c r="D766" s="19" t="s">
        <v>12</v>
      </c>
      <c r="E766" s="23">
        <v>1453</v>
      </c>
      <c r="F766" s="18">
        <f>E766* 0.924936238310357</f>
        <v>1343.9323542649488</v>
      </c>
      <c r="G766" s="18">
        <f>E766* 0.0351064361799663</f>
        <v>51.009651769491029</v>
      </c>
      <c r="H766" s="18">
        <f>E766* 0.039932320925503</f>
        <v>58.021662304755857</v>
      </c>
    </row>
    <row r="767" spans="1:8" ht="15.75" hidden="1" customHeight="1" x14ac:dyDescent="0.25">
      <c r="A767" s="20" t="s">
        <v>51</v>
      </c>
      <c r="B767" s="20"/>
      <c r="C767" s="20"/>
      <c r="D767" s="46"/>
      <c r="E767" s="35"/>
    </row>
    <row r="768" spans="1:8" ht="15.75" hidden="1" customHeight="1" x14ac:dyDescent="0.25">
      <c r="A768" s="20" t="s">
        <v>51</v>
      </c>
      <c r="B768" s="47" t="s">
        <v>86</v>
      </c>
      <c r="C768" s="12" t="str">
        <f>B768&amp;"_"&amp;A768</f>
        <v>Luribay_La Paz</v>
      </c>
      <c r="D768" s="20"/>
      <c r="E768" s="48">
        <v>31</v>
      </c>
      <c r="F768" s="14">
        <f t="shared" ref="F768:H768" si="71">SUM(F769:F778)</f>
        <v>21.38513717609278</v>
      </c>
      <c r="G768" s="14">
        <f t="shared" si="71"/>
        <v>9.115851770405115</v>
      </c>
      <c r="H768" s="14">
        <f t="shared" si="71"/>
        <v>0.49783060397710815</v>
      </c>
    </row>
    <row r="769" spans="1:8" ht="15.75" hidden="1" customHeight="1" x14ac:dyDescent="0.25">
      <c r="A769" s="20" t="s">
        <v>51</v>
      </c>
      <c r="B769" s="47" t="s">
        <v>86</v>
      </c>
      <c r="C769" s="49"/>
      <c r="D769" s="29" t="s">
        <v>361</v>
      </c>
      <c r="E769" s="23">
        <v>0</v>
      </c>
      <c r="F769" s="20">
        <v>0</v>
      </c>
      <c r="G769" s="24">
        <f>E769</f>
        <v>0</v>
      </c>
      <c r="H769" s="20">
        <v>0</v>
      </c>
    </row>
    <row r="770" spans="1:8" ht="15.75" hidden="1" customHeight="1" x14ac:dyDescent="0.25">
      <c r="A770" s="20" t="s">
        <v>51</v>
      </c>
      <c r="B770" s="47" t="s">
        <v>86</v>
      </c>
      <c r="C770" s="49"/>
      <c r="D770" s="19" t="s">
        <v>15</v>
      </c>
      <c r="E770" s="23">
        <v>1</v>
      </c>
      <c r="F770" s="18">
        <f>E770* 0.981163265034061</f>
        <v>0.98116326503406104</v>
      </c>
      <c r="G770" s="18">
        <f>E770* 0.0027595216829083</f>
        <v>2.7595216829082998E-3</v>
      </c>
      <c r="H770" s="18">
        <f>E770* 0.0160372202151627</f>
        <v>1.6037220215162701E-2</v>
      </c>
    </row>
    <row r="771" spans="1:8" ht="15.75" hidden="1" customHeight="1" x14ac:dyDescent="0.25">
      <c r="A771" s="20" t="s">
        <v>51</v>
      </c>
      <c r="B771" s="47" t="s">
        <v>86</v>
      </c>
      <c r="C771" s="49"/>
      <c r="D771" s="29" t="s">
        <v>362</v>
      </c>
      <c r="E771" s="23">
        <v>3</v>
      </c>
      <c r="F771" s="18">
        <f>E771* 0.142974979378609</f>
        <v>0.42892493813582699</v>
      </c>
      <c r="G771" s="18">
        <f>E771* 0.852350838603245</f>
        <v>2.557052515809735</v>
      </c>
      <c r="H771" s="18">
        <f>E771* 0.00467418201814682</f>
        <v>1.4022546054440459E-2</v>
      </c>
    </row>
    <row r="772" spans="1:8" ht="15.75" hidden="1" customHeight="1" x14ac:dyDescent="0.25">
      <c r="A772" s="20" t="s">
        <v>51</v>
      </c>
      <c r="B772" s="47" t="s">
        <v>86</v>
      </c>
      <c r="C772" s="49"/>
      <c r="D772" s="19" t="s">
        <v>11</v>
      </c>
      <c r="E772" s="23">
        <v>7</v>
      </c>
      <c r="F772" s="18">
        <f>E772* 0.178797409805735</f>
        <v>1.251581868640145</v>
      </c>
      <c r="G772" s="18">
        <f>E772* 0.819278445883441</f>
        <v>5.7349491211840871</v>
      </c>
      <c r="H772" s="18">
        <f>E772* 0.00181313598519889</f>
        <v>1.2691951896392229E-2</v>
      </c>
    </row>
    <row r="773" spans="1:8" ht="15.75" hidden="1" customHeight="1" x14ac:dyDescent="0.25">
      <c r="A773" s="20" t="s">
        <v>51</v>
      </c>
      <c r="B773" s="47" t="s">
        <v>86</v>
      </c>
      <c r="C773" s="49"/>
      <c r="D773" s="19" t="s">
        <v>17</v>
      </c>
      <c r="E773" s="23">
        <v>3</v>
      </c>
      <c r="F773" s="18">
        <f>E773* 0.916446662218225</f>
        <v>2.7493399866546753</v>
      </c>
      <c r="G773" s="18">
        <f>E773* 0.0292436682236212</f>
        <v>8.7731004670863588E-2</v>
      </c>
      <c r="H773" s="18">
        <f>E773* 0.0543096695581537</f>
        <v>0.16292900867446111</v>
      </c>
    </row>
    <row r="774" spans="1:8" ht="15.75" hidden="1" customHeight="1" x14ac:dyDescent="0.25">
      <c r="A774" s="20" t="s">
        <v>51</v>
      </c>
      <c r="B774" s="47" t="s">
        <v>86</v>
      </c>
      <c r="C774" s="49"/>
      <c r="D774" s="19" t="s">
        <v>18</v>
      </c>
      <c r="E774" s="23">
        <v>3</v>
      </c>
      <c r="F774" s="18">
        <f>E774* 0.983388008654987</f>
        <v>2.9501640259649609</v>
      </c>
      <c r="G774" s="18">
        <f>E774* 0.0133314720457877</f>
        <v>3.9994416137363098E-2</v>
      </c>
      <c r="H774" s="18">
        <f>E774* 0.003210721016263</f>
        <v>9.6321630487889998E-3</v>
      </c>
    </row>
    <row r="775" spans="1:8" ht="15.75" hidden="1" customHeight="1" x14ac:dyDescent="0.25">
      <c r="A775" s="20" t="s">
        <v>51</v>
      </c>
      <c r="B775" s="47" t="s">
        <v>86</v>
      </c>
      <c r="C775" s="49"/>
      <c r="D775" s="19" t="s">
        <v>19</v>
      </c>
      <c r="E775" s="23">
        <v>1</v>
      </c>
      <c r="F775" s="18">
        <f>E775* 0.511826182618262</f>
        <v>0.51182618261826196</v>
      </c>
      <c r="G775" s="18">
        <f>E775* 0.476622662266227</f>
        <v>0.47662266226622702</v>
      </c>
      <c r="H775" s="18">
        <f>E775* 0.0115511551155116</f>
        <v>1.1551155115511601E-2</v>
      </c>
    </row>
    <row r="776" spans="1:8" ht="15.75" hidden="1" customHeight="1" x14ac:dyDescent="0.25">
      <c r="A776" s="20" t="s">
        <v>51</v>
      </c>
      <c r="B776" s="47" t="s">
        <v>86</v>
      </c>
      <c r="C776" s="49"/>
      <c r="D776" s="19" t="s">
        <v>20</v>
      </c>
      <c r="E776" s="23">
        <v>1</v>
      </c>
      <c r="F776" s="18">
        <f>E776* 0.814615536880747</f>
        <v>0.81461553688074695</v>
      </c>
      <c r="G776" s="18">
        <f>E776* 0.0763167839340663</f>
        <v>7.6316783934066296E-2</v>
      </c>
      <c r="H776" s="18">
        <f>E776* 0.109013694193014</f>
        <v>0.109013694193014</v>
      </c>
    </row>
    <row r="777" spans="1:8" ht="15.75" hidden="1" customHeight="1" x14ac:dyDescent="0.25">
      <c r="A777" s="20" t="s">
        <v>51</v>
      </c>
      <c r="B777" s="47" t="s">
        <v>86</v>
      </c>
      <c r="C777" s="49"/>
      <c r="D777" s="19" t="s">
        <v>21</v>
      </c>
      <c r="E777" s="23">
        <v>8</v>
      </c>
      <c r="F777" s="18">
        <f>E777* 0.999722052365334</f>
        <v>7.9977764189226717</v>
      </c>
      <c r="G777" s="20">
        <v>0</v>
      </c>
      <c r="H777" s="18">
        <f>E777* 0.000277947634665629</f>
        <v>2.2235810773250319E-3</v>
      </c>
    </row>
    <row r="778" spans="1:8" ht="15.75" hidden="1" customHeight="1" x14ac:dyDescent="0.25">
      <c r="A778" s="20" t="s">
        <v>51</v>
      </c>
      <c r="B778" s="47" t="s">
        <v>86</v>
      </c>
      <c r="C778" s="49"/>
      <c r="D778" s="19" t="s">
        <v>12</v>
      </c>
      <c r="E778" s="23">
        <v>4</v>
      </c>
      <c r="F778" s="18">
        <f>E778* 0.924936238310357</f>
        <v>3.6997449532414279</v>
      </c>
      <c r="G778" s="18">
        <f>E778* 0.0351064361799663</f>
        <v>0.14042574471986519</v>
      </c>
      <c r="H778" s="18">
        <f>E778* 0.039932320925503</f>
        <v>0.159729283702012</v>
      </c>
    </row>
    <row r="779" spans="1:8" ht="15.75" hidden="1" customHeight="1" x14ac:dyDescent="0.25">
      <c r="A779" s="20" t="s">
        <v>51</v>
      </c>
      <c r="B779" s="20"/>
      <c r="C779" s="20"/>
      <c r="D779" s="46"/>
      <c r="E779" s="35"/>
    </row>
    <row r="780" spans="1:8" ht="15.75" hidden="1" customHeight="1" x14ac:dyDescent="0.25">
      <c r="A780" s="20" t="s">
        <v>51</v>
      </c>
      <c r="B780" s="47" t="s">
        <v>87</v>
      </c>
      <c r="C780" s="12" t="str">
        <f>B780&amp;"_"&amp;A780</f>
        <v>Mecapaca_La Paz</v>
      </c>
      <c r="D780" s="20"/>
      <c r="E780" s="48">
        <v>1068</v>
      </c>
      <c r="F780" s="14">
        <f t="shared" ref="F780:H780" si="72">SUM(F781:F793)</f>
        <v>922.8920783350228</v>
      </c>
      <c r="G780" s="14">
        <f t="shared" si="72"/>
        <v>107.98827197839408</v>
      </c>
      <c r="H780" s="14">
        <f t="shared" si="72"/>
        <v>37.082696104750354</v>
      </c>
    </row>
    <row r="781" spans="1:8" ht="15.75" hidden="1" customHeight="1" x14ac:dyDescent="0.25">
      <c r="A781" s="20" t="s">
        <v>51</v>
      </c>
      <c r="B781" s="47" t="s">
        <v>87</v>
      </c>
      <c r="C781" s="49"/>
      <c r="D781" s="29" t="s">
        <v>363</v>
      </c>
      <c r="E781" s="23">
        <v>5</v>
      </c>
      <c r="F781" s="20">
        <v>0</v>
      </c>
      <c r="G781" s="24">
        <f>E781</f>
        <v>5</v>
      </c>
      <c r="H781" s="20">
        <v>0</v>
      </c>
    </row>
    <row r="782" spans="1:8" ht="15.75" hidden="1" customHeight="1" x14ac:dyDescent="0.25">
      <c r="A782" s="20" t="s">
        <v>51</v>
      </c>
      <c r="B782" s="47" t="s">
        <v>87</v>
      </c>
      <c r="C782" s="49"/>
      <c r="D782" s="19" t="s">
        <v>15</v>
      </c>
      <c r="E782" s="23">
        <v>161</v>
      </c>
      <c r="F782" s="18">
        <f>E782* 0.981163265034061</f>
        <v>157.96728567048382</v>
      </c>
      <c r="G782" s="18">
        <f>E782* 0.0027595216829083</f>
        <v>0.44428299094823626</v>
      </c>
      <c r="H782" s="18">
        <f>E782* 0.0160372202151627</f>
        <v>2.581992454641195</v>
      </c>
    </row>
    <row r="783" spans="1:8" ht="15.75" hidden="1" customHeight="1" x14ac:dyDescent="0.25">
      <c r="A783" s="20" t="s">
        <v>51</v>
      </c>
      <c r="B783" s="47" t="s">
        <v>87</v>
      </c>
      <c r="C783" s="49"/>
      <c r="D783" s="29" t="s">
        <v>364</v>
      </c>
      <c r="E783" s="23">
        <v>2</v>
      </c>
      <c r="F783" s="18">
        <f>E783* 0.142974979378609</f>
        <v>0.28594995875721801</v>
      </c>
      <c r="G783" s="18">
        <f>E783* 0.852350838603245</f>
        <v>1.70470167720649</v>
      </c>
      <c r="H783" s="18">
        <f>E783* 0.00467418201814682</f>
        <v>9.3483640362936396E-3</v>
      </c>
    </row>
    <row r="784" spans="1:8" ht="15.75" hidden="1" customHeight="1" x14ac:dyDescent="0.25">
      <c r="A784" s="20" t="s">
        <v>51</v>
      </c>
      <c r="B784" s="47" t="s">
        <v>87</v>
      </c>
      <c r="C784" s="49"/>
      <c r="D784" s="19" t="s">
        <v>11</v>
      </c>
      <c r="E784" s="23">
        <v>80</v>
      </c>
      <c r="F784" s="18">
        <f>E784* 0.178797409805735</f>
        <v>14.3037927844588</v>
      </c>
      <c r="G784" s="18">
        <f>E784* 0.819278445883441</f>
        <v>65.542275670675281</v>
      </c>
      <c r="H784" s="18">
        <f>E784* 0.00181313598519889</f>
        <v>0.14505087881591119</v>
      </c>
    </row>
    <row r="785" spans="1:8" ht="15.75" hidden="1" customHeight="1" x14ac:dyDescent="0.25">
      <c r="A785" s="20" t="s">
        <v>51</v>
      </c>
      <c r="B785" s="47" t="s">
        <v>87</v>
      </c>
      <c r="C785" s="49"/>
      <c r="D785" s="19" t="s">
        <v>17</v>
      </c>
      <c r="E785" s="23">
        <v>140</v>
      </c>
      <c r="F785" s="18">
        <f>E785* 0.916446662218225</f>
        <v>128.3025327105515</v>
      </c>
      <c r="G785" s="18">
        <f>E785* 0.0292436682236212</f>
        <v>4.0941135513069682</v>
      </c>
      <c r="H785" s="18">
        <f>E785* 0.0543096695581537</f>
        <v>7.6033537381415179</v>
      </c>
    </row>
    <row r="786" spans="1:8" ht="15.75" hidden="1" customHeight="1" x14ac:dyDescent="0.25">
      <c r="A786" s="20" t="s">
        <v>51</v>
      </c>
      <c r="B786" s="47" t="s">
        <v>87</v>
      </c>
      <c r="C786" s="49"/>
      <c r="D786" s="19" t="s">
        <v>31</v>
      </c>
      <c r="E786" s="23">
        <v>9</v>
      </c>
      <c r="F786" s="18">
        <f>E786* 0.957442434210526</f>
        <v>8.6169819078947345</v>
      </c>
      <c r="G786" s="18">
        <f>E786* 0.0158305921052632</f>
        <v>0.14247532894736878</v>
      </c>
      <c r="H786" s="18">
        <f>E786* 0.0263157894736842</f>
        <v>0.2368421052631578</v>
      </c>
    </row>
    <row r="787" spans="1:8" ht="15.75" hidden="1" customHeight="1" x14ac:dyDescent="0.25">
      <c r="A787" s="20" t="s">
        <v>51</v>
      </c>
      <c r="B787" s="47" t="s">
        <v>87</v>
      </c>
      <c r="C787" s="49"/>
      <c r="D787" s="19" t="s">
        <v>18</v>
      </c>
      <c r="E787" s="23">
        <v>43</v>
      </c>
      <c r="F787" s="18">
        <f>E787* 0.983388008654987</f>
        <v>42.28568437216444</v>
      </c>
      <c r="G787" s="18">
        <f>E787* 0.0133314720457877</f>
        <v>0.57325329796887114</v>
      </c>
      <c r="H787" s="18">
        <f>E787* 0.003210721016263</f>
        <v>0.13806100369930902</v>
      </c>
    </row>
    <row r="788" spans="1:8" ht="15.75" hidden="1" customHeight="1" x14ac:dyDescent="0.25">
      <c r="A788" s="20" t="s">
        <v>51</v>
      </c>
      <c r="B788" s="47" t="s">
        <v>87</v>
      </c>
      <c r="C788" s="49"/>
      <c r="D788" s="19" t="s">
        <v>19</v>
      </c>
      <c r="E788" s="23">
        <v>1</v>
      </c>
      <c r="F788" s="18">
        <f>E788* 0.511826182618262</f>
        <v>0.51182618261826196</v>
      </c>
      <c r="G788" s="18">
        <f>E788* 0.476622662266227</f>
        <v>0.47662266226622702</v>
      </c>
      <c r="H788" s="18">
        <f>E788* 0.0115511551155116</f>
        <v>1.1551155115511601E-2</v>
      </c>
    </row>
    <row r="789" spans="1:8" ht="15.75" hidden="1" customHeight="1" x14ac:dyDescent="0.25">
      <c r="A789" s="20" t="s">
        <v>51</v>
      </c>
      <c r="B789" s="47" t="s">
        <v>87</v>
      </c>
      <c r="C789" s="49"/>
      <c r="D789" s="19" t="s">
        <v>20</v>
      </c>
      <c r="E789" s="23">
        <v>108</v>
      </c>
      <c r="F789" s="18">
        <f>E789* 0.814615536880747</f>
        <v>87.978477983120669</v>
      </c>
      <c r="G789" s="18">
        <f>E789* 0.0763167839340663</f>
        <v>8.24221266487916</v>
      </c>
      <c r="H789" s="18">
        <f>E789* 0.109013694193014</f>
        <v>11.773478972845512</v>
      </c>
    </row>
    <row r="790" spans="1:8" ht="15.75" hidden="1" customHeight="1" x14ac:dyDescent="0.25">
      <c r="A790" s="20" t="s">
        <v>51</v>
      </c>
      <c r="B790" s="47" t="s">
        <v>87</v>
      </c>
      <c r="C790" s="49"/>
      <c r="D790" s="19" t="s">
        <v>21</v>
      </c>
      <c r="E790" s="23">
        <v>134</v>
      </c>
      <c r="F790" s="18">
        <f>E790* 0.999722052365334</f>
        <v>133.96275501695476</v>
      </c>
      <c r="G790" s="20">
        <v>0</v>
      </c>
      <c r="H790" s="18">
        <f>E790* 0.000277947634665629</f>
        <v>3.7244983045194281E-2</v>
      </c>
    </row>
    <row r="791" spans="1:8" ht="15.75" hidden="1" customHeight="1" x14ac:dyDescent="0.25">
      <c r="A791" s="20" t="s">
        <v>51</v>
      </c>
      <c r="B791" s="47" t="s">
        <v>87</v>
      </c>
      <c r="C791" s="49"/>
      <c r="D791" s="19" t="s">
        <v>36</v>
      </c>
      <c r="E791" s="23">
        <v>12</v>
      </c>
      <c r="F791" s="18">
        <f>E791* 0.999132697311362</f>
        <v>11.989592367736345</v>
      </c>
      <c r="G791" s="20">
        <v>0</v>
      </c>
      <c r="H791" s="18">
        <f>E791* 0.000867302688638335</f>
        <v>1.0407632263660019E-2</v>
      </c>
    </row>
    <row r="792" spans="1:8" ht="15.75" hidden="1" customHeight="1" x14ac:dyDescent="0.25">
      <c r="A792" s="20" t="s">
        <v>51</v>
      </c>
      <c r="B792" s="47" t="s">
        <v>87</v>
      </c>
      <c r="C792" s="49"/>
      <c r="D792" s="19" t="s">
        <v>28</v>
      </c>
      <c r="E792" s="23">
        <v>9</v>
      </c>
      <c r="F792" s="18">
        <f>E792* 0.00115651503469545</f>
        <v>1.040863531225905E-2</v>
      </c>
      <c r="G792" s="18">
        <f>E792* 0.998843484965305</f>
        <v>8.9895913646877439</v>
      </c>
      <c r="H792" s="20">
        <v>0</v>
      </c>
    </row>
    <row r="793" spans="1:8" ht="15.75" hidden="1" customHeight="1" x14ac:dyDescent="0.25">
      <c r="A793" s="20" t="s">
        <v>51</v>
      </c>
      <c r="B793" s="47" t="s">
        <v>87</v>
      </c>
      <c r="C793" s="49"/>
      <c r="D793" s="19" t="s">
        <v>12</v>
      </c>
      <c r="E793" s="23">
        <v>364</v>
      </c>
      <c r="F793" s="18">
        <f>E793* 0.924936238310357</f>
        <v>336.67679074496994</v>
      </c>
      <c r="G793" s="18">
        <f>E793* 0.0351064361799663</f>
        <v>12.778742769507732</v>
      </c>
      <c r="H793" s="18">
        <f>E793* 0.039932320925503</f>
        <v>14.535364816883092</v>
      </c>
    </row>
    <row r="794" spans="1:8" ht="15.75" hidden="1" customHeight="1" x14ac:dyDescent="0.25">
      <c r="A794" s="20" t="s">
        <v>51</v>
      </c>
      <c r="B794" s="20"/>
      <c r="C794" s="20"/>
      <c r="D794" s="46"/>
      <c r="E794" s="35"/>
    </row>
    <row r="795" spans="1:8" ht="15.75" hidden="1" customHeight="1" x14ac:dyDescent="0.25">
      <c r="A795" s="20" t="s">
        <v>51</v>
      </c>
      <c r="B795" s="47" t="s">
        <v>88</v>
      </c>
      <c r="C795" s="12" t="str">
        <f>B795&amp;"_"&amp;A795</f>
        <v>Moco Moco_La Paz</v>
      </c>
      <c r="D795" s="20"/>
      <c r="E795" s="48">
        <v>83</v>
      </c>
      <c r="F795" s="14">
        <f t="shared" ref="F795:H795" si="73">SUM(F796:F805)</f>
        <v>70.363257513980585</v>
      </c>
      <c r="G795" s="14">
        <f t="shared" si="73"/>
        <v>9.7246951865413109</v>
      </c>
      <c r="H795" s="14">
        <f t="shared" si="73"/>
        <v>2.9074455890665973</v>
      </c>
    </row>
    <row r="796" spans="1:8" ht="15.75" hidden="1" customHeight="1" x14ac:dyDescent="0.25">
      <c r="A796" s="20" t="s">
        <v>51</v>
      </c>
      <c r="B796" s="47" t="s">
        <v>88</v>
      </c>
      <c r="C796" s="49"/>
      <c r="D796" s="19" t="s">
        <v>15</v>
      </c>
      <c r="E796" s="23">
        <v>4</v>
      </c>
      <c r="F796" s="18">
        <f>E796* 0.981163265034061</f>
        <v>3.9246530601362442</v>
      </c>
      <c r="G796" s="18">
        <f>E796* 0.0027595216829083</f>
        <v>1.1038086731633199E-2</v>
      </c>
      <c r="H796" s="18">
        <f>E796* 0.0160372202151627</f>
        <v>6.4148880860650806E-2</v>
      </c>
    </row>
    <row r="797" spans="1:8" ht="15.75" hidden="1" customHeight="1" x14ac:dyDescent="0.25">
      <c r="A797" s="20" t="s">
        <v>51</v>
      </c>
      <c r="B797" s="47" t="s">
        <v>88</v>
      </c>
      <c r="C797" s="49"/>
      <c r="D797" s="29" t="s">
        <v>365</v>
      </c>
      <c r="E797" s="23">
        <v>1</v>
      </c>
      <c r="F797" s="18">
        <f>E797* 0.142974979378609</f>
        <v>0.14297497937860901</v>
      </c>
      <c r="G797" s="18">
        <f>E797* 0.852350838603245</f>
        <v>0.85235083860324501</v>
      </c>
      <c r="H797" s="18">
        <f>E797* 0.00467418201814682</f>
        <v>4.6741820181468198E-3</v>
      </c>
    </row>
    <row r="798" spans="1:8" ht="15.75" hidden="1" customHeight="1" x14ac:dyDescent="0.25">
      <c r="A798" s="20" t="s">
        <v>51</v>
      </c>
      <c r="B798" s="47" t="s">
        <v>88</v>
      </c>
      <c r="C798" s="49"/>
      <c r="D798" s="19" t="s">
        <v>11</v>
      </c>
      <c r="E798" s="23">
        <v>7</v>
      </c>
      <c r="F798" s="18">
        <f>E798* 0.178797409805735</f>
        <v>1.251581868640145</v>
      </c>
      <c r="G798" s="18">
        <f>E798* 0.819278445883441</f>
        <v>5.7349491211840871</v>
      </c>
      <c r="H798" s="18">
        <f>E798* 0.00181313598519889</f>
        <v>1.2691951896392229E-2</v>
      </c>
    </row>
    <row r="799" spans="1:8" ht="15.75" hidden="1" customHeight="1" x14ac:dyDescent="0.25">
      <c r="A799" s="20" t="s">
        <v>51</v>
      </c>
      <c r="B799" s="47" t="s">
        <v>88</v>
      </c>
      <c r="C799" s="49"/>
      <c r="D799" s="19" t="s">
        <v>17</v>
      </c>
      <c r="E799" s="23">
        <v>10</v>
      </c>
      <c r="F799" s="18">
        <f>E799* 0.916446662218225</f>
        <v>9.1644666221822497</v>
      </c>
      <c r="G799" s="18">
        <f>E799* 0.0292436682236212</f>
        <v>0.292436682236212</v>
      </c>
      <c r="H799" s="18">
        <f>E799* 0.0543096695581537</f>
        <v>0.54309669558153706</v>
      </c>
    </row>
    <row r="800" spans="1:8" ht="15.75" hidden="1" customHeight="1" x14ac:dyDescent="0.25">
      <c r="A800" s="20" t="s">
        <v>51</v>
      </c>
      <c r="B800" s="47" t="s">
        <v>88</v>
      </c>
      <c r="C800" s="49"/>
      <c r="D800" s="19" t="s">
        <v>31</v>
      </c>
      <c r="E800" s="23">
        <v>5</v>
      </c>
      <c r="F800" s="18">
        <f>E800* 0.957442434210526</f>
        <v>4.7872121710526301</v>
      </c>
      <c r="G800" s="18">
        <f>E800* 0.0158305921052632</f>
        <v>7.9152960526315985E-2</v>
      </c>
      <c r="H800" s="18">
        <f>E800* 0.0263157894736842</f>
        <v>0.13157894736842099</v>
      </c>
    </row>
    <row r="801" spans="1:8" ht="15.75" hidden="1" customHeight="1" x14ac:dyDescent="0.25">
      <c r="A801" s="20" t="s">
        <v>51</v>
      </c>
      <c r="B801" s="47" t="s">
        <v>88</v>
      </c>
      <c r="C801" s="49"/>
      <c r="D801" s="19" t="s">
        <v>18</v>
      </c>
      <c r="E801" s="23">
        <v>6</v>
      </c>
      <c r="F801" s="18">
        <f>E801* 0.983388008654987</f>
        <v>5.9003280519299217</v>
      </c>
      <c r="G801" s="18">
        <f>E801* 0.0133314720457877</f>
        <v>7.9988832274726196E-2</v>
      </c>
      <c r="H801" s="18">
        <f>E801* 0.003210721016263</f>
        <v>1.9264326097578E-2</v>
      </c>
    </row>
    <row r="802" spans="1:8" ht="15.75" hidden="1" customHeight="1" x14ac:dyDescent="0.25">
      <c r="A802" s="20" t="s">
        <v>51</v>
      </c>
      <c r="B802" s="47" t="s">
        <v>88</v>
      </c>
      <c r="C802" s="49"/>
      <c r="D802" s="19" t="s">
        <v>20</v>
      </c>
      <c r="E802" s="23">
        <v>10</v>
      </c>
      <c r="F802" s="18">
        <f>E802* 0.814615536880747</f>
        <v>8.1461553688074702</v>
      </c>
      <c r="G802" s="18">
        <f>E802* 0.0763167839340663</f>
        <v>0.7631678393406629</v>
      </c>
      <c r="H802" s="18">
        <f>E802* 0.109013694193014</f>
        <v>1.0901369419301401</v>
      </c>
    </row>
    <row r="803" spans="1:8" ht="15.75" hidden="1" customHeight="1" x14ac:dyDescent="0.25">
      <c r="A803" s="20" t="s">
        <v>51</v>
      </c>
      <c r="B803" s="47" t="s">
        <v>88</v>
      </c>
      <c r="C803" s="49"/>
      <c r="D803" s="19" t="s">
        <v>21</v>
      </c>
      <c r="E803" s="23">
        <v>13</v>
      </c>
      <c r="F803" s="18">
        <f>E803* 0.999722052365334</f>
        <v>12.996386680749341</v>
      </c>
      <c r="G803" s="20">
        <v>0</v>
      </c>
      <c r="H803" s="18">
        <f>E803* 0.000277947634665629</f>
        <v>3.6133192506531769E-3</v>
      </c>
    </row>
    <row r="804" spans="1:8" ht="15.75" hidden="1" customHeight="1" x14ac:dyDescent="0.25">
      <c r="A804" s="20" t="s">
        <v>51</v>
      </c>
      <c r="B804" s="47" t="s">
        <v>88</v>
      </c>
      <c r="C804" s="49"/>
      <c r="D804" s="19" t="s">
        <v>28</v>
      </c>
      <c r="E804" s="23">
        <v>1</v>
      </c>
      <c r="F804" s="18">
        <f>E804* 0.00115651503469545</f>
        <v>1.15651503469545E-3</v>
      </c>
      <c r="G804" s="18">
        <f>E804* 0.998843484965305</f>
        <v>0.99884348496530495</v>
      </c>
      <c r="H804" s="20">
        <v>0</v>
      </c>
    </row>
    <row r="805" spans="1:8" ht="15.75" hidden="1" customHeight="1" x14ac:dyDescent="0.25">
      <c r="A805" s="20" t="s">
        <v>51</v>
      </c>
      <c r="B805" s="47" t="s">
        <v>88</v>
      </c>
      <c r="C805" s="49"/>
      <c r="D805" s="19" t="s">
        <v>12</v>
      </c>
      <c r="E805" s="23">
        <v>26</v>
      </c>
      <c r="F805" s="18">
        <f>E805* 0.924936238310357</f>
        <v>24.048342196069282</v>
      </c>
      <c r="G805" s="18">
        <f>E805* 0.0351064361799663</f>
        <v>0.91276734067912368</v>
      </c>
      <c r="H805" s="18">
        <f>E805* 0.039932320925503</f>
        <v>1.0382403440630781</v>
      </c>
    </row>
    <row r="806" spans="1:8" ht="15.75" hidden="1" customHeight="1" x14ac:dyDescent="0.25">
      <c r="A806" s="20" t="s">
        <v>51</v>
      </c>
      <c r="B806" s="20"/>
      <c r="C806" s="20"/>
      <c r="D806" s="46"/>
      <c r="E806" s="35"/>
    </row>
    <row r="807" spans="1:8" ht="15.75" hidden="1" customHeight="1" x14ac:dyDescent="0.25">
      <c r="A807" s="20" t="s">
        <v>51</v>
      </c>
      <c r="B807" s="47" t="s">
        <v>89</v>
      </c>
      <c r="C807" s="12" t="str">
        <f>B807&amp;"_"&amp;A807</f>
        <v>Palca_La Paz</v>
      </c>
      <c r="D807" s="20"/>
      <c r="E807" s="48">
        <v>2569</v>
      </c>
      <c r="F807" s="14">
        <f t="shared" ref="F807:H807" si="74">SUM(F808:F820)</f>
        <v>2202.0284168563621</v>
      </c>
      <c r="G807" s="14">
        <f t="shared" si="74"/>
        <v>289.93531719856878</v>
      </c>
      <c r="H807" s="14">
        <f t="shared" si="74"/>
        <v>76.954133178529958</v>
      </c>
    </row>
    <row r="808" spans="1:8" ht="15.75" hidden="1" customHeight="1" x14ac:dyDescent="0.25">
      <c r="A808" s="20" t="s">
        <v>51</v>
      </c>
      <c r="B808" s="47" t="s">
        <v>89</v>
      </c>
      <c r="C808" s="49"/>
      <c r="D808" s="29" t="s">
        <v>366</v>
      </c>
      <c r="E808" s="23">
        <v>7</v>
      </c>
      <c r="F808" s="20">
        <v>0</v>
      </c>
      <c r="G808" s="24">
        <f>E808</f>
        <v>7</v>
      </c>
      <c r="H808" s="20">
        <v>0</v>
      </c>
    </row>
    <row r="809" spans="1:8" ht="15.75" hidden="1" customHeight="1" x14ac:dyDescent="0.25">
      <c r="A809" s="20" t="s">
        <v>51</v>
      </c>
      <c r="B809" s="47" t="s">
        <v>89</v>
      </c>
      <c r="C809" s="49"/>
      <c r="D809" s="19" t="s">
        <v>15</v>
      </c>
      <c r="E809" s="23">
        <v>269</v>
      </c>
      <c r="F809" s="18">
        <f>E809* 0.981163265034061</f>
        <v>263.93291829416239</v>
      </c>
      <c r="G809" s="18">
        <f>E809* 0.0027595216829083</f>
        <v>0.74231133270233263</v>
      </c>
      <c r="H809" s="18">
        <f>E809* 0.0160372202151627</f>
        <v>4.3140122378787664</v>
      </c>
    </row>
    <row r="810" spans="1:8" ht="15.75" hidden="1" customHeight="1" x14ac:dyDescent="0.25">
      <c r="A810" s="20" t="s">
        <v>51</v>
      </c>
      <c r="B810" s="47" t="s">
        <v>89</v>
      </c>
      <c r="C810" s="49"/>
      <c r="D810" s="29" t="s">
        <v>367</v>
      </c>
      <c r="E810" s="23">
        <v>20</v>
      </c>
      <c r="F810" s="18">
        <f>E810* 0.142974979378609</f>
        <v>2.8594995875721803</v>
      </c>
      <c r="G810" s="18">
        <f>E810* 0.852350838603245</f>
        <v>17.0470167720649</v>
      </c>
      <c r="H810" s="18">
        <f>E810* 0.00467418201814682</f>
        <v>9.3483640362936396E-2</v>
      </c>
    </row>
    <row r="811" spans="1:8" ht="15.75" hidden="1" customHeight="1" x14ac:dyDescent="0.25">
      <c r="A811" s="20" t="s">
        <v>51</v>
      </c>
      <c r="B811" s="47" t="s">
        <v>89</v>
      </c>
      <c r="C811" s="49"/>
      <c r="D811" s="19" t="s">
        <v>11</v>
      </c>
      <c r="E811" s="23">
        <v>202</v>
      </c>
      <c r="F811" s="18">
        <f>E811* 0.178797409805735</f>
        <v>36.117076780758467</v>
      </c>
      <c r="G811" s="18">
        <f>E811* 0.819278445883441</f>
        <v>165.49424606845508</v>
      </c>
      <c r="H811" s="18">
        <f>E811* 0.00181313598519889</f>
        <v>0.36625346901017575</v>
      </c>
    </row>
    <row r="812" spans="1:8" ht="15.75" hidden="1" customHeight="1" x14ac:dyDescent="0.25">
      <c r="A812" s="20" t="s">
        <v>51</v>
      </c>
      <c r="B812" s="47" t="s">
        <v>89</v>
      </c>
      <c r="C812" s="49"/>
      <c r="D812" s="19" t="s">
        <v>17</v>
      </c>
      <c r="E812" s="23">
        <v>239</v>
      </c>
      <c r="F812" s="18">
        <f>E812* 0.916446662218225</f>
        <v>219.03075227015577</v>
      </c>
      <c r="G812" s="18">
        <f>E812* 0.0292436682236212</f>
        <v>6.9892367054454665</v>
      </c>
      <c r="H812" s="18">
        <f>E812* 0.0543096695581537</f>
        <v>12.980011024398735</v>
      </c>
    </row>
    <row r="813" spans="1:8" ht="15.75" hidden="1" customHeight="1" x14ac:dyDescent="0.25">
      <c r="A813" s="20" t="s">
        <v>51</v>
      </c>
      <c r="B813" s="47" t="s">
        <v>89</v>
      </c>
      <c r="C813" s="49"/>
      <c r="D813" s="19" t="s">
        <v>31</v>
      </c>
      <c r="E813" s="23">
        <v>29</v>
      </c>
      <c r="F813" s="18">
        <f>E813* 0.957442434210526</f>
        <v>27.765830592105253</v>
      </c>
      <c r="G813" s="18">
        <f>E813* 0.0158305921052632</f>
        <v>0.45908717105263275</v>
      </c>
      <c r="H813" s="18">
        <f>E813* 0.0263157894736842</f>
        <v>0.76315789473684181</v>
      </c>
    </row>
    <row r="814" spans="1:8" ht="15.75" hidden="1" customHeight="1" x14ac:dyDescent="0.25">
      <c r="A814" s="20" t="s">
        <v>51</v>
      </c>
      <c r="B814" s="47" t="s">
        <v>89</v>
      </c>
      <c r="C814" s="49"/>
      <c r="D814" s="19" t="s">
        <v>18</v>
      </c>
      <c r="E814" s="23">
        <v>73</v>
      </c>
      <c r="F814" s="18">
        <f>E814* 0.983388008654987</f>
        <v>71.787324631814045</v>
      </c>
      <c r="G814" s="18">
        <f>E814* 0.0133314720457877</f>
        <v>0.97319745934250212</v>
      </c>
      <c r="H814" s="18">
        <f>E814* 0.003210721016263</f>
        <v>0.23438263418719901</v>
      </c>
    </row>
    <row r="815" spans="1:8" ht="15.75" hidden="1" customHeight="1" x14ac:dyDescent="0.25">
      <c r="A815" s="20" t="s">
        <v>51</v>
      </c>
      <c r="B815" s="47" t="s">
        <v>89</v>
      </c>
      <c r="C815" s="49"/>
      <c r="D815" s="19" t="s">
        <v>19</v>
      </c>
      <c r="E815" s="23">
        <v>9</v>
      </c>
      <c r="F815" s="18">
        <f>E815* 0.511826182618262</f>
        <v>4.6064356435643576</v>
      </c>
      <c r="G815" s="18">
        <f>E815* 0.476622662266227</f>
        <v>4.2896039603960432</v>
      </c>
      <c r="H815" s="18">
        <f>E815* 0.0115511551155116</f>
        <v>0.10396039603960441</v>
      </c>
    </row>
    <row r="816" spans="1:8" ht="15.75" hidden="1" customHeight="1" x14ac:dyDescent="0.25">
      <c r="A816" s="20" t="s">
        <v>51</v>
      </c>
      <c r="B816" s="47" t="s">
        <v>89</v>
      </c>
      <c r="C816" s="49"/>
      <c r="D816" s="19" t="s">
        <v>20</v>
      </c>
      <c r="E816" s="23">
        <v>302</v>
      </c>
      <c r="F816" s="18">
        <f>E816* 0.814615536880747</f>
        <v>246.01389213798558</v>
      </c>
      <c r="G816" s="18">
        <f>E816* 0.0763167839340663</f>
        <v>23.047668748088022</v>
      </c>
      <c r="H816" s="18">
        <f>E816* 0.109013694193014</f>
        <v>32.922135646290229</v>
      </c>
    </row>
    <row r="817" spans="1:8" ht="15.75" hidden="1" customHeight="1" x14ac:dyDescent="0.25">
      <c r="A817" s="20" t="s">
        <v>51</v>
      </c>
      <c r="B817" s="47" t="s">
        <v>89</v>
      </c>
      <c r="C817" s="49"/>
      <c r="D817" s="19" t="s">
        <v>21</v>
      </c>
      <c r="E817" s="23">
        <v>735</v>
      </c>
      <c r="F817" s="18">
        <f>E817* 0.999722052365334</f>
        <v>734.7957084885204</v>
      </c>
      <c r="G817" s="20">
        <v>0</v>
      </c>
      <c r="H817" s="18">
        <f>E817* 0.000277947634665629</f>
        <v>0.2042915114792373</v>
      </c>
    </row>
    <row r="818" spans="1:8" ht="15.75" hidden="1" customHeight="1" x14ac:dyDescent="0.25">
      <c r="A818" s="20" t="s">
        <v>51</v>
      </c>
      <c r="B818" s="47" t="s">
        <v>89</v>
      </c>
      <c r="C818" s="49"/>
      <c r="D818" s="19" t="s">
        <v>36</v>
      </c>
      <c r="E818" s="23">
        <v>17</v>
      </c>
      <c r="F818" s="18">
        <f>E818* 0.999132697311362</f>
        <v>16.985255854293154</v>
      </c>
      <c r="G818" s="20">
        <v>0</v>
      </c>
      <c r="H818" s="18">
        <f>E818* 0.000867302688638335</f>
        <v>1.4744145706851694E-2</v>
      </c>
    </row>
    <row r="819" spans="1:8" ht="15.75" hidden="1" customHeight="1" x14ac:dyDescent="0.25">
      <c r="A819" s="20" t="s">
        <v>51</v>
      </c>
      <c r="B819" s="47" t="s">
        <v>89</v>
      </c>
      <c r="C819" s="49"/>
      <c r="D819" s="19" t="s">
        <v>28</v>
      </c>
      <c r="E819" s="23">
        <v>42</v>
      </c>
      <c r="F819" s="18">
        <f>E819* 0.00115651503469545</f>
        <v>4.8573631457208902E-2</v>
      </c>
      <c r="G819" s="18">
        <f>E819* 0.998843484965305</f>
        <v>41.951426368542805</v>
      </c>
      <c r="H819" s="20">
        <v>0</v>
      </c>
    </row>
    <row r="820" spans="1:8" ht="15.75" hidden="1" customHeight="1" x14ac:dyDescent="0.25">
      <c r="A820" s="20" t="s">
        <v>51</v>
      </c>
      <c r="B820" s="47" t="s">
        <v>89</v>
      </c>
      <c r="C820" s="49"/>
      <c r="D820" s="19" t="s">
        <v>12</v>
      </c>
      <c r="E820" s="23">
        <v>625</v>
      </c>
      <c r="F820" s="18">
        <f>E820* 0.924936238310357</f>
        <v>578.08514894397308</v>
      </c>
      <c r="G820" s="18">
        <f>E820* 0.0351064361799663</f>
        <v>21.941522612478934</v>
      </c>
      <c r="H820" s="18">
        <f>E820* 0.039932320925503</f>
        <v>24.957700578439376</v>
      </c>
    </row>
    <row r="821" spans="1:8" ht="15.75" hidden="1" customHeight="1" x14ac:dyDescent="0.25">
      <c r="A821" s="20" t="s">
        <v>51</v>
      </c>
      <c r="B821" s="20"/>
      <c r="C821" s="20"/>
      <c r="D821" s="46"/>
      <c r="E821" s="35"/>
    </row>
    <row r="822" spans="1:8" ht="15.75" hidden="1" customHeight="1" x14ac:dyDescent="0.25">
      <c r="A822" s="20" t="s">
        <v>51</v>
      </c>
      <c r="B822" s="47" t="s">
        <v>90</v>
      </c>
      <c r="C822" s="12" t="str">
        <f>B822&amp;"_"&amp;A822</f>
        <v>Palos Blancos_La Paz</v>
      </c>
      <c r="D822" s="20"/>
      <c r="E822" s="48">
        <v>310</v>
      </c>
      <c r="F822" s="14">
        <f t="shared" ref="F822:H822" si="75">SUM(F823:F832)</f>
        <v>297.36733466610065</v>
      </c>
      <c r="G822" s="14">
        <f t="shared" si="75"/>
        <v>7.5353917591417208</v>
      </c>
      <c r="H822" s="14">
        <f t="shared" si="75"/>
        <v>5.0938652516845835</v>
      </c>
    </row>
    <row r="823" spans="1:8" ht="15.75" hidden="1" customHeight="1" x14ac:dyDescent="0.25">
      <c r="A823" s="20" t="s">
        <v>51</v>
      </c>
      <c r="B823" s="47" t="s">
        <v>90</v>
      </c>
      <c r="C823" s="49"/>
      <c r="D823" s="29" t="s">
        <v>368</v>
      </c>
      <c r="E823" s="23">
        <v>0</v>
      </c>
      <c r="F823" s="20">
        <v>0</v>
      </c>
      <c r="G823" s="24">
        <f>E823</f>
        <v>0</v>
      </c>
      <c r="H823" s="20">
        <v>0</v>
      </c>
    </row>
    <row r="824" spans="1:8" ht="15.75" hidden="1" customHeight="1" x14ac:dyDescent="0.25">
      <c r="A824" s="20" t="s">
        <v>51</v>
      </c>
      <c r="B824" s="47" t="s">
        <v>90</v>
      </c>
      <c r="C824" s="49"/>
      <c r="D824" s="19" t="s">
        <v>15</v>
      </c>
      <c r="E824" s="23">
        <v>1</v>
      </c>
      <c r="F824" s="18">
        <f>E824* 0.981163265034061</f>
        <v>0.98116326503406104</v>
      </c>
      <c r="G824" s="18">
        <f>E824* 0.0027595216829083</f>
        <v>2.7595216829082998E-3</v>
      </c>
      <c r="H824" s="18">
        <f>E824* 0.0160372202151627</f>
        <v>1.6037220215162701E-2</v>
      </c>
    </row>
    <row r="825" spans="1:8" ht="15.75" hidden="1" customHeight="1" x14ac:dyDescent="0.25">
      <c r="A825" s="20" t="s">
        <v>51</v>
      </c>
      <c r="B825" s="47" t="s">
        <v>90</v>
      </c>
      <c r="C825" s="49"/>
      <c r="D825" s="19" t="s">
        <v>11</v>
      </c>
      <c r="E825" s="23">
        <v>4</v>
      </c>
      <c r="F825" s="18">
        <f>E825* 0.178797409805735</f>
        <v>0.71518963922293999</v>
      </c>
      <c r="G825" s="18">
        <f>E825* 0.819278445883441</f>
        <v>3.277113783533764</v>
      </c>
      <c r="H825" s="18">
        <f>E825* 0.00181313598519889</f>
        <v>7.2525439407955597E-3</v>
      </c>
    </row>
    <row r="826" spans="1:8" ht="15.75" hidden="1" customHeight="1" x14ac:dyDescent="0.25">
      <c r="A826" s="20" t="s">
        <v>51</v>
      </c>
      <c r="B826" s="47" t="s">
        <v>90</v>
      </c>
      <c r="C826" s="49"/>
      <c r="D826" s="19" t="s">
        <v>17</v>
      </c>
      <c r="E826" s="23">
        <v>8</v>
      </c>
      <c r="F826" s="18">
        <f>E826* 0.916446662218225</f>
        <v>7.3315732977458001</v>
      </c>
      <c r="G826" s="18">
        <f>E826* 0.0292436682236212</f>
        <v>0.23394934578896959</v>
      </c>
      <c r="H826" s="18">
        <f>E826* 0.0543096695581537</f>
        <v>0.43447735646522961</v>
      </c>
    </row>
    <row r="827" spans="1:8" ht="15.75" hidden="1" customHeight="1" x14ac:dyDescent="0.25">
      <c r="A827" s="20" t="s">
        <v>51</v>
      </c>
      <c r="B827" s="47" t="s">
        <v>90</v>
      </c>
      <c r="C827" s="49"/>
      <c r="D827" s="19" t="s">
        <v>18</v>
      </c>
      <c r="E827" s="23">
        <v>1</v>
      </c>
      <c r="F827" s="18">
        <f>E827* 0.983388008654987</f>
        <v>0.98338800865498699</v>
      </c>
      <c r="G827" s="18">
        <f>E827* 0.0133314720457877</f>
        <v>1.33314720457877E-2</v>
      </c>
      <c r="H827" s="18">
        <f>E827* 0.003210721016263</f>
        <v>3.2107210162630002E-3</v>
      </c>
    </row>
    <row r="828" spans="1:8" ht="15.75" hidden="1" customHeight="1" x14ac:dyDescent="0.25">
      <c r="A828" s="20" t="s">
        <v>51</v>
      </c>
      <c r="B828" s="47" t="s">
        <v>90</v>
      </c>
      <c r="C828" s="49"/>
      <c r="D828" s="19" t="s">
        <v>19</v>
      </c>
      <c r="E828" s="35"/>
      <c r="F828" s="18">
        <f>E828* 0.511826182618262</f>
        <v>0</v>
      </c>
      <c r="G828" s="18">
        <f>E828* 0.476622662266227</f>
        <v>0</v>
      </c>
      <c r="H828" s="18">
        <f>E828* 0.0115511551155116</f>
        <v>0</v>
      </c>
    </row>
    <row r="829" spans="1:8" ht="15.75" hidden="1" customHeight="1" x14ac:dyDescent="0.25">
      <c r="A829" s="20" t="s">
        <v>51</v>
      </c>
      <c r="B829" s="47" t="s">
        <v>90</v>
      </c>
      <c r="C829" s="49"/>
      <c r="D829" s="19" t="s">
        <v>20</v>
      </c>
      <c r="E829" s="23">
        <v>1</v>
      </c>
      <c r="F829" s="18">
        <f>E829* 0.814615536880747</f>
        <v>0.81461553688074695</v>
      </c>
      <c r="G829" s="18">
        <f>E829* 0.0763167839340663</f>
        <v>7.6316783934066296E-2</v>
      </c>
      <c r="H829" s="18">
        <f>E829* 0.109013694193014</f>
        <v>0.109013694193014</v>
      </c>
    </row>
    <row r="830" spans="1:8" ht="15.75" hidden="1" customHeight="1" x14ac:dyDescent="0.25">
      <c r="A830" s="20" t="s">
        <v>51</v>
      </c>
      <c r="B830" s="47" t="s">
        <v>90</v>
      </c>
      <c r="C830" s="49"/>
      <c r="D830" s="19" t="s">
        <v>21</v>
      </c>
      <c r="E830" s="23">
        <v>182</v>
      </c>
      <c r="F830" s="18">
        <f>E830* 0.999722052365334</f>
        <v>181.94941353049077</v>
      </c>
      <c r="G830" s="20">
        <v>0</v>
      </c>
      <c r="H830" s="18">
        <f>E830* 0.000277947634665629</f>
        <v>5.0586469509144479E-2</v>
      </c>
    </row>
    <row r="831" spans="1:8" ht="15.75" hidden="1" customHeight="1" x14ac:dyDescent="0.25">
      <c r="A831" s="20" t="s">
        <v>51</v>
      </c>
      <c r="B831" s="47" t="s">
        <v>90</v>
      </c>
      <c r="C831" s="49"/>
      <c r="D831" s="19" t="s">
        <v>36</v>
      </c>
      <c r="E831" s="23">
        <v>1</v>
      </c>
      <c r="F831" s="18">
        <f>E831* 0.999132697311362</f>
        <v>0.99913269731136201</v>
      </c>
      <c r="G831" s="20">
        <v>0</v>
      </c>
      <c r="H831" s="18">
        <f>E831* 0.000867302688638335</f>
        <v>8.6730268863833497E-4</v>
      </c>
    </row>
    <row r="832" spans="1:8" ht="15.75" hidden="1" customHeight="1" x14ac:dyDescent="0.25">
      <c r="A832" s="20" t="s">
        <v>51</v>
      </c>
      <c r="B832" s="47" t="s">
        <v>90</v>
      </c>
      <c r="C832" s="49"/>
      <c r="D832" s="19" t="s">
        <v>12</v>
      </c>
      <c r="E832" s="23">
        <v>112</v>
      </c>
      <c r="F832" s="18">
        <f>E832* 0.924936238310357</f>
        <v>103.59285869075998</v>
      </c>
      <c r="G832" s="18">
        <f>E832* 0.0351064361799663</f>
        <v>3.9319208521562254</v>
      </c>
      <c r="H832" s="18">
        <f>E832* 0.039932320925503</f>
        <v>4.4724199436563357</v>
      </c>
    </row>
    <row r="833" spans="1:8" ht="15.75" hidden="1" customHeight="1" x14ac:dyDescent="0.25">
      <c r="A833" s="20" t="s">
        <v>51</v>
      </c>
      <c r="B833" s="20"/>
      <c r="C833" s="20"/>
      <c r="D833" s="46"/>
      <c r="E833" s="35"/>
    </row>
    <row r="834" spans="1:8" ht="15.75" hidden="1" customHeight="1" x14ac:dyDescent="0.25">
      <c r="A834" s="20" t="s">
        <v>51</v>
      </c>
      <c r="B834" s="47" t="s">
        <v>369</v>
      </c>
      <c r="C834" s="12" t="str">
        <f>B834&amp;"_"&amp;A834</f>
        <v>Papel Pampa_La Paz</v>
      </c>
      <c r="D834" s="20"/>
      <c r="E834" s="48">
        <v>3776</v>
      </c>
      <c r="F834" s="14">
        <f t="shared" ref="F834:H834" si="76">SUM(F835:F847)</f>
        <v>2345.2131921214482</v>
      </c>
      <c r="G834" s="14">
        <f t="shared" si="76"/>
        <v>1327.5316771073913</v>
      </c>
      <c r="H834" s="14">
        <f t="shared" si="76"/>
        <v>103.04035508589006</v>
      </c>
    </row>
    <row r="835" spans="1:8" ht="15.75" hidden="1" customHeight="1" x14ac:dyDescent="0.25">
      <c r="A835" s="20" t="s">
        <v>51</v>
      </c>
      <c r="B835" s="47" t="s">
        <v>369</v>
      </c>
      <c r="C835" s="49"/>
      <c r="D835" s="19" t="s">
        <v>15</v>
      </c>
      <c r="E835" s="23">
        <v>338</v>
      </c>
      <c r="F835" s="18">
        <f>E835* 0.981163265034061</f>
        <v>331.63318358151264</v>
      </c>
      <c r="G835" s="18">
        <f>E835* 0.0027595216829083</f>
        <v>0.93271832882300532</v>
      </c>
      <c r="H835" s="18">
        <f>E835* 0.0160372202151627</f>
        <v>5.4205804327249929</v>
      </c>
    </row>
    <row r="836" spans="1:8" ht="15.75" hidden="1" customHeight="1" x14ac:dyDescent="0.25">
      <c r="A836" s="20" t="s">
        <v>51</v>
      </c>
      <c r="B836" s="47" t="s">
        <v>369</v>
      </c>
      <c r="C836" s="49"/>
      <c r="D836" s="29" t="s">
        <v>370</v>
      </c>
      <c r="E836" s="23">
        <v>125</v>
      </c>
      <c r="F836" s="18">
        <f>E836* 0.142974979378609</f>
        <v>17.871872422326128</v>
      </c>
      <c r="G836" s="18">
        <f>E836* 0.852350838603245</f>
        <v>106.54385482540563</v>
      </c>
      <c r="H836" s="18">
        <f>E836* 0.00467418201814682</f>
        <v>0.58427275226835251</v>
      </c>
    </row>
    <row r="837" spans="1:8" ht="15.75" hidden="1" customHeight="1" x14ac:dyDescent="0.25">
      <c r="A837" s="20" t="s">
        <v>51</v>
      </c>
      <c r="B837" s="47" t="s">
        <v>369</v>
      </c>
      <c r="C837" s="49"/>
      <c r="D837" s="19" t="s">
        <v>11</v>
      </c>
      <c r="E837" s="23">
        <v>1229</v>
      </c>
      <c r="F837" s="18">
        <f>E837* 0.178797409805735</f>
        <v>219.74201665124832</v>
      </c>
      <c r="G837" s="18">
        <f>E837* 0.819278445883441</f>
        <v>1006.893209990749</v>
      </c>
      <c r="H837" s="18">
        <f>E837* 0.00181313598519889</f>
        <v>2.2283441258094356</v>
      </c>
    </row>
    <row r="838" spans="1:8" ht="15.75" hidden="1" customHeight="1" x14ac:dyDescent="0.25">
      <c r="A838" s="20" t="s">
        <v>51</v>
      </c>
      <c r="B838" s="47" t="s">
        <v>369</v>
      </c>
      <c r="C838" s="49"/>
      <c r="D838" s="19" t="s">
        <v>17</v>
      </c>
      <c r="E838" s="23">
        <v>323</v>
      </c>
      <c r="F838" s="18">
        <f>E838* 0.916446662218225</f>
        <v>296.01227189648665</v>
      </c>
      <c r="G838" s="18">
        <f>E838* 0.0292436682236212</f>
        <v>9.4457048362296465</v>
      </c>
      <c r="H838" s="18">
        <f>E838* 0.0543096695581537</f>
        <v>17.542023267283646</v>
      </c>
    </row>
    <row r="839" spans="1:8" ht="15.75" hidden="1" customHeight="1" x14ac:dyDescent="0.25">
      <c r="A839" s="20" t="s">
        <v>51</v>
      </c>
      <c r="B839" s="47" t="s">
        <v>369</v>
      </c>
      <c r="C839" s="49"/>
      <c r="D839" s="19" t="s">
        <v>31</v>
      </c>
      <c r="E839" s="23">
        <v>36</v>
      </c>
      <c r="F839" s="18">
        <f>E839* 0.957442434210526</f>
        <v>34.467927631578938</v>
      </c>
      <c r="G839" s="18">
        <f>E839* 0.0158305921052632</f>
        <v>0.56990131578947512</v>
      </c>
      <c r="H839" s="18">
        <f>E839* 0.0263157894736842</f>
        <v>0.94736842105263119</v>
      </c>
    </row>
    <row r="840" spans="1:8" ht="15.75" hidden="1" customHeight="1" x14ac:dyDescent="0.25">
      <c r="A840" s="20" t="s">
        <v>51</v>
      </c>
      <c r="B840" s="47" t="s">
        <v>369</v>
      </c>
      <c r="C840" s="49"/>
      <c r="D840" s="19" t="s">
        <v>18</v>
      </c>
      <c r="E840" s="23">
        <v>106</v>
      </c>
      <c r="F840" s="18">
        <f>E840* 0.983388008654987</f>
        <v>104.23912891742862</v>
      </c>
      <c r="G840" s="18">
        <f>E840* 0.0133314720457877</f>
        <v>1.4131360368534962</v>
      </c>
      <c r="H840" s="18">
        <f>E840* 0.003210721016263</f>
        <v>0.34033642772387801</v>
      </c>
    </row>
    <row r="841" spans="1:8" ht="15.75" hidden="1" customHeight="1" x14ac:dyDescent="0.25">
      <c r="A841" s="20" t="s">
        <v>51</v>
      </c>
      <c r="B841" s="47" t="s">
        <v>369</v>
      </c>
      <c r="C841" s="49"/>
      <c r="D841" s="19" t="s">
        <v>19</v>
      </c>
      <c r="E841" s="23">
        <v>25</v>
      </c>
      <c r="F841" s="18">
        <f>E841* 0.511826182618262</f>
        <v>12.795654565456548</v>
      </c>
      <c r="G841" s="18">
        <f>E841* 0.476622662266227</f>
        <v>11.915566556655675</v>
      </c>
      <c r="H841" s="18">
        <f>E841* 0.0115511551155116</f>
        <v>0.28877887788779</v>
      </c>
    </row>
    <row r="842" spans="1:8" ht="15.75" hidden="1" customHeight="1" x14ac:dyDescent="0.25">
      <c r="A842" s="20" t="s">
        <v>51</v>
      </c>
      <c r="B842" s="47" t="s">
        <v>369</v>
      </c>
      <c r="C842" s="49"/>
      <c r="D842" s="19" t="s">
        <v>20</v>
      </c>
      <c r="E842" s="23">
        <v>332</v>
      </c>
      <c r="F842" s="18">
        <f>E842* 0.814615536880747</f>
        <v>270.452358244408</v>
      </c>
      <c r="G842" s="18">
        <f>E842* 0.0763167839340663</f>
        <v>25.337172266110009</v>
      </c>
      <c r="H842" s="18">
        <f>E842* 0.109013694193014</f>
        <v>36.19254647208065</v>
      </c>
    </row>
    <row r="843" spans="1:8" ht="15.75" hidden="1" customHeight="1" x14ac:dyDescent="0.25">
      <c r="A843" s="20" t="s">
        <v>51</v>
      </c>
      <c r="B843" s="47" t="s">
        <v>369</v>
      </c>
      <c r="C843" s="49"/>
      <c r="D843" s="19" t="s">
        <v>21</v>
      </c>
      <c r="E843" s="23">
        <v>139</v>
      </c>
      <c r="F843" s="18">
        <f>E843* 0.999722052365334</f>
        <v>138.96136527878141</v>
      </c>
      <c r="G843" s="20">
        <v>0</v>
      </c>
      <c r="H843" s="18">
        <f>E843* 0.000277947634665629</f>
        <v>3.8634721218522426E-2</v>
      </c>
    </row>
    <row r="844" spans="1:8" ht="15.75" hidden="1" customHeight="1" x14ac:dyDescent="0.25">
      <c r="A844" s="20" t="s">
        <v>51</v>
      </c>
      <c r="B844" s="47" t="s">
        <v>369</v>
      </c>
      <c r="C844" s="49"/>
      <c r="D844" s="19" t="s">
        <v>36</v>
      </c>
      <c r="E844" s="23">
        <v>5</v>
      </c>
      <c r="F844" s="18">
        <f>E844* 0.999132697311362</f>
        <v>4.9956634865568104</v>
      </c>
      <c r="G844" s="20">
        <v>0</v>
      </c>
      <c r="H844" s="18">
        <f>E844* 0.000867302688638335</f>
        <v>4.3365134431916745E-3</v>
      </c>
    </row>
    <row r="845" spans="1:8" ht="15.75" hidden="1" customHeight="1" x14ac:dyDescent="0.25">
      <c r="A845" s="20" t="s">
        <v>51</v>
      </c>
      <c r="B845" s="47" t="s">
        <v>369</v>
      </c>
      <c r="C845" s="49"/>
      <c r="D845" s="19" t="s">
        <v>37</v>
      </c>
      <c r="E845" s="23">
        <v>1</v>
      </c>
      <c r="F845" s="18">
        <f>E845* 0.0555555555555556</f>
        <v>5.5555555555555601E-2</v>
      </c>
      <c r="G845" s="18">
        <f>E845* 0.944444444444444</f>
        <v>0.94444444444444398</v>
      </c>
      <c r="H845" s="20">
        <v>0</v>
      </c>
    </row>
    <row r="846" spans="1:8" ht="15.75" hidden="1" customHeight="1" x14ac:dyDescent="0.25">
      <c r="A846" s="20" t="s">
        <v>51</v>
      </c>
      <c r="B846" s="47" t="s">
        <v>369</v>
      </c>
      <c r="C846" s="49"/>
      <c r="D846" s="19" t="s">
        <v>28</v>
      </c>
      <c r="E846" s="23">
        <v>129</v>
      </c>
      <c r="F846" s="18">
        <f>E846* 0.00115651503469545</f>
        <v>0.14919043947571303</v>
      </c>
      <c r="G846" s="18">
        <f>E846* 0.998843484965305</f>
        <v>128.85080956052434</v>
      </c>
      <c r="H846" s="20">
        <v>0</v>
      </c>
    </row>
    <row r="847" spans="1:8" ht="15.75" hidden="1" customHeight="1" x14ac:dyDescent="0.25">
      <c r="A847" s="20" t="s">
        <v>51</v>
      </c>
      <c r="B847" s="47" t="s">
        <v>369</v>
      </c>
      <c r="C847" s="49"/>
      <c r="D847" s="19" t="s">
        <v>12</v>
      </c>
      <c r="E847" s="23">
        <v>988</v>
      </c>
      <c r="F847" s="18">
        <f>E847* 0.924936238310357</f>
        <v>913.83700345063266</v>
      </c>
      <c r="G847" s="18">
        <f>E847* 0.0351064361799663</f>
        <v>34.685158945806698</v>
      </c>
      <c r="H847" s="18">
        <f>E847* 0.039932320925503</f>
        <v>39.453133074396966</v>
      </c>
    </row>
    <row r="848" spans="1:8" ht="15.75" hidden="1" customHeight="1" x14ac:dyDescent="0.25">
      <c r="A848" s="20" t="s">
        <v>51</v>
      </c>
      <c r="B848" s="20"/>
      <c r="C848" s="20"/>
      <c r="D848" s="46"/>
      <c r="E848" s="35"/>
    </row>
    <row r="849" spans="1:8" ht="15.75" hidden="1" customHeight="1" x14ac:dyDescent="0.25">
      <c r="A849" s="20" t="s">
        <v>51</v>
      </c>
      <c r="B849" s="47" t="s">
        <v>91</v>
      </c>
      <c r="C849" s="12" t="str">
        <f>B849&amp;"_"&amp;A849</f>
        <v>Patacamaya_La Paz</v>
      </c>
      <c r="D849" s="20"/>
      <c r="E849" s="48">
        <v>4307</v>
      </c>
      <c r="F849" s="14">
        <f t="shared" ref="F849:H849" si="77">SUM(F850:F862)</f>
        <v>3225.9899244539324</v>
      </c>
      <c r="G849" s="14">
        <f t="shared" si="77"/>
        <v>931.73594083003161</v>
      </c>
      <c r="H849" s="14">
        <f t="shared" si="77"/>
        <v>149.07643754827495</v>
      </c>
    </row>
    <row r="850" spans="1:8" ht="15.75" hidden="1" customHeight="1" x14ac:dyDescent="0.25">
      <c r="A850" s="20" t="s">
        <v>51</v>
      </c>
      <c r="B850" s="47" t="s">
        <v>91</v>
      </c>
      <c r="C850" s="49"/>
      <c r="D850" s="29" t="s">
        <v>371</v>
      </c>
      <c r="E850" s="23">
        <v>0</v>
      </c>
      <c r="F850" s="20">
        <v>0</v>
      </c>
      <c r="G850" s="24">
        <f>E850</f>
        <v>0</v>
      </c>
      <c r="H850" s="20">
        <v>0</v>
      </c>
    </row>
    <row r="851" spans="1:8" ht="15.75" hidden="1" customHeight="1" x14ac:dyDescent="0.25">
      <c r="A851" s="20" t="s">
        <v>51</v>
      </c>
      <c r="B851" s="47" t="s">
        <v>91</v>
      </c>
      <c r="C851" s="49"/>
      <c r="D851" s="19" t="s">
        <v>15</v>
      </c>
      <c r="E851" s="23">
        <v>554</v>
      </c>
      <c r="F851" s="18">
        <f>E851* 0.981163265034061</f>
        <v>543.56444882886979</v>
      </c>
      <c r="G851" s="18">
        <f>E851* 0.0027595216829083</f>
        <v>1.5287750123311981</v>
      </c>
      <c r="H851" s="18">
        <f>E851* 0.0160372202151627</f>
        <v>8.8846199992001367</v>
      </c>
    </row>
    <row r="852" spans="1:8" ht="15.75" hidden="1" customHeight="1" x14ac:dyDescent="0.25">
      <c r="A852" s="20" t="s">
        <v>51</v>
      </c>
      <c r="B852" s="47" t="s">
        <v>91</v>
      </c>
      <c r="C852" s="49"/>
      <c r="D852" s="29" t="s">
        <v>372</v>
      </c>
      <c r="E852" s="23">
        <v>73</v>
      </c>
      <c r="F852" s="18">
        <f>E852* 0.142974979378609</f>
        <v>10.437173494638458</v>
      </c>
      <c r="G852" s="18">
        <f>E852* 0.852350838603245</f>
        <v>62.221611218036884</v>
      </c>
      <c r="H852" s="18">
        <f>E852* 0.00467418201814682</f>
        <v>0.34121528732471784</v>
      </c>
    </row>
    <row r="853" spans="1:8" ht="15.75" hidden="1" customHeight="1" x14ac:dyDescent="0.25">
      <c r="A853" s="20" t="s">
        <v>51</v>
      </c>
      <c r="B853" s="47" t="s">
        <v>91</v>
      </c>
      <c r="C853" s="49"/>
      <c r="D853" s="19" t="s">
        <v>11</v>
      </c>
      <c r="E853" s="23">
        <v>670</v>
      </c>
      <c r="F853" s="18">
        <f>E853* 0.178797409805735</f>
        <v>119.79426456984245</v>
      </c>
      <c r="G853" s="18">
        <f>E853* 0.819278445883441</f>
        <v>548.91655874190542</v>
      </c>
      <c r="H853" s="18">
        <f>E853* 0.00181313598519889</f>
        <v>1.2148011100832563</v>
      </c>
    </row>
    <row r="854" spans="1:8" ht="15.75" hidden="1" customHeight="1" x14ac:dyDescent="0.25">
      <c r="A854" s="20" t="s">
        <v>51</v>
      </c>
      <c r="B854" s="47" t="s">
        <v>91</v>
      </c>
      <c r="C854" s="49"/>
      <c r="D854" s="19" t="s">
        <v>17</v>
      </c>
      <c r="E854" s="23">
        <v>523</v>
      </c>
      <c r="F854" s="18">
        <f>E854* 0.916446662218225</f>
        <v>479.30160434013169</v>
      </c>
      <c r="G854" s="18">
        <f>E854* 0.0292436682236212</f>
        <v>15.294438480953886</v>
      </c>
      <c r="H854" s="18">
        <f>E854* 0.0543096695581537</f>
        <v>28.403957178914386</v>
      </c>
    </row>
    <row r="855" spans="1:8" ht="15.75" hidden="1" customHeight="1" x14ac:dyDescent="0.25">
      <c r="A855" s="20" t="s">
        <v>51</v>
      </c>
      <c r="B855" s="47" t="s">
        <v>91</v>
      </c>
      <c r="C855" s="49"/>
      <c r="D855" s="19" t="s">
        <v>31</v>
      </c>
      <c r="E855" s="23">
        <v>81</v>
      </c>
      <c r="F855" s="18">
        <f>E855* 0.957442434210526</f>
        <v>77.552837171052602</v>
      </c>
      <c r="G855" s="18">
        <f>E855* 0.0158305921052632</f>
        <v>1.282277960526319</v>
      </c>
      <c r="H855" s="18">
        <f>E855* 0.0263157894736842</f>
        <v>2.1315789473684199</v>
      </c>
    </row>
    <row r="856" spans="1:8" ht="15.75" hidden="1" customHeight="1" x14ac:dyDescent="0.25">
      <c r="A856" s="20" t="s">
        <v>51</v>
      </c>
      <c r="B856" s="47" t="s">
        <v>91</v>
      </c>
      <c r="C856" s="49"/>
      <c r="D856" s="19" t="s">
        <v>18</v>
      </c>
      <c r="E856" s="23">
        <v>114</v>
      </c>
      <c r="F856" s="18">
        <f>E856* 0.983388008654987</f>
        <v>112.10623298666852</v>
      </c>
      <c r="G856" s="18">
        <f>E856* 0.0133314720457877</f>
        <v>1.5197878132197979</v>
      </c>
      <c r="H856" s="18">
        <f>E856* 0.003210721016263</f>
        <v>0.36602219585398205</v>
      </c>
    </row>
    <row r="857" spans="1:8" ht="15.75" hidden="1" customHeight="1" x14ac:dyDescent="0.25">
      <c r="A857" s="20" t="s">
        <v>51</v>
      </c>
      <c r="B857" s="47" t="s">
        <v>91</v>
      </c>
      <c r="C857" s="49"/>
      <c r="D857" s="19" t="s">
        <v>19</v>
      </c>
      <c r="E857" s="23">
        <v>50</v>
      </c>
      <c r="F857" s="18">
        <f>E857* 0.511826182618262</f>
        <v>25.591309130913096</v>
      </c>
      <c r="G857" s="18">
        <f>E857* 0.476622662266227</f>
        <v>23.831133113311349</v>
      </c>
      <c r="H857" s="18">
        <f>E857* 0.0115511551155116</f>
        <v>0.57755775577558</v>
      </c>
    </row>
    <row r="858" spans="1:8" ht="15.75" hidden="1" customHeight="1" x14ac:dyDescent="0.25">
      <c r="A858" s="20" t="s">
        <v>51</v>
      </c>
      <c r="B858" s="47" t="s">
        <v>91</v>
      </c>
      <c r="C858" s="49"/>
      <c r="D858" s="19" t="s">
        <v>20</v>
      </c>
      <c r="E858" s="23">
        <v>501</v>
      </c>
      <c r="F858" s="18">
        <f>E858* 0.814615536880747</f>
        <v>408.12238397725423</v>
      </c>
      <c r="G858" s="18">
        <f>E858* 0.0763167839340663</f>
        <v>38.234708750967215</v>
      </c>
      <c r="H858" s="18">
        <f>E858* 0.109013694193014</f>
        <v>54.615860790700012</v>
      </c>
    </row>
    <row r="859" spans="1:8" ht="15.75" hidden="1" customHeight="1" x14ac:dyDescent="0.25">
      <c r="A859" s="20" t="s">
        <v>51</v>
      </c>
      <c r="B859" s="47" t="s">
        <v>91</v>
      </c>
      <c r="C859" s="49"/>
      <c r="D859" s="19" t="s">
        <v>21</v>
      </c>
      <c r="E859" s="23">
        <v>226</v>
      </c>
      <c r="F859" s="18">
        <f>E859* 0.999722052365334</f>
        <v>225.93718383456547</v>
      </c>
      <c r="G859" s="20">
        <v>0</v>
      </c>
      <c r="H859" s="18">
        <f>E859* 0.000277947634665629</f>
        <v>6.281616543443215E-2</v>
      </c>
    </row>
    <row r="860" spans="1:8" ht="15.75" hidden="1" customHeight="1" x14ac:dyDescent="0.25">
      <c r="A860" s="20" t="s">
        <v>51</v>
      </c>
      <c r="B860" s="47" t="s">
        <v>91</v>
      </c>
      <c r="C860" s="49"/>
      <c r="D860" s="19" t="s">
        <v>36</v>
      </c>
      <c r="E860" s="23">
        <v>8</v>
      </c>
      <c r="F860" s="18">
        <f>E860* 0.999132697311362</f>
        <v>7.993061578490896</v>
      </c>
      <c r="G860" s="20">
        <v>0</v>
      </c>
      <c r="H860" s="18">
        <f>E860* 0.000867302688638335</f>
        <v>6.9384215091066797E-3</v>
      </c>
    </row>
    <row r="861" spans="1:8" ht="15.75" hidden="1" customHeight="1" x14ac:dyDescent="0.25">
      <c r="A861" s="20" t="s">
        <v>51</v>
      </c>
      <c r="B861" s="47" t="s">
        <v>91</v>
      </c>
      <c r="C861" s="49"/>
      <c r="D861" s="19" t="s">
        <v>28</v>
      </c>
      <c r="E861" s="23">
        <v>193</v>
      </c>
      <c r="F861" s="18">
        <f>E861* 0.00115651503469545</f>
        <v>0.22320740169622183</v>
      </c>
      <c r="G861" s="18">
        <f>E861* 0.998843484965305</f>
        <v>192.77679259830384</v>
      </c>
      <c r="H861" s="20">
        <v>0</v>
      </c>
    </row>
    <row r="862" spans="1:8" ht="15.75" hidden="1" customHeight="1" x14ac:dyDescent="0.25">
      <c r="A862" s="20" t="s">
        <v>51</v>
      </c>
      <c r="B862" s="47" t="s">
        <v>91</v>
      </c>
      <c r="C862" s="49"/>
      <c r="D862" s="19" t="s">
        <v>12</v>
      </c>
      <c r="E862" s="23">
        <v>1314</v>
      </c>
      <c r="F862" s="18">
        <f>E862* 0.924936238310357</f>
        <v>1215.3662171398091</v>
      </c>
      <c r="G862" s="18">
        <f>E862* 0.0351064361799663</f>
        <v>46.129857140475714</v>
      </c>
      <c r="H862" s="18">
        <f>E862* 0.039932320925503</f>
        <v>52.471069696110945</v>
      </c>
    </row>
    <row r="863" spans="1:8" ht="15.75" hidden="1" customHeight="1" x14ac:dyDescent="0.25">
      <c r="A863" s="20" t="s">
        <v>51</v>
      </c>
      <c r="B863" s="20"/>
      <c r="C863" s="20"/>
      <c r="D863" s="46"/>
      <c r="E863" s="35"/>
    </row>
    <row r="864" spans="1:8" ht="15.75" hidden="1" customHeight="1" x14ac:dyDescent="0.25">
      <c r="A864" s="20" t="s">
        <v>51</v>
      </c>
      <c r="B864" s="47" t="s">
        <v>373</v>
      </c>
      <c r="C864" s="12" t="str">
        <f>B864&amp;"_"&amp;A864</f>
        <v>Pelechuco_La Paz</v>
      </c>
      <c r="D864" s="20"/>
      <c r="E864" s="48">
        <v>123</v>
      </c>
      <c r="F864" s="14">
        <f t="shared" ref="F864:H864" si="78">SUM(F865:F872)</f>
        <v>80.883589865583531</v>
      </c>
      <c r="G864" s="14">
        <f t="shared" si="78"/>
        <v>38.716192533397248</v>
      </c>
      <c r="H864" s="14">
        <f t="shared" si="78"/>
        <v>3.3944494962744494</v>
      </c>
    </row>
    <row r="865" spans="1:8" ht="15.75" hidden="1" customHeight="1" x14ac:dyDescent="0.25">
      <c r="A865" s="20" t="s">
        <v>51</v>
      </c>
      <c r="B865" s="47" t="s">
        <v>373</v>
      </c>
      <c r="C865" s="49"/>
      <c r="D865" s="29" t="s">
        <v>374</v>
      </c>
      <c r="E865" s="23">
        <v>2</v>
      </c>
      <c r="F865" s="18">
        <f>E865* 0.142974979378609</f>
        <v>0.28594995875721801</v>
      </c>
      <c r="G865" s="18">
        <f>E865* 0.852350838603245</f>
        <v>1.70470167720649</v>
      </c>
      <c r="H865" s="18">
        <f>E865* 0.00467418201814682</f>
        <v>9.3483640362936396E-3</v>
      </c>
    </row>
    <row r="866" spans="1:8" ht="15.75" hidden="1" customHeight="1" x14ac:dyDescent="0.25">
      <c r="A866" s="20" t="s">
        <v>51</v>
      </c>
      <c r="B866" s="47" t="s">
        <v>373</v>
      </c>
      <c r="C866" s="49"/>
      <c r="D866" s="19" t="s">
        <v>11</v>
      </c>
      <c r="E866" s="23">
        <v>35</v>
      </c>
      <c r="F866" s="18">
        <f>E866* 0.178797409805735</f>
        <v>6.2579093432007245</v>
      </c>
      <c r="G866" s="18">
        <f>E866* 0.819278445883441</f>
        <v>28.674745605920435</v>
      </c>
      <c r="H866" s="18">
        <f>E866* 0.00181313598519889</f>
        <v>6.3459759481961142E-2</v>
      </c>
    </row>
    <row r="867" spans="1:8" ht="15.75" hidden="1" customHeight="1" x14ac:dyDescent="0.25">
      <c r="A867" s="20" t="s">
        <v>51</v>
      </c>
      <c r="B867" s="47" t="s">
        <v>373</v>
      </c>
      <c r="C867" s="49"/>
      <c r="D867" s="19" t="s">
        <v>17</v>
      </c>
      <c r="E867" s="23">
        <v>36</v>
      </c>
      <c r="F867" s="18">
        <f>E867* 0.916446662218225</f>
        <v>32.992079839856103</v>
      </c>
      <c r="G867" s="18">
        <f>E867* 0.0292436682236212</f>
        <v>1.0527720560503631</v>
      </c>
      <c r="H867" s="18">
        <f>E867* 0.0543096695581537</f>
        <v>1.9551481040935332</v>
      </c>
    </row>
    <row r="868" spans="1:8" ht="15.75" hidden="1" customHeight="1" x14ac:dyDescent="0.25">
      <c r="A868" s="20" t="s">
        <v>51</v>
      </c>
      <c r="B868" s="47" t="s">
        <v>373</v>
      </c>
      <c r="C868" s="49"/>
      <c r="D868" s="19" t="s">
        <v>18</v>
      </c>
      <c r="E868" s="23">
        <v>16</v>
      </c>
      <c r="F868" s="18">
        <f>E868* 0.983388008654987</f>
        <v>15.734208138479792</v>
      </c>
      <c r="G868" s="18">
        <f>E868* 0.0133314720457877</f>
        <v>0.21330355273260321</v>
      </c>
      <c r="H868" s="18">
        <f>E868* 0.003210721016263</f>
        <v>5.1371536260208003E-2</v>
      </c>
    </row>
    <row r="869" spans="1:8" ht="15.75" hidden="1" customHeight="1" x14ac:dyDescent="0.25">
      <c r="A869" s="20" t="s">
        <v>51</v>
      </c>
      <c r="B869" s="47" t="s">
        <v>373</v>
      </c>
      <c r="C869" s="49"/>
      <c r="D869" s="19" t="s">
        <v>20</v>
      </c>
      <c r="E869" s="23">
        <v>4</v>
      </c>
      <c r="F869" s="18">
        <f>E869* 0.814615536880747</f>
        <v>3.2584621475229878</v>
      </c>
      <c r="G869" s="18">
        <f>E869* 0.0763167839340663</f>
        <v>0.30526713573626518</v>
      </c>
      <c r="H869" s="18">
        <f>E869* 0.109013694193014</f>
        <v>0.43605477677205601</v>
      </c>
    </row>
    <row r="870" spans="1:8" ht="15.75" hidden="1" customHeight="1" x14ac:dyDescent="0.25">
      <c r="A870" s="20" t="s">
        <v>51</v>
      </c>
      <c r="B870" s="47" t="s">
        <v>373</v>
      </c>
      <c r="C870" s="49"/>
      <c r="D870" s="19" t="s">
        <v>21</v>
      </c>
      <c r="E870" s="23">
        <v>2</v>
      </c>
      <c r="F870" s="18">
        <f>E870* 0.999722052365334</f>
        <v>1.9994441047306679</v>
      </c>
      <c r="G870" s="20">
        <v>0</v>
      </c>
      <c r="H870" s="18">
        <f>E870* 0.000277947634665629</f>
        <v>5.5589526933125797E-4</v>
      </c>
    </row>
    <row r="871" spans="1:8" ht="15.75" hidden="1" customHeight="1" x14ac:dyDescent="0.25">
      <c r="A871" s="20" t="s">
        <v>51</v>
      </c>
      <c r="B871" s="47" t="s">
        <v>373</v>
      </c>
      <c r="C871" s="49"/>
      <c r="D871" s="19" t="s">
        <v>28</v>
      </c>
      <c r="E871" s="23">
        <v>6</v>
      </c>
      <c r="F871" s="18">
        <f>E871* 0.00115651503469545</f>
        <v>6.9390902081726998E-3</v>
      </c>
      <c r="G871" s="18">
        <f>E871* 0.998843484965305</f>
        <v>5.9930609097918293</v>
      </c>
      <c r="H871" s="20">
        <v>0</v>
      </c>
    </row>
    <row r="872" spans="1:8" ht="15.75" hidden="1" customHeight="1" x14ac:dyDescent="0.25">
      <c r="A872" s="20" t="s">
        <v>51</v>
      </c>
      <c r="B872" s="47" t="s">
        <v>373</v>
      </c>
      <c r="C872" s="49"/>
      <c r="D872" s="19" t="s">
        <v>12</v>
      </c>
      <c r="E872" s="23">
        <v>22</v>
      </c>
      <c r="F872" s="18">
        <f>E872* 0.924936238310357</f>
        <v>20.348597242827854</v>
      </c>
      <c r="G872" s="18">
        <f>E872* 0.0351064361799663</f>
        <v>0.77234159595925855</v>
      </c>
      <c r="H872" s="18">
        <f>E872* 0.039932320925503</f>
        <v>0.87851106036106597</v>
      </c>
    </row>
    <row r="873" spans="1:8" ht="15.75" hidden="1" customHeight="1" x14ac:dyDescent="0.25">
      <c r="A873" s="20" t="s">
        <v>51</v>
      </c>
      <c r="B873" s="20"/>
      <c r="C873" s="20"/>
      <c r="D873" s="46"/>
      <c r="E873" s="35"/>
    </row>
    <row r="874" spans="1:8" ht="15.75" hidden="1" customHeight="1" x14ac:dyDescent="0.25">
      <c r="A874" s="20" t="s">
        <v>51</v>
      </c>
      <c r="B874" s="47" t="s">
        <v>92</v>
      </c>
      <c r="C874" s="12" t="str">
        <f>B874&amp;"_"&amp;A874</f>
        <v>Pucarani_La Paz</v>
      </c>
      <c r="D874" s="20"/>
      <c r="E874" s="48">
        <v>2324</v>
      </c>
      <c r="F874" s="14">
        <f t="shared" ref="F874:H874" si="79">SUM(F875:F887)</f>
        <v>1963.5886474214369</v>
      </c>
      <c r="G874" s="14">
        <f t="shared" si="79"/>
        <v>285.09455798665221</v>
      </c>
      <c r="H874" s="14">
        <f t="shared" si="79"/>
        <v>75.24037541927072</v>
      </c>
    </row>
    <row r="875" spans="1:8" ht="15.75" hidden="1" customHeight="1" x14ac:dyDescent="0.25">
      <c r="A875" s="20" t="s">
        <v>51</v>
      </c>
      <c r="B875" s="47" t="s">
        <v>92</v>
      </c>
      <c r="C875" s="49"/>
      <c r="D875" s="29" t="s">
        <v>375</v>
      </c>
      <c r="E875" s="23">
        <v>17</v>
      </c>
      <c r="F875" s="20">
        <v>0</v>
      </c>
      <c r="G875" s="24">
        <f>E875</f>
        <v>17</v>
      </c>
      <c r="H875" s="20">
        <v>0</v>
      </c>
    </row>
    <row r="876" spans="1:8" ht="15.75" hidden="1" customHeight="1" x14ac:dyDescent="0.25">
      <c r="A876" s="20" t="s">
        <v>51</v>
      </c>
      <c r="B876" s="47" t="s">
        <v>92</v>
      </c>
      <c r="C876" s="49"/>
      <c r="D876" s="19" t="s">
        <v>15</v>
      </c>
      <c r="E876" s="23">
        <v>154</v>
      </c>
      <c r="F876" s="18">
        <f>E876* 0.981163265034061</f>
        <v>151.09914281524539</v>
      </c>
      <c r="G876" s="18">
        <f>E876* 0.0027595216829083</f>
        <v>0.42496633916787818</v>
      </c>
      <c r="H876" s="18">
        <f>E876* 0.0160372202151627</f>
        <v>2.4697319131350559</v>
      </c>
    </row>
    <row r="877" spans="1:8" ht="15.75" hidden="1" customHeight="1" x14ac:dyDescent="0.25">
      <c r="A877" s="20" t="s">
        <v>51</v>
      </c>
      <c r="B877" s="47" t="s">
        <v>92</v>
      </c>
      <c r="C877" s="49"/>
      <c r="D877" s="29" t="s">
        <v>376</v>
      </c>
      <c r="E877" s="23">
        <v>5</v>
      </c>
      <c r="F877" s="18">
        <f>E877* 0.142974979378609</f>
        <v>0.71487489689304506</v>
      </c>
      <c r="G877" s="18">
        <f>E877* 0.852350838603245</f>
        <v>4.261754193016225</v>
      </c>
      <c r="H877" s="18">
        <f>E877* 0.00467418201814682</f>
        <v>2.3370910090734099E-2</v>
      </c>
    </row>
    <row r="878" spans="1:8" ht="15.75" hidden="1" customHeight="1" x14ac:dyDescent="0.25">
      <c r="A878" s="20" t="s">
        <v>51</v>
      </c>
      <c r="B878" s="47" t="s">
        <v>92</v>
      </c>
      <c r="C878" s="49"/>
      <c r="D878" s="19" t="s">
        <v>11</v>
      </c>
      <c r="E878" s="23">
        <v>200</v>
      </c>
      <c r="F878" s="18">
        <f>E878* 0.178797409805735</f>
        <v>35.759481961147003</v>
      </c>
      <c r="G878" s="18">
        <f>E878* 0.819278445883441</f>
        <v>163.8556891766882</v>
      </c>
      <c r="H878" s="18">
        <f>E878* 0.00181313598519889</f>
        <v>0.36262719703977797</v>
      </c>
    </row>
    <row r="879" spans="1:8" ht="15.75" hidden="1" customHeight="1" x14ac:dyDescent="0.25">
      <c r="A879" s="20" t="s">
        <v>51</v>
      </c>
      <c r="B879" s="47" t="s">
        <v>92</v>
      </c>
      <c r="C879" s="49"/>
      <c r="D879" s="19" t="s">
        <v>17</v>
      </c>
      <c r="E879" s="23">
        <v>153</v>
      </c>
      <c r="F879" s="18">
        <f>E879* 0.916446662218225</f>
        <v>140.21633931938842</v>
      </c>
      <c r="G879" s="18">
        <f>E879* 0.0292436682236212</f>
        <v>4.4742812382140436</v>
      </c>
      <c r="H879" s="18">
        <f>E879* 0.0543096695581537</f>
        <v>8.3093794423975158</v>
      </c>
    </row>
    <row r="880" spans="1:8" ht="15.75" hidden="1" customHeight="1" x14ac:dyDescent="0.25">
      <c r="A880" s="20" t="s">
        <v>51</v>
      </c>
      <c r="B880" s="47" t="s">
        <v>92</v>
      </c>
      <c r="C880" s="49"/>
      <c r="D880" s="19" t="s">
        <v>31</v>
      </c>
      <c r="E880" s="23">
        <v>33</v>
      </c>
      <c r="F880" s="18">
        <f>E880* 0.957442434210526</f>
        <v>31.595600328947359</v>
      </c>
      <c r="G880" s="18">
        <f>E880* 0.0158305921052632</f>
        <v>0.52240953947368551</v>
      </c>
      <c r="H880" s="18">
        <f>E880* 0.0263157894736842</f>
        <v>0.86842105263157854</v>
      </c>
    </row>
    <row r="881" spans="1:8" ht="15.75" hidden="1" customHeight="1" x14ac:dyDescent="0.25">
      <c r="A881" s="20" t="s">
        <v>51</v>
      </c>
      <c r="B881" s="47" t="s">
        <v>92</v>
      </c>
      <c r="C881" s="49"/>
      <c r="D881" s="19" t="s">
        <v>18</v>
      </c>
      <c r="E881" s="23">
        <v>22</v>
      </c>
      <c r="F881" s="18">
        <f>E881* 0.983388008654987</f>
        <v>21.634536190409715</v>
      </c>
      <c r="G881" s="18">
        <f>E881* 0.0133314720457877</f>
        <v>0.2932923850073294</v>
      </c>
      <c r="H881" s="18">
        <f>E881* 0.003210721016263</f>
        <v>7.0635862357786003E-2</v>
      </c>
    </row>
    <row r="882" spans="1:8" ht="15.75" hidden="1" customHeight="1" x14ac:dyDescent="0.25">
      <c r="A882" s="20" t="s">
        <v>51</v>
      </c>
      <c r="B882" s="47" t="s">
        <v>92</v>
      </c>
      <c r="C882" s="49"/>
      <c r="D882" s="19" t="s">
        <v>19</v>
      </c>
      <c r="E882" s="23">
        <v>8</v>
      </c>
      <c r="F882" s="18">
        <f>E882* 0.511826182618262</f>
        <v>4.0946094609460957</v>
      </c>
      <c r="G882" s="18">
        <f>E882* 0.476622662266227</f>
        <v>3.8129812981298161</v>
      </c>
      <c r="H882" s="18">
        <f>E882* 0.0115511551155116</f>
        <v>9.2409240924092806E-2</v>
      </c>
    </row>
    <row r="883" spans="1:8" ht="15.75" hidden="1" customHeight="1" x14ac:dyDescent="0.25">
      <c r="A883" s="20" t="s">
        <v>51</v>
      </c>
      <c r="B883" s="47" t="s">
        <v>92</v>
      </c>
      <c r="C883" s="49"/>
      <c r="D883" s="19" t="s">
        <v>20</v>
      </c>
      <c r="E883" s="23">
        <v>446</v>
      </c>
      <c r="F883" s="18">
        <f>E883* 0.814615536880747</f>
        <v>363.31852944881314</v>
      </c>
      <c r="G883" s="18">
        <f>E883* 0.0763167839340663</f>
        <v>34.037285634593566</v>
      </c>
      <c r="H883" s="18">
        <f>E883* 0.109013694193014</f>
        <v>48.620107610084247</v>
      </c>
    </row>
    <row r="884" spans="1:8" ht="15.75" hidden="1" customHeight="1" x14ac:dyDescent="0.25">
      <c r="A884" s="20" t="s">
        <v>51</v>
      </c>
      <c r="B884" s="47" t="s">
        <v>92</v>
      </c>
      <c r="C884" s="49"/>
      <c r="D884" s="19" t="s">
        <v>21</v>
      </c>
      <c r="E884" s="23">
        <v>885</v>
      </c>
      <c r="F884" s="18">
        <f>E884* 0.999722052365334</f>
        <v>884.75401634332059</v>
      </c>
      <c r="G884" s="20">
        <v>0</v>
      </c>
      <c r="H884" s="18">
        <f>E884* 0.000277947634665629</f>
        <v>0.24598365667908165</v>
      </c>
    </row>
    <row r="885" spans="1:8" ht="15.75" hidden="1" customHeight="1" x14ac:dyDescent="0.25">
      <c r="A885" s="20" t="s">
        <v>51</v>
      </c>
      <c r="B885" s="47" t="s">
        <v>92</v>
      </c>
      <c r="C885" s="49"/>
      <c r="D885" s="19" t="s">
        <v>36</v>
      </c>
      <c r="E885" s="23">
        <v>2</v>
      </c>
      <c r="F885" s="18">
        <f>E885* 0.999132697311362</f>
        <v>1.998265394622724</v>
      </c>
      <c r="G885" s="20">
        <v>0</v>
      </c>
      <c r="H885" s="18">
        <f>E885* 0.000867302688638335</f>
        <v>1.7346053772766699E-3</v>
      </c>
    </row>
    <row r="886" spans="1:8" ht="15.75" hidden="1" customHeight="1" x14ac:dyDescent="0.25">
      <c r="A886" s="20" t="s">
        <v>51</v>
      </c>
      <c r="B886" s="47" t="s">
        <v>92</v>
      </c>
      <c r="C886" s="49"/>
      <c r="D886" s="19" t="s">
        <v>28</v>
      </c>
      <c r="E886" s="23">
        <v>44</v>
      </c>
      <c r="F886" s="18">
        <f>E886* 0.00115651503469545</f>
        <v>5.0886661526599798E-2</v>
      </c>
      <c r="G886" s="18">
        <f>E886* 0.998843484965305</f>
        <v>43.949113338473417</v>
      </c>
      <c r="H886" s="20">
        <v>0</v>
      </c>
    </row>
    <row r="887" spans="1:8" ht="15.75" hidden="1" customHeight="1" x14ac:dyDescent="0.25">
      <c r="A887" s="20" t="s">
        <v>51</v>
      </c>
      <c r="B887" s="47" t="s">
        <v>92</v>
      </c>
      <c r="C887" s="49"/>
      <c r="D887" s="19" t="s">
        <v>12</v>
      </c>
      <c r="E887" s="23">
        <v>355</v>
      </c>
      <c r="F887" s="18">
        <f>E887* 0.924936238310357</f>
        <v>328.35236460017671</v>
      </c>
      <c r="G887" s="18">
        <f>E887* 0.0351064361799663</f>
        <v>12.462784843888036</v>
      </c>
      <c r="H887" s="18">
        <f>E887* 0.039932320925503</f>
        <v>14.175973928553566</v>
      </c>
    </row>
    <row r="888" spans="1:8" ht="15.75" hidden="1" customHeight="1" x14ac:dyDescent="0.25">
      <c r="A888" s="20" t="s">
        <v>51</v>
      </c>
      <c r="B888" s="20"/>
      <c r="C888" s="20"/>
      <c r="D888" s="46"/>
      <c r="E888" s="35"/>
    </row>
    <row r="889" spans="1:8" ht="15.75" hidden="1" customHeight="1" x14ac:dyDescent="0.25">
      <c r="A889" s="20" t="s">
        <v>51</v>
      </c>
      <c r="B889" s="47" t="s">
        <v>93</v>
      </c>
      <c r="C889" s="12" t="str">
        <f>B889&amp;"_"&amp;A889</f>
        <v>Puerto Acosta_La Paz</v>
      </c>
      <c r="D889" s="20"/>
      <c r="E889" s="48">
        <v>2799</v>
      </c>
      <c r="F889" s="14">
        <f t="shared" ref="F889:H889" si="80">SUM(F890:F902)</f>
        <v>2365.0903561361256</v>
      </c>
      <c r="G889" s="14">
        <f t="shared" si="80"/>
        <v>335.77726336600614</v>
      </c>
      <c r="H889" s="14">
        <f t="shared" si="80"/>
        <v>98.038184336444701</v>
      </c>
    </row>
    <row r="890" spans="1:8" ht="15.75" hidden="1" customHeight="1" x14ac:dyDescent="0.25">
      <c r="A890" s="20" t="s">
        <v>51</v>
      </c>
      <c r="B890" s="47" t="s">
        <v>93</v>
      </c>
      <c r="C890" s="49"/>
      <c r="D890" s="29" t="s">
        <v>377</v>
      </c>
      <c r="E890" s="23">
        <v>8</v>
      </c>
      <c r="F890" s="20">
        <v>0</v>
      </c>
      <c r="G890" s="24">
        <f>E890</f>
        <v>8</v>
      </c>
      <c r="H890" s="20">
        <v>0</v>
      </c>
    </row>
    <row r="891" spans="1:8" ht="15.75" hidden="1" customHeight="1" x14ac:dyDescent="0.25">
      <c r="A891" s="20" t="s">
        <v>51</v>
      </c>
      <c r="B891" s="47" t="s">
        <v>93</v>
      </c>
      <c r="C891" s="49"/>
      <c r="D891" s="19" t="s">
        <v>15</v>
      </c>
      <c r="E891" s="23">
        <v>242</v>
      </c>
      <c r="F891" s="18">
        <f>E891* 0.981163265034061</f>
        <v>237.44151013824276</v>
      </c>
      <c r="G891" s="18">
        <f>E891* 0.0027595216829083</f>
        <v>0.6678042472638086</v>
      </c>
      <c r="H891" s="18">
        <f>E891* 0.0160372202151627</f>
        <v>3.8810072920693739</v>
      </c>
    </row>
    <row r="892" spans="1:8" ht="15.75" hidden="1" customHeight="1" x14ac:dyDescent="0.25">
      <c r="A892" s="20" t="s">
        <v>51</v>
      </c>
      <c r="B892" s="47" t="s">
        <v>93</v>
      </c>
      <c r="C892" s="49"/>
      <c r="D892" s="29" t="s">
        <v>378</v>
      </c>
      <c r="E892" s="23">
        <v>19</v>
      </c>
      <c r="F892" s="18">
        <f>E892* 0.142974979378609</f>
        <v>2.7165246081935712</v>
      </c>
      <c r="G892" s="18">
        <f>E892* 0.852350838603245</f>
        <v>16.194665933461657</v>
      </c>
      <c r="H892" s="18">
        <f>E892* 0.00467418201814682</f>
        <v>8.880945834478958E-2</v>
      </c>
    </row>
    <row r="893" spans="1:8" ht="15.75" hidden="1" customHeight="1" x14ac:dyDescent="0.25">
      <c r="A893" s="20" t="s">
        <v>51</v>
      </c>
      <c r="B893" s="47" t="s">
        <v>93</v>
      </c>
      <c r="C893" s="49"/>
      <c r="D893" s="19" t="s">
        <v>11</v>
      </c>
      <c r="E893" s="23">
        <v>241</v>
      </c>
      <c r="F893" s="18">
        <f>E893* 0.178797409805735</f>
        <v>43.090175763182131</v>
      </c>
      <c r="G893" s="18">
        <f>E893* 0.819278445883441</f>
        <v>197.44610545790928</v>
      </c>
      <c r="H893" s="18">
        <f>E893* 0.00181313598519889</f>
        <v>0.4369657724329325</v>
      </c>
    </row>
    <row r="894" spans="1:8" ht="15.75" hidden="1" customHeight="1" x14ac:dyDescent="0.25">
      <c r="A894" s="20" t="s">
        <v>51</v>
      </c>
      <c r="B894" s="47" t="s">
        <v>93</v>
      </c>
      <c r="C894" s="49"/>
      <c r="D894" s="19" t="s">
        <v>17</v>
      </c>
      <c r="E894" s="23">
        <v>176</v>
      </c>
      <c r="F894" s="18">
        <f>E894* 0.916446662218225</f>
        <v>161.29461255040761</v>
      </c>
      <c r="G894" s="18">
        <f>E894* 0.0292436682236212</f>
        <v>5.1468856073573308</v>
      </c>
      <c r="H894" s="18">
        <f>E894* 0.0543096695581537</f>
        <v>9.5585018422350512</v>
      </c>
    </row>
    <row r="895" spans="1:8" ht="15.75" hidden="1" customHeight="1" x14ac:dyDescent="0.25">
      <c r="A895" s="20" t="s">
        <v>51</v>
      </c>
      <c r="B895" s="47" t="s">
        <v>93</v>
      </c>
      <c r="C895" s="49"/>
      <c r="D895" s="19" t="s">
        <v>31</v>
      </c>
      <c r="E895" s="23">
        <v>23</v>
      </c>
      <c r="F895" s="18">
        <f>E895* 0.957442434210526</f>
        <v>22.021175986842099</v>
      </c>
      <c r="G895" s="18">
        <f>E895* 0.0158305921052632</f>
        <v>0.36410361842105354</v>
      </c>
      <c r="H895" s="18">
        <f>E895* 0.0263157894736842</f>
        <v>0.60526315789473661</v>
      </c>
    </row>
    <row r="896" spans="1:8" ht="15.75" hidden="1" customHeight="1" x14ac:dyDescent="0.25">
      <c r="A896" s="20" t="s">
        <v>51</v>
      </c>
      <c r="B896" s="47" t="s">
        <v>93</v>
      </c>
      <c r="C896" s="49"/>
      <c r="D896" s="19" t="s">
        <v>18</v>
      </c>
      <c r="E896" s="23">
        <v>47</v>
      </c>
      <c r="F896" s="18">
        <f>E896* 0.983388008654987</f>
        <v>46.21923640678439</v>
      </c>
      <c r="G896" s="18">
        <f>E896* 0.0133314720457877</f>
        <v>0.62657918615202191</v>
      </c>
      <c r="H896" s="18">
        <f>E896* 0.003210721016263</f>
        <v>0.15090388776436101</v>
      </c>
    </row>
    <row r="897" spans="1:8" ht="15.75" hidden="1" customHeight="1" x14ac:dyDescent="0.25">
      <c r="A897" s="20" t="s">
        <v>51</v>
      </c>
      <c r="B897" s="47" t="s">
        <v>93</v>
      </c>
      <c r="C897" s="49"/>
      <c r="D897" s="19" t="s">
        <v>19</v>
      </c>
      <c r="E897" s="23">
        <v>4</v>
      </c>
      <c r="F897" s="18">
        <f>E897* 0.511826182618262</f>
        <v>2.0473047304730478</v>
      </c>
      <c r="G897" s="18">
        <f>E897* 0.476622662266227</f>
        <v>1.9064906490649081</v>
      </c>
      <c r="H897" s="18">
        <f>E897* 0.0115511551155116</f>
        <v>4.6204620462046403E-2</v>
      </c>
    </row>
    <row r="898" spans="1:8" ht="15.75" hidden="1" customHeight="1" x14ac:dyDescent="0.25">
      <c r="A898" s="20" t="s">
        <v>51</v>
      </c>
      <c r="B898" s="47" t="s">
        <v>93</v>
      </c>
      <c r="C898" s="49"/>
      <c r="D898" s="19" t="s">
        <v>20</v>
      </c>
      <c r="E898" s="23">
        <v>489</v>
      </c>
      <c r="F898" s="18">
        <f>E898* 0.814615536880747</f>
        <v>398.34699753468527</v>
      </c>
      <c r="G898" s="18">
        <f>E898* 0.0763167839340663</f>
        <v>37.318907343758418</v>
      </c>
      <c r="H898" s="18">
        <f>E898* 0.109013694193014</f>
        <v>53.307696460383845</v>
      </c>
    </row>
    <row r="899" spans="1:8" ht="15.75" hidden="1" customHeight="1" x14ac:dyDescent="0.25">
      <c r="A899" s="20" t="s">
        <v>51</v>
      </c>
      <c r="B899" s="47" t="s">
        <v>93</v>
      </c>
      <c r="C899" s="49"/>
      <c r="D899" s="19" t="s">
        <v>21</v>
      </c>
      <c r="E899" s="23">
        <v>761</v>
      </c>
      <c r="F899" s="18">
        <f>E899* 0.999722052365334</f>
        <v>760.78848185001914</v>
      </c>
      <c r="G899" s="20">
        <v>0</v>
      </c>
      <c r="H899" s="18">
        <f>E899* 0.000277947634665629</f>
        <v>0.21151814998054366</v>
      </c>
    </row>
    <row r="900" spans="1:8" ht="15.75" hidden="1" customHeight="1" x14ac:dyDescent="0.25">
      <c r="A900" s="20" t="s">
        <v>51</v>
      </c>
      <c r="B900" s="47" t="s">
        <v>93</v>
      </c>
      <c r="C900" s="49"/>
      <c r="D900" s="19" t="s">
        <v>36</v>
      </c>
      <c r="E900" s="23">
        <v>2</v>
      </c>
      <c r="F900" s="18">
        <f>E900* 0.999132697311362</f>
        <v>1.998265394622724</v>
      </c>
      <c r="G900" s="20">
        <v>0</v>
      </c>
      <c r="H900" s="18">
        <f>E900* 0.000867302688638335</f>
        <v>1.7346053772766699E-3</v>
      </c>
    </row>
    <row r="901" spans="1:8" ht="15.75" hidden="1" customHeight="1" x14ac:dyDescent="0.25">
      <c r="A901" s="20" t="s">
        <v>51</v>
      </c>
      <c r="B901" s="47" t="s">
        <v>93</v>
      </c>
      <c r="C901" s="49"/>
      <c r="D901" s="19" t="s">
        <v>28</v>
      </c>
      <c r="E901" s="23">
        <v>42</v>
      </c>
      <c r="F901" s="18">
        <f>E901* 0.00115651503469545</f>
        <v>4.8573631457208902E-2</v>
      </c>
      <c r="G901" s="18">
        <f>E901* 0.998843484965305</f>
        <v>41.951426368542805</v>
      </c>
      <c r="H901" s="20">
        <v>0</v>
      </c>
    </row>
    <row r="902" spans="1:8" ht="15.75" hidden="1" customHeight="1" x14ac:dyDescent="0.25">
      <c r="A902" s="20" t="s">
        <v>51</v>
      </c>
      <c r="B902" s="47" t="s">
        <v>93</v>
      </c>
      <c r="C902" s="49"/>
      <c r="D902" s="19" t="s">
        <v>12</v>
      </c>
      <c r="E902" s="23">
        <v>745</v>
      </c>
      <c r="F902" s="18">
        <f>E902* 0.924936238310357</f>
        <v>689.07749754121596</v>
      </c>
      <c r="G902" s="18">
        <f>E902* 0.0351064361799663</f>
        <v>26.154294954074892</v>
      </c>
      <c r="H902" s="18">
        <f>E902* 0.039932320925503</f>
        <v>29.749579089499736</v>
      </c>
    </row>
    <row r="903" spans="1:8" ht="15.75" hidden="1" customHeight="1" x14ac:dyDescent="0.25">
      <c r="A903" s="20" t="s">
        <v>51</v>
      </c>
      <c r="B903" s="20"/>
      <c r="C903" s="20"/>
      <c r="D903" s="46"/>
      <c r="E903" s="35"/>
    </row>
    <row r="904" spans="1:8" ht="15.75" hidden="1" customHeight="1" x14ac:dyDescent="0.25">
      <c r="A904" s="20" t="s">
        <v>51</v>
      </c>
      <c r="B904" s="47" t="s">
        <v>94</v>
      </c>
      <c r="C904" s="12" t="str">
        <f>B904&amp;"_"&amp;A904</f>
        <v>Puerto Mayor Carabuco Ch._La Paz</v>
      </c>
      <c r="D904" s="20"/>
      <c r="E904" s="48">
        <v>1557</v>
      </c>
      <c r="F904" s="14">
        <f t="shared" ref="F904:H904" si="81">SUM(F905:F915)</f>
        <v>1429.6996465827456</v>
      </c>
      <c r="G904" s="14">
        <f t="shared" si="81"/>
        <v>85.174522975687324</v>
      </c>
      <c r="H904" s="14">
        <f t="shared" si="81"/>
        <v>42.088577277694036</v>
      </c>
    </row>
    <row r="905" spans="1:8" ht="15.75" hidden="1" customHeight="1" x14ac:dyDescent="0.25">
      <c r="A905" s="20" t="s">
        <v>51</v>
      </c>
      <c r="B905" s="47" t="s">
        <v>94</v>
      </c>
      <c r="C905" s="49"/>
      <c r="D905" s="19" t="s">
        <v>15</v>
      </c>
      <c r="E905" s="23">
        <v>110</v>
      </c>
      <c r="F905" s="18">
        <f>E905* 0.981163265034061</f>
        <v>107.92795915374671</v>
      </c>
      <c r="G905" s="18">
        <f>E905* 0.0027595216829083</f>
        <v>0.30354738511991297</v>
      </c>
      <c r="H905" s="18">
        <f>E905* 0.0160372202151627</f>
        <v>1.7640942236678971</v>
      </c>
    </row>
    <row r="906" spans="1:8" ht="15.75" hidden="1" customHeight="1" x14ac:dyDescent="0.25">
      <c r="A906" s="20" t="s">
        <v>51</v>
      </c>
      <c r="B906" s="47" t="s">
        <v>94</v>
      </c>
      <c r="C906" s="49"/>
      <c r="D906" s="29" t="s">
        <v>379</v>
      </c>
      <c r="E906" s="23">
        <v>1</v>
      </c>
      <c r="F906" s="18">
        <f>E906* 0.142974979378609</f>
        <v>0.14297497937860901</v>
      </c>
      <c r="G906" s="18">
        <f>E906* 0.852350838603245</f>
        <v>0.85235083860324501</v>
      </c>
      <c r="H906" s="18">
        <f>E906* 0.00467418201814682</f>
        <v>4.6741820181468198E-3</v>
      </c>
    </row>
    <row r="907" spans="1:8" ht="15.75" hidden="1" customHeight="1" x14ac:dyDescent="0.25">
      <c r="A907" s="20" t="s">
        <v>51</v>
      </c>
      <c r="B907" s="47" t="s">
        <v>94</v>
      </c>
      <c r="C907" s="49"/>
      <c r="D907" s="19" t="s">
        <v>11</v>
      </c>
      <c r="E907" s="23">
        <v>50</v>
      </c>
      <c r="F907" s="18">
        <f>E907* 0.178797409805735</f>
        <v>8.9398704902867507</v>
      </c>
      <c r="G907" s="18">
        <f>E907* 0.819278445883441</f>
        <v>40.96392229417205</v>
      </c>
      <c r="H907" s="18">
        <f>E907* 0.00181313598519889</f>
        <v>9.0656799259944493E-2</v>
      </c>
    </row>
    <row r="908" spans="1:8" ht="15.75" hidden="1" customHeight="1" x14ac:dyDescent="0.25">
      <c r="A908" s="20" t="s">
        <v>51</v>
      </c>
      <c r="B908" s="47" t="s">
        <v>94</v>
      </c>
      <c r="C908" s="49"/>
      <c r="D908" s="19" t="s">
        <v>17</v>
      </c>
      <c r="E908" s="23">
        <v>82</v>
      </c>
      <c r="F908" s="18">
        <f>E908* 0.916446662218225</f>
        <v>75.148626301894453</v>
      </c>
      <c r="G908" s="18">
        <f>E908* 0.0292436682236212</f>
        <v>2.3979807943369384</v>
      </c>
      <c r="H908" s="18">
        <f>E908* 0.0543096695581537</f>
        <v>4.453392903768604</v>
      </c>
    </row>
    <row r="909" spans="1:8" ht="15.75" hidden="1" customHeight="1" x14ac:dyDescent="0.25">
      <c r="A909" s="20" t="s">
        <v>51</v>
      </c>
      <c r="B909" s="47" t="s">
        <v>94</v>
      </c>
      <c r="C909" s="49"/>
      <c r="D909" s="19" t="s">
        <v>31</v>
      </c>
      <c r="E909" s="23">
        <v>16</v>
      </c>
      <c r="F909" s="18">
        <f>E909* 0.957442434210526</f>
        <v>15.319078947368416</v>
      </c>
      <c r="G909" s="18">
        <f>E909* 0.0158305921052632</f>
        <v>0.25328947368421117</v>
      </c>
      <c r="H909" s="18">
        <f>E909* 0.0263157894736842</f>
        <v>0.42105263157894718</v>
      </c>
    </row>
    <row r="910" spans="1:8" ht="15.75" hidden="1" customHeight="1" x14ac:dyDescent="0.25">
      <c r="A910" s="20" t="s">
        <v>51</v>
      </c>
      <c r="B910" s="47" t="s">
        <v>94</v>
      </c>
      <c r="C910" s="49"/>
      <c r="D910" s="19" t="s">
        <v>18</v>
      </c>
      <c r="E910" s="23">
        <v>21</v>
      </c>
      <c r="F910" s="18">
        <f>E910* 0.983388008654987</f>
        <v>20.651148181754728</v>
      </c>
      <c r="G910" s="18">
        <f>E910* 0.0133314720457877</f>
        <v>0.27996091296154169</v>
      </c>
      <c r="H910" s="18">
        <f>E910* 0.003210721016263</f>
        <v>6.7425141341522998E-2</v>
      </c>
    </row>
    <row r="911" spans="1:8" ht="15.75" hidden="1" customHeight="1" x14ac:dyDescent="0.25">
      <c r="A911" s="20" t="s">
        <v>51</v>
      </c>
      <c r="B911" s="47" t="s">
        <v>94</v>
      </c>
      <c r="C911" s="49"/>
      <c r="D911" s="19" t="s">
        <v>20</v>
      </c>
      <c r="E911" s="23">
        <v>190</v>
      </c>
      <c r="F911" s="18">
        <f>E911* 0.814615536880747</f>
        <v>154.77695200734192</v>
      </c>
      <c r="G911" s="18">
        <f>E911* 0.0763167839340663</f>
        <v>14.500188947472596</v>
      </c>
      <c r="H911" s="18">
        <f>E911* 0.109013694193014</f>
        <v>20.712601896672659</v>
      </c>
    </row>
    <row r="912" spans="1:8" ht="15.75" hidden="1" customHeight="1" x14ac:dyDescent="0.25">
      <c r="A912" s="20" t="s">
        <v>51</v>
      </c>
      <c r="B912" s="47" t="s">
        <v>94</v>
      </c>
      <c r="C912" s="49"/>
      <c r="D912" s="19" t="s">
        <v>21</v>
      </c>
      <c r="E912" s="23">
        <v>713</v>
      </c>
      <c r="F912" s="18">
        <f>E912* 0.999722052365334</f>
        <v>712.80182333648315</v>
      </c>
      <c r="G912" s="20">
        <v>0</v>
      </c>
      <c r="H912" s="18">
        <f>E912* 0.000277947634665629</f>
        <v>0.19817666351659347</v>
      </c>
    </row>
    <row r="913" spans="1:8" ht="15.75" hidden="1" customHeight="1" x14ac:dyDescent="0.25">
      <c r="A913" s="20" t="s">
        <v>51</v>
      </c>
      <c r="B913" s="47" t="s">
        <v>94</v>
      </c>
      <c r="C913" s="49"/>
      <c r="D913" s="19" t="s">
        <v>36</v>
      </c>
      <c r="E913" s="23">
        <v>1</v>
      </c>
      <c r="F913" s="18">
        <f>E913* 0.999132697311362</f>
        <v>0.99913269731136201</v>
      </c>
      <c r="G913" s="20">
        <v>0</v>
      </c>
      <c r="H913" s="18">
        <f>E913* 0.000867302688638335</f>
        <v>8.6730268863833497E-4</v>
      </c>
    </row>
    <row r="914" spans="1:8" ht="15.75" hidden="1" customHeight="1" x14ac:dyDescent="0.25">
      <c r="A914" s="20" t="s">
        <v>51</v>
      </c>
      <c r="B914" s="47" t="s">
        <v>94</v>
      </c>
      <c r="C914" s="49"/>
      <c r="D914" s="19" t="s">
        <v>28</v>
      </c>
      <c r="E914" s="23">
        <v>13</v>
      </c>
      <c r="F914" s="18">
        <f>E914* 0.00115651503469545</f>
        <v>1.5034695451040849E-2</v>
      </c>
      <c r="G914" s="18">
        <f>E914* 0.998843484965305</f>
        <v>12.984965304548965</v>
      </c>
      <c r="H914" s="20">
        <v>0</v>
      </c>
    </row>
    <row r="915" spans="1:8" ht="15.75" hidden="1" customHeight="1" x14ac:dyDescent="0.25">
      <c r="A915" s="20" t="s">
        <v>51</v>
      </c>
      <c r="B915" s="47" t="s">
        <v>94</v>
      </c>
      <c r="C915" s="49"/>
      <c r="D915" s="19" t="s">
        <v>12</v>
      </c>
      <c r="E915" s="23">
        <v>360</v>
      </c>
      <c r="F915" s="18">
        <f>E915* 0.924936238310357</f>
        <v>332.97704579172853</v>
      </c>
      <c r="G915" s="18">
        <f>E915* 0.0351064361799663</f>
        <v>12.638317024787867</v>
      </c>
      <c r="H915" s="18">
        <f>E915* 0.039932320925503</f>
        <v>14.375635533181081</v>
      </c>
    </row>
    <row r="916" spans="1:8" ht="15.75" hidden="1" customHeight="1" x14ac:dyDescent="0.25">
      <c r="A916" s="20" t="s">
        <v>51</v>
      </c>
      <c r="B916" s="20"/>
      <c r="C916" s="20"/>
      <c r="D916" s="46"/>
      <c r="E916" s="35"/>
    </row>
    <row r="917" spans="1:8" ht="15.75" hidden="1" customHeight="1" x14ac:dyDescent="0.25">
      <c r="A917" s="20" t="s">
        <v>51</v>
      </c>
      <c r="B917" s="47" t="s">
        <v>380</v>
      </c>
      <c r="C917" s="12" t="str">
        <f>B917&amp;"_"&amp;A917</f>
        <v>Puerto Perez_La Paz</v>
      </c>
      <c r="D917" s="20"/>
      <c r="E917" s="48">
        <v>624</v>
      </c>
      <c r="F917" s="14">
        <f t="shared" ref="F917:H917" si="82">SUM(F918:F927)</f>
        <v>593.53615663712299</v>
      </c>
      <c r="G917" s="14">
        <f t="shared" si="82"/>
        <v>20.966956075550986</v>
      </c>
      <c r="H917" s="14">
        <f t="shared" si="82"/>
        <v>9.4874301225072362</v>
      </c>
    </row>
    <row r="918" spans="1:8" ht="15.75" hidden="1" customHeight="1" x14ac:dyDescent="0.25">
      <c r="A918" s="20" t="s">
        <v>51</v>
      </c>
      <c r="B918" s="47" t="s">
        <v>380</v>
      </c>
      <c r="C918" s="49"/>
      <c r="D918" s="19" t="s">
        <v>15</v>
      </c>
      <c r="E918" s="23">
        <v>27</v>
      </c>
      <c r="F918" s="18">
        <f>E918* 0.981163265034061</f>
        <v>26.491408155919647</v>
      </c>
      <c r="G918" s="18">
        <f>E918* 0.0027595216829083</f>
        <v>7.4507085438524093E-2</v>
      </c>
      <c r="H918" s="18">
        <f>E918* 0.0160372202151627</f>
        <v>0.43300494580939292</v>
      </c>
    </row>
    <row r="919" spans="1:8" ht="15.75" hidden="1" customHeight="1" x14ac:dyDescent="0.25">
      <c r="A919" s="20" t="s">
        <v>51</v>
      </c>
      <c r="B919" s="47" t="s">
        <v>380</v>
      </c>
      <c r="C919" s="49"/>
      <c r="D919" s="19" t="s">
        <v>11</v>
      </c>
      <c r="E919" s="23">
        <v>15</v>
      </c>
      <c r="F919" s="18">
        <f>E919* 0.178797409805735</f>
        <v>2.681961147086025</v>
      </c>
      <c r="G919" s="18">
        <f>E919* 0.819278445883441</f>
        <v>12.289176688251615</v>
      </c>
      <c r="H919" s="18">
        <f>E919* 0.00181313598519889</f>
        <v>2.7197039777983351E-2</v>
      </c>
    </row>
    <row r="920" spans="1:8" ht="15.75" hidden="1" customHeight="1" x14ac:dyDescent="0.25">
      <c r="A920" s="20" t="s">
        <v>51</v>
      </c>
      <c r="B920" s="47" t="s">
        <v>380</v>
      </c>
      <c r="C920" s="49"/>
      <c r="D920" s="19" t="s">
        <v>17</v>
      </c>
      <c r="E920" s="23">
        <v>21</v>
      </c>
      <c r="F920" s="18">
        <f>E920* 0.916446662218225</f>
        <v>19.245379906582727</v>
      </c>
      <c r="G920" s="18">
        <f>E920* 0.0292436682236212</f>
        <v>0.61411703269604512</v>
      </c>
      <c r="H920" s="18">
        <f>E920* 0.0543096695581537</f>
        <v>1.1405030607212276</v>
      </c>
    </row>
    <row r="921" spans="1:8" ht="15.75" hidden="1" customHeight="1" x14ac:dyDescent="0.25">
      <c r="A921" s="20" t="s">
        <v>51</v>
      </c>
      <c r="B921" s="47" t="s">
        <v>380</v>
      </c>
      <c r="C921" s="49"/>
      <c r="D921" s="19" t="s">
        <v>31</v>
      </c>
      <c r="E921" s="23">
        <v>5</v>
      </c>
      <c r="F921" s="18">
        <f>E921* 0.957442434210526</f>
        <v>4.7872121710526301</v>
      </c>
      <c r="G921" s="18">
        <f>E921* 0.0158305921052632</f>
        <v>7.9152960526315985E-2</v>
      </c>
      <c r="H921" s="18">
        <f>E921* 0.0263157894736842</f>
        <v>0.13157894736842099</v>
      </c>
    </row>
    <row r="922" spans="1:8" ht="15.75" hidden="1" customHeight="1" x14ac:dyDescent="0.25">
      <c r="A922" s="20" t="s">
        <v>51</v>
      </c>
      <c r="B922" s="47" t="s">
        <v>380</v>
      </c>
      <c r="C922" s="49"/>
      <c r="D922" s="19" t="s">
        <v>18</v>
      </c>
      <c r="E922" s="23">
        <v>7</v>
      </c>
      <c r="F922" s="18">
        <f>E922* 0.983388008654987</f>
        <v>6.8837160605849093</v>
      </c>
      <c r="G922" s="18">
        <f>E922* 0.0133314720457877</f>
        <v>9.33203043205139E-2</v>
      </c>
      <c r="H922" s="18">
        <f>E922* 0.003210721016263</f>
        <v>2.2475047113841001E-2</v>
      </c>
    </row>
    <row r="923" spans="1:8" ht="15.75" hidden="1" customHeight="1" x14ac:dyDescent="0.25">
      <c r="A923" s="20" t="s">
        <v>51</v>
      </c>
      <c r="B923" s="47" t="s">
        <v>380</v>
      </c>
      <c r="C923" s="49"/>
      <c r="D923" s="19" t="s">
        <v>20</v>
      </c>
      <c r="E923" s="23">
        <v>42</v>
      </c>
      <c r="F923" s="18">
        <f>E923* 0.814615536880747</f>
        <v>34.213852548991369</v>
      </c>
      <c r="G923" s="18">
        <f>E923* 0.0763167839340663</f>
        <v>3.2053049252307844</v>
      </c>
      <c r="H923" s="18">
        <f>E923* 0.109013694193014</f>
        <v>4.5785751561065879</v>
      </c>
    </row>
    <row r="924" spans="1:8" ht="15.75" hidden="1" customHeight="1" x14ac:dyDescent="0.25">
      <c r="A924" s="20" t="s">
        <v>51</v>
      </c>
      <c r="B924" s="47" t="s">
        <v>380</v>
      </c>
      <c r="C924" s="49"/>
      <c r="D924" s="19" t="s">
        <v>21</v>
      </c>
      <c r="E924" s="23">
        <v>429</v>
      </c>
      <c r="F924" s="18">
        <f>E924* 0.999722052365334</f>
        <v>428.88076046472827</v>
      </c>
      <c r="G924" s="20">
        <v>0</v>
      </c>
      <c r="H924" s="18">
        <f>E924* 0.000277947634665629</f>
        <v>0.11923953527155483</v>
      </c>
    </row>
    <row r="925" spans="1:8" ht="15.75" hidden="1" customHeight="1" x14ac:dyDescent="0.25">
      <c r="A925" s="20" t="s">
        <v>51</v>
      </c>
      <c r="B925" s="47" t="s">
        <v>380</v>
      </c>
      <c r="C925" s="49"/>
      <c r="D925" s="19" t="s">
        <v>37</v>
      </c>
      <c r="E925" s="23">
        <v>1</v>
      </c>
      <c r="F925" s="18">
        <f>E925* 0.0555555555555556</f>
        <v>5.5555555555555601E-2</v>
      </c>
      <c r="G925" s="18">
        <f>E925* 0.944444444444444</f>
        <v>0.94444444444444398</v>
      </c>
      <c r="H925" s="20">
        <v>0</v>
      </c>
    </row>
    <row r="926" spans="1:8" ht="15.75" hidden="1" customHeight="1" x14ac:dyDescent="0.25">
      <c r="A926" s="20" t="s">
        <v>51</v>
      </c>
      <c r="B926" s="47" t="s">
        <v>380</v>
      </c>
      <c r="C926" s="49"/>
      <c r="D926" s="19" t="s">
        <v>28</v>
      </c>
      <c r="E926" s="23">
        <v>1</v>
      </c>
      <c r="F926" s="18">
        <f>E926* 0.00115651503469545</f>
        <v>1.15651503469545E-3</v>
      </c>
      <c r="G926" s="18">
        <f>E926* 0.998843484965305</f>
        <v>0.99884348496530495</v>
      </c>
      <c r="H926" s="20">
        <v>0</v>
      </c>
    </row>
    <row r="927" spans="1:8" ht="15.75" hidden="1" customHeight="1" x14ac:dyDescent="0.25">
      <c r="A927" s="20" t="s">
        <v>51</v>
      </c>
      <c r="B927" s="47" t="s">
        <v>380</v>
      </c>
      <c r="C927" s="49"/>
      <c r="D927" s="19" t="s">
        <v>12</v>
      </c>
      <c r="E927" s="23">
        <v>76</v>
      </c>
      <c r="F927" s="18">
        <f>E927* 0.924936238310357</f>
        <v>70.295154111587124</v>
      </c>
      <c r="G927" s="18">
        <f>E927* 0.0351064361799663</f>
        <v>2.6680891496774386</v>
      </c>
      <c r="H927" s="18">
        <f>E927* 0.039932320925503</f>
        <v>3.034856390338228</v>
      </c>
    </row>
    <row r="928" spans="1:8" ht="15.75" hidden="1" customHeight="1" x14ac:dyDescent="0.25">
      <c r="A928" s="20" t="s">
        <v>51</v>
      </c>
      <c r="B928" s="20"/>
      <c r="C928" s="20"/>
      <c r="D928" s="46"/>
      <c r="E928" s="35"/>
    </row>
    <row r="929" spans="1:8" ht="15.75" hidden="1" customHeight="1" x14ac:dyDescent="0.25">
      <c r="A929" s="20" t="s">
        <v>51</v>
      </c>
      <c r="B929" s="47" t="s">
        <v>95</v>
      </c>
      <c r="C929" s="12" t="str">
        <f>B929&amp;"_"&amp;A929</f>
        <v>Quime_La Paz</v>
      </c>
      <c r="D929" s="20"/>
      <c r="E929" s="48">
        <v>901</v>
      </c>
      <c r="F929" s="14">
        <f t="shared" ref="F929:H929" si="83">SUM(F930:F941)</f>
        <v>703.10160173487282</v>
      </c>
      <c r="G929" s="14">
        <f t="shared" si="83"/>
        <v>169.41465184296754</v>
      </c>
      <c r="H929" s="14">
        <f t="shared" si="83"/>
        <v>28.447088180520197</v>
      </c>
    </row>
    <row r="930" spans="1:8" ht="15.75" hidden="1" customHeight="1" x14ac:dyDescent="0.25">
      <c r="A930" s="20" t="s">
        <v>51</v>
      </c>
      <c r="B930" s="47" t="s">
        <v>95</v>
      </c>
      <c r="C930" s="49"/>
      <c r="D930" s="19" t="s">
        <v>15</v>
      </c>
      <c r="E930" s="23">
        <v>154</v>
      </c>
      <c r="F930" s="18">
        <f>E930* 0.981163265034061</f>
        <v>151.09914281524539</v>
      </c>
      <c r="G930" s="18">
        <f>E930* 0.0027595216829083</f>
        <v>0.42496633916787818</v>
      </c>
      <c r="H930" s="18">
        <f>E930* 0.0160372202151627</f>
        <v>2.4697319131350559</v>
      </c>
    </row>
    <row r="931" spans="1:8" ht="15.75" hidden="1" customHeight="1" x14ac:dyDescent="0.25">
      <c r="A931" s="20" t="s">
        <v>51</v>
      </c>
      <c r="B931" s="47" t="s">
        <v>95</v>
      </c>
      <c r="C931" s="49"/>
      <c r="D931" s="29" t="s">
        <v>381</v>
      </c>
      <c r="E931" s="23">
        <v>12</v>
      </c>
      <c r="F931" s="18">
        <f>E931* 0.142974979378609</f>
        <v>1.715699752543308</v>
      </c>
      <c r="G931" s="18">
        <f>E931* 0.852350838603245</f>
        <v>10.22821006323894</v>
      </c>
      <c r="H931" s="18">
        <f>E931* 0.00467418201814682</f>
        <v>5.6090184217761838E-2</v>
      </c>
    </row>
    <row r="932" spans="1:8" ht="15.75" hidden="1" customHeight="1" x14ac:dyDescent="0.25">
      <c r="A932" s="20" t="s">
        <v>51</v>
      </c>
      <c r="B932" s="47" t="s">
        <v>95</v>
      </c>
      <c r="C932" s="49"/>
      <c r="D932" s="19" t="s">
        <v>11</v>
      </c>
      <c r="E932" s="23">
        <v>136</v>
      </c>
      <c r="F932" s="18">
        <f>E932* 0.178797409805735</f>
        <v>24.31644773357996</v>
      </c>
      <c r="G932" s="18">
        <f>E932* 0.819278445883441</f>
        <v>111.42186864014798</v>
      </c>
      <c r="H932" s="18">
        <f>E932* 0.00181313598519889</f>
        <v>0.24658649398704902</v>
      </c>
    </row>
    <row r="933" spans="1:8" ht="15.75" hidden="1" customHeight="1" x14ac:dyDescent="0.25">
      <c r="A933" s="20" t="s">
        <v>51</v>
      </c>
      <c r="B933" s="47" t="s">
        <v>95</v>
      </c>
      <c r="C933" s="49"/>
      <c r="D933" s="19" t="s">
        <v>17</v>
      </c>
      <c r="E933" s="23">
        <v>93</v>
      </c>
      <c r="F933" s="18">
        <f>E933* 0.916446662218225</f>
        <v>85.229539586294933</v>
      </c>
      <c r="G933" s="18">
        <f>E933* 0.0292436682236212</f>
        <v>2.7196611447967713</v>
      </c>
      <c r="H933" s="18">
        <f>E933* 0.0543096695581537</f>
        <v>5.0507992689082943</v>
      </c>
    </row>
    <row r="934" spans="1:8" ht="15.75" hidden="1" customHeight="1" x14ac:dyDescent="0.25">
      <c r="A934" s="20" t="s">
        <v>51</v>
      </c>
      <c r="B934" s="47" t="s">
        <v>95</v>
      </c>
      <c r="C934" s="49"/>
      <c r="D934" s="19" t="s">
        <v>31</v>
      </c>
      <c r="E934" s="23">
        <v>6</v>
      </c>
      <c r="F934" s="18">
        <f>E934* 0.957442434210526</f>
        <v>5.7446546052631557</v>
      </c>
      <c r="G934" s="18">
        <f>E934* 0.0158305921052632</f>
        <v>9.4983552631579191E-2</v>
      </c>
      <c r="H934" s="18">
        <f>E934* 0.0263157894736842</f>
        <v>0.1578947368421052</v>
      </c>
    </row>
    <row r="935" spans="1:8" ht="15.75" hidden="1" customHeight="1" x14ac:dyDescent="0.25">
      <c r="A935" s="20" t="s">
        <v>51</v>
      </c>
      <c r="B935" s="47" t="s">
        <v>95</v>
      </c>
      <c r="C935" s="49"/>
      <c r="D935" s="19" t="s">
        <v>18</v>
      </c>
      <c r="E935" s="23">
        <v>23</v>
      </c>
      <c r="F935" s="18">
        <f>E935* 0.983388008654987</f>
        <v>22.617924199064699</v>
      </c>
      <c r="G935" s="18">
        <f>E935* 0.0133314720457877</f>
        <v>0.30662385705311712</v>
      </c>
      <c r="H935" s="18">
        <f>E935* 0.003210721016263</f>
        <v>7.3846583374049007E-2</v>
      </c>
    </row>
    <row r="936" spans="1:8" ht="15.75" hidden="1" customHeight="1" x14ac:dyDescent="0.25">
      <c r="A936" s="20" t="s">
        <v>51</v>
      </c>
      <c r="B936" s="47" t="s">
        <v>95</v>
      </c>
      <c r="C936" s="49"/>
      <c r="D936" s="19" t="s">
        <v>19</v>
      </c>
      <c r="E936" s="23">
        <v>9</v>
      </c>
      <c r="F936" s="18">
        <f>E936* 0.511826182618262</f>
        <v>4.6064356435643576</v>
      </c>
      <c r="G936" s="18">
        <f>E936* 0.476622662266227</f>
        <v>4.2896039603960432</v>
      </c>
      <c r="H936" s="18">
        <f>E936* 0.0115511551155116</f>
        <v>0.10396039603960441</v>
      </c>
    </row>
    <row r="937" spans="1:8" ht="15.75" hidden="1" customHeight="1" x14ac:dyDescent="0.25">
      <c r="A937" s="20" t="s">
        <v>51</v>
      </c>
      <c r="B937" s="47" t="s">
        <v>95</v>
      </c>
      <c r="C937" s="49"/>
      <c r="D937" s="19" t="s">
        <v>20</v>
      </c>
      <c r="E937" s="23">
        <v>95</v>
      </c>
      <c r="F937" s="18">
        <f>E937* 0.814615536880747</f>
        <v>77.388476003670959</v>
      </c>
      <c r="G937" s="18">
        <f>E937* 0.0763167839340663</f>
        <v>7.250094473736298</v>
      </c>
      <c r="H937" s="18">
        <f>E937* 0.109013694193014</f>
        <v>10.35630094833633</v>
      </c>
    </row>
    <row r="938" spans="1:8" ht="15.75" hidden="1" customHeight="1" x14ac:dyDescent="0.25">
      <c r="A938" s="20" t="s">
        <v>51</v>
      </c>
      <c r="B938" s="47" t="s">
        <v>95</v>
      </c>
      <c r="C938" s="49"/>
      <c r="D938" s="19" t="s">
        <v>21</v>
      </c>
      <c r="E938" s="23">
        <v>100</v>
      </c>
      <c r="F938" s="18">
        <f>E938* 0.999722052365334</f>
        <v>99.972205236533398</v>
      </c>
      <c r="G938" s="20">
        <v>0</v>
      </c>
      <c r="H938" s="18">
        <f>E938* 0.000277947634665629</f>
        <v>2.77947634665629E-2</v>
      </c>
    </row>
    <row r="939" spans="1:8" ht="15.75" hidden="1" customHeight="1" x14ac:dyDescent="0.25">
      <c r="A939" s="20" t="s">
        <v>51</v>
      </c>
      <c r="B939" s="47" t="s">
        <v>95</v>
      </c>
      <c r="C939" s="49"/>
      <c r="D939" s="19" t="s">
        <v>36</v>
      </c>
      <c r="E939" s="23">
        <v>1</v>
      </c>
      <c r="F939" s="18">
        <f>E939* 0.999132697311362</f>
        <v>0.99913269731136201</v>
      </c>
      <c r="G939" s="20">
        <v>0</v>
      </c>
      <c r="H939" s="18">
        <f>E939* 0.000867302688638335</f>
        <v>8.6730268863833497E-4</v>
      </c>
    </row>
    <row r="940" spans="1:8" ht="15.75" hidden="1" customHeight="1" x14ac:dyDescent="0.25">
      <c r="A940" s="20" t="s">
        <v>51</v>
      </c>
      <c r="B940" s="47" t="s">
        <v>95</v>
      </c>
      <c r="C940" s="49"/>
      <c r="D940" s="19" t="s">
        <v>28</v>
      </c>
      <c r="E940" s="23">
        <v>24</v>
      </c>
      <c r="F940" s="18">
        <f>E940* 0.00115651503469545</f>
        <v>2.7756360832690799E-2</v>
      </c>
      <c r="G940" s="18">
        <f>E940* 0.998843484965305</f>
        <v>23.972243639167317</v>
      </c>
      <c r="H940" s="20">
        <v>0</v>
      </c>
    </row>
    <row r="941" spans="1:8" ht="15.75" hidden="1" customHeight="1" x14ac:dyDescent="0.25">
      <c r="A941" s="20" t="s">
        <v>51</v>
      </c>
      <c r="B941" s="47" t="s">
        <v>95</v>
      </c>
      <c r="C941" s="49"/>
      <c r="D941" s="19" t="s">
        <v>12</v>
      </c>
      <c r="E941" s="23">
        <v>248</v>
      </c>
      <c r="F941" s="18">
        <f>E941* 0.924936238310357</f>
        <v>229.38418710096852</v>
      </c>
      <c r="G941" s="18">
        <f>E941* 0.0351064361799663</f>
        <v>8.7063961726316421</v>
      </c>
      <c r="H941" s="18">
        <f>E941* 0.039932320925503</f>
        <v>9.9032155895247449</v>
      </c>
    </row>
    <row r="942" spans="1:8" ht="15.75" hidden="1" customHeight="1" x14ac:dyDescent="0.25">
      <c r="A942" s="20" t="s">
        <v>51</v>
      </c>
      <c r="B942" s="20"/>
      <c r="C942" s="20"/>
      <c r="D942" s="46"/>
      <c r="E942" s="35"/>
    </row>
    <row r="943" spans="1:8" ht="15.75" hidden="1" customHeight="1" x14ac:dyDescent="0.25">
      <c r="A943" s="20" t="s">
        <v>51</v>
      </c>
      <c r="B943" s="47" t="s">
        <v>382</v>
      </c>
      <c r="C943" s="12" t="str">
        <f>B943&amp;"_"&amp;A943</f>
        <v>San Andrés de Machaca_La Paz</v>
      </c>
      <c r="D943" s="20"/>
      <c r="E943" s="48">
        <v>75</v>
      </c>
      <c r="F943" s="14">
        <f t="shared" ref="F943:H943" si="84">SUM(F944:F954)</f>
        <v>47.845191840208912</v>
      </c>
      <c r="G943" s="14">
        <f t="shared" si="84"/>
        <v>24.176056241590562</v>
      </c>
      <c r="H943" s="14">
        <f t="shared" si="84"/>
        <v>2.9752437276897901</v>
      </c>
    </row>
    <row r="944" spans="1:8" ht="15.75" hidden="1" customHeight="1" x14ac:dyDescent="0.25">
      <c r="A944" s="20" t="s">
        <v>51</v>
      </c>
      <c r="B944" s="47" t="s">
        <v>382</v>
      </c>
      <c r="C944" s="49"/>
      <c r="D944" s="19" t="s">
        <v>15</v>
      </c>
      <c r="E944" s="23">
        <v>4</v>
      </c>
      <c r="F944" s="18">
        <f>E944* 0.981163265034061</f>
        <v>3.9246530601362442</v>
      </c>
      <c r="G944" s="18">
        <f>E944* 0.0027595216829083</f>
        <v>1.1038086731633199E-2</v>
      </c>
      <c r="H944" s="18">
        <f>E944* 0.0160372202151627</f>
        <v>6.4148880860650806E-2</v>
      </c>
    </row>
    <row r="945" spans="1:8" ht="15.75" hidden="1" customHeight="1" x14ac:dyDescent="0.25">
      <c r="A945" s="20" t="s">
        <v>51</v>
      </c>
      <c r="B945" s="47" t="s">
        <v>382</v>
      </c>
      <c r="C945" s="49"/>
      <c r="D945" s="29" t="s">
        <v>383</v>
      </c>
      <c r="E945" s="23">
        <v>14</v>
      </c>
      <c r="F945" s="18">
        <f>E945* 0.142974979378609</f>
        <v>2.001649711300526</v>
      </c>
      <c r="G945" s="18">
        <f>E945* 0.852350838603245</f>
        <v>11.93291174044543</v>
      </c>
      <c r="H945" s="18">
        <f>E945* 0.00467418201814682</f>
        <v>6.5438548254055484E-2</v>
      </c>
    </row>
    <row r="946" spans="1:8" ht="15.75" hidden="1" customHeight="1" x14ac:dyDescent="0.25">
      <c r="A946" s="20" t="s">
        <v>51</v>
      </c>
      <c r="B946" s="47" t="s">
        <v>382</v>
      </c>
      <c r="C946" s="49"/>
      <c r="D946" s="19" t="s">
        <v>11</v>
      </c>
      <c r="E946" s="23">
        <v>7</v>
      </c>
      <c r="F946" s="18">
        <f>E946* 0.178797409805735</f>
        <v>1.251581868640145</v>
      </c>
      <c r="G946" s="18">
        <f>E946* 0.819278445883441</f>
        <v>5.7349491211840871</v>
      </c>
      <c r="H946" s="18">
        <f>E946* 0.00181313598519889</f>
        <v>1.2691951896392229E-2</v>
      </c>
    </row>
    <row r="947" spans="1:8" ht="15.75" hidden="1" customHeight="1" x14ac:dyDescent="0.25">
      <c r="A947" s="20" t="s">
        <v>51</v>
      </c>
      <c r="B947" s="47" t="s">
        <v>382</v>
      </c>
      <c r="C947" s="49"/>
      <c r="D947" s="19" t="s">
        <v>17</v>
      </c>
      <c r="E947" s="23">
        <v>6</v>
      </c>
      <c r="F947" s="18">
        <f>E947* 0.916446662218225</f>
        <v>5.4986799733093505</v>
      </c>
      <c r="G947" s="18">
        <f>E947* 0.0292436682236212</f>
        <v>0.17546200934172718</v>
      </c>
      <c r="H947" s="18">
        <f>E947* 0.0543096695581537</f>
        <v>0.32585801734892222</v>
      </c>
    </row>
    <row r="948" spans="1:8" ht="15.75" hidden="1" customHeight="1" x14ac:dyDescent="0.25">
      <c r="A948" s="20" t="s">
        <v>51</v>
      </c>
      <c r="B948" s="47" t="s">
        <v>382</v>
      </c>
      <c r="C948" s="49"/>
      <c r="D948" s="19" t="s">
        <v>31</v>
      </c>
      <c r="E948" s="23">
        <v>3</v>
      </c>
      <c r="F948" s="18">
        <f>E948* 0.957442434210526</f>
        <v>2.8723273026315779</v>
      </c>
      <c r="G948" s="18">
        <f>E948* 0.0158305921052632</f>
        <v>4.7491776315789595E-2</v>
      </c>
      <c r="H948" s="18">
        <f>E948* 0.0263157894736842</f>
        <v>7.8947368421052599E-2</v>
      </c>
    </row>
    <row r="949" spans="1:8" ht="15.75" hidden="1" customHeight="1" x14ac:dyDescent="0.25">
      <c r="A949" s="20" t="s">
        <v>51</v>
      </c>
      <c r="B949" s="47" t="s">
        <v>382</v>
      </c>
      <c r="C949" s="49"/>
      <c r="D949" s="19" t="s">
        <v>18</v>
      </c>
      <c r="E949" s="23">
        <v>1</v>
      </c>
      <c r="F949" s="18">
        <f>E949* 0.983388008654987</f>
        <v>0.98338800865498699</v>
      </c>
      <c r="G949" s="18">
        <f>E949* 0.0133314720457877</f>
        <v>1.33314720457877E-2</v>
      </c>
      <c r="H949" s="18">
        <f>E949* 0.003210721016263</f>
        <v>3.2107210162630002E-3</v>
      </c>
    </row>
    <row r="950" spans="1:8" ht="15.75" hidden="1" customHeight="1" x14ac:dyDescent="0.25">
      <c r="A950" s="20" t="s">
        <v>51</v>
      </c>
      <c r="B950" s="47" t="s">
        <v>382</v>
      </c>
      <c r="C950" s="49"/>
      <c r="D950" s="19" t="s">
        <v>19</v>
      </c>
      <c r="E950" s="23">
        <v>1</v>
      </c>
      <c r="F950" s="18">
        <f>E950* 0.511826182618262</f>
        <v>0.51182618261826196</v>
      </c>
      <c r="G950" s="18">
        <f>E950* 0.476622662266227</f>
        <v>0.47662266226622702</v>
      </c>
      <c r="H950" s="18">
        <f>E950* 0.0115511551155116</f>
        <v>1.1551155115511601E-2</v>
      </c>
    </row>
    <row r="951" spans="1:8" ht="15.75" hidden="1" customHeight="1" x14ac:dyDescent="0.25">
      <c r="A951" s="20" t="s">
        <v>51</v>
      </c>
      <c r="B951" s="47" t="s">
        <v>382</v>
      </c>
      <c r="C951" s="49"/>
      <c r="D951" s="19" t="s">
        <v>20</v>
      </c>
      <c r="E951" s="23">
        <v>17</v>
      </c>
      <c r="F951" s="18">
        <f>E951* 0.814615536880747</f>
        <v>13.848464126972699</v>
      </c>
      <c r="G951" s="18">
        <f>E951* 0.0763167839340663</f>
        <v>1.2973853268791271</v>
      </c>
      <c r="H951" s="18">
        <f>E951* 0.109013694193014</f>
        <v>1.853232801281238</v>
      </c>
    </row>
    <row r="952" spans="1:8" ht="15.75" hidden="1" customHeight="1" x14ac:dyDescent="0.25">
      <c r="A952" s="20" t="s">
        <v>51</v>
      </c>
      <c r="B952" s="47" t="s">
        <v>382</v>
      </c>
      <c r="C952" s="49"/>
      <c r="D952" s="19" t="s">
        <v>21</v>
      </c>
      <c r="E952" s="23">
        <v>4</v>
      </c>
      <c r="F952" s="18">
        <f>E952* 0.999722052365334</f>
        <v>3.9988882094613358</v>
      </c>
      <c r="G952" s="20">
        <v>0</v>
      </c>
      <c r="H952" s="18">
        <f>E952* 0.000277947634665629</f>
        <v>1.1117905386625159E-3</v>
      </c>
    </row>
    <row r="953" spans="1:8" ht="15.75" hidden="1" customHeight="1" x14ac:dyDescent="0.25">
      <c r="A953" s="20" t="s">
        <v>51</v>
      </c>
      <c r="B953" s="47" t="s">
        <v>382</v>
      </c>
      <c r="C953" s="49"/>
      <c r="D953" s="19" t="s">
        <v>28</v>
      </c>
      <c r="E953" s="23">
        <v>4</v>
      </c>
      <c r="F953" s="18">
        <f>E953* 0.00115651503469545</f>
        <v>4.6260601387817998E-3</v>
      </c>
      <c r="G953" s="18">
        <f>E953* 0.998843484965305</f>
        <v>3.9953739398612198</v>
      </c>
      <c r="H953" s="20">
        <v>0</v>
      </c>
    </row>
    <row r="954" spans="1:8" ht="15.75" hidden="1" customHeight="1" x14ac:dyDescent="0.25">
      <c r="A954" s="20" t="s">
        <v>51</v>
      </c>
      <c r="B954" s="47" t="s">
        <v>382</v>
      </c>
      <c r="C954" s="49"/>
      <c r="D954" s="19" t="s">
        <v>12</v>
      </c>
      <c r="E954" s="23">
        <v>14</v>
      </c>
      <c r="F954" s="18">
        <f>E954* 0.924936238310357</f>
        <v>12.949107336344998</v>
      </c>
      <c r="G954" s="18">
        <f>E954* 0.0351064361799663</f>
        <v>0.49149010651952818</v>
      </c>
      <c r="H954" s="18">
        <f>E954* 0.039932320925503</f>
        <v>0.55905249295704196</v>
      </c>
    </row>
    <row r="955" spans="1:8" ht="15.75" hidden="1" customHeight="1" x14ac:dyDescent="0.25">
      <c r="A955" s="20" t="s">
        <v>51</v>
      </c>
      <c r="B955" s="20"/>
      <c r="C955" s="20"/>
      <c r="D955" s="46"/>
      <c r="E955" s="35"/>
    </row>
    <row r="956" spans="1:8" ht="15.75" hidden="1" customHeight="1" x14ac:dyDescent="0.25">
      <c r="A956" s="20" t="s">
        <v>51</v>
      </c>
      <c r="B956" s="47" t="s">
        <v>384</v>
      </c>
      <c r="C956" s="12" t="str">
        <f>B956&amp;"_"&amp;A956</f>
        <v>San Buenaventura_La Paz</v>
      </c>
      <c r="D956" s="20"/>
      <c r="E956" s="48">
        <v>90</v>
      </c>
      <c r="F956" s="14">
        <f t="shared" ref="F956:H956" si="85">SUM(F957:F967)</f>
        <v>51.827091143307314</v>
      </c>
      <c r="G956" s="14">
        <f t="shared" si="85"/>
        <v>37.340220634911631</v>
      </c>
      <c r="H956" s="14">
        <f t="shared" si="85"/>
        <v>0.8296136165553305</v>
      </c>
    </row>
    <row r="957" spans="1:8" ht="15.75" hidden="1" customHeight="1" x14ac:dyDescent="0.25">
      <c r="A957" s="20" t="s">
        <v>51</v>
      </c>
      <c r="B957" s="47" t="s">
        <v>384</v>
      </c>
      <c r="C957" s="49"/>
      <c r="D957" s="19" t="s">
        <v>15</v>
      </c>
      <c r="E957" s="23">
        <v>1</v>
      </c>
      <c r="F957" s="18">
        <f>E957* 0.981163265034061</f>
        <v>0.98116326503406104</v>
      </c>
      <c r="G957" s="18">
        <f>E957* 0.0027595216829083</f>
        <v>2.7595216829082998E-3</v>
      </c>
      <c r="H957" s="18">
        <f>E957* 0.0160372202151627</f>
        <v>1.6037220215162701E-2</v>
      </c>
    </row>
    <row r="958" spans="1:8" ht="15.75" hidden="1" customHeight="1" x14ac:dyDescent="0.25">
      <c r="A958" s="20" t="s">
        <v>51</v>
      </c>
      <c r="B958" s="47" t="s">
        <v>384</v>
      </c>
      <c r="C958" s="49"/>
      <c r="D958" s="29" t="s">
        <v>385</v>
      </c>
      <c r="E958" s="23">
        <v>4</v>
      </c>
      <c r="F958" s="18">
        <f>E958* 0.142974979378609</f>
        <v>0.57189991751443603</v>
      </c>
      <c r="G958" s="18">
        <f>E958* 0.852350838603245</f>
        <v>3.40940335441298</v>
      </c>
      <c r="H958" s="18">
        <f>E958* 0.00467418201814682</f>
        <v>1.8696728072587279E-2</v>
      </c>
    </row>
    <row r="959" spans="1:8" ht="15.75" hidden="1" customHeight="1" x14ac:dyDescent="0.25">
      <c r="A959" s="20" t="s">
        <v>51</v>
      </c>
      <c r="B959" s="47" t="s">
        <v>384</v>
      </c>
      <c r="C959" s="49"/>
      <c r="D959" s="19" t="s">
        <v>11</v>
      </c>
      <c r="E959" s="23">
        <v>25</v>
      </c>
      <c r="F959" s="18">
        <f>E959* 0.178797409805735</f>
        <v>4.4699352451433754</v>
      </c>
      <c r="G959" s="18">
        <f>E959* 0.819278445883441</f>
        <v>20.481961147086025</v>
      </c>
      <c r="H959" s="18">
        <f>E959* 0.00181313598519889</f>
        <v>4.5328399629972246E-2</v>
      </c>
    </row>
    <row r="960" spans="1:8" ht="15.75" hidden="1" customHeight="1" x14ac:dyDescent="0.25">
      <c r="A960" s="20" t="s">
        <v>51</v>
      </c>
      <c r="B960" s="47" t="s">
        <v>384</v>
      </c>
      <c r="C960" s="49"/>
      <c r="D960" s="19" t="s">
        <v>17</v>
      </c>
      <c r="E960" s="23">
        <v>12</v>
      </c>
      <c r="F960" s="18">
        <f>E960* 0.916446662218225</f>
        <v>10.997359946618701</v>
      </c>
      <c r="G960" s="18">
        <f>E960* 0.0292436682236212</f>
        <v>0.35092401868345435</v>
      </c>
      <c r="H960" s="18">
        <f>E960* 0.0543096695581537</f>
        <v>0.65171603469784445</v>
      </c>
    </row>
    <row r="961" spans="1:8" ht="15.75" hidden="1" customHeight="1" x14ac:dyDescent="0.25">
      <c r="A961" s="20" t="s">
        <v>51</v>
      </c>
      <c r="B961" s="47" t="s">
        <v>384</v>
      </c>
      <c r="C961" s="49"/>
      <c r="D961" s="19" t="s">
        <v>31</v>
      </c>
      <c r="E961" s="35"/>
      <c r="F961" s="18">
        <f>E961* 0.957442434210526</f>
        <v>0</v>
      </c>
      <c r="G961" s="18">
        <f>E961* 0.0158305921052632</f>
        <v>0</v>
      </c>
      <c r="H961" s="18">
        <f>E961* 0.0263157894736842</f>
        <v>0</v>
      </c>
    </row>
    <row r="962" spans="1:8" ht="15.75" hidden="1" customHeight="1" x14ac:dyDescent="0.25">
      <c r="A962" s="20" t="s">
        <v>51</v>
      </c>
      <c r="B962" s="47" t="s">
        <v>384</v>
      </c>
      <c r="C962" s="49"/>
      <c r="D962" s="19" t="s">
        <v>18</v>
      </c>
      <c r="E962" s="23">
        <v>3</v>
      </c>
      <c r="F962" s="18">
        <f>E962* 0.983388008654987</f>
        <v>2.9501640259649609</v>
      </c>
      <c r="G962" s="18">
        <f>E962* 0.0133314720457877</f>
        <v>3.9994416137363098E-2</v>
      </c>
      <c r="H962" s="18">
        <f>E962* 0.003210721016263</f>
        <v>9.6321630487889998E-3</v>
      </c>
    </row>
    <row r="963" spans="1:8" ht="15.75" hidden="1" customHeight="1" x14ac:dyDescent="0.25">
      <c r="A963" s="20" t="s">
        <v>51</v>
      </c>
      <c r="B963" s="47" t="s">
        <v>384</v>
      </c>
      <c r="C963" s="49"/>
      <c r="D963" s="19" t="s">
        <v>19</v>
      </c>
      <c r="E963" s="35"/>
      <c r="F963" s="18">
        <f>E963* 0.511826182618262</f>
        <v>0</v>
      </c>
      <c r="G963" s="18">
        <f>E963* 0.476622662266227</f>
        <v>0</v>
      </c>
      <c r="H963" s="18">
        <f>E963* 0.0115511551155116</f>
        <v>0</v>
      </c>
    </row>
    <row r="964" spans="1:8" ht="15.75" hidden="1" customHeight="1" x14ac:dyDescent="0.25">
      <c r="A964" s="20" t="s">
        <v>51</v>
      </c>
      <c r="B964" s="47" t="s">
        <v>384</v>
      </c>
      <c r="C964" s="49"/>
      <c r="D964" s="19" t="s">
        <v>20</v>
      </c>
      <c r="E964" s="35"/>
      <c r="F964" s="18">
        <f>E964* 0.814615536880747</f>
        <v>0</v>
      </c>
      <c r="G964" s="18">
        <f>E964* 0.0763167839340663</f>
        <v>0</v>
      </c>
      <c r="H964" s="18">
        <f>E964* 0.109013694193014</f>
        <v>0</v>
      </c>
    </row>
    <row r="965" spans="1:8" ht="15.75" hidden="1" customHeight="1" x14ac:dyDescent="0.25">
      <c r="A965" s="20" t="s">
        <v>51</v>
      </c>
      <c r="B965" s="47" t="s">
        <v>384</v>
      </c>
      <c r="C965" s="49"/>
      <c r="D965" s="19" t="s">
        <v>21</v>
      </c>
      <c r="E965" s="23">
        <v>30</v>
      </c>
      <c r="F965" s="18">
        <f>E965* 0.999722052365334</f>
        <v>29.991661570960019</v>
      </c>
      <c r="G965" s="20">
        <v>0</v>
      </c>
      <c r="H965" s="18">
        <f>E965* 0.000277947634665629</f>
        <v>8.3384290399688699E-3</v>
      </c>
    </row>
    <row r="966" spans="1:8" ht="15.75" hidden="1" customHeight="1" x14ac:dyDescent="0.25">
      <c r="A966" s="20" t="s">
        <v>51</v>
      </c>
      <c r="B966" s="47" t="s">
        <v>384</v>
      </c>
      <c r="C966" s="49"/>
      <c r="D966" s="19" t="s">
        <v>28</v>
      </c>
      <c r="E966" s="23">
        <v>13</v>
      </c>
      <c r="F966" s="18">
        <f>E966* 0.00115651503469545</f>
        <v>1.5034695451040849E-2</v>
      </c>
      <c r="G966" s="18">
        <f>E966* 0.998843484965305</f>
        <v>12.984965304548965</v>
      </c>
      <c r="H966" s="20">
        <v>0</v>
      </c>
    </row>
    <row r="967" spans="1:8" ht="15.75" hidden="1" customHeight="1" x14ac:dyDescent="0.25">
      <c r="A967" s="20" t="s">
        <v>51</v>
      </c>
      <c r="B967" s="47" t="s">
        <v>384</v>
      </c>
      <c r="C967" s="49"/>
      <c r="D967" s="19" t="s">
        <v>12</v>
      </c>
      <c r="E967" s="23">
        <v>2</v>
      </c>
      <c r="F967" s="18">
        <f>E967* 0.924936238310357</f>
        <v>1.849872476620714</v>
      </c>
      <c r="G967" s="18">
        <f>E967* 0.0351064361799663</f>
        <v>7.0212872359932593E-2</v>
      </c>
      <c r="H967" s="18">
        <f>E967* 0.039932320925503</f>
        <v>7.9864641851006002E-2</v>
      </c>
    </row>
    <row r="968" spans="1:8" ht="15.75" hidden="1" customHeight="1" x14ac:dyDescent="0.25">
      <c r="A968" s="20" t="s">
        <v>51</v>
      </c>
      <c r="B968" s="20"/>
      <c r="C968" s="20"/>
      <c r="D968" s="46"/>
      <c r="E968" s="35"/>
    </row>
    <row r="969" spans="1:8" ht="15.75" hidden="1" customHeight="1" x14ac:dyDescent="0.25">
      <c r="A969" s="20" t="s">
        <v>51</v>
      </c>
      <c r="B969" s="47" t="s">
        <v>386</v>
      </c>
      <c r="C969" s="12" t="str">
        <f>B969&amp;"_"&amp;A969</f>
        <v>San Pedro de Tiquina_La Paz</v>
      </c>
      <c r="D969" s="20"/>
      <c r="E969" s="48">
        <v>615</v>
      </c>
      <c r="F969" s="14">
        <f t="shared" ref="F969:H969" si="86">SUM(F970:F980)</f>
        <v>477.89183570199327</v>
      </c>
      <c r="G969" s="14">
        <f t="shared" si="86"/>
        <v>111.8416039660605</v>
      </c>
      <c r="H969" s="14">
        <f t="shared" si="86"/>
        <v>25.23755902938403</v>
      </c>
    </row>
    <row r="970" spans="1:8" ht="15.75" hidden="1" customHeight="1" x14ac:dyDescent="0.25">
      <c r="A970" s="20" t="s">
        <v>51</v>
      </c>
      <c r="B970" s="47" t="s">
        <v>386</v>
      </c>
      <c r="C970" s="49"/>
      <c r="D970" s="19" t="s">
        <v>15</v>
      </c>
      <c r="E970" s="23">
        <v>80</v>
      </c>
      <c r="F970" s="18">
        <f>E970* 0.981163265034061</f>
        <v>78.493061202724888</v>
      </c>
      <c r="G970" s="18">
        <f>E970* 0.0027595216829083</f>
        <v>0.22076173463266399</v>
      </c>
      <c r="H970" s="18">
        <f>E970* 0.0160372202151627</f>
        <v>1.2829776172130161</v>
      </c>
    </row>
    <row r="971" spans="1:8" ht="15.75" hidden="1" customHeight="1" x14ac:dyDescent="0.25">
      <c r="A971" s="20" t="s">
        <v>51</v>
      </c>
      <c r="B971" s="47" t="s">
        <v>386</v>
      </c>
      <c r="C971" s="49"/>
      <c r="D971" s="29" t="s">
        <v>387</v>
      </c>
      <c r="E971" s="23">
        <v>10</v>
      </c>
      <c r="F971" s="18">
        <f>E971* 0.142974979378609</f>
        <v>1.4297497937860901</v>
      </c>
      <c r="G971" s="18">
        <f>E971* 0.852350838603245</f>
        <v>8.5235083860324501</v>
      </c>
      <c r="H971" s="18">
        <f>E971* 0.00467418201814682</f>
        <v>4.6741820181468198E-2</v>
      </c>
    </row>
    <row r="972" spans="1:8" ht="15.75" hidden="1" customHeight="1" x14ac:dyDescent="0.25">
      <c r="A972" s="20" t="s">
        <v>51</v>
      </c>
      <c r="B972" s="47" t="s">
        <v>386</v>
      </c>
      <c r="C972" s="49"/>
      <c r="D972" s="19" t="s">
        <v>11</v>
      </c>
      <c r="E972" s="23">
        <v>83</v>
      </c>
      <c r="F972" s="18">
        <f>E972* 0.178797409805735</f>
        <v>14.840185013876004</v>
      </c>
      <c r="G972" s="18">
        <f>E972* 0.819278445883441</f>
        <v>68.000111008325604</v>
      </c>
      <c r="H972" s="18">
        <f>E972* 0.00181313598519889</f>
        <v>0.15049028677150786</v>
      </c>
    </row>
    <row r="973" spans="1:8" ht="15.75" hidden="1" customHeight="1" x14ac:dyDescent="0.25">
      <c r="A973" s="20" t="s">
        <v>51</v>
      </c>
      <c r="B973" s="47" t="s">
        <v>386</v>
      </c>
      <c r="C973" s="49"/>
      <c r="D973" s="19" t="s">
        <v>17</v>
      </c>
      <c r="E973" s="23">
        <v>64</v>
      </c>
      <c r="F973" s="18">
        <f>E973* 0.916446662218225</f>
        <v>58.652586381966401</v>
      </c>
      <c r="G973" s="18">
        <f>E973* 0.0292436682236212</f>
        <v>1.8715947663117567</v>
      </c>
      <c r="H973" s="18">
        <f>E973* 0.0543096695581537</f>
        <v>3.4758188517218369</v>
      </c>
    </row>
    <row r="974" spans="1:8" ht="15.75" hidden="1" customHeight="1" x14ac:dyDescent="0.25">
      <c r="A974" s="20" t="s">
        <v>51</v>
      </c>
      <c r="B974" s="47" t="s">
        <v>386</v>
      </c>
      <c r="C974" s="49"/>
      <c r="D974" s="19" t="s">
        <v>31</v>
      </c>
      <c r="E974" s="23">
        <v>11</v>
      </c>
      <c r="F974" s="18">
        <f>E974* 0.957442434210526</f>
        <v>10.531866776315786</v>
      </c>
      <c r="G974" s="18">
        <f>E974* 0.0158305921052632</f>
        <v>0.17413651315789519</v>
      </c>
      <c r="H974" s="18">
        <f>E974* 0.0263157894736842</f>
        <v>0.28947368421052616</v>
      </c>
    </row>
    <row r="975" spans="1:8" ht="15.75" hidden="1" customHeight="1" x14ac:dyDescent="0.25">
      <c r="A975" s="20" t="s">
        <v>51</v>
      </c>
      <c r="B975" s="47" t="s">
        <v>386</v>
      </c>
      <c r="C975" s="49"/>
      <c r="D975" s="19" t="s">
        <v>18</v>
      </c>
      <c r="E975" s="23">
        <v>16</v>
      </c>
      <c r="F975" s="18">
        <f>E975* 0.983388008654987</f>
        <v>15.734208138479792</v>
      </c>
      <c r="G975" s="18">
        <f>E975* 0.0133314720457877</f>
        <v>0.21330355273260321</v>
      </c>
      <c r="H975" s="18">
        <f>E975* 0.003210721016263</f>
        <v>5.1371536260208003E-2</v>
      </c>
    </row>
    <row r="976" spans="1:8" ht="15.75" hidden="1" customHeight="1" x14ac:dyDescent="0.25">
      <c r="A976" s="20" t="s">
        <v>51</v>
      </c>
      <c r="B976" s="47" t="s">
        <v>386</v>
      </c>
      <c r="C976" s="49"/>
      <c r="D976" s="19" t="s">
        <v>19</v>
      </c>
      <c r="E976" s="23">
        <v>3</v>
      </c>
      <c r="F976" s="18">
        <f>E976* 0.511826182618262</f>
        <v>1.5354785478547859</v>
      </c>
      <c r="G976" s="18">
        <f>E976* 0.476622662266227</f>
        <v>1.429867986798681</v>
      </c>
      <c r="H976" s="18">
        <f>E976* 0.0115511551155116</f>
        <v>3.4653465346534802E-2</v>
      </c>
    </row>
    <row r="977" spans="1:8" ht="15.75" hidden="1" customHeight="1" x14ac:dyDescent="0.25">
      <c r="A977" s="20" t="s">
        <v>51</v>
      </c>
      <c r="B977" s="47" t="s">
        <v>386</v>
      </c>
      <c r="C977" s="49"/>
      <c r="D977" s="19" t="s">
        <v>20</v>
      </c>
      <c r="E977" s="23">
        <v>106</v>
      </c>
      <c r="F977" s="18">
        <f>E977* 0.814615536880747</f>
        <v>86.349246909359181</v>
      </c>
      <c r="G977" s="18">
        <f>E977* 0.0763167839340663</f>
        <v>8.0895790970110273</v>
      </c>
      <c r="H977" s="18">
        <f>E977* 0.109013694193014</f>
        <v>11.555451584459485</v>
      </c>
    </row>
    <row r="978" spans="1:8" ht="15.75" hidden="1" customHeight="1" x14ac:dyDescent="0.25">
      <c r="A978" s="20" t="s">
        <v>51</v>
      </c>
      <c r="B978" s="47" t="s">
        <v>386</v>
      </c>
      <c r="C978" s="49"/>
      <c r="D978" s="19" t="s">
        <v>21</v>
      </c>
      <c r="E978" s="23">
        <v>17</v>
      </c>
      <c r="F978" s="18">
        <f>E978* 0.999722052365334</f>
        <v>16.995274890210677</v>
      </c>
      <c r="G978" s="20">
        <v>0</v>
      </c>
      <c r="H978" s="18">
        <f>E978* 0.000277947634665629</f>
        <v>4.7251097893156926E-3</v>
      </c>
    </row>
    <row r="979" spans="1:8" ht="15.75" hidden="1" customHeight="1" x14ac:dyDescent="0.25">
      <c r="A979" s="20" t="s">
        <v>51</v>
      </c>
      <c r="B979" s="47" t="s">
        <v>386</v>
      </c>
      <c r="C979" s="49"/>
      <c r="D979" s="19" t="s">
        <v>28</v>
      </c>
      <c r="E979" s="23">
        <v>16</v>
      </c>
      <c r="F979" s="18">
        <f>E979* 0.00115651503469545</f>
        <v>1.8504240555127199E-2</v>
      </c>
      <c r="G979" s="18">
        <f>E979* 0.998843484965305</f>
        <v>15.981495759444879</v>
      </c>
      <c r="H979" s="20">
        <v>0</v>
      </c>
    </row>
    <row r="980" spans="1:8" ht="15.75" hidden="1" customHeight="1" x14ac:dyDescent="0.25">
      <c r="A980" s="20" t="s">
        <v>51</v>
      </c>
      <c r="B980" s="47" t="s">
        <v>386</v>
      </c>
      <c r="C980" s="49"/>
      <c r="D980" s="19" t="s">
        <v>12</v>
      </c>
      <c r="E980" s="23">
        <v>209</v>
      </c>
      <c r="F980" s="18">
        <f>E980* 0.924936238310357</f>
        <v>193.3116738068646</v>
      </c>
      <c r="G980" s="18">
        <f>E980* 0.0351064361799663</f>
        <v>7.3372451616129561</v>
      </c>
      <c r="H980" s="18">
        <f>E980* 0.039932320925503</f>
        <v>8.345855073430128</v>
      </c>
    </row>
    <row r="981" spans="1:8" ht="15.75" hidden="1" customHeight="1" x14ac:dyDescent="0.25">
      <c r="A981" s="20" t="s">
        <v>51</v>
      </c>
      <c r="B981" s="20"/>
      <c r="C981" s="20"/>
      <c r="D981" s="46"/>
      <c r="E981" s="35"/>
    </row>
    <row r="982" spans="1:8" ht="15.75" hidden="1" customHeight="1" x14ac:dyDescent="0.25">
      <c r="A982" s="20" t="s">
        <v>51</v>
      </c>
      <c r="B982" s="47" t="s">
        <v>388</v>
      </c>
      <c r="C982" s="12" t="str">
        <f>B982&amp;"_"&amp;A982</f>
        <v>Santiago de Callapa_La Paz</v>
      </c>
      <c r="D982" s="20"/>
      <c r="E982" s="48">
        <v>31</v>
      </c>
      <c r="F982" s="14">
        <f t="shared" ref="F982:H982" si="87">SUM(F983:F987)</f>
        <v>28.738629821361705</v>
      </c>
      <c r="G982" s="14">
        <f t="shared" si="87"/>
        <v>1.9098412402207012</v>
      </c>
      <c r="H982" s="14">
        <f t="shared" si="87"/>
        <v>0.35105413974650723</v>
      </c>
    </row>
    <row r="983" spans="1:8" ht="15.75" hidden="1" customHeight="1" x14ac:dyDescent="0.25">
      <c r="A983" s="20" t="s">
        <v>51</v>
      </c>
      <c r="B983" s="47" t="s">
        <v>388</v>
      </c>
      <c r="C983" s="49"/>
      <c r="D983" s="19" t="s">
        <v>11</v>
      </c>
      <c r="E983" s="23">
        <v>2</v>
      </c>
      <c r="F983" s="18">
        <f>E983* 0.178797409805735</f>
        <v>0.35759481961146999</v>
      </c>
      <c r="G983" s="18">
        <f>E983* 0.819278445883441</f>
        <v>1.638556891766882</v>
      </c>
      <c r="H983" s="18">
        <f>E983* 0.00181313598519889</f>
        <v>3.6262719703977798E-3</v>
      </c>
    </row>
    <row r="984" spans="1:8" ht="15.75" hidden="1" customHeight="1" x14ac:dyDescent="0.25">
      <c r="A984" s="20" t="s">
        <v>51</v>
      </c>
      <c r="B984" s="47" t="s">
        <v>388</v>
      </c>
      <c r="C984" s="49"/>
      <c r="D984" s="19" t="s">
        <v>18</v>
      </c>
      <c r="E984" s="23">
        <v>1</v>
      </c>
      <c r="F984" s="18">
        <f>E984* 0.983388008654987</f>
        <v>0.98338800865498699</v>
      </c>
      <c r="G984" s="18">
        <f>E984* 0.0133314720457877</f>
        <v>1.33314720457877E-2</v>
      </c>
      <c r="H984" s="18">
        <f>E984* 0.003210721016263</f>
        <v>3.2107210162630002E-3</v>
      </c>
    </row>
    <row r="985" spans="1:8" ht="15.75" hidden="1" customHeight="1" x14ac:dyDescent="0.25">
      <c r="A985" s="20" t="s">
        <v>51</v>
      </c>
      <c r="B985" s="47" t="s">
        <v>388</v>
      </c>
      <c r="C985" s="49"/>
      <c r="D985" s="19" t="s">
        <v>20</v>
      </c>
      <c r="E985" s="23">
        <v>2</v>
      </c>
      <c r="F985" s="18">
        <f>E985* 0.814615536880747</f>
        <v>1.6292310737614939</v>
      </c>
      <c r="G985" s="18">
        <f>E985* 0.0763167839340663</f>
        <v>0.15263356786813259</v>
      </c>
      <c r="H985" s="18">
        <f>E985* 0.109013694193014</f>
        <v>0.218027388386028</v>
      </c>
    </row>
    <row r="986" spans="1:8" ht="15.75" hidden="1" customHeight="1" x14ac:dyDescent="0.25">
      <c r="A986" s="20" t="s">
        <v>51</v>
      </c>
      <c r="B986" s="47" t="s">
        <v>388</v>
      </c>
      <c r="C986" s="49"/>
      <c r="D986" s="19" t="s">
        <v>21</v>
      </c>
      <c r="E986" s="23">
        <v>23</v>
      </c>
      <c r="F986" s="18">
        <f>E986* 0.999722052365334</f>
        <v>22.993607204402682</v>
      </c>
      <c r="G986" s="20">
        <v>0</v>
      </c>
      <c r="H986" s="18">
        <f>E986* 0.000277947634665629</f>
        <v>6.3927955973094664E-3</v>
      </c>
    </row>
    <row r="987" spans="1:8" ht="15.75" hidden="1" customHeight="1" x14ac:dyDescent="0.25">
      <c r="A987" s="20" t="s">
        <v>51</v>
      </c>
      <c r="B987" s="47" t="s">
        <v>388</v>
      </c>
      <c r="C987" s="49"/>
      <c r="D987" s="19" t="s">
        <v>12</v>
      </c>
      <c r="E987" s="23">
        <v>3</v>
      </c>
      <c r="F987" s="18">
        <f>E987* 0.924936238310357</f>
        <v>2.774808714931071</v>
      </c>
      <c r="G987" s="18">
        <f>E987* 0.0351064361799663</f>
        <v>0.10531930853989889</v>
      </c>
      <c r="H987" s="18">
        <f>E987* 0.039932320925503</f>
        <v>0.119796962776509</v>
      </c>
    </row>
    <row r="988" spans="1:8" ht="15.75" hidden="1" customHeight="1" x14ac:dyDescent="0.25">
      <c r="A988" s="20" t="s">
        <v>51</v>
      </c>
      <c r="B988" s="20"/>
      <c r="C988" s="20"/>
      <c r="D988" s="46"/>
      <c r="E988" s="35"/>
    </row>
    <row r="989" spans="1:8" ht="15.75" hidden="1" customHeight="1" x14ac:dyDescent="0.25">
      <c r="A989" s="20" t="s">
        <v>51</v>
      </c>
      <c r="B989" s="47" t="s">
        <v>96</v>
      </c>
      <c r="C989" s="12" t="str">
        <f>B989&amp;"_"&amp;A989</f>
        <v>Santiago de Huata_La Paz</v>
      </c>
      <c r="D989" s="20"/>
      <c r="E989" s="48">
        <v>4844</v>
      </c>
      <c r="F989" s="14">
        <f t="shared" ref="F989:H989" si="88">SUM(F990:F1001)</f>
        <v>4318.0115866469896</v>
      </c>
      <c r="G989" s="14">
        <f t="shared" si="88"/>
        <v>355.55711402479341</v>
      </c>
      <c r="H989" s="14">
        <f t="shared" si="88"/>
        <v>170.28965047139931</v>
      </c>
    </row>
    <row r="990" spans="1:8" ht="15.75" hidden="1" customHeight="1" x14ac:dyDescent="0.25">
      <c r="A990" s="20" t="s">
        <v>51</v>
      </c>
      <c r="B990" s="47" t="s">
        <v>96</v>
      </c>
      <c r="C990" s="49"/>
      <c r="D990" s="19" t="s">
        <v>15</v>
      </c>
      <c r="E990" s="23">
        <v>335</v>
      </c>
      <c r="F990" s="18">
        <f>E990* 0.981163265034061</f>
        <v>328.68969378641043</v>
      </c>
      <c r="G990" s="18">
        <f>E990* 0.0027595216829083</f>
        <v>0.92443976377428039</v>
      </c>
      <c r="H990" s="18">
        <f>E990* 0.0160372202151627</f>
        <v>5.3724687720795048</v>
      </c>
    </row>
    <row r="991" spans="1:8" ht="15.75" hidden="1" customHeight="1" x14ac:dyDescent="0.25">
      <c r="A991" s="20" t="s">
        <v>51</v>
      </c>
      <c r="B991" s="47" t="s">
        <v>96</v>
      </c>
      <c r="C991" s="49"/>
      <c r="D991" s="29" t="s">
        <v>389</v>
      </c>
      <c r="E991" s="23">
        <v>17</v>
      </c>
      <c r="F991" s="18">
        <f>E991* 0.142974979378609</f>
        <v>2.4305746494363532</v>
      </c>
      <c r="G991" s="18">
        <f>E991* 0.852350838603245</f>
        <v>14.489964256255165</v>
      </c>
      <c r="H991" s="18">
        <f>E991* 0.00467418201814682</f>
        <v>7.9461094308495933E-2</v>
      </c>
    </row>
    <row r="992" spans="1:8" ht="15.75" hidden="1" customHeight="1" x14ac:dyDescent="0.25">
      <c r="A992" s="20" t="s">
        <v>51</v>
      </c>
      <c r="B992" s="47" t="s">
        <v>96</v>
      </c>
      <c r="C992" s="49"/>
      <c r="D992" s="19" t="s">
        <v>11</v>
      </c>
      <c r="E992" s="23">
        <v>209</v>
      </c>
      <c r="F992" s="18">
        <f>E992* 0.178797409805735</f>
        <v>37.368658649398611</v>
      </c>
      <c r="G992" s="18">
        <f>E992* 0.819278445883441</f>
        <v>171.22919518963917</v>
      </c>
      <c r="H992" s="18">
        <f>E992* 0.00181313598519889</f>
        <v>0.37894542090656802</v>
      </c>
    </row>
    <row r="993" spans="1:8" ht="15.75" hidden="1" customHeight="1" x14ac:dyDescent="0.25">
      <c r="A993" s="20" t="s">
        <v>51</v>
      </c>
      <c r="B993" s="47" t="s">
        <v>96</v>
      </c>
      <c r="C993" s="49"/>
      <c r="D993" s="19" t="s">
        <v>17</v>
      </c>
      <c r="E993" s="23">
        <v>468</v>
      </c>
      <c r="F993" s="18">
        <f>E993* 0.916446662218225</f>
        <v>428.89703791812929</v>
      </c>
      <c r="G993" s="18">
        <f>E993* 0.0292436682236212</f>
        <v>13.68603672865472</v>
      </c>
      <c r="H993" s="18">
        <f>E993* 0.0543096695581537</f>
        <v>25.416925353215934</v>
      </c>
    </row>
    <row r="994" spans="1:8" ht="15.75" hidden="1" customHeight="1" x14ac:dyDescent="0.25">
      <c r="A994" s="20" t="s">
        <v>51</v>
      </c>
      <c r="B994" s="47" t="s">
        <v>96</v>
      </c>
      <c r="C994" s="49"/>
      <c r="D994" s="19" t="s">
        <v>31</v>
      </c>
      <c r="E994" s="23">
        <v>57</v>
      </c>
      <c r="F994" s="18">
        <f>E994* 0.957442434210526</f>
        <v>54.574218749999979</v>
      </c>
      <c r="G994" s="18">
        <f>E994* 0.0158305921052632</f>
        <v>0.90234375000000233</v>
      </c>
      <c r="H994" s="18">
        <f>E994* 0.0263157894736842</f>
        <v>1.4999999999999993</v>
      </c>
    </row>
    <row r="995" spans="1:8" ht="15.75" hidden="1" customHeight="1" x14ac:dyDescent="0.25">
      <c r="A995" s="20" t="s">
        <v>51</v>
      </c>
      <c r="B995" s="47" t="s">
        <v>96</v>
      </c>
      <c r="C995" s="49"/>
      <c r="D995" s="19" t="s">
        <v>18</v>
      </c>
      <c r="E995" s="23">
        <v>89</v>
      </c>
      <c r="F995" s="18">
        <f>E995* 0.983388008654987</f>
        <v>87.521532770293845</v>
      </c>
      <c r="G995" s="18">
        <f>E995* 0.0133314720457877</f>
        <v>1.1865010120751054</v>
      </c>
      <c r="H995" s="18">
        <f>E995* 0.003210721016263</f>
        <v>0.28575417044740703</v>
      </c>
    </row>
    <row r="996" spans="1:8" ht="15.75" hidden="1" customHeight="1" x14ac:dyDescent="0.25">
      <c r="A996" s="20" t="s">
        <v>51</v>
      </c>
      <c r="B996" s="47" t="s">
        <v>96</v>
      </c>
      <c r="C996" s="49"/>
      <c r="D996" s="19" t="s">
        <v>19</v>
      </c>
      <c r="E996" s="23">
        <v>2</v>
      </c>
      <c r="F996" s="18">
        <f>E996* 0.511826182618262</f>
        <v>1.0236523652365239</v>
      </c>
      <c r="G996" s="18">
        <f>E996* 0.476622662266227</f>
        <v>0.95324532453245403</v>
      </c>
      <c r="H996" s="18">
        <f>E996* 0.0115511551155116</f>
        <v>2.3102310231023201E-2</v>
      </c>
    </row>
    <row r="997" spans="1:8" ht="15.75" hidden="1" customHeight="1" x14ac:dyDescent="0.25">
      <c r="A997" s="20" t="s">
        <v>51</v>
      </c>
      <c r="B997" s="47" t="s">
        <v>96</v>
      </c>
      <c r="C997" s="49"/>
      <c r="D997" s="19" t="s">
        <v>20</v>
      </c>
      <c r="E997" s="23">
        <v>720</v>
      </c>
      <c r="F997" s="18">
        <f>E997* 0.814615536880747</f>
        <v>586.52318655413785</v>
      </c>
      <c r="G997" s="18">
        <f>E997* 0.0763167839340663</f>
        <v>54.948084432527736</v>
      </c>
      <c r="H997" s="18">
        <f>E997* 0.109013694193014</f>
        <v>78.489859818970075</v>
      </c>
    </row>
    <row r="998" spans="1:8" ht="15.75" hidden="1" customHeight="1" x14ac:dyDescent="0.25">
      <c r="A998" s="20" t="s">
        <v>51</v>
      </c>
      <c r="B998" s="47" t="s">
        <v>96</v>
      </c>
      <c r="C998" s="49"/>
      <c r="D998" s="19" t="s">
        <v>21</v>
      </c>
      <c r="E998" s="23">
        <v>1437</v>
      </c>
      <c r="F998" s="18">
        <f>E998* 0.999722052365334</f>
        <v>1436.600589248985</v>
      </c>
      <c r="G998" s="20">
        <v>0</v>
      </c>
      <c r="H998" s="18">
        <f>E998* 0.000277947634665629</f>
        <v>0.39941075101450885</v>
      </c>
    </row>
    <row r="999" spans="1:8" ht="15.75" hidden="1" customHeight="1" x14ac:dyDescent="0.25">
      <c r="A999" s="20" t="s">
        <v>51</v>
      </c>
      <c r="B999" s="47" t="s">
        <v>96</v>
      </c>
      <c r="C999" s="49"/>
      <c r="D999" s="19" t="s">
        <v>36</v>
      </c>
      <c r="E999" s="23">
        <v>3</v>
      </c>
      <c r="F999" s="18">
        <f>E999* 0.999132697311362</f>
        <v>2.9973980919340861</v>
      </c>
      <c r="G999" s="20">
        <v>0</v>
      </c>
      <c r="H999" s="18">
        <f>E999* 0.000867302688638335</f>
        <v>2.6019080659150048E-3</v>
      </c>
    </row>
    <row r="1000" spans="1:8" ht="15.75" hidden="1" customHeight="1" x14ac:dyDescent="0.25">
      <c r="A1000" s="20" t="s">
        <v>51</v>
      </c>
      <c r="B1000" s="47" t="s">
        <v>96</v>
      </c>
      <c r="C1000" s="49"/>
      <c r="D1000" s="19" t="s">
        <v>28</v>
      </c>
      <c r="E1000" s="23">
        <v>46</v>
      </c>
      <c r="F1000" s="18">
        <f>E1000* 0.00115651503469545</f>
        <v>5.3199691595990695E-2</v>
      </c>
      <c r="G1000" s="18">
        <f>E1000* 0.998843484965305</f>
        <v>45.946800308404029</v>
      </c>
      <c r="H1000" s="20">
        <v>0</v>
      </c>
    </row>
    <row r="1001" spans="1:8" ht="15.75" hidden="1" customHeight="1" x14ac:dyDescent="0.25">
      <c r="A1001" s="20" t="s">
        <v>51</v>
      </c>
      <c r="B1001" s="47" t="s">
        <v>96</v>
      </c>
      <c r="C1001" s="49"/>
      <c r="D1001" s="19" t="s">
        <v>12</v>
      </c>
      <c r="E1001" s="23">
        <v>1461</v>
      </c>
      <c r="F1001" s="18">
        <f>E1001* 0.924936238310357</f>
        <v>1351.3318441714316</v>
      </c>
      <c r="G1001" s="18">
        <f>E1001* 0.0351064361799663</f>
        <v>51.290503258930762</v>
      </c>
      <c r="H1001" s="18">
        <f>E1001* 0.039932320925503</f>
        <v>58.341120872159884</v>
      </c>
    </row>
    <row r="1002" spans="1:8" ht="15.75" hidden="1" customHeight="1" x14ac:dyDescent="0.25">
      <c r="A1002" s="20" t="s">
        <v>51</v>
      </c>
      <c r="B1002" s="20"/>
      <c r="C1002" s="20"/>
      <c r="D1002" s="46"/>
      <c r="E1002" s="35"/>
    </row>
    <row r="1003" spans="1:8" ht="15.75" hidden="1" customHeight="1" x14ac:dyDescent="0.25">
      <c r="A1003" s="20" t="s">
        <v>51</v>
      </c>
      <c r="B1003" s="47" t="s">
        <v>97</v>
      </c>
      <c r="C1003" s="12" t="str">
        <f>B1003&amp;"_"&amp;A1003</f>
        <v>Sapahaqui_La Paz</v>
      </c>
      <c r="D1003" s="20"/>
      <c r="E1003" s="48">
        <v>1077</v>
      </c>
      <c r="F1003" s="14">
        <f t="shared" ref="F1003:H1003" si="89">SUM(F1004:F1017)</f>
        <v>803.40995444703401</v>
      </c>
      <c r="G1003" s="14">
        <f t="shared" si="89"/>
        <v>228.25490151021282</v>
      </c>
      <c r="H1003" s="14">
        <f t="shared" si="89"/>
        <v>45.290317934079106</v>
      </c>
    </row>
    <row r="1004" spans="1:8" ht="15.75" hidden="1" customHeight="1" x14ac:dyDescent="0.25">
      <c r="A1004" s="20" t="s">
        <v>51</v>
      </c>
      <c r="B1004" s="47" t="s">
        <v>97</v>
      </c>
      <c r="C1004" s="49"/>
      <c r="D1004" s="29" t="s">
        <v>390</v>
      </c>
      <c r="E1004" s="23">
        <v>3</v>
      </c>
      <c r="F1004" s="20">
        <v>0</v>
      </c>
      <c r="G1004" s="24">
        <f>E1004</f>
        <v>3</v>
      </c>
      <c r="H1004" s="20">
        <v>0</v>
      </c>
    </row>
    <row r="1005" spans="1:8" ht="15.75" hidden="1" customHeight="1" x14ac:dyDescent="0.25">
      <c r="A1005" s="20" t="s">
        <v>51</v>
      </c>
      <c r="B1005" s="47" t="s">
        <v>97</v>
      </c>
      <c r="C1005" s="49"/>
      <c r="D1005" s="19" t="s">
        <v>15</v>
      </c>
      <c r="E1005" s="23">
        <v>119</v>
      </c>
      <c r="F1005" s="18">
        <f>E1005* 0.981163265034061</f>
        <v>116.75842853905327</v>
      </c>
      <c r="G1005" s="18">
        <f>E1005* 0.0027595216829083</f>
        <v>0.3283830802660877</v>
      </c>
      <c r="H1005" s="18">
        <f>E1005* 0.0160372202151627</f>
        <v>1.9084292056043615</v>
      </c>
    </row>
    <row r="1006" spans="1:8" ht="15.75" hidden="1" customHeight="1" x14ac:dyDescent="0.25">
      <c r="A1006" s="20" t="s">
        <v>51</v>
      </c>
      <c r="B1006" s="47" t="s">
        <v>97</v>
      </c>
      <c r="C1006" s="49"/>
      <c r="D1006" s="29" t="s">
        <v>391</v>
      </c>
      <c r="E1006" s="23">
        <v>5</v>
      </c>
      <c r="F1006" s="18">
        <f>E1006* 0.142974979378609</f>
        <v>0.71487489689304506</v>
      </c>
      <c r="G1006" s="18">
        <f>E1006* 0.852350838603245</f>
        <v>4.261754193016225</v>
      </c>
      <c r="H1006" s="18">
        <f>E1006* 0.00467418201814682</f>
        <v>2.3370910090734099E-2</v>
      </c>
    </row>
    <row r="1007" spans="1:8" ht="15.75" hidden="1" customHeight="1" x14ac:dyDescent="0.25">
      <c r="A1007" s="20" t="s">
        <v>51</v>
      </c>
      <c r="B1007" s="47" t="s">
        <v>97</v>
      </c>
      <c r="C1007" s="49"/>
      <c r="D1007" s="19" t="s">
        <v>11</v>
      </c>
      <c r="E1007" s="23">
        <v>131</v>
      </c>
      <c r="F1007" s="18">
        <f>E1007* 0.178797409805735</f>
        <v>23.422460684551286</v>
      </c>
      <c r="G1007" s="18">
        <f>E1007* 0.819278445883441</f>
        <v>107.32547641073077</v>
      </c>
      <c r="H1007" s="18">
        <f>E1007* 0.00181313598519889</f>
        <v>0.23752081406105457</v>
      </c>
    </row>
    <row r="1008" spans="1:8" ht="15.75" hidden="1" customHeight="1" x14ac:dyDescent="0.25">
      <c r="A1008" s="20" t="s">
        <v>51</v>
      </c>
      <c r="B1008" s="47" t="s">
        <v>97</v>
      </c>
      <c r="C1008" s="49"/>
      <c r="D1008" s="19" t="s">
        <v>17</v>
      </c>
      <c r="E1008" s="23">
        <v>119</v>
      </c>
      <c r="F1008" s="18">
        <f>E1008* 0.916446662218225</f>
        <v>109.05715280396878</v>
      </c>
      <c r="G1008" s="18">
        <f>E1008* 0.0292436682236212</f>
        <v>3.4799965186109225</v>
      </c>
      <c r="H1008" s="18">
        <f>E1008* 0.0543096695581537</f>
        <v>6.4628506774202901</v>
      </c>
    </row>
    <row r="1009" spans="1:8" ht="15.75" hidden="1" customHeight="1" x14ac:dyDescent="0.25">
      <c r="A1009" s="20" t="s">
        <v>51</v>
      </c>
      <c r="B1009" s="47" t="s">
        <v>97</v>
      </c>
      <c r="C1009" s="49"/>
      <c r="D1009" s="19" t="s">
        <v>31</v>
      </c>
      <c r="E1009" s="23">
        <v>11</v>
      </c>
      <c r="F1009" s="18">
        <f>E1009* 0.957442434210526</f>
        <v>10.531866776315786</v>
      </c>
      <c r="G1009" s="18">
        <f>E1009* 0.0158305921052632</f>
        <v>0.17413651315789519</v>
      </c>
      <c r="H1009" s="18">
        <f>E1009* 0.0263157894736842</f>
        <v>0.28947368421052616</v>
      </c>
    </row>
    <row r="1010" spans="1:8" ht="15.75" hidden="1" customHeight="1" x14ac:dyDescent="0.25">
      <c r="A1010" s="20" t="s">
        <v>51</v>
      </c>
      <c r="B1010" s="47" t="s">
        <v>97</v>
      </c>
      <c r="C1010" s="49"/>
      <c r="D1010" s="19" t="s">
        <v>18</v>
      </c>
      <c r="E1010" s="23">
        <v>21</v>
      </c>
      <c r="F1010" s="18">
        <f>E1010* 0.983388008654987</f>
        <v>20.651148181754728</v>
      </c>
      <c r="G1010" s="18">
        <f>E1010* 0.0133314720457877</f>
        <v>0.27996091296154169</v>
      </c>
      <c r="H1010" s="18">
        <f>E1010* 0.003210721016263</f>
        <v>6.7425141341522998E-2</v>
      </c>
    </row>
    <row r="1011" spans="1:8" ht="15.75" hidden="1" customHeight="1" x14ac:dyDescent="0.25">
      <c r="A1011" s="20" t="s">
        <v>51</v>
      </c>
      <c r="B1011" s="47" t="s">
        <v>97</v>
      </c>
      <c r="C1011" s="49"/>
      <c r="D1011" s="19" t="s">
        <v>392</v>
      </c>
      <c r="E1011" s="23">
        <v>1</v>
      </c>
      <c r="F1011" s="20">
        <v>0</v>
      </c>
      <c r="G1011" s="24">
        <f>E1011</f>
        <v>1</v>
      </c>
      <c r="H1011" s="20">
        <v>0</v>
      </c>
    </row>
    <row r="1012" spans="1:8" ht="15.75" hidden="1" customHeight="1" x14ac:dyDescent="0.25">
      <c r="A1012" s="20" t="s">
        <v>51</v>
      </c>
      <c r="B1012" s="47" t="s">
        <v>97</v>
      </c>
      <c r="C1012" s="49"/>
      <c r="D1012" s="19" t="s">
        <v>19</v>
      </c>
      <c r="E1012" s="23">
        <v>2</v>
      </c>
      <c r="F1012" s="18">
        <f>E1012* 0.511826182618262</f>
        <v>1.0236523652365239</v>
      </c>
      <c r="G1012" s="18">
        <f>E1012* 0.476622662266227</f>
        <v>0.95324532453245403</v>
      </c>
      <c r="H1012" s="18">
        <f>E1012* 0.0115511551155116</f>
        <v>2.3102310231023201E-2</v>
      </c>
    </row>
    <row r="1013" spans="1:8" ht="15.75" hidden="1" customHeight="1" x14ac:dyDescent="0.25">
      <c r="A1013" s="20" t="s">
        <v>51</v>
      </c>
      <c r="B1013" s="47" t="s">
        <v>97</v>
      </c>
      <c r="C1013" s="49"/>
      <c r="D1013" s="19" t="s">
        <v>20</v>
      </c>
      <c r="E1013" s="23">
        <v>222</v>
      </c>
      <c r="F1013" s="18">
        <f>E1013* 0.814615536880747</f>
        <v>180.84464918752582</v>
      </c>
      <c r="G1013" s="18">
        <f>E1013* 0.0763167839340663</f>
        <v>16.942326033362718</v>
      </c>
      <c r="H1013" s="18">
        <f>E1013* 0.109013694193014</f>
        <v>24.201040110849107</v>
      </c>
    </row>
    <row r="1014" spans="1:8" ht="15.75" hidden="1" customHeight="1" x14ac:dyDescent="0.25">
      <c r="A1014" s="20" t="s">
        <v>51</v>
      </c>
      <c r="B1014" s="47" t="s">
        <v>97</v>
      </c>
      <c r="C1014" s="49"/>
      <c r="D1014" s="19" t="s">
        <v>21</v>
      </c>
      <c r="E1014" s="23">
        <v>60</v>
      </c>
      <c r="F1014" s="18">
        <f>E1014* 0.999722052365334</f>
        <v>59.983323141920039</v>
      </c>
      <c r="G1014" s="20">
        <v>0</v>
      </c>
      <c r="H1014" s="18">
        <f>E1014* 0.000277947634665629</f>
        <v>1.667685807993774E-2</v>
      </c>
    </row>
    <row r="1015" spans="1:8" ht="15.75" hidden="1" customHeight="1" x14ac:dyDescent="0.25">
      <c r="A1015" s="20" t="s">
        <v>51</v>
      </c>
      <c r="B1015" s="47" t="s">
        <v>97</v>
      </c>
      <c r="C1015" s="49"/>
      <c r="D1015" s="19" t="s">
        <v>36</v>
      </c>
      <c r="E1015" s="23">
        <v>1</v>
      </c>
      <c r="F1015" s="18">
        <f>E1015* 0.999132697311362</f>
        <v>0.99913269731136201</v>
      </c>
      <c r="G1015" s="20">
        <v>0</v>
      </c>
      <c r="H1015" s="18">
        <f>E1015* 0.000867302688638335</f>
        <v>8.6730268863833497E-4</v>
      </c>
    </row>
    <row r="1016" spans="1:8" ht="15.75" hidden="1" customHeight="1" x14ac:dyDescent="0.25">
      <c r="A1016" s="20" t="s">
        <v>51</v>
      </c>
      <c r="B1016" s="47" t="s">
        <v>97</v>
      </c>
      <c r="C1016" s="49"/>
      <c r="D1016" s="19" t="s">
        <v>28</v>
      </c>
      <c r="E1016" s="23">
        <v>80</v>
      </c>
      <c r="F1016" s="18">
        <f>E1016* 0.00115651503469545</f>
        <v>9.2521202775635997E-2</v>
      </c>
      <c r="G1016" s="18">
        <f>E1016* 0.998843484965305</f>
        <v>79.9074787972244</v>
      </c>
      <c r="H1016" s="20">
        <v>0</v>
      </c>
    </row>
    <row r="1017" spans="1:8" ht="15.75" hidden="1" customHeight="1" x14ac:dyDescent="0.25">
      <c r="A1017" s="20" t="s">
        <v>51</v>
      </c>
      <c r="B1017" s="47" t="s">
        <v>97</v>
      </c>
      <c r="C1017" s="49"/>
      <c r="D1017" s="19" t="s">
        <v>12</v>
      </c>
      <c r="E1017" s="23">
        <v>302</v>
      </c>
      <c r="F1017" s="18">
        <f>E1017* 0.924936238310357</f>
        <v>279.33074396972779</v>
      </c>
      <c r="G1017" s="18">
        <f>E1017* 0.0351064361799663</f>
        <v>10.602143726349821</v>
      </c>
      <c r="H1017" s="18">
        <f>E1017* 0.039932320925503</f>
        <v>12.059560919501907</v>
      </c>
    </row>
    <row r="1018" spans="1:8" ht="15.75" hidden="1" customHeight="1" x14ac:dyDescent="0.25">
      <c r="A1018" s="20" t="s">
        <v>51</v>
      </c>
      <c r="B1018" s="20"/>
      <c r="C1018" s="20"/>
      <c r="D1018" s="46"/>
      <c r="E1018" s="35"/>
    </row>
    <row r="1019" spans="1:8" ht="15.75" hidden="1" customHeight="1" x14ac:dyDescent="0.25">
      <c r="A1019" s="20" t="s">
        <v>51</v>
      </c>
      <c r="B1019" s="47" t="s">
        <v>98</v>
      </c>
      <c r="C1019" s="12" t="str">
        <f>B1019&amp;"_"&amp;A1019</f>
        <v>Sica Sica_La Paz</v>
      </c>
      <c r="D1019" s="20"/>
      <c r="E1019" s="48">
        <v>4441</v>
      </c>
      <c r="F1019" s="14">
        <f t="shared" ref="F1019:H1019" si="90">SUM(F1020:F1031)</f>
        <v>3536.0411821249536</v>
      </c>
      <c r="G1019" s="14">
        <f t="shared" si="90"/>
        <v>740.42217383632033</v>
      </c>
      <c r="H1019" s="14">
        <f t="shared" si="90"/>
        <v>164.33542269522809</v>
      </c>
    </row>
    <row r="1020" spans="1:8" ht="15.75" hidden="1" customHeight="1" x14ac:dyDescent="0.25">
      <c r="A1020" s="20" t="s">
        <v>51</v>
      </c>
      <c r="B1020" s="47" t="s">
        <v>98</v>
      </c>
      <c r="C1020" s="49"/>
      <c r="D1020" s="19" t="s">
        <v>15</v>
      </c>
      <c r="E1020" s="23">
        <v>550</v>
      </c>
      <c r="F1020" s="18">
        <f>E1020* 0.981163265034061</f>
        <v>539.63979576873362</v>
      </c>
      <c r="G1020" s="18">
        <f>E1020* 0.0027595216829083</f>
        <v>1.517736925599565</v>
      </c>
      <c r="H1020" s="18">
        <f>E1020* 0.0160372202151627</f>
        <v>8.8204711183394853</v>
      </c>
    </row>
    <row r="1021" spans="1:8" ht="15.75" hidden="1" customHeight="1" x14ac:dyDescent="0.25">
      <c r="A1021" s="20" t="s">
        <v>51</v>
      </c>
      <c r="B1021" s="47" t="s">
        <v>98</v>
      </c>
      <c r="C1021" s="49"/>
      <c r="D1021" s="29" t="s">
        <v>393</v>
      </c>
      <c r="E1021" s="23">
        <v>40</v>
      </c>
      <c r="F1021" s="18">
        <f>E1021* 0.142974979378609</f>
        <v>5.7189991751443605</v>
      </c>
      <c r="G1021" s="18">
        <f>E1021* 0.852350838603245</f>
        <v>34.0940335441298</v>
      </c>
      <c r="H1021" s="18">
        <f>E1021* 0.00467418201814682</f>
        <v>0.18696728072587279</v>
      </c>
    </row>
    <row r="1022" spans="1:8" ht="15.75" hidden="1" customHeight="1" x14ac:dyDescent="0.25">
      <c r="A1022" s="20" t="s">
        <v>51</v>
      </c>
      <c r="B1022" s="47" t="s">
        <v>98</v>
      </c>
      <c r="C1022" s="49"/>
      <c r="D1022" s="19" t="s">
        <v>11</v>
      </c>
      <c r="E1022" s="23">
        <v>560</v>
      </c>
      <c r="F1022" s="18">
        <f>E1022* 0.178797409805735</f>
        <v>100.12654949121159</v>
      </c>
      <c r="G1022" s="18">
        <f>E1022* 0.819278445883441</f>
        <v>458.79592969472696</v>
      </c>
      <c r="H1022" s="18">
        <f>E1022* 0.00181313598519889</f>
        <v>1.0153561517113783</v>
      </c>
    </row>
    <row r="1023" spans="1:8" ht="15.75" hidden="1" customHeight="1" x14ac:dyDescent="0.25">
      <c r="A1023" s="20" t="s">
        <v>51</v>
      </c>
      <c r="B1023" s="47" t="s">
        <v>98</v>
      </c>
      <c r="C1023" s="49"/>
      <c r="D1023" s="19" t="s">
        <v>17</v>
      </c>
      <c r="E1023" s="23">
        <v>539</v>
      </c>
      <c r="F1023" s="18">
        <f>E1023* 0.916446662218225</f>
        <v>493.96475093562327</v>
      </c>
      <c r="G1023" s="18">
        <f>E1023* 0.0292436682236212</f>
        <v>15.762337172531826</v>
      </c>
      <c r="H1023" s="18">
        <f>E1023* 0.0543096695581537</f>
        <v>29.272911891844846</v>
      </c>
    </row>
    <row r="1024" spans="1:8" ht="15.75" hidden="1" customHeight="1" x14ac:dyDescent="0.25">
      <c r="A1024" s="20" t="s">
        <v>51</v>
      </c>
      <c r="B1024" s="47" t="s">
        <v>98</v>
      </c>
      <c r="C1024" s="49"/>
      <c r="D1024" s="19" t="s">
        <v>31</v>
      </c>
      <c r="E1024" s="23">
        <v>91</v>
      </c>
      <c r="F1024" s="18">
        <f>E1024* 0.957442434210526</f>
        <v>87.127261513157862</v>
      </c>
      <c r="G1024" s="18">
        <f>E1024* 0.0158305921052632</f>
        <v>1.4405838815789511</v>
      </c>
      <c r="H1024" s="18">
        <f>E1024* 0.0263157894736842</f>
        <v>2.3947368421052619</v>
      </c>
    </row>
    <row r="1025" spans="1:8" ht="15.75" hidden="1" customHeight="1" x14ac:dyDescent="0.25">
      <c r="A1025" s="20" t="s">
        <v>51</v>
      </c>
      <c r="B1025" s="47" t="s">
        <v>98</v>
      </c>
      <c r="C1025" s="49"/>
      <c r="D1025" s="19" t="s">
        <v>18</v>
      </c>
      <c r="E1025" s="23">
        <v>160</v>
      </c>
      <c r="F1025" s="18">
        <f>E1025* 0.983388008654987</f>
        <v>157.34208138479792</v>
      </c>
      <c r="G1025" s="18">
        <f>E1025* 0.0133314720457877</f>
        <v>2.1330355273260322</v>
      </c>
      <c r="H1025" s="18">
        <f>E1025* 0.003210721016263</f>
        <v>0.51371536260208006</v>
      </c>
    </row>
    <row r="1026" spans="1:8" ht="15.75" hidden="1" customHeight="1" x14ac:dyDescent="0.25">
      <c r="A1026" s="20" t="s">
        <v>51</v>
      </c>
      <c r="B1026" s="47" t="s">
        <v>98</v>
      </c>
      <c r="C1026" s="49"/>
      <c r="D1026" s="19" t="s">
        <v>19</v>
      </c>
      <c r="E1026" s="23">
        <v>26</v>
      </c>
      <c r="F1026" s="18">
        <f>E1026* 0.511826182618262</f>
        <v>13.307480748074811</v>
      </c>
      <c r="G1026" s="18">
        <f>E1026* 0.476622662266227</f>
        <v>12.392189218921903</v>
      </c>
      <c r="H1026" s="18">
        <f>E1026* 0.0115511551155116</f>
        <v>0.30033003300330163</v>
      </c>
    </row>
    <row r="1027" spans="1:8" ht="15.75" hidden="1" customHeight="1" x14ac:dyDescent="0.25">
      <c r="A1027" s="20" t="s">
        <v>51</v>
      </c>
      <c r="B1027" s="47" t="s">
        <v>98</v>
      </c>
      <c r="C1027" s="49"/>
      <c r="D1027" s="19" t="s">
        <v>20</v>
      </c>
      <c r="E1027" s="23">
        <v>544</v>
      </c>
      <c r="F1027" s="18">
        <f>E1027* 0.814615536880747</f>
        <v>443.15085206312637</v>
      </c>
      <c r="G1027" s="18">
        <f>E1027* 0.0763167839340663</f>
        <v>41.516330460132068</v>
      </c>
      <c r="H1027" s="18">
        <f>E1027* 0.109013694193014</f>
        <v>59.303449640999617</v>
      </c>
    </row>
    <row r="1028" spans="1:8" ht="15.75" hidden="1" customHeight="1" x14ac:dyDescent="0.25">
      <c r="A1028" s="20" t="s">
        <v>51</v>
      </c>
      <c r="B1028" s="47" t="s">
        <v>98</v>
      </c>
      <c r="C1028" s="49"/>
      <c r="D1028" s="19" t="s">
        <v>21</v>
      </c>
      <c r="E1028" s="23">
        <v>242</v>
      </c>
      <c r="F1028" s="18">
        <f>E1028* 0.999722052365334</f>
        <v>241.93273667241081</v>
      </c>
      <c r="G1028" s="20">
        <v>0</v>
      </c>
      <c r="H1028" s="18">
        <f>E1028* 0.000277947634665629</f>
        <v>6.7263327589082211E-2</v>
      </c>
    </row>
    <row r="1029" spans="1:8" ht="15.75" hidden="1" customHeight="1" x14ac:dyDescent="0.25">
      <c r="A1029" s="20" t="s">
        <v>51</v>
      </c>
      <c r="B1029" s="47" t="s">
        <v>98</v>
      </c>
      <c r="C1029" s="49"/>
      <c r="D1029" s="19" t="s">
        <v>36</v>
      </c>
      <c r="E1029" s="23">
        <v>7</v>
      </c>
      <c r="F1029" s="18">
        <f>E1029* 0.999132697311362</f>
        <v>6.9939288811795342</v>
      </c>
      <c r="G1029" s="20">
        <v>0</v>
      </c>
      <c r="H1029" s="18">
        <f>E1029* 0.000867302688638335</f>
        <v>6.0711188204683447E-3</v>
      </c>
    </row>
    <row r="1030" spans="1:8" ht="15.75" hidden="1" customHeight="1" x14ac:dyDescent="0.25">
      <c r="A1030" s="20" t="s">
        <v>51</v>
      </c>
      <c r="B1030" s="47" t="s">
        <v>98</v>
      </c>
      <c r="C1030" s="49"/>
      <c r="D1030" s="19" t="s">
        <v>28</v>
      </c>
      <c r="E1030" s="23">
        <v>118</v>
      </c>
      <c r="F1030" s="18">
        <f>E1030* 0.00115651503469545</f>
        <v>0.13646877409406311</v>
      </c>
      <c r="G1030" s="18">
        <f>E1030* 0.998843484965305</f>
        <v>117.86353122590599</v>
      </c>
      <c r="H1030" s="20">
        <v>0</v>
      </c>
    </row>
    <row r="1031" spans="1:8" ht="15.75" hidden="1" customHeight="1" x14ac:dyDescent="0.25">
      <c r="A1031" s="20" t="s">
        <v>51</v>
      </c>
      <c r="B1031" s="47" t="s">
        <v>98</v>
      </c>
      <c r="C1031" s="49"/>
      <c r="D1031" s="19" t="s">
        <v>12</v>
      </c>
      <c r="E1031" s="23">
        <v>1564</v>
      </c>
      <c r="F1031" s="18">
        <f>E1031* 0.924936238310357</f>
        <v>1446.6002767173984</v>
      </c>
      <c r="G1031" s="18">
        <f>E1031* 0.0351064361799663</f>
        <v>54.906466185467288</v>
      </c>
      <c r="H1031" s="18">
        <f>E1031* 0.039932320925503</f>
        <v>62.454149927486696</v>
      </c>
    </row>
    <row r="1032" spans="1:8" ht="15.75" hidden="1" customHeight="1" x14ac:dyDescent="0.25">
      <c r="A1032" s="20" t="s">
        <v>51</v>
      </c>
      <c r="B1032" s="20"/>
      <c r="C1032" s="20"/>
      <c r="D1032" s="46"/>
      <c r="E1032" s="35"/>
    </row>
    <row r="1033" spans="1:8" ht="15.75" hidden="1" customHeight="1" x14ac:dyDescent="0.25">
      <c r="A1033" s="20" t="s">
        <v>51</v>
      </c>
      <c r="B1033" s="47" t="s">
        <v>99</v>
      </c>
      <c r="C1033" s="12" t="str">
        <f>B1033&amp;"_"&amp;A1033</f>
        <v>Sorata_La Paz</v>
      </c>
      <c r="D1033" s="20"/>
      <c r="E1033" s="48">
        <v>591</v>
      </c>
      <c r="F1033" s="14">
        <f t="shared" ref="F1033:H1033" si="91">SUM(F1034:F1046)</f>
        <v>514.35367855397169</v>
      </c>
      <c r="G1033" s="14">
        <f t="shared" si="91"/>
        <v>57.876709400961701</v>
      </c>
      <c r="H1033" s="14">
        <f t="shared" si="91"/>
        <v>18.745342628313498</v>
      </c>
    </row>
    <row r="1034" spans="1:8" ht="15.75" hidden="1" customHeight="1" x14ac:dyDescent="0.25">
      <c r="A1034" s="20" t="s">
        <v>51</v>
      </c>
      <c r="B1034" s="47" t="s">
        <v>99</v>
      </c>
      <c r="C1034" s="49"/>
      <c r="D1034" s="29" t="s">
        <v>394</v>
      </c>
      <c r="E1034" s="23">
        <v>5</v>
      </c>
      <c r="F1034" s="20">
        <v>0</v>
      </c>
      <c r="G1034" s="24">
        <f>E1034</f>
        <v>5</v>
      </c>
      <c r="H1034" s="20">
        <v>0</v>
      </c>
    </row>
    <row r="1035" spans="1:8" ht="15.75" hidden="1" customHeight="1" x14ac:dyDescent="0.25">
      <c r="A1035" s="20" t="s">
        <v>51</v>
      </c>
      <c r="B1035" s="47" t="s">
        <v>99</v>
      </c>
      <c r="C1035" s="49"/>
      <c r="D1035" s="19" t="s">
        <v>15</v>
      </c>
      <c r="E1035" s="23">
        <v>22</v>
      </c>
      <c r="F1035" s="18">
        <f>E1035* 0.981163265034061</f>
        <v>21.585591830749344</v>
      </c>
      <c r="G1035" s="18">
        <f>E1035* 0.0027595216829083</f>
        <v>6.0709477023982598E-2</v>
      </c>
      <c r="H1035" s="18">
        <f>E1035* 0.0160372202151627</f>
        <v>0.35281884473357944</v>
      </c>
    </row>
    <row r="1036" spans="1:8" ht="15.75" hidden="1" customHeight="1" x14ac:dyDescent="0.25">
      <c r="A1036" s="20" t="s">
        <v>51</v>
      </c>
      <c r="B1036" s="47" t="s">
        <v>99</v>
      </c>
      <c r="C1036" s="49"/>
      <c r="D1036" s="29" t="s">
        <v>395</v>
      </c>
      <c r="E1036" s="23">
        <v>1</v>
      </c>
      <c r="F1036" s="18">
        <f>E1036* 0.142974979378609</f>
        <v>0.14297497937860901</v>
      </c>
      <c r="G1036" s="18">
        <f>E1036* 0.852350838603245</f>
        <v>0.85235083860324501</v>
      </c>
      <c r="H1036" s="18">
        <f>E1036* 0.00467418201814682</f>
        <v>4.6741820181468198E-3</v>
      </c>
    </row>
    <row r="1037" spans="1:8" ht="15.75" hidden="1" customHeight="1" x14ac:dyDescent="0.25">
      <c r="A1037" s="20" t="s">
        <v>51</v>
      </c>
      <c r="B1037" s="47" t="s">
        <v>99</v>
      </c>
      <c r="C1037" s="49"/>
      <c r="D1037" s="19" t="s">
        <v>11</v>
      </c>
      <c r="E1037" s="17">
        <v>44</v>
      </c>
      <c r="F1037" s="18">
        <f>E1037* 0.178797409805735</f>
        <v>7.8670860314523399</v>
      </c>
      <c r="G1037" s="18">
        <f>E1037* 0.819278445883441</f>
        <v>36.048251618871404</v>
      </c>
      <c r="H1037" s="18">
        <f>E1037* 0.00181313598519889</f>
        <v>7.9777983348751164E-2</v>
      </c>
    </row>
    <row r="1038" spans="1:8" ht="15.75" hidden="1" customHeight="1" x14ac:dyDescent="0.25">
      <c r="A1038" s="20" t="s">
        <v>51</v>
      </c>
      <c r="B1038" s="47" t="s">
        <v>99</v>
      </c>
      <c r="C1038" s="49"/>
      <c r="D1038" s="19" t="s">
        <v>17</v>
      </c>
      <c r="E1038" s="17">
        <v>136</v>
      </c>
      <c r="F1038" s="18">
        <f>E1038* 0.916446662218225</f>
        <v>124.63674606167861</v>
      </c>
      <c r="G1038" s="18">
        <f>E1038* 0.0292436682236212</f>
        <v>3.9771388784124828</v>
      </c>
      <c r="H1038" s="18">
        <f>E1038* 0.0543096695581537</f>
        <v>7.3861150599089038</v>
      </c>
    </row>
    <row r="1039" spans="1:8" ht="15.75" hidden="1" customHeight="1" x14ac:dyDescent="0.25">
      <c r="A1039" s="20" t="s">
        <v>51</v>
      </c>
      <c r="B1039" s="47" t="s">
        <v>99</v>
      </c>
      <c r="C1039" s="49"/>
      <c r="D1039" s="19" t="s">
        <v>31</v>
      </c>
      <c r="E1039" s="23">
        <v>4</v>
      </c>
      <c r="F1039" s="18">
        <f>E1039* 0.957442434210526</f>
        <v>3.829769736842104</v>
      </c>
      <c r="G1039" s="18">
        <f>E1039* 0.0158305921052632</f>
        <v>6.3322368421052794E-2</v>
      </c>
      <c r="H1039" s="18">
        <f>E1039* 0.0263157894736842</f>
        <v>0.10526315789473679</v>
      </c>
    </row>
    <row r="1040" spans="1:8" ht="15.75" hidden="1" customHeight="1" x14ac:dyDescent="0.25">
      <c r="A1040" s="20" t="s">
        <v>51</v>
      </c>
      <c r="B1040" s="47" t="s">
        <v>99</v>
      </c>
      <c r="C1040" s="49"/>
      <c r="D1040" s="19" t="s">
        <v>18</v>
      </c>
      <c r="E1040" s="23">
        <v>157</v>
      </c>
      <c r="F1040" s="18">
        <f>E1040* 0.983388008654987</f>
        <v>154.39191735883296</v>
      </c>
      <c r="G1040" s="18">
        <f>E1040* 0.0133314720457877</f>
        <v>2.0930411111886689</v>
      </c>
      <c r="H1040" s="18">
        <f>E1040* 0.003210721016263</f>
        <v>0.50408319955329106</v>
      </c>
    </row>
    <row r="1041" spans="1:8" ht="15.75" hidden="1" customHeight="1" x14ac:dyDescent="0.25">
      <c r="A1041" s="20" t="s">
        <v>51</v>
      </c>
      <c r="B1041" s="47" t="s">
        <v>99</v>
      </c>
      <c r="C1041" s="49"/>
      <c r="D1041" s="19" t="s">
        <v>19</v>
      </c>
      <c r="E1041" s="23">
        <v>1</v>
      </c>
      <c r="F1041" s="18">
        <f>E1041* 0.511826182618262</f>
        <v>0.51182618261826196</v>
      </c>
      <c r="G1041" s="18">
        <f>E1041* 0.476622662266227</f>
        <v>0.47662266226622702</v>
      </c>
      <c r="H1041" s="18">
        <f>E1041* 0.0115511551155116</f>
        <v>1.1551155115511601E-2</v>
      </c>
    </row>
    <row r="1042" spans="1:8" ht="15.75" hidden="1" customHeight="1" x14ac:dyDescent="0.25">
      <c r="A1042" s="20" t="s">
        <v>51</v>
      </c>
      <c r="B1042" s="47" t="s">
        <v>99</v>
      </c>
      <c r="C1042" s="49"/>
      <c r="D1042" s="19" t="s">
        <v>20</v>
      </c>
      <c r="E1042" s="23">
        <v>38</v>
      </c>
      <c r="F1042" s="18">
        <f>E1042* 0.814615536880747</f>
        <v>30.955390401468385</v>
      </c>
      <c r="G1042" s="18">
        <f>E1042* 0.0763167839340663</f>
        <v>2.9000377894945193</v>
      </c>
      <c r="H1042" s="18">
        <f>E1042* 0.109013694193014</f>
        <v>4.142520379334532</v>
      </c>
    </row>
    <row r="1043" spans="1:8" ht="15.75" hidden="1" customHeight="1" x14ac:dyDescent="0.25">
      <c r="A1043" s="20" t="s">
        <v>51</v>
      </c>
      <c r="B1043" s="47" t="s">
        <v>99</v>
      </c>
      <c r="C1043" s="49"/>
      <c r="D1043" s="19" t="s">
        <v>21</v>
      </c>
      <c r="E1043" s="23">
        <v>26</v>
      </c>
      <c r="F1043" s="18">
        <f>E1043* 0.999722052365334</f>
        <v>25.992773361498681</v>
      </c>
      <c r="G1043" s="20">
        <v>0</v>
      </c>
      <c r="H1043" s="18">
        <f>E1043* 0.000277947634665629</f>
        <v>7.2266385013063537E-3</v>
      </c>
    </row>
    <row r="1044" spans="1:8" ht="15.75" hidden="1" customHeight="1" x14ac:dyDescent="0.25">
      <c r="A1044" s="20" t="s">
        <v>51</v>
      </c>
      <c r="B1044" s="47" t="s">
        <v>99</v>
      </c>
      <c r="C1044" s="49"/>
      <c r="D1044" s="19" t="s">
        <v>36</v>
      </c>
      <c r="E1044" s="23">
        <v>2</v>
      </c>
      <c r="F1044" s="18">
        <f>E1044* 0.999132697311362</f>
        <v>1.998265394622724</v>
      </c>
      <c r="G1044" s="20">
        <v>0</v>
      </c>
      <c r="H1044" s="18">
        <f>E1044* 0.000867302688638335</f>
        <v>1.7346053772766699E-3</v>
      </c>
    </row>
    <row r="1045" spans="1:8" ht="15.75" hidden="1" customHeight="1" x14ac:dyDescent="0.25">
      <c r="A1045" s="20" t="s">
        <v>51</v>
      </c>
      <c r="B1045" s="47" t="s">
        <v>99</v>
      </c>
      <c r="C1045" s="49"/>
      <c r="D1045" s="19" t="s">
        <v>28</v>
      </c>
      <c r="E1045" s="23">
        <v>1</v>
      </c>
      <c r="F1045" s="18">
        <f>E1045* 0.00115651503469545</f>
        <v>1.15651503469545E-3</v>
      </c>
      <c r="G1045" s="18">
        <f>E1045* 0.998843484965305</f>
        <v>0.99884348496530495</v>
      </c>
      <c r="H1045" s="20">
        <v>0</v>
      </c>
    </row>
    <row r="1046" spans="1:8" ht="15.75" hidden="1" customHeight="1" x14ac:dyDescent="0.25">
      <c r="A1046" s="20" t="s">
        <v>51</v>
      </c>
      <c r="B1046" s="47" t="s">
        <v>99</v>
      </c>
      <c r="C1046" s="49"/>
      <c r="D1046" s="19" t="s">
        <v>12</v>
      </c>
      <c r="E1046" s="23">
        <v>154</v>
      </c>
      <c r="F1046" s="18">
        <f>E1046* 0.924936238310357</f>
        <v>142.44018069979498</v>
      </c>
      <c r="G1046" s="18">
        <f>E1046* 0.0351064361799663</f>
        <v>5.4063911717148097</v>
      </c>
      <c r="H1046" s="18">
        <f>E1046* 0.039932320925503</f>
        <v>6.1495774225274618</v>
      </c>
    </row>
    <row r="1047" spans="1:8" ht="15.75" hidden="1" customHeight="1" x14ac:dyDescent="0.25">
      <c r="A1047" s="20" t="s">
        <v>51</v>
      </c>
      <c r="B1047" s="20"/>
      <c r="C1047" s="20"/>
      <c r="D1047" s="46"/>
      <c r="E1047" s="35"/>
    </row>
    <row r="1048" spans="1:8" ht="15.75" hidden="1" customHeight="1" x14ac:dyDescent="0.25">
      <c r="A1048" s="20" t="s">
        <v>51</v>
      </c>
      <c r="B1048" s="47" t="s">
        <v>100</v>
      </c>
      <c r="C1048" s="12" t="str">
        <f>B1048&amp;"_"&amp;A1048</f>
        <v>Tacacoma_La Paz</v>
      </c>
      <c r="D1048" s="20"/>
      <c r="E1048" s="50"/>
      <c r="F1048" s="14">
        <v>0</v>
      </c>
      <c r="G1048" s="14">
        <v>0</v>
      </c>
      <c r="H1048" s="14">
        <v>0</v>
      </c>
    </row>
    <row r="1049" spans="1:8" ht="15.75" hidden="1" customHeight="1" x14ac:dyDescent="0.25">
      <c r="A1049" s="20" t="s">
        <v>51</v>
      </c>
      <c r="B1049" s="47" t="s">
        <v>100</v>
      </c>
      <c r="C1049" s="49"/>
      <c r="D1049" s="19" t="s">
        <v>17</v>
      </c>
      <c r="E1049" s="35"/>
      <c r="F1049" s="18">
        <f>E1049* 0.916446662218225</f>
        <v>0</v>
      </c>
      <c r="G1049" s="18">
        <f>E1049* 0.0292436682236212</f>
        <v>0</v>
      </c>
      <c r="H1049" s="18">
        <f>E1049* 0.0543096695581537</f>
        <v>0</v>
      </c>
    </row>
    <row r="1050" spans="1:8" ht="15.75" hidden="1" customHeight="1" x14ac:dyDescent="0.25">
      <c r="A1050" s="20" t="s">
        <v>51</v>
      </c>
      <c r="B1050" s="47" t="s">
        <v>100</v>
      </c>
      <c r="C1050" s="49"/>
      <c r="D1050" s="19" t="s">
        <v>21</v>
      </c>
      <c r="E1050" s="35"/>
      <c r="F1050" s="18">
        <f>E1050* 0.999722052365334</f>
        <v>0</v>
      </c>
      <c r="G1050" s="20">
        <v>0</v>
      </c>
      <c r="H1050" s="18">
        <f>E1050* 0.000277947634665629</f>
        <v>0</v>
      </c>
    </row>
    <row r="1051" spans="1:8" ht="15.75" hidden="1" customHeight="1" x14ac:dyDescent="0.25">
      <c r="A1051" s="20" t="s">
        <v>51</v>
      </c>
      <c r="B1051" s="20"/>
      <c r="C1051" s="20"/>
      <c r="D1051" s="46"/>
      <c r="E1051" s="35"/>
    </row>
    <row r="1052" spans="1:8" ht="15.75" hidden="1" customHeight="1" x14ac:dyDescent="0.25">
      <c r="A1052" s="20" t="s">
        <v>51</v>
      </c>
      <c r="B1052" s="47" t="s">
        <v>101</v>
      </c>
      <c r="C1052" s="12" t="str">
        <f>B1052&amp;"_"&amp;A1052</f>
        <v>Taraco_La Paz</v>
      </c>
      <c r="D1052" s="20"/>
      <c r="E1052" s="48">
        <v>2592</v>
      </c>
      <c r="F1052" s="14">
        <f t="shared" ref="F1052:H1052" si="92">SUM(F1053:F1066)</f>
        <v>2160.753081939778</v>
      </c>
      <c r="G1052" s="14">
        <f t="shared" si="92"/>
        <v>311.01324952207665</v>
      </c>
      <c r="H1052" s="14">
        <f t="shared" si="92"/>
        <v>120.12648255935603</v>
      </c>
    </row>
    <row r="1053" spans="1:8" ht="15.75" hidden="1" customHeight="1" x14ac:dyDescent="0.25">
      <c r="A1053" s="20" t="s">
        <v>51</v>
      </c>
      <c r="B1053" s="47" t="s">
        <v>101</v>
      </c>
      <c r="C1053" s="49"/>
      <c r="D1053" s="29" t="s">
        <v>396</v>
      </c>
      <c r="E1053" s="23">
        <v>3</v>
      </c>
      <c r="F1053" s="20">
        <v>0</v>
      </c>
      <c r="G1053" s="24">
        <f>E1053</f>
        <v>3</v>
      </c>
      <c r="H1053" s="20">
        <v>0</v>
      </c>
    </row>
    <row r="1054" spans="1:8" ht="15.75" hidden="1" customHeight="1" x14ac:dyDescent="0.25">
      <c r="A1054" s="20" t="s">
        <v>51</v>
      </c>
      <c r="B1054" s="47" t="s">
        <v>101</v>
      </c>
      <c r="C1054" s="49"/>
      <c r="D1054" s="19" t="s">
        <v>15</v>
      </c>
      <c r="E1054" s="23">
        <v>295</v>
      </c>
      <c r="F1054" s="18">
        <f>E1054* 0.981163265034061</f>
        <v>289.44316318504798</v>
      </c>
      <c r="G1054" s="18">
        <f>E1054* 0.0027595216829083</f>
        <v>0.81405889645794849</v>
      </c>
      <c r="H1054" s="18">
        <f>E1054* 0.0160372202151627</f>
        <v>4.730979963472997</v>
      </c>
    </row>
    <row r="1055" spans="1:8" ht="15.75" hidden="1" customHeight="1" x14ac:dyDescent="0.25">
      <c r="A1055" s="20" t="s">
        <v>51</v>
      </c>
      <c r="B1055" s="47" t="s">
        <v>101</v>
      </c>
      <c r="C1055" s="49"/>
      <c r="D1055" s="29" t="s">
        <v>397</v>
      </c>
      <c r="E1055" s="23">
        <v>20</v>
      </c>
      <c r="F1055" s="18">
        <f>E1055* 0.142974979378609</f>
        <v>2.8594995875721803</v>
      </c>
      <c r="G1055" s="18">
        <f>E1055* 0.852350838603245</f>
        <v>17.0470167720649</v>
      </c>
      <c r="H1055" s="18">
        <f>E1055* 0.00467418201814682</f>
        <v>9.3483640362936396E-2</v>
      </c>
    </row>
    <row r="1056" spans="1:8" ht="15.75" hidden="1" customHeight="1" x14ac:dyDescent="0.25">
      <c r="A1056" s="20" t="s">
        <v>51</v>
      </c>
      <c r="B1056" s="47" t="s">
        <v>101</v>
      </c>
      <c r="C1056" s="49"/>
      <c r="D1056" s="19" t="s">
        <v>11</v>
      </c>
      <c r="E1056" s="23">
        <v>201</v>
      </c>
      <c r="F1056" s="18">
        <f>E1056* 0.178797409805735</f>
        <v>35.938279370952735</v>
      </c>
      <c r="G1056" s="18">
        <f>E1056* 0.819278445883441</f>
        <v>164.67496762257164</v>
      </c>
      <c r="H1056" s="18">
        <f>E1056* 0.00181313598519889</f>
        <v>0.36444033302497686</v>
      </c>
    </row>
    <row r="1057" spans="1:8" ht="15.75" hidden="1" customHeight="1" x14ac:dyDescent="0.25">
      <c r="A1057" s="20" t="s">
        <v>51</v>
      </c>
      <c r="B1057" s="47" t="s">
        <v>101</v>
      </c>
      <c r="C1057" s="49"/>
      <c r="D1057" s="19" t="s">
        <v>17</v>
      </c>
      <c r="E1057" s="23">
        <v>331</v>
      </c>
      <c r="F1057" s="18">
        <f>E1057* 0.916446662218225</f>
        <v>303.34384519423247</v>
      </c>
      <c r="G1057" s="18">
        <f>E1057* 0.0292436682236212</f>
        <v>9.6796541820186164</v>
      </c>
      <c r="H1057" s="18">
        <f>E1057* 0.0543096695581537</f>
        <v>17.976500623748876</v>
      </c>
    </row>
    <row r="1058" spans="1:8" ht="15.75" hidden="1" customHeight="1" x14ac:dyDescent="0.25">
      <c r="A1058" s="20" t="s">
        <v>51</v>
      </c>
      <c r="B1058" s="47" t="s">
        <v>101</v>
      </c>
      <c r="C1058" s="49"/>
      <c r="D1058" s="19" t="s">
        <v>31</v>
      </c>
      <c r="E1058" s="23">
        <v>40</v>
      </c>
      <c r="F1058" s="18">
        <f>E1058* 0.957442434210526</f>
        <v>38.297697368421041</v>
      </c>
      <c r="G1058" s="18">
        <f>E1058* 0.0158305921052632</f>
        <v>0.63322368421052788</v>
      </c>
      <c r="H1058" s="18">
        <f>E1058* 0.0263157894736842</f>
        <v>1.0526315789473679</v>
      </c>
    </row>
    <row r="1059" spans="1:8" ht="15.75" hidden="1" customHeight="1" x14ac:dyDescent="0.25">
      <c r="A1059" s="20" t="s">
        <v>51</v>
      </c>
      <c r="B1059" s="47" t="s">
        <v>101</v>
      </c>
      <c r="C1059" s="49"/>
      <c r="D1059" s="19" t="s">
        <v>18</v>
      </c>
      <c r="E1059" s="23">
        <v>62</v>
      </c>
      <c r="F1059" s="18">
        <f>E1059* 0.983388008654987</f>
        <v>60.970056536609192</v>
      </c>
      <c r="G1059" s="18">
        <f>E1059* 0.0133314720457877</f>
        <v>0.8265512668388374</v>
      </c>
      <c r="H1059" s="18">
        <f>E1059* 0.003210721016263</f>
        <v>0.199064703008306</v>
      </c>
    </row>
    <row r="1060" spans="1:8" ht="15.75" hidden="1" customHeight="1" x14ac:dyDescent="0.25">
      <c r="A1060" s="20" t="s">
        <v>51</v>
      </c>
      <c r="B1060" s="47" t="s">
        <v>101</v>
      </c>
      <c r="C1060" s="49"/>
      <c r="D1060" s="19" t="s">
        <v>19</v>
      </c>
      <c r="E1060" s="23">
        <v>14</v>
      </c>
      <c r="F1060" s="18">
        <f>E1060* 0.511826182618262</f>
        <v>7.1655665566556674</v>
      </c>
      <c r="G1060" s="18">
        <f>E1060* 0.476622662266227</f>
        <v>6.6727172717271781</v>
      </c>
      <c r="H1060" s="18">
        <f>E1060* 0.0115511551155116</f>
        <v>0.1617161716171624</v>
      </c>
    </row>
    <row r="1061" spans="1:8" ht="15.75" hidden="1" customHeight="1" x14ac:dyDescent="0.25">
      <c r="A1061" s="20" t="s">
        <v>51</v>
      </c>
      <c r="B1061" s="47" t="s">
        <v>101</v>
      </c>
      <c r="C1061" s="49"/>
      <c r="D1061" s="19" t="s">
        <v>20</v>
      </c>
      <c r="E1061" s="23">
        <v>526</v>
      </c>
      <c r="F1061" s="18">
        <f>E1061* 0.814615536880747</f>
        <v>428.4877723992729</v>
      </c>
      <c r="G1061" s="18">
        <f>E1061* 0.0763167839340663</f>
        <v>40.142628349318869</v>
      </c>
      <c r="H1061" s="18">
        <f>E1061* 0.109013694193014</f>
        <v>57.341203145525363</v>
      </c>
    </row>
    <row r="1062" spans="1:8" ht="15.75" hidden="1" customHeight="1" x14ac:dyDescent="0.25">
      <c r="A1062" s="20" t="s">
        <v>51</v>
      </c>
      <c r="B1062" s="47" t="s">
        <v>101</v>
      </c>
      <c r="C1062" s="49"/>
      <c r="D1062" s="19" t="s">
        <v>21</v>
      </c>
      <c r="E1062" s="23">
        <v>109</v>
      </c>
      <c r="F1062" s="18">
        <f>E1062* 0.999722052365334</f>
        <v>108.9697037078214</v>
      </c>
      <c r="G1062" s="20">
        <v>0</v>
      </c>
      <c r="H1062" s="18">
        <f>E1062* 0.000277947634665629</f>
        <v>3.029629217855356E-2</v>
      </c>
    </row>
    <row r="1063" spans="1:8" ht="15.75" hidden="1" customHeight="1" x14ac:dyDescent="0.25">
      <c r="A1063" s="20" t="s">
        <v>51</v>
      </c>
      <c r="B1063" s="47" t="s">
        <v>101</v>
      </c>
      <c r="C1063" s="49"/>
      <c r="D1063" s="19" t="s">
        <v>37</v>
      </c>
      <c r="E1063" s="23">
        <v>0</v>
      </c>
      <c r="F1063" s="18">
        <f>E1063* 0.0555555555555556</f>
        <v>0</v>
      </c>
      <c r="G1063" s="18">
        <f>E1063* 0.944444444444444</f>
        <v>0</v>
      </c>
      <c r="H1063" s="20">
        <v>0</v>
      </c>
    </row>
    <row r="1064" spans="1:8" ht="15.75" hidden="1" customHeight="1" x14ac:dyDescent="0.25">
      <c r="A1064" s="20" t="s">
        <v>51</v>
      </c>
      <c r="B1064" s="47" t="s">
        <v>101</v>
      </c>
      <c r="C1064" s="49"/>
      <c r="D1064" s="19" t="s">
        <v>36</v>
      </c>
      <c r="E1064" s="23">
        <v>1</v>
      </c>
      <c r="F1064" s="18">
        <f>E1064* 0.999132697311362</f>
        <v>0.99913269731136201</v>
      </c>
      <c r="G1064" s="20">
        <v>0</v>
      </c>
      <c r="H1064" s="18">
        <f>E1064* 0.000867302688638335</f>
        <v>8.6730268863833497E-4</v>
      </c>
    </row>
    <row r="1065" spans="1:8" ht="15.75" hidden="1" customHeight="1" x14ac:dyDescent="0.25">
      <c r="A1065" s="20" t="s">
        <v>51</v>
      </c>
      <c r="B1065" s="47" t="s">
        <v>101</v>
      </c>
      <c r="C1065" s="49"/>
      <c r="D1065" s="19" t="s">
        <v>28</v>
      </c>
      <c r="E1065" s="23">
        <v>34</v>
      </c>
      <c r="F1065" s="18">
        <f>E1065* 0.00115651503469545</f>
        <v>3.9321511179645302E-2</v>
      </c>
      <c r="G1065" s="18">
        <f>E1065* 0.998843484965305</f>
        <v>33.960678488820371</v>
      </c>
      <c r="H1065" s="20">
        <v>0</v>
      </c>
    </row>
    <row r="1066" spans="1:8" ht="15.75" hidden="1" customHeight="1" x14ac:dyDescent="0.25">
      <c r="A1066" s="20" t="s">
        <v>51</v>
      </c>
      <c r="B1066" s="47" t="s">
        <v>101</v>
      </c>
      <c r="C1066" s="49"/>
      <c r="D1066" s="19" t="s">
        <v>12</v>
      </c>
      <c r="E1066" s="17">
        <v>956</v>
      </c>
      <c r="F1066" s="18">
        <f>E1066* 0.924936238310357</f>
        <v>884.2390438247013</v>
      </c>
      <c r="G1066" s="18">
        <f>E1066* 0.0351064361799663</f>
        <v>33.561752988047779</v>
      </c>
      <c r="H1066" s="18">
        <f>E1066* 0.039932320925503</f>
        <v>38.175298804780866</v>
      </c>
    </row>
    <row r="1067" spans="1:8" ht="15.75" hidden="1" customHeight="1" x14ac:dyDescent="0.25">
      <c r="A1067" s="20" t="s">
        <v>51</v>
      </c>
      <c r="B1067" s="20"/>
      <c r="C1067" s="20"/>
      <c r="D1067" s="46"/>
      <c r="E1067" s="35"/>
    </row>
    <row r="1068" spans="1:8" ht="15.75" hidden="1" customHeight="1" x14ac:dyDescent="0.25">
      <c r="A1068" s="20" t="s">
        <v>51</v>
      </c>
      <c r="B1068" s="47" t="s">
        <v>102</v>
      </c>
      <c r="C1068" s="12" t="str">
        <f>B1068&amp;"_"&amp;A1068</f>
        <v>Tihuanacu_La Paz</v>
      </c>
      <c r="D1068" s="20"/>
      <c r="E1068" s="48">
        <v>427</v>
      </c>
      <c r="F1068" s="14">
        <f t="shared" ref="F1068:H1068" si="93">SUM(F1069:F1080)</f>
        <v>356.70204108259168</v>
      </c>
      <c r="G1068" s="14">
        <f t="shared" si="93"/>
        <v>45.231920168173943</v>
      </c>
      <c r="H1068" s="14">
        <f t="shared" si="93"/>
        <v>25.048274870847195</v>
      </c>
    </row>
    <row r="1069" spans="1:8" ht="15.75" hidden="1" customHeight="1" x14ac:dyDescent="0.25">
      <c r="A1069" s="20" t="s">
        <v>51</v>
      </c>
      <c r="B1069" s="47" t="s">
        <v>102</v>
      </c>
      <c r="C1069" s="49"/>
      <c r="D1069" s="19" t="s">
        <v>15</v>
      </c>
      <c r="E1069" s="23">
        <v>22</v>
      </c>
      <c r="F1069" s="18">
        <f>E1069* 0.981163265034061</f>
        <v>21.585591830749344</v>
      </c>
      <c r="G1069" s="18">
        <f>E1069* 0.0027595216829083</f>
        <v>6.0709477023982598E-2</v>
      </c>
      <c r="H1069" s="18">
        <f>E1069* 0.0160372202151627</f>
        <v>0.35281884473357944</v>
      </c>
    </row>
    <row r="1070" spans="1:8" ht="15.75" hidden="1" customHeight="1" x14ac:dyDescent="0.25">
      <c r="A1070" s="20" t="s">
        <v>51</v>
      </c>
      <c r="B1070" s="47" t="s">
        <v>102</v>
      </c>
      <c r="C1070" s="49"/>
      <c r="D1070" s="29" t="s">
        <v>398</v>
      </c>
      <c r="E1070" s="23">
        <v>7</v>
      </c>
      <c r="F1070" s="18">
        <f>E1070* 0.142974979378609</f>
        <v>1.000824855650263</v>
      </c>
      <c r="G1070" s="18">
        <f>E1070* 0.852350838603245</f>
        <v>5.9664558702227151</v>
      </c>
      <c r="H1070" s="18">
        <f>E1070* 0.00467418201814682</f>
        <v>3.2719274127027742E-2</v>
      </c>
    </row>
    <row r="1071" spans="1:8" ht="15.75" hidden="1" customHeight="1" x14ac:dyDescent="0.25">
      <c r="A1071" s="20" t="s">
        <v>51</v>
      </c>
      <c r="B1071" s="47" t="s">
        <v>102</v>
      </c>
      <c r="C1071" s="49"/>
      <c r="D1071" s="19" t="s">
        <v>11</v>
      </c>
      <c r="E1071" s="23">
        <v>19</v>
      </c>
      <c r="F1071" s="18">
        <f>E1071* 0.178797409805735</f>
        <v>3.3971507863089649</v>
      </c>
      <c r="G1071" s="18">
        <f>E1071* 0.819278445883441</f>
        <v>15.566290471785379</v>
      </c>
      <c r="H1071" s="18">
        <f>E1071* 0.00181313598519889</f>
        <v>3.444958371877891E-2</v>
      </c>
    </row>
    <row r="1072" spans="1:8" ht="15.75" hidden="1" customHeight="1" x14ac:dyDescent="0.25">
      <c r="A1072" s="20" t="s">
        <v>51</v>
      </c>
      <c r="B1072" s="47" t="s">
        <v>102</v>
      </c>
      <c r="C1072" s="49"/>
      <c r="D1072" s="19" t="s">
        <v>17</v>
      </c>
      <c r="E1072" s="23">
        <v>28</v>
      </c>
      <c r="F1072" s="18">
        <f>E1072* 0.916446662218225</f>
        <v>25.660506542110301</v>
      </c>
      <c r="G1072" s="18">
        <f>E1072* 0.0292436682236212</f>
        <v>0.81882271026139353</v>
      </c>
      <c r="H1072" s="18">
        <f>E1072* 0.0543096695581537</f>
        <v>1.5206707476283037</v>
      </c>
    </row>
    <row r="1073" spans="1:8" ht="15.75" hidden="1" customHeight="1" x14ac:dyDescent="0.25">
      <c r="A1073" s="20" t="s">
        <v>51</v>
      </c>
      <c r="B1073" s="47" t="s">
        <v>102</v>
      </c>
      <c r="C1073" s="49"/>
      <c r="D1073" s="19" t="s">
        <v>31</v>
      </c>
      <c r="E1073" s="23">
        <v>7</v>
      </c>
      <c r="F1073" s="18">
        <f>E1073* 0.957442434210526</f>
        <v>6.7020970394736823</v>
      </c>
      <c r="G1073" s="18">
        <f>E1073* 0.0158305921052632</f>
        <v>0.1108141447368424</v>
      </c>
      <c r="H1073" s="18">
        <f>E1073* 0.0263157894736842</f>
        <v>0.18421052631578938</v>
      </c>
    </row>
    <row r="1074" spans="1:8" ht="15.75" hidden="1" customHeight="1" x14ac:dyDescent="0.25">
      <c r="A1074" s="20" t="s">
        <v>51</v>
      </c>
      <c r="B1074" s="47" t="s">
        <v>102</v>
      </c>
      <c r="C1074" s="49"/>
      <c r="D1074" s="19" t="s">
        <v>18</v>
      </c>
      <c r="E1074" s="23">
        <v>1</v>
      </c>
      <c r="F1074" s="18">
        <f>E1074* 0.983388008654987</f>
        <v>0.98338800865498699</v>
      </c>
      <c r="G1074" s="18">
        <f>E1074* 0.0133314720457877</f>
        <v>1.33314720457877E-2</v>
      </c>
      <c r="H1074" s="18">
        <f>E1074* 0.003210721016263</f>
        <v>3.2107210162630002E-3</v>
      </c>
    </row>
    <row r="1075" spans="1:8" ht="15.75" hidden="1" customHeight="1" x14ac:dyDescent="0.25">
      <c r="A1075" s="20" t="s">
        <v>51</v>
      </c>
      <c r="B1075" s="47" t="s">
        <v>102</v>
      </c>
      <c r="C1075" s="49"/>
      <c r="D1075" s="19" t="s">
        <v>399</v>
      </c>
      <c r="E1075" s="23">
        <v>5</v>
      </c>
      <c r="F1075" s="20">
        <v>0</v>
      </c>
      <c r="G1075" s="24">
        <f>E1075</f>
        <v>5</v>
      </c>
      <c r="H1075" s="20">
        <v>0</v>
      </c>
    </row>
    <row r="1076" spans="1:8" ht="15.75" hidden="1" customHeight="1" x14ac:dyDescent="0.25">
      <c r="A1076" s="20" t="s">
        <v>51</v>
      </c>
      <c r="B1076" s="47" t="s">
        <v>102</v>
      </c>
      <c r="C1076" s="49"/>
      <c r="D1076" s="19" t="s">
        <v>20</v>
      </c>
      <c r="E1076" s="23">
        <v>176</v>
      </c>
      <c r="F1076" s="18">
        <f>E1076* 0.814615536880747</f>
        <v>143.37233449101146</v>
      </c>
      <c r="G1076" s="18">
        <f>E1076* 0.0763167839340663</f>
        <v>13.431753972395668</v>
      </c>
      <c r="H1076" s="18">
        <f>E1076* 0.109013694193014</f>
        <v>19.186410177970465</v>
      </c>
    </row>
    <row r="1077" spans="1:8" ht="15.75" hidden="1" customHeight="1" x14ac:dyDescent="0.25">
      <c r="A1077" s="20" t="s">
        <v>51</v>
      </c>
      <c r="B1077" s="47" t="s">
        <v>102</v>
      </c>
      <c r="C1077" s="49"/>
      <c r="D1077" s="19" t="s">
        <v>21</v>
      </c>
      <c r="E1077" s="23">
        <v>66</v>
      </c>
      <c r="F1077" s="18">
        <f>E1077* 0.999722052365334</f>
        <v>65.981655456112037</v>
      </c>
      <c r="G1077" s="20">
        <v>0</v>
      </c>
      <c r="H1077" s="18">
        <f>E1077* 0.000277947634665629</f>
        <v>1.8344543887931514E-2</v>
      </c>
    </row>
    <row r="1078" spans="1:8" ht="15.75" hidden="1" customHeight="1" x14ac:dyDescent="0.25">
      <c r="A1078" s="20" t="s">
        <v>51</v>
      </c>
      <c r="B1078" s="47" t="s">
        <v>102</v>
      </c>
      <c r="C1078" s="49"/>
      <c r="D1078" s="19" t="s">
        <v>36</v>
      </c>
      <c r="E1078" s="23">
        <v>2</v>
      </c>
      <c r="F1078" s="18">
        <f>E1078* 0.999132697311362</f>
        <v>1.998265394622724</v>
      </c>
      <c r="G1078" s="20">
        <v>0</v>
      </c>
      <c r="H1078" s="18">
        <f>E1078* 0.000867302688638335</f>
        <v>1.7346053772766699E-3</v>
      </c>
    </row>
    <row r="1079" spans="1:8" ht="15.75" hidden="1" customHeight="1" x14ac:dyDescent="0.25">
      <c r="A1079" s="20" t="s">
        <v>51</v>
      </c>
      <c r="B1079" s="47" t="s">
        <v>102</v>
      </c>
      <c r="C1079" s="49"/>
      <c r="D1079" s="19" t="s">
        <v>28</v>
      </c>
      <c r="E1079" s="23">
        <v>1</v>
      </c>
      <c r="F1079" s="18">
        <f>E1079* 0.00115651503469545</f>
        <v>1.15651503469545E-3</v>
      </c>
      <c r="G1079" s="18">
        <f>E1079* 0.998843484965305</f>
        <v>0.99884348496530495</v>
      </c>
      <c r="H1079" s="20">
        <v>0</v>
      </c>
    </row>
    <row r="1080" spans="1:8" ht="15.75" hidden="1" customHeight="1" x14ac:dyDescent="0.25">
      <c r="A1080" s="20" t="s">
        <v>51</v>
      </c>
      <c r="B1080" s="47" t="s">
        <v>102</v>
      </c>
      <c r="C1080" s="49"/>
      <c r="D1080" s="19" t="s">
        <v>12</v>
      </c>
      <c r="E1080" s="23">
        <v>93</v>
      </c>
      <c r="F1080" s="18">
        <f>E1080* 0.924936238310357</f>
        <v>86.019070162863201</v>
      </c>
      <c r="G1080" s="18">
        <f>E1080* 0.0351064361799663</f>
        <v>3.2648985647368658</v>
      </c>
      <c r="H1080" s="18">
        <f>E1080* 0.039932320925503</f>
        <v>3.7137058460717789</v>
      </c>
    </row>
    <row r="1081" spans="1:8" ht="15.75" hidden="1" customHeight="1" x14ac:dyDescent="0.25">
      <c r="A1081" s="20" t="s">
        <v>51</v>
      </c>
      <c r="B1081" s="20"/>
      <c r="C1081" s="20"/>
      <c r="D1081" s="46"/>
      <c r="E1081" s="35"/>
    </row>
    <row r="1082" spans="1:8" ht="15.75" hidden="1" customHeight="1" x14ac:dyDescent="0.25">
      <c r="A1082" s="20" t="s">
        <v>51</v>
      </c>
      <c r="B1082" s="47" t="s">
        <v>400</v>
      </c>
      <c r="C1082" s="12" t="str">
        <f>B1082&amp;"_"&amp;A1082</f>
        <v>Tito Yupanqui_La Paz</v>
      </c>
      <c r="D1082" s="20"/>
      <c r="E1082" s="48">
        <v>137</v>
      </c>
      <c r="F1082" s="14">
        <f t="shared" ref="F1082:H1082" si="94">SUM(F1083:F1087)</f>
        <v>136.54043150998527</v>
      </c>
      <c r="G1082" s="14">
        <f t="shared" si="94"/>
        <v>0.17577332451762009</v>
      </c>
      <c r="H1082" s="14">
        <f t="shared" si="94"/>
        <v>0.28369117133653865</v>
      </c>
    </row>
    <row r="1083" spans="1:8" ht="15.75" hidden="1" customHeight="1" x14ac:dyDescent="0.25">
      <c r="A1083" s="20" t="s">
        <v>51</v>
      </c>
      <c r="B1083" s="47" t="s">
        <v>400</v>
      </c>
      <c r="C1083" s="49"/>
      <c r="D1083" s="19" t="s">
        <v>17</v>
      </c>
      <c r="E1083" s="23">
        <v>1</v>
      </c>
      <c r="F1083" s="18">
        <f>E1083* 0.916446662218225</f>
        <v>0.91644666221822502</v>
      </c>
      <c r="G1083" s="18">
        <f>E1083* 0.0292436682236212</f>
        <v>2.9243668223621198E-2</v>
      </c>
      <c r="H1083" s="18">
        <f>E1083* 0.0543096695581537</f>
        <v>5.4309669558153702E-2</v>
      </c>
    </row>
    <row r="1084" spans="1:8" ht="15.75" hidden="1" customHeight="1" x14ac:dyDescent="0.25">
      <c r="A1084" s="20" t="s">
        <v>51</v>
      </c>
      <c r="B1084" s="47" t="s">
        <v>400</v>
      </c>
      <c r="C1084" s="49"/>
      <c r="D1084" s="19" t="s">
        <v>20</v>
      </c>
      <c r="E1084" s="23">
        <v>1</v>
      </c>
      <c r="F1084" s="18">
        <f>E1084* 0.814615536880747</f>
        <v>0.81461553688074695</v>
      </c>
      <c r="G1084" s="18">
        <f>E1084* 0.0763167839340663</f>
        <v>7.6316783934066296E-2</v>
      </c>
      <c r="H1084" s="18">
        <f>E1084* 0.109013694193014</f>
        <v>0.109013694193014</v>
      </c>
    </row>
    <row r="1085" spans="1:8" ht="15.75" hidden="1" customHeight="1" x14ac:dyDescent="0.25">
      <c r="A1085" s="20" t="s">
        <v>51</v>
      </c>
      <c r="B1085" s="47" t="s">
        <v>400</v>
      </c>
      <c r="C1085" s="49"/>
      <c r="D1085" s="19" t="s">
        <v>21</v>
      </c>
      <c r="E1085" s="23">
        <v>127</v>
      </c>
      <c r="F1085" s="18">
        <f>E1085* 0.999722052365334</f>
        <v>126.96470065039742</v>
      </c>
      <c r="G1085" s="20">
        <v>0</v>
      </c>
      <c r="H1085" s="18">
        <f>E1085* 0.000277947634665629</f>
        <v>3.5299349602534884E-2</v>
      </c>
    </row>
    <row r="1086" spans="1:8" ht="15.75" hidden="1" customHeight="1" x14ac:dyDescent="0.25">
      <c r="A1086" s="20" t="s">
        <v>51</v>
      </c>
      <c r="B1086" s="47" t="s">
        <v>400</v>
      </c>
      <c r="C1086" s="49"/>
      <c r="D1086" s="19" t="s">
        <v>36</v>
      </c>
      <c r="E1086" s="23">
        <v>6</v>
      </c>
      <c r="F1086" s="18">
        <f>E1086* 0.999132697311362</f>
        <v>5.9947961838681723</v>
      </c>
      <c r="G1086" s="20">
        <v>0</v>
      </c>
      <c r="H1086" s="18">
        <f>E1086* 0.000867302688638335</f>
        <v>5.2038161318300096E-3</v>
      </c>
    </row>
    <row r="1087" spans="1:8" ht="15.75" hidden="1" customHeight="1" x14ac:dyDescent="0.25">
      <c r="A1087" s="20" t="s">
        <v>51</v>
      </c>
      <c r="B1087" s="47" t="s">
        <v>400</v>
      </c>
      <c r="C1087" s="49"/>
      <c r="D1087" s="19" t="s">
        <v>12</v>
      </c>
      <c r="E1087" s="23">
        <v>2</v>
      </c>
      <c r="F1087" s="18">
        <f>E1087* 0.924936238310357</f>
        <v>1.849872476620714</v>
      </c>
      <c r="G1087" s="18">
        <f>E1087* 0.0351064361799663</f>
        <v>7.0212872359932593E-2</v>
      </c>
      <c r="H1087" s="18">
        <f>E1087* 0.039932320925503</f>
        <v>7.9864641851006002E-2</v>
      </c>
    </row>
    <row r="1088" spans="1:8" ht="15.75" hidden="1" customHeight="1" x14ac:dyDescent="0.25">
      <c r="A1088" s="20" t="s">
        <v>51</v>
      </c>
      <c r="B1088" s="20"/>
      <c r="C1088" s="20"/>
      <c r="D1088" s="46"/>
      <c r="E1088" s="35"/>
    </row>
    <row r="1089" spans="1:8" ht="15.75" hidden="1" customHeight="1" x14ac:dyDescent="0.25">
      <c r="A1089" s="20" t="s">
        <v>51</v>
      </c>
      <c r="B1089" s="47" t="s">
        <v>103</v>
      </c>
      <c r="C1089" s="12" t="str">
        <f>B1089&amp;"_"&amp;A1089</f>
        <v>Umala_La Paz</v>
      </c>
      <c r="D1089" s="20"/>
      <c r="E1089" s="48">
        <v>274</v>
      </c>
      <c r="F1089" s="14">
        <f t="shared" ref="F1089:H1089" si="95">SUM(F1090:F1101)</f>
        <v>236.82138270763656</v>
      </c>
      <c r="G1089" s="14">
        <f t="shared" si="95"/>
        <v>22.56776493044363</v>
      </c>
      <c r="H1089" s="14">
        <f t="shared" si="95"/>
        <v>14.601103634275429</v>
      </c>
    </row>
    <row r="1090" spans="1:8" ht="15.75" hidden="1" customHeight="1" x14ac:dyDescent="0.25">
      <c r="A1090" s="20" t="s">
        <v>51</v>
      </c>
      <c r="B1090" s="47" t="s">
        <v>103</v>
      </c>
      <c r="C1090" s="49"/>
      <c r="D1090" s="29" t="s">
        <v>401</v>
      </c>
      <c r="E1090" s="23">
        <v>0</v>
      </c>
      <c r="F1090" s="20">
        <v>0</v>
      </c>
      <c r="G1090" s="24">
        <f>E1090</f>
        <v>0</v>
      </c>
      <c r="H1090" s="20">
        <v>0</v>
      </c>
    </row>
    <row r="1091" spans="1:8" ht="15.75" hidden="1" customHeight="1" x14ac:dyDescent="0.25">
      <c r="A1091" s="20" t="s">
        <v>51</v>
      </c>
      <c r="B1091" s="47" t="s">
        <v>103</v>
      </c>
      <c r="C1091" s="49"/>
      <c r="D1091" s="19" t="s">
        <v>15</v>
      </c>
      <c r="E1091" s="23">
        <v>16</v>
      </c>
      <c r="F1091" s="18">
        <f>E1091* 0.981163265034061</f>
        <v>15.698612240544977</v>
      </c>
      <c r="G1091" s="18">
        <f>E1091* 0.0027595216829083</f>
        <v>4.4152346926532797E-2</v>
      </c>
      <c r="H1091" s="18">
        <f>E1091* 0.0160372202151627</f>
        <v>0.25659552344260322</v>
      </c>
    </row>
    <row r="1092" spans="1:8" ht="15.75" hidden="1" customHeight="1" x14ac:dyDescent="0.25">
      <c r="A1092" s="20" t="s">
        <v>51</v>
      </c>
      <c r="B1092" s="47" t="s">
        <v>103</v>
      </c>
      <c r="C1092" s="49"/>
      <c r="D1092" s="29" t="s">
        <v>402</v>
      </c>
      <c r="E1092" s="23">
        <v>4</v>
      </c>
      <c r="F1092" s="18">
        <f>E1092* 0.142974979378609</f>
        <v>0.57189991751443603</v>
      </c>
      <c r="G1092" s="18">
        <f>E1092* 0.852350838603245</f>
        <v>3.40940335441298</v>
      </c>
      <c r="H1092" s="18">
        <f>E1092* 0.00467418201814682</f>
        <v>1.8696728072587279E-2</v>
      </c>
    </row>
    <row r="1093" spans="1:8" ht="15.75" hidden="1" customHeight="1" x14ac:dyDescent="0.25">
      <c r="A1093" s="20" t="s">
        <v>51</v>
      </c>
      <c r="B1093" s="47" t="s">
        <v>103</v>
      </c>
      <c r="C1093" s="49"/>
      <c r="D1093" s="19" t="s">
        <v>11</v>
      </c>
      <c r="E1093" s="23">
        <v>8</v>
      </c>
      <c r="F1093" s="18">
        <f>E1093* 0.178797409805735</f>
        <v>1.43037927844588</v>
      </c>
      <c r="G1093" s="18">
        <f>E1093* 0.819278445883441</f>
        <v>6.5542275670675281</v>
      </c>
      <c r="H1093" s="18">
        <f>E1093* 0.00181313598519889</f>
        <v>1.4505087881591119E-2</v>
      </c>
    </row>
    <row r="1094" spans="1:8" ht="15.75" hidden="1" customHeight="1" x14ac:dyDescent="0.25">
      <c r="A1094" s="20" t="s">
        <v>51</v>
      </c>
      <c r="B1094" s="47" t="s">
        <v>103</v>
      </c>
      <c r="C1094" s="49"/>
      <c r="D1094" s="19" t="s">
        <v>17</v>
      </c>
      <c r="E1094" s="23">
        <v>41</v>
      </c>
      <c r="F1094" s="18">
        <f>E1094* 0.916446662218225</f>
        <v>37.574313150947226</v>
      </c>
      <c r="G1094" s="18">
        <f>E1094* 0.0292436682236212</f>
        <v>1.1989903971684692</v>
      </c>
      <c r="H1094" s="18">
        <f>E1094* 0.0543096695581537</f>
        <v>2.226696451884302</v>
      </c>
    </row>
    <row r="1095" spans="1:8" ht="15.75" hidden="1" customHeight="1" x14ac:dyDescent="0.25">
      <c r="A1095" s="20" t="s">
        <v>51</v>
      </c>
      <c r="B1095" s="47" t="s">
        <v>103</v>
      </c>
      <c r="C1095" s="49"/>
      <c r="D1095" s="19" t="s">
        <v>31</v>
      </c>
      <c r="E1095" s="23">
        <v>1</v>
      </c>
      <c r="F1095" s="18">
        <f>E1095* 0.957442434210526</f>
        <v>0.95744243421052599</v>
      </c>
      <c r="G1095" s="18">
        <f>E1095* 0.0158305921052632</f>
        <v>1.5830592105263198E-2</v>
      </c>
      <c r="H1095" s="18">
        <f>E1095* 0.0263157894736842</f>
        <v>2.6315789473684199E-2</v>
      </c>
    </row>
    <row r="1096" spans="1:8" ht="15.75" hidden="1" customHeight="1" x14ac:dyDescent="0.25">
      <c r="A1096" s="20" t="s">
        <v>51</v>
      </c>
      <c r="B1096" s="47" t="s">
        <v>103</v>
      </c>
      <c r="C1096" s="49"/>
      <c r="D1096" s="19" t="s">
        <v>18</v>
      </c>
      <c r="E1096" s="23">
        <v>19</v>
      </c>
      <c r="F1096" s="18">
        <f>E1096* 0.983388008654987</f>
        <v>18.684372164444753</v>
      </c>
      <c r="G1096" s="18">
        <f>E1096* 0.0133314720457877</f>
        <v>0.25329796886996631</v>
      </c>
      <c r="H1096" s="18">
        <f>E1096* 0.003210721016263</f>
        <v>6.1003699308997003E-2</v>
      </c>
    </row>
    <row r="1097" spans="1:8" ht="15.75" hidden="1" customHeight="1" x14ac:dyDescent="0.25">
      <c r="A1097" s="20" t="s">
        <v>51</v>
      </c>
      <c r="B1097" s="47" t="s">
        <v>103</v>
      </c>
      <c r="C1097" s="49"/>
      <c r="D1097" s="19" t="s">
        <v>19</v>
      </c>
      <c r="E1097" s="23">
        <v>2</v>
      </c>
      <c r="F1097" s="18">
        <f>E1097* 0.511826182618262</f>
        <v>1.0236523652365239</v>
      </c>
      <c r="G1097" s="18">
        <f>E1097* 0.476622662266227</f>
        <v>0.95324532453245403</v>
      </c>
      <c r="H1097" s="18">
        <f>E1097* 0.0115511551155116</f>
        <v>2.3102310231023201E-2</v>
      </c>
    </row>
    <row r="1098" spans="1:8" ht="15.75" hidden="1" customHeight="1" x14ac:dyDescent="0.25">
      <c r="A1098" s="20" t="s">
        <v>51</v>
      </c>
      <c r="B1098" s="47" t="s">
        <v>103</v>
      </c>
      <c r="C1098" s="49"/>
      <c r="D1098" s="19" t="s">
        <v>20</v>
      </c>
      <c r="E1098" s="23">
        <v>71</v>
      </c>
      <c r="F1098" s="18">
        <f>E1098* 0.814615536880747</f>
        <v>57.837703118533035</v>
      </c>
      <c r="G1098" s="18">
        <f>E1098* 0.0763167839340663</f>
        <v>5.4184916593187067</v>
      </c>
      <c r="H1098" s="18">
        <f>E1098* 0.109013694193014</f>
        <v>7.7399722877039938</v>
      </c>
    </row>
    <row r="1099" spans="1:8" ht="15.75" hidden="1" customHeight="1" x14ac:dyDescent="0.25">
      <c r="A1099" s="20" t="s">
        <v>51</v>
      </c>
      <c r="B1099" s="47" t="s">
        <v>103</v>
      </c>
      <c r="C1099" s="49"/>
      <c r="D1099" s="19" t="s">
        <v>21</v>
      </c>
      <c r="E1099" s="23">
        <v>5</v>
      </c>
      <c r="F1099" s="18">
        <f>E1099* 0.999722052365334</f>
        <v>4.9986102618266699</v>
      </c>
      <c r="G1099" s="20">
        <v>0</v>
      </c>
      <c r="H1099" s="18">
        <f>E1099* 0.000277947634665629</f>
        <v>1.389738173328145E-3</v>
      </c>
    </row>
    <row r="1100" spans="1:8" ht="15.75" hidden="1" customHeight="1" x14ac:dyDescent="0.25">
      <c r="A1100" s="20" t="s">
        <v>51</v>
      </c>
      <c r="B1100" s="47" t="s">
        <v>103</v>
      </c>
      <c r="C1100" s="49"/>
      <c r="D1100" s="19" t="s">
        <v>28</v>
      </c>
      <c r="E1100" s="23">
        <v>1</v>
      </c>
      <c r="F1100" s="18">
        <f>E1100* 0.00115651503469545</f>
        <v>1.15651503469545E-3</v>
      </c>
      <c r="G1100" s="18">
        <f>E1100* 0.998843484965305</f>
        <v>0.99884348496530495</v>
      </c>
      <c r="H1100" s="20">
        <v>0</v>
      </c>
    </row>
    <row r="1101" spans="1:8" ht="15.75" hidden="1" customHeight="1" x14ac:dyDescent="0.25">
      <c r="A1101" s="20" t="s">
        <v>51</v>
      </c>
      <c r="B1101" s="47" t="s">
        <v>103</v>
      </c>
      <c r="C1101" s="49"/>
      <c r="D1101" s="19" t="s">
        <v>12</v>
      </c>
      <c r="E1101" s="23">
        <v>106</v>
      </c>
      <c r="F1101" s="18">
        <f>E1101* 0.924936238310357</f>
        <v>98.043241260897844</v>
      </c>
      <c r="G1101" s="18">
        <f>E1101* 0.0351064361799663</f>
        <v>3.7212822350764276</v>
      </c>
      <c r="H1101" s="18">
        <f>E1101* 0.039932320925503</f>
        <v>4.2328260181033182</v>
      </c>
    </row>
    <row r="1102" spans="1:8" ht="15.75" hidden="1" customHeight="1" x14ac:dyDescent="0.25">
      <c r="A1102" s="20" t="s">
        <v>51</v>
      </c>
      <c r="B1102" s="20"/>
      <c r="C1102" s="20"/>
      <c r="D1102" s="46"/>
      <c r="E1102" s="35"/>
    </row>
    <row r="1103" spans="1:8" ht="15.75" hidden="1" customHeight="1" x14ac:dyDescent="0.25">
      <c r="A1103" s="20" t="s">
        <v>51</v>
      </c>
      <c r="B1103" s="47" t="s">
        <v>104</v>
      </c>
      <c r="C1103" s="12" t="str">
        <f>B1103&amp;"_"&amp;A1103</f>
        <v>Viacha_La Paz</v>
      </c>
      <c r="D1103" s="20"/>
      <c r="E1103" s="48">
        <v>16073</v>
      </c>
      <c r="F1103" s="14">
        <f t="shared" ref="F1103:H1103" si="96">SUM(F1104:F1118)</f>
        <v>13273.644769365863</v>
      </c>
      <c r="G1103" s="14">
        <f t="shared" si="96"/>
        <v>2199.8890766156246</v>
      </c>
      <c r="H1103" s="14">
        <f t="shared" si="96"/>
        <v>598.8527065508689</v>
      </c>
    </row>
    <row r="1104" spans="1:8" ht="15.75" hidden="1" customHeight="1" x14ac:dyDescent="0.25">
      <c r="A1104" s="20" t="s">
        <v>51</v>
      </c>
      <c r="B1104" s="47" t="s">
        <v>104</v>
      </c>
      <c r="C1104" s="49"/>
      <c r="D1104" s="29" t="s">
        <v>403</v>
      </c>
      <c r="E1104" s="23">
        <v>18</v>
      </c>
      <c r="F1104" s="20">
        <v>0</v>
      </c>
      <c r="G1104" s="24">
        <f>E1104</f>
        <v>18</v>
      </c>
      <c r="H1104" s="20">
        <v>0</v>
      </c>
    </row>
    <row r="1105" spans="1:8" ht="15.75" hidden="1" customHeight="1" x14ac:dyDescent="0.25">
      <c r="A1105" s="20" t="s">
        <v>51</v>
      </c>
      <c r="B1105" s="47" t="s">
        <v>104</v>
      </c>
      <c r="C1105" s="49"/>
      <c r="D1105" s="19" t="s">
        <v>15</v>
      </c>
      <c r="E1105" s="23">
        <v>1915</v>
      </c>
      <c r="F1105" s="18">
        <f>E1105* 0.981163265034061</f>
        <v>1878.927652540227</v>
      </c>
      <c r="G1105" s="18">
        <f>E1105* 0.0027595216829083</f>
        <v>5.2844840227693943</v>
      </c>
      <c r="H1105" s="18">
        <f>E1105* 0.0160372202151627</f>
        <v>30.711276712036572</v>
      </c>
    </row>
    <row r="1106" spans="1:8" ht="15.75" hidden="1" customHeight="1" x14ac:dyDescent="0.25">
      <c r="A1106" s="20" t="s">
        <v>51</v>
      </c>
      <c r="B1106" s="47" t="s">
        <v>104</v>
      </c>
      <c r="C1106" s="49"/>
      <c r="D1106" s="29" t="s">
        <v>404</v>
      </c>
      <c r="E1106" s="23">
        <v>113</v>
      </c>
      <c r="F1106" s="18">
        <f>E1106* 0.142974979378609</f>
        <v>16.156172669782819</v>
      </c>
      <c r="G1106" s="18">
        <f>E1106* 0.852350838603245</f>
        <v>96.315644762166684</v>
      </c>
      <c r="H1106" s="18">
        <f>E1106* 0.00467418201814682</f>
        <v>0.52818256805059061</v>
      </c>
    </row>
    <row r="1107" spans="1:8" ht="15.75" hidden="1" customHeight="1" x14ac:dyDescent="0.25">
      <c r="A1107" s="20" t="s">
        <v>51</v>
      </c>
      <c r="B1107" s="47" t="s">
        <v>104</v>
      </c>
      <c r="C1107" s="49"/>
      <c r="D1107" s="19" t="s">
        <v>11</v>
      </c>
      <c r="E1107" s="23">
        <v>1618</v>
      </c>
      <c r="F1107" s="18">
        <f>E1107* 0.178797409805735</f>
        <v>289.29420906567924</v>
      </c>
      <c r="G1107" s="18">
        <f>E1107* 0.819278445883441</f>
        <v>1325.5925254394076</v>
      </c>
      <c r="H1107" s="18">
        <f>E1107* 0.00181313598519889</f>
        <v>2.9336540240518039</v>
      </c>
    </row>
    <row r="1108" spans="1:8" ht="15.75" hidden="1" customHeight="1" x14ac:dyDescent="0.25">
      <c r="A1108" s="20" t="s">
        <v>51</v>
      </c>
      <c r="B1108" s="47" t="s">
        <v>104</v>
      </c>
      <c r="C1108" s="49"/>
      <c r="D1108" s="19" t="s">
        <v>17</v>
      </c>
      <c r="E1108" s="23">
        <v>1466</v>
      </c>
      <c r="F1108" s="18">
        <f>E1108* 0.916446662218225</f>
        <v>1343.510806811918</v>
      </c>
      <c r="G1108" s="18">
        <f>E1108* 0.0292436682236212</f>
        <v>42.871217615828677</v>
      </c>
      <c r="H1108" s="18">
        <f>E1108* 0.0543096695581537</f>
        <v>79.617975572253329</v>
      </c>
    </row>
    <row r="1109" spans="1:8" ht="15.75" hidden="1" customHeight="1" x14ac:dyDescent="0.25">
      <c r="A1109" s="20" t="s">
        <v>51</v>
      </c>
      <c r="B1109" s="47" t="s">
        <v>104</v>
      </c>
      <c r="C1109" s="49"/>
      <c r="D1109" s="19" t="s">
        <v>31</v>
      </c>
      <c r="E1109" s="23">
        <v>155</v>
      </c>
      <c r="F1109" s="18">
        <f>E1109* 0.957442434210526</f>
        <v>148.40357730263153</v>
      </c>
      <c r="G1109" s="18">
        <f>E1109* 0.0158305921052632</f>
        <v>2.4537417763157956</v>
      </c>
      <c r="H1109" s="18">
        <f>E1109* 0.0263157894736842</f>
        <v>4.0789473684210504</v>
      </c>
    </row>
    <row r="1110" spans="1:8" ht="15.75" hidden="1" customHeight="1" x14ac:dyDescent="0.25">
      <c r="A1110" s="20" t="s">
        <v>51</v>
      </c>
      <c r="B1110" s="47" t="s">
        <v>104</v>
      </c>
      <c r="C1110" s="49"/>
      <c r="D1110" s="19" t="s">
        <v>18</v>
      </c>
      <c r="E1110" s="23">
        <v>328</v>
      </c>
      <c r="F1110" s="18">
        <f>E1110* 0.983388008654987</f>
        <v>322.55126683883572</v>
      </c>
      <c r="G1110" s="18">
        <f>E1110* 0.0133314720457877</f>
        <v>4.3727228310183657</v>
      </c>
      <c r="H1110" s="18">
        <f>E1110* 0.003210721016263</f>
        <v>1.053116493334264</v>
      </c>
    </row>
    <row r="1111" spans="1:8" ht="15.75" hidden="1" customHeight="1" x14ac:dyDescent="0.25">
      <c r="A1111" s="20" t="s">
        <v>51</v>
      </c>
      <c r="B1111" s="47" t="s">
        <v>104</v>
      </c>
      <c r="C1111" s="49"/>
      <c r="D1111" s="19" t="s">
        <v>405</v>
      </c>
      <c r="E1111" s="23">
        <v>1</v>
      </c>
      <c r="F1111" s="20">
        <v>0</v>
      </c>
      <c r="G1111" s="24">
        <f>E1111</f>
        <v>1</v>
      </c>
      <c r="H1111" s="20">
        <v>0</v>
      </c>
    </row>
    <row r="1112" spans="1:8" ht="15.75" hidden="1" customHeight="1" x14ac:dyDescent="0.25">
      <c r="A1112" s="20" t="s">
        <v>51</v>
      </c>
      <c r="B1112" s="47" t="s">
        <v>104</v>
      </c>
      <c r="C1112" s="49"/>
      <c r="D1112" s="19" t="s">
        <v>19</v>
      </c>
      <c r="E1112" s="23">
        <v>72</v>
      </c>
      <c r="F1112" s="18">
        <f>E1112* 0.511826182618262</f>
        <v>36.851485148514861</v>
      </c>
      <c r="G1112" s="18">
        <f>E1112* 0.476622662266227</f>
        <v>34.316831683168346</v>
      </c>
      <c r="H1112" s="18">
        <f>E1112* 0.0115511551155116</f>
        <v>0.83168316831683531</v>
      </c>
    </row>
    <row r="1113" spans="1:8" ht="15.75" hidden="1" customHeight="1" x14ac:dyDescent="0.25">
      <c r="A1113" s="20" t="s">
        <v>51</v>
      </c>
      <c r="B1113" s="47" t="s">
        <v>104</v>
      </c>
      <c r="C1113" s="49"/>
      <c r="D1113" s="19" t="s">
        <v>20</v>
      </c>
      <c r="E1113" s="23">
        <v>2037</v>
      </c>
      <c r="F1113" s="18">
        <f>E1113* 0.814615536880747</f>
        <v>1659.3718486260816</v>
      </c>
      <c r="G1113" s="18">
        <f>E1113* 0.0763167839340663</f>
        <v>155.45728887369305</v>
      </c>
      <c r="H1113" s="18">
        <f>E1113* 0.109013694193014</f>
        <v>222.06089507116951</v>
      </c>
    </row>
    <row r="1114" spans="1:8" ht="15.75" hidden="1" customHeight="1" x14ac:dyDescent="0.25">
      <c r="A1114" s="20" t="s">
        <v>51</v>
      </c>
      <c r="B1114" s="47" t="s">
        <v>104</v>
      </c>
      <c r="C1114" s="49"/>
      <c r="D1114" s="19" t="s">
        <v>21</v>
      </c>
      <c r="E1114" s="23">
        <v>1607</v>
      </c>
      <c r="F1114" s="18">
        <f>E1114* 0.999722052365334</f>
        <v>1606.5533381510916</v>
      </c>
      <c r="G1114" s="20">
        <v>0</v>
      </c>
      <c r="H1114" s="18">
        <f>E1114* 0.000277947634665629</f>
        <v>0.4466618489076658</v>
      </c>
    </row>
    <row r="1115" spans="1:8" ht="15.75" hidden="1" customHeight="1" x14ac:dyDescent="0.25">
      <c r="A1115" s="20" t="s">
        <v>51</v>
      </c>
      <c r="B1115" s="47" t="s">
        <v>104</v>
      </c>
      <c r="C1115" s="49"/>
      <c r="D1115" s="19" t="s">
        <v>36</v>
      </c>
      <c r="E1115" s="23">
        <v>29</v>
      </c>
      <c r="F1115" s="18">
        <f>E1115* 0.999132697311362</f>
        <v>28.974848222029497</v>
      </c>
      <c r="G1115" s="20">
        <v>0</v>
      </c>
      <c r="H1115" s="18">
        <f>E1115* 0.000867302688638335</f>
        <v>2.5151777970511713E-2</v>
      </c>
    </row>
    <row r="1116" spans="1:8" ht="15.75" hidden="1" customHeight="1" x14ac:dyDescent="0.25">
      <c r="A1116" s="20" t="s">
        <v>51</v>
      </c>
      <c r="B1116" s="47" t="s">
        <v>104</v>
      </c>
      <c r="C1116" s="49"/>
      <c r="D1116" s="19" t="s">
        <v>37</v>
      </c>
      <c r="E1116" s="23">
        <v>0</v>
      </c>
      <c r="F1116" s="18">
        <f>E1116* 0.0555555555555556</f>
        <v>0</v>
      </c>
      <c r="G1116" s="18">
        <f>E1116* 0.944444444444444</f>
        <v>0</v>
      </c>
      <c r="H1116" s="20">
        <v>0</v>
      </c>
    </row>
    <row r="1117" spans="1:8" ht="15.75" hidden="1" customHeight="1" x14ac:dyDescent="0.25">
      <c r="A1117" s="20" t="s">
        <v>51</v>
      </c>
      <c r="B1117" s="47" t="s">
        <v>104</v>
      </c>
      <c r="C1117" s="49"/>
      <c r="D1117" s="19" t="s">
        <v>28</v>
      </c>
      <c r="E1117" s="23">
        <v>289</v>
      </c>
      <c r="F1117" s="18">
        <f>E1117* 0.00115651503469545</f>
        <v>0.33423284502698503</v>
      </c>
      <c r="G1117" s="18">
        <f>E1117* 0.998843484965305</f>
        <v>288.66576715497314</v>
      </c>
      <c r="H1117" s="20">
        <v>0</v>
      </c>
    </row>
    <row r="1118" spans="1:8" ht="15.75" hidden="1" customHeight="1" x14ac:dyDescent="0.25">
      <c r="A1118" s="20" t="s">
        <v>51</v>
      </c>
      <c r="B1118" s="47" t="s">
        <v>104</v>
      </c>
      <c r="C1118" s="49"/>
      <c r="D1118" s="19" t="s">
        <v>12</v>
      </c>
      <c r="E1118" s="23">
        <v>6425</v>
      </c>
      <c r="F1118" s="18">
        <f>E1118* 0.924936238310357</f>
        <v>5942.7153311440434</v>
      </c>
      <c r="G1118" s="18">
        <f>E1118* 0.0351064361799663</f>
        <v>225.55885245628346</v>
      </c>
      <c r="H1118" s="18">
        <f>E1118* 0.039932320925503</f>
        <v>256.5651619463568</v>
      </c>
    </row>
    <row r="1119" spans="1:8" ht="15.75" hidden="1" customHeight="1" x14ac:dyDescent="0.25">
      <c r="A1119" s="20" t="s">
        <v>51</v>
      </c>
      <c r="B1119" s="20"/>
      <c r="C1119" s="20"/>
      <c r="D1119" s="46"/>
      <c r="E1119" s="35"/>
    </row>
    <row r="1120" spans="1:8" ht="15.75" hidden="1" customHeight="1" x14ac:dyDescent="0.25">
      <c r="A1120" s="20" t="s">
        <v>51</v>
      </c>
      <c r="B1120" s="47" t="s">
        <v>406</v>
      </c>
      <c r="C1120" s="12" t="str">
        <f>B1120&amp;"_"&amp;A1120</f>
        <v>Waldo Ballivian Tumarapi_La Paz</v>
      </c>
      <c r="D1120" s="20"/>
      <c r="E1120" s="48">
        <v>284</v>
      </c>
      <c r="F1120" s="14">
        <f t="shared" ref="F1120:H1120" si="97">SUM(F1121:F1129)</f>
        <v>268.7311423885983</v>
      </c>
      <c r="G1120" s="14">
        <f t="shared" si="97"/>
        <v>10.649084076637685</v>
      </c>
      <c r="H1120" s="14">
        <f t="shared" si="97"/>
        <v>4.6153053523778063</v>
      </c>
    </row>
    <row r="1121" spans="1:8" ht="15.75" hidden="1" customHeight="1" x14ac:dyDescent="0.25">
      <c r="A1121" s="20" t="s">
        <v>51</v>
      </c>
      <c r="B1121" s="47" t="s">
        <v>406</v>
      </c>
      <c r="C1121" s="49"/>
      <c r="D1121" s="19" t="s">
        <v>15</v>
      </c>
      <c r="E1121" s="23">
        <v>3</v>
      </c>
      <c r="F1121" s="18">
        <f>E1121* 0.981163265034061</f>
        <v>2.9434897951021832</v>
      </c>
      <c r="G1121" s="18">
        <f>E1121* 0.0027595216829083</f>
        <v>8.278565048724899E-3</v>
      </c>
      <c r="H1121" s="18">
        <f>E1121* 0.0160372202151627</f>
        <v>4.8111660645488108E-2</v>
      </c>
    </row>
    <row r="1122" spans="1:8" ht="15.75" hidden="1" customHeight="1" x14ac:dyDescent="0.25">
      <c r="A1122" s="20" t="s">
        <v>51</v>
      </c>
      <c r="B1122" s="47" t="s">
        <v>406</v>
      </c>
      <c r="C1122" s="49"/>
      <c r="D1122" s="19" t="s">
        <v>11</v>
      </c>
      <c r="E1122" s="23">
        <v>9</v>
      </c>
      <c r="F1122" s="18">
        <f>E1122* 0.178797409805735</f>
        <v>1.609176688251615</v>
      </c>
      <c r="G1122" s="18">
        <f>E1122* 0.819278445883441</f>
        <v>7.3735060129509691</v>
      </c>
      <c r="H1122" s="18">
        <f>E1122* 0.00181313598519889</f>
        <v>1.6318223866790008E-2</v>
      </c>
    </row>
    <row r="1123" spans="1:8" ht="15.75" hidden="1" customHeight="1" x14ac:dyDescent="0.25">
      <c r="A1123" s="20" t="s">
        <v>51</v>
      </c>
      <c r="B1123" s="47" t="s">
        <v>406</v>
      </c>
      <c r="C1123" s="49"/>
      <c r="D1123" s="19" t="s">
        <v>17</v>
      </c>
      <c r="E1123" s="23">
        <v>11</v>
      </c>
      <c r="F1123" s="18">
        <f>E1123* 0.916446662218225</f>
        <v>10.080913284400475</v>
      </c>
      <c r="G1123" s="18">
        <f>E1123* 0.0292436682236212</f>
        <v>0.32168035045983318</v>
      </c>
      <c r="H1123" s="18">
        <f>E1123* 0.0543096695581537</f>
        <v>0.5974063651396907</v>
      </c>
    </row>
    <row r="1124" spans="1:8" ht="15.75" hidden="1" customHeight="1" x14ac:dyDescent="0.25">
      <c r="A1124" s="20" t="s">
        <v>51</v>
      </c>
      <c r="B1124" s="47" t="s">
        <v>406</v>
      </c>
      <c r="C1124" s="49"/>
      <c r="D1124" s="19" t="s">
        <v>31</v>
      </c>
      <c r="E1124" s="23">
        <v>3</v>
      </c>
      <c r="F1124" s="18">
        <f>E1124* 0.957442434210526</f>
        <v>2.8723273026315779</v>
      </c>
      <c r="G1124" s="18">
        <f>E1124* 0.0158305921052632</f>
        <v>4.7491776315789595E-2</v>
      </c>
      <c r="H1124" s="18">
        <f>E1124* 0.0263157894736842</f>
        <v>7.8947368421052599E-2</v>
      </c>
    </row>
    <row r="1125" spans="1:8" ht="15.75" hidden="1" customHeight="1" x14ac:dyDescent="0.25">
      <c r="A1125" s="20" t="s">
        <v>51</v>
      </c>
      <c r="B1125" s="47" t="s">
        <v>406</v>
      </c>
      <c r="C1125" s="49"/>
      <c r="D1125" s="19" t="s">
        <v>18</v>
      </c>
      <c r="E1125" s="23">
        <v>1</v>
      </c>
      <c r="F1125" s="18">
        <f>E1125* 0.983388008654987</f>
        <v>0.98338800865498699</v>
      </c>
      <c r="G1125" s="18">
        <f>E1125* 0.0133314720457877</f>
        <v>1.33314720457877E-2</v>
      </c>
      <c r="H1125" s="18">
        <f>E1125* 0.003210721016263</f>
        <v>3.2107210162630002E-3</v>
      </c>
    </row>
    <row r="1126" spans="1:8" ht="15.75" hidden="1" customHeight="1" x14ac:dyDescent="0.25">
      <c r="A1126" s="20" t="s">
        <v>51</v>
      </c>
      <c r="B1126" s="47" t="s">
        <v>406</v>
      </c>
      <c r="C1126" s="49"/>
      <c r="D1126" s="19" t="s">
        <v>20</v>
      </c>
      <c r="E1126" s="23">
        <v>24</v>
      </c>
      <c r="F1126" s="18">
        <f>E1126* 0.814615536880747</f>
        <v>19.550772885137928</v>
      </c>
      <c r="G1126" s="18">
        <f>E1126* 0.0763167839340663</f>
        <v>1.8316028144175911</v>
      </c>
      <c r="H1126" s="18">
        <f>E1126* 0.109013694193014</f>
        <v>2.6163286606323362</v>
      </c>
    </row>
    <row r="1127" spans="1:8" ht="15.75" hidden="1" customHeight="1" x14ac:dyDescent="0.25">
      <c r="A1127" s="20" t="s">
        <v>51</v>
      </c>
      <c r="B1127" s="47" t="s">
        <v>406</v>
      </c>
      <c r="C1127" s="49"/>
      <c r="D1127" s="19" t="s">
        <v>21</v>
      </c>
      <c r="E1127" s="23">
        <v>202</v>
      </c>
      <c r="F1127" s="18">
        <f>E1127* 0.999722052365334</f>
        <v>201.94385457779745</v>
      </c>
      <c r="G1127" s="20">
        <v>0</v>
      </c>
      <c r="H1127" s="18">
        <f>E1127* 0.000277947634665629</f>
        <v>5.6145422202457052E-2</v>
      </c>
    </row>
    <row r="1128" spans="1:8" ht="15.75" hidden="1" customHeight="1" x14ac:dyDescent="0.25">
      <c r="A1128" s="20" t="s">
        <v>51</v>
      </c>
      <c r="B1128" s="47" t="s">
        <v>406</v>
      </c>
      <c r="C1128" s="49"/>
      <c r="D1128" s="19" t="s">
        <v>36</v>
      </c>
      <c r="E1128" s="23">
        <v>1</v>
      </c>
      <c r="F1128" s="18">
        <f>E1128* 0.999132697311362</f>
        <v>0.99913269731136201</v>
      </c>
      <c r="G1128" s="20">
        <v>0</v>
      </c>
      <c r="H1128" s="18">
        <f>E1128* 0.000867302688638335</f>
        <v>8.6730268863833497E-4</v>
      </c>
    </row>
    <row r="1129" spans="1:8" ht="15.75" hidden="1" customHeight="1" x14ac:dyDescent="0.25">
      <c r="A1129" s="20" t="s">
        <v>51</v>
      </c>
      <c r="B1129" s="47" t="s">
        <v>406</v>
      </c>
      <c r="C1129" s="49"/>
      <c r="D1129" s="19" t="s">
        <v>12</v>
      </c>
      <c r="E1129" s="23">
        <v>30</v>
      </c>
      <c r="F1129" s="18">
        <f>E1129* 0.924936238310357</f>
        <v>27.74808714931071</v>
      </c>
      <c r="G1129" s="18">
        <f>E1129* 0.0351064361799663</f>
        <v>1.0531930853989888</v>
      </c>
      <c r="H1129" s="18">
        <f>E1129* 0.039932320925503</f>
        <v>1.19796962776509</v>
      </c>
    </row>
    <row r="1130" spans="1:8" ht="15.75" hidden="1" customHeight="1" x14ac:dyDescent="0.25">
      <c r="A1130" s="20" t="s">
        <v>51</v>
      </c>
      <c r="B1130" s="20"/>
      <c r="C1130" s="20"/>
      <c r="D1130" s="46"/>
      <c r="E1130" s="35"/>
    </row>
    <row r="1131" spans="1:8" ht="15.75" hidden="1" customHeight="1" x14ac:dyDescent="0.25">
      <c r="A1131" s="20" t="s">
        <v>51</v>
      </c>
      <c r="B1131" s="47" t="s">
        <v>407</v>
      </c>
      <c r="C1131" s="12" t="str">
        <f>B1131&amp;"_"&amp;A1131</f>
        <v>Yaco_La Paz</v>
      </c>
      <c r="D1131" s="20"/>
      <c r="E1131" s="48">
        <v>24</v>
      </c>
      <c r="F1131" s="14">
        <f t="shared" ref="F1131:H1131" si="98">SUM(F1132:F1137)</f>
        <v>20.615114444031327</v>
      </c>
      <c r="G1131" s="14">
        <f t="shared" si="98"/>
        <v>2.3982088424611483</v>
      </c>
      <c r="H1131" s="14">
        <f t="shared" si="98"/>
        <v>0.98555649807496737</v>
      </c>
    </row>
    <row r="1132" spans="1:8" ht="15.75" hidden="1" customHeight="1" x14ac:dyDescent="0.25">
      <c r="A1132" s="20" t="s">
        <v>51</v>
      </c>
      <c r="B1132" s="47" t="s">
        <v>407</v>
      </c>
      <c r="C1132" s="49"/>
      <c r="D1132" s="19" t="s">
        <v>11</v>
      </c>
      <c r="E1132" s="23">
        <v>2</v>
      </c>
      <c r="F1132" s="18">
        <f>E1132* 0.178797409805735</f>
        <v>0.35759481961146999</v>
      </c>
      <c r="G1132" s="18">
        <f>E1132* 0.819278445883441</f>
        <v>1.638556891766882</v>
      </c>
      <c r="H1132" s="18">
        <f>E1132* 0.00181313598519889</f>
        <v>3.6262719703977798E-3</v>
      </c>
    </row>
    <row r="1133" spans="1:8" ht="15.75" hidden="1" customHeight="1" x14ac:dyDescent="0.25">
      <c r="A1133" s="20" t="s">
        <v>51</v>
      </c>
      <c r="B1133" s="47" t="s">
        <v>407</v>
      </c>
      <c r="C1133" s="49"/>
      <c r="D1133" s="19" t="s">
        <v>17</v>
      </c>
      <c r="E1133" s="23">
        <v>2</v>
      </c>
      <c r="F1133" s="18">
        <f>E1133* 0.916446662218225</f>
        <v>1.83289332443645</v>
      </c>
      <c r="G1133" s="18">
        <f>E1133* 0.0292436682236212</f>
        <v>5.8487336447242397E-2</v>
      </c>
      <c r="H1133" s="18">
        <f>E1133* 0.0543096695581537</f>
        <v>0.1086193391163074</v>
      </c>
    </row>
    <row r="1134" spans="1:8" ht="15.75" hidden="1" customHeight="1" x14ac:dyDescent="0.25">
      <c r="A1134" s="20" t="s">
        <v>51</v>
      </c>
      <c r="B1134" s="47" t="s">
        <v>407</v>
      </c>
      <c r="C1134" s="49"/>
      <c r="D1134" s="19" t="s">
        <v>31</v>
      </c>
      <c r="E1134" s="23">
        <v>1</v>
      </c>
      <c r="F1134" s="18">
        <f>E1134* 0.957442434210526</f>
        <v>0.95744243421052599</v>
      </c>
      <c r="G1134" s="18">
        <f>E1134* 0.0158305921052632</f>
        <v>1.5830592105263198E-2</v>
      </c>
      <c r="H1134" s="18">
        <f>E1134* 0.0263157894736842</f>
        <v>2.6315789473684199E-2</v>
      </c>
    </row>
    <row r="1135" spans="1:8" ht="15.75" hidden="1" customHeight="1" x14ac:dyDescent="0.25">
      <c r="A1135" s="20" t="s">
        <v>51</v>
      </c>
      <c r="B1135" s="47" t="s">
        <v>407</v>
      </c>
      <c r="C1135" s="49"/>
      <c r="D1135" s="19" t="s">
        <v>20</v>
      </c>
      <c r="E1135" s="23">
        <v>3</v>
      </c>
      <c r="F1135" s="18">
        <f>E1135* 0.814615536880747</f>
        <v>2.443846610642241</v>
      </c>
      <c r="G1135" s="18">
        <f>E1135* 0.0763167839340663</f>
        <v>0.22895035180219889</v>
      </c>
      <c r="H1135" s="18">
        <f>E1135* 0.109013694193014</f>
        <v>0.32704108257904202</v>
      </c>
    </row>
    <row r="1136" spans="1:8" ht="15.75" hidden="1" customHeight="1" x14ac:dyDescent="0.25">
      <c r="A1136" s="20" t="s">
        <v>51</v>
      </c>
      <c r="B1136" s="47" t="s">
        <v>407</v>
      </c>
      <c r="C1136" s="49"/>
      <c r="D1136" s="19" t="s">
        <v>21</v>
      </c>
      <c r="E1136" s="23">
        <v>3</v>
      </c>
      <c r="F1136" s="18">
        <f>E1136* 0.999722052365334</f>
        <v>2.9991661570960018</v>
      </c>
      <c r="G1136" s="20">
        <v>0</v>
      </c>
      <c r="H1136" s="18">
        <f>E1136* 0.000277947634665629</f>
        <v>8.338429039968869E-4</v>
      </c>
    </row>
    <row r="1137" spans="1:8" ht="15.75" hidden="1" customHeight="1" x14ac:dyDescent="0.25">
      <c r="A1137" s="20" t="s">
        <v>51</v>
      </c>
      <c r="B1137" s="47" t="s">
        <v>407</v>
      </c>
      <c r="C1137" s="49"/>
      <c r="D1137" s="52" t="s">
        <v>12</v>
      </c>
      <c r="E1137" s="27">
        <v>13</v>
      </c>
      <c r="F1137" s="18">
        <f>E1137* 0.924936238310357</f>
        <v>12.024171098034641</v>
      </c>
      <c r="G1137" s="18">
        <f>E1137* 0.0351064361799663</f>
        <v>0.45638367033956184</v>
      </c>
      <c r="H1137" s="18">
        <f>E1137* 0.039932320925503</f>
        <v>0.51912017203153904</v>
      </c>
    </row>
    <row r="1138" spans="1:8" ht="15.75" hidden="1" customHeight="1" x14ac:dyDescent="0.25">
      <c r="A1138" s="20" t="s">
        <v>105</v>
      </c>
      <c r="B1138" s="47" t="s">
        <v>106</v>
      </c>
      <c r="C1138" s="12" t="str">
        <f>B1138&amp;"_"&amp;A1138</f>
        <v>Aiquile_Cochabamba</v>
      </c>
      <c r="D1138" s="20"/>
      <c r="E1138" s="48">
        <v>62</v>
      </c>
      <c r="F1138" s="14">
        <f t="shared" ref="F1138:H1138" si="99">SUM(F1139:F1148)</f>
        <v>49.520461742416146</v>
      </c>
      <c r="G1138" s="14">
        <f t="shared" si="99"/>
        <v>9.1980784338690427</v>
      </c>
      <c r="H1138" s="14">
        <f t="shared" si="99"/>
        <v>3.2770505706273463</v>
      </c>
    </row>
    <row r="1139" spans="1:8" ht="15.75" hidden="1" customHeight="1" x14ac:dyDescent="0.25">
      <c r="A1139" s="20" t="s">
        <v>105</v>
      </c>
      <c r="B1139" s="47" t="s">
        <v>106</v>
      </c>
      <c r="C1139" s="49"/>
      <c r="D1139" s="29" t="s">
        <v>408</v>
      </c>
      <c r="E1139" s="23">
        <v>0</v>
      </c>
      <c r="F1139" s="20">
        <v>0</v>
      </c>
      <c r="G1139" s="24">
        <f>E1139</f>
        <v>0</v>
      </c>
      <c r="H1139" s="20">
        <v>0</v>
      </c>
    </row>
    <row r="1140" spans="1:8" ht="15.75" hidden="1" customHeight="1" x14ac:dyDescent="0.25">
      <c r="A1140" s="20" t="s">
        <v>105</v>
      </c>
      <c r="B1140" s="47" t="s">
        <v>106</v>
      </c>
      <c r="C1140" s="49"/>
      <c r="D1140" s="19" t="s">
        <v>15</v>
      </c>
      <c r="E1140" s="23">
        <v>1</v>
      </c>
      <c r="F1140" s="18">
        <f>E1140* 0.932775698199239</f>
        <v>0.932775698199239</v>
      </c>
      <c r="G1140" s="18">
        <f>E1140* 0.00808724987291465</f>
        <v>8.0872498729146498E-3</v>
      </c>
      <c r="H1140" s="18">
        <f>E1140* 0.0590600305004852</f>
        <v>5.9060030500485201E-2</v>
      </c>
    </row>
    <row r="1141" spans="1:8" ht="15.75" hidden="1" customHeight="1" x14ac:dyDescent="0.25">
      <c r="A1141" s="20" t="s">
        <v>105</v>
      </c>
      <c r="B1141" s="47" t="s">
        <v>106</v>
      </c>
      <c r="C1141" s="49"/>
      <c r="D1141" s="29" t="s">
        <v>409</v>
      </c>
      <c r="E1141" s="35"/>
      <c r="F1141" s="18">
        <f>E1141* 0.0803212851405623</f>
        <v>0</v>
      </c>
      <c r="G1141" s="18">
        <f>E1141* 0.913367756741251</f>
        <v>0</v>
      </c>
      <c r="H1141" s="18">
        <f>E1141* 0.0057372346528973</f>
        <v>0</v>
      </c>
    </row>
    <row r="1142" spans="1:8" ht="15.75" hidden="1" customHeight="1" x14ac:dyDescent="0.25">
      <c r="A1142" s="20" t="s">
        <v>105</v>
      </c>
      <c r="B1142" s="47" t="s">
        <v>106</v>
      </c>
      <c r="C1142" s="49"/>
      <c r="D1142" s="19" t="s">
        <v>11</v>
      </c>
      <c r="E1142" s="32">
        <v>6</v>
      </c>
      <c r="F1142" s="18">
        <f>E1142* 0.150611071171819</f>
        <v>0.90366642703091393</v>
      </c>
      <c r="G1142" s="18">
        <f>E1142* 0.847699496764917</f>
        <v>5.0861969805895022</v>
      </c>
      <c r="H1142" s="18">
        <f>E1142* 0.00136592379583034</f>
        <v>8.1955427749820405E-3</v>
      </c>
    </row>
    <row r="1143" spans="1:8" ht="15.75" hidden="1" customHeight="1" x14ac:dyDescent="0.25">
      <c r="A1143" s="20" t="s">
        <v>105</v>
      </c>
      <c r="B1143" s="47" t="s">
        <v>106</v>
      </c>
      <c r="C1143" s="49"/>
      <c r="D1143" s="19" t="s">
        <v>17</v>
      </c>
      <c r="E1143" s="32">
        <v>14</v>
      </c>
      <c r="F1143" s="18">
        <f>E1143* 0.840430229624022</f>
        <v>11.766023214736308</v>
      </c>
      <c r="G1143" s="18">
        <f>E1143* 0.0777504415846581</f>
        <v>1.0885061821852133</v>
      </c>
      <c r="H1143" s="18">
        <f>E1143* 0.0817877870300278</f>
        <v>1.1450290184203893</v>
      </c>
    </row>
    <row r="1144" spans="1:8" ht="15.75" hidden="1" customHeight="1" x14ac:dyDescent="0.25">
      <c r="A1144" s="20" t="s">
        <v>105</v>
      </c>
      <c r="B1144" s="47" t="s">
        <v>106</v>
      </c>
      <c r="C1144" s="49"/>
      <c r="D1144" s="19" t="s">
        <v>31</v>
      </c>
      <c r="E1144" s="23">
        <v>3</v>
      </c>
      <c r="F1144" s="18">
        <f>E1144* 0.901975683890578</f>
        <v>2.705927051671734</v>
      </c>
      <c r="G1144" s="18">
        <f>E1144* 0.0364741641337386</f>
        <v>0.10942249240121579</v>
      </c>
      <c r="H1144" s="18">
        <f>E1144* 0.0615501519756839</f>
        <v>0.1846504559270517</v>
      </c>
    </row>
    <row r="1145" spans="1:8" ht="15.75" hidden="1" customHeight="1" x14ac:dyDescent="0.25">
      <c r="A1145" s="20" t="s">
        <v>105</v>
      </c>
      <c r="B1145" s="47" t="s">
        <v>106</v>
      </c>
      <c r="C1145" s="49"/>
      <c r="D1145" s="19" t="s">
        <v>18</v>
      </c>
      <c r="E1145" s="23">
        <v>13</v>
      </c>
      <c r="F1145" s="18">
        <f>E1145* 0.932934264493959</f>
        <v>12.128145438421466</v>
      </c>
      <c r="G1145" s="18">
        <f>E1145* 0.0585300964416362</f>
        <v>0.76089125374127053</v>
      </c>
      <c r="H1145" s="18">
        <f>E1145* 0.00853563906440528</f>
        <v>0.11096330783726865</v>
      </c>
    </row>
    <row r="1146" spans="1:8" ht="15.75" hidden="1" customHeight="1" x14ac:dyDescent="0.25">
      <c r="A1146" s="20" t="s">
        <v>105</v>
      </c>
      <c r="B1146" s="47" t="s">
        <v>106</v>
      </c>
      <c r="C1146" s="49"/>
      <c r="D1146" s="19" t="s">
        <v>20</v>
      </c>
      <c r="E1146" s="23">
        <v>6</v>
      </c>
      <c r="F1146" s="18">
        <f>E1146* 0.686268801552644</f>
        <v>4.1176128093158644</v>
      </c>
      <c r="G1146" s="18">
        <f>E1146* 0.196991751576904</f>
        <v>1.181950509461424</v>
      </c>
      <c r="H1146" s="18">
        <f>E1146* 0.116642406598738</f>
        <v>0.69985443959242799</v>
      </c>
    </row>
    <row r="1147" spans="1:8" ht="15.75" hidden="1" customHeight="1" x14ac:dyDescent="0.25">
      <c r="A1147" s="20" t="s">
        <v>105</v>
      </c>
      <c r="B1147" s="47" t="s">
        <v>106</v>
      </c>
      <c r="C1147" s="49"/>
      <c r="D1147" s="19" t="s">
        <v>21</v>
      </c>
      <c r="E1147" s="23">
        <v>6</v>
      </c>
      <c r="F1147" s="18">
        <f>E1147* 0.999513766486355</f>
        <v>5.99708259891813</v>
      </c>
      <c r="G1147" s="18">
        <f>E1147* 0.0000243116756822464</f>
        <v>1.4587005409347838E-4</v>
      </c>
      <c r="H1147" s="18">
        <f>E1147* 0.00034036345955145</f>
        <v>2.0421807573086999E-3</v>
      </c>
    </row>
    <row r="1148" spans="1:8" ht="15.75" hidden="1" customHeight="1" x14ac:dyDescent="0.25">
      <c r="A1148" s="20" t="s">
        <v>105</v>
      </c>
      <c r="B1148" s="47" t="s">
        <v>106</v>
      </c>
      <c r="C1148" s="49"/>
      <c r="D1148" s="19" t="s">
        <v>12</v>
      </c>
      <c r="E1148" s="23">
        <v>13</v>
      </c>
      <c r="F1148" s="18">
        <f>E1148* 0.843786808009423</f>
        <v>10.969228504122498</v>
      </c>
      <c r="G1148" s="18">
        <f>E1148* 0.0740675304279545</f>
        <v>0.96287789556340853</v>
      </c>
      <c r="H1148" s="18">
        <f>E1148* 0.0820965842167256</f>
        <v>1.0672555948174327</v>
      </c>
    </row>
    <row r="1149" spans="1:8" ht="15.75" hidden="1" customHeight="1" x14ac:dyDescent="0.25">
      <c r="A1149" s="20" t="s">
        <v>105</v>
      </c>
      <c r="B1149" s="20"/>
      <c r="C1149" s="20"/>
      <c r="D1149" s="46"/>
      <c r="E1149" s="35"/>
    </row>
    <row r="1150" spans="1:8" ht="15.75" hidden="1" customHeight="1" x14ac:dyDescent="0.25">
      <c r="A1150" s="20" t="s">
        <v>105</v>
      </c>
      <c r="B1150" s="47" t="s">
        <v>107</v>
      </c>
      <c r="C1150" s="12" t="str">
        <f>B1150&amp;"_"&amp;A1150</f>
        <v>Alalay_Cochabamba</v>
      </c>
      <c r="D1150" s="20"/>
      <c r="E1150" s="48">
        <v>2</v>
      </c>
      <c r="F1150" s="14">
        <f t="shared" ref="F1150:H1150" si="100">SUM(F1151)</f>
        <v>1.9990275329727101</v>
      </c>
      <c r="G1150" s="14">
        <f t="shared" si="100"/>
        <v>4.8623351364492797E-5</v>
      </c>
      <c r="H1150" s="14">
        <f t="shared" si="100"/>
        <v>6.807269191029E-4</v>
      </c>
    </row>
    <row r="1151" spans="1:8" ht="15.75" hidden="1" customHeight="1" x14ac:dyDescent="0.25">
      <c r="A1151" s="20" t="s">
        <v>105</v>
      </c>
      <c r="B1151" s="47" t="s">
        <v>107</v>
      </c>
      <c r="C1151" s="49"/>
      <c r="D1151" s="19" t="s">
        <v>21</v>
      </c>
      <c r="E1151" s="23">
        <v>2</v>
      </c>
      <c r="F1151" s="18">
        <f>E1151* 0.999513766486355</f>
        <v>1.9990275329727101</v>
      </c>
      <c r="G1151" s="18">
        <f>E1151* 0.0000243116756822464</f>
        <v>4.8623351364492797E-5</v>
      </c>
      <c r="H1151" s="18">
        <f>E1151* 0.00034036345955145</f>
        <v>6.807269191029E-4</v>
      </c>
    </row>
    <row r="1152" spans="1:8" ht="15.75" hidden="1" customHeight="1" x14ac:dyDescent="0.25">
      <c r="A1152" s="20" t="s">
        <v>105</v>
      </c>
      <c r="B1152" s="20"/>
      <c r="C1152" s="20"/>
      <c r="D1152" s="46"/>
      <c r="E1152" s="35"/>
    </row>
    <row r="1153" spans="1:8" ht="15.75" hidden="1" customHeight="1" x14ac:dyDescent="0.25">
      <c r="A1153" s="20" t="s">
        <v>105</v>
      </c>
      <c r="B1153" s="47" t="s">
        <v>108</v>
      </c>
      <c r="C1153" s="12" t="str">
        <f>B1153&amp;"_"&amp;A1153</f>
        <v>Anzaldo_Cochabamba</v>
      </c>
      <c r="D1153" s="20"/>
      <c r="E1153" s="48">
        <v>141</v>
      </c>
      <c r="F1153" s="14">
        <f t="shared" ref="F1153:H1153" si="101">SUM(F1154:F1162)</f>
        <v>103.35603121019381</v>
      </c>
      <c r="G1153" s="14">
        <f t="shared" si="101"/>
        <v>29.650820385348069</v>
      </c>
      <c r="H1153" s="14">
        <f t="shared" si="101"/>
        <v>7.9781862683710623</v>
      </c>
    </row>
    <row r="1154" spans="1:8" ht="15.75" hidden="1" customHeight="1" x14ac:dyDescent="0.25">
      <c r="A1154" s="20" t="s">
        <v>105</v>
      </c>
      <c r="B1154" s="47" t="s">
        <v>108</v>
      </c>
      <c r="C1154" s="49"/>
      <c r="D1154" s="19" t="s">
        <v>15</v>
      </c>
      <c r="E1154" s="23">
        <v>3</v>
      </c>
      <c r="F1154" s="18">
        <f>E1154* 0.932775698199239</f>
        <v>2.7983270945977168</v>
      </c>
      <c r="G1154" s="18">
        <f>E1154* 0.00808724987291465</f>
        <v>2.4261749618743951E-2</v>
      </c>
      <c r="H1154" s="18">
        <f>E1154* 0.0590600305004852</f>
        <v>0.17718009150145561</v>
      </c>
    </row>
    <row r="1155" spans="1:8" ht="15.75" hidden="1" customHeight="1" x14ac:dyDescent="0.25">
      <c r="A1155" s="20" t="s">
        <v>105</v>
      </c>
      <c r="B1155" s="47" t="s">
        <v>108</v>
      </c>
      <c r="C1155" s="49"/>
      <c r="D1155" s="19" t="s">
        <v>11</v>
      </c>
      <c r="E1155" s="23">
        <v>23</v>
      </c>
      <c r="F1155" s="18">
        <f>E1155* 0.150611071171819</f>
        <v>3.4640546369518366</v>
      </c>
      <c r="G1155" s="18">
        <f>E1155* 0.847699496764917</f>
        <v>19.497088425593091</v>
      </c>
      <c r="H1155" s="18">
        <f>E1155* 0.00136592379583034</f>
        <v>3.1416247304097818E-2</v>
      </c>
    </row>
    <row r="1156" spans="1:8" ht="15.75" hidden="1" customHeight="1" x14ac:dyDescent="0.25">
      <c r="A1156" s="20" t="s">
        <v>105</v>
      </c>
      <c r="B1156" s="47" t="s">
        <v>108</v>
      </c>
      <c r="C1156" s="49"/>
      <c r="D1156" s="19" t="s">
        <v>17</v>
      </c>
      <c r="E1156" s="23">
        <v>9</v>
      </c>
      <c r="F1156" s="18">
        <f>E1156* 0.840430229624022</f>
        <v>7.5638720666161987</v>
      </c>
      <c r="G1156" s="18">
        <f>E1156* 0.0777504415846581</f>
        <v>0.69975397426192298</v>
      </c>
      <c r="H1156" s="18">
        <f>E1156* 0.0817877870300278</f>
        <v>0.73609008327025016</v>
      </c>
    </row>
    <row r="1157" spans="1:8" ht="15.75" hidden="1" customHeight="1" x14ac:dyDescent="0.25">
      <c r="A1157" s="20" t="s">
        <v>105</v>
      </c>
      <c r="B1157" s="47" t="s">
        <v>108</v>
      </c>
      <c r="C1157" s="49"/>
      <c r="D1157" s="19" t="s">
        <v>31</v>
      </c>
      <c r="E1157" s="23">
        <v>1</v>
      </c>
      <c r="F1157" s="18">
        <f>E1157* 0.901975683890578</f>
        <v>0.90197568389057803</v>
      </c>
      <c r="G1157" s="18">
        <f>E1157* 0.0364741641337386</f>
        <v>3.64741641337386E-2</v>
      </c>
      <c r="H1157" s="18">
        <f>E1157* 0.0615501519756839</f>
        <v>6.1550151975683899E-2</v>
      </c>
    </row>
    <row r="1158" spans="1:8" ht="15.75" hidden="1" customHeight="1" x14ac:dyDescent="0.25">
      <c r="A1158" s="20" t="s">
        <v>105</v>
      </c>
      <c r="B1158" s="47" t="s">
        <v>108</v>
      </c>
      <c r="C1158" s="49"/>
      <c r="D1158" s="19" t="s">
        <v>18</v>
      </c>
      <c r="E1158" s="23">
        <v>2</v>
      </c>
      <c r="F1158" s="18">
        <f>E1158* 0.932934264493959</f>
        <v>1.865868528987918</v>
      </c>
      <c r="G1158" s="18">
        <f>E1158* 0.0585300964416362</f>
        <v>0.11706019288327239</v>
      </c>
      <c r="H1158" s="18">
        <f>E1158* 0.00853563906440528</f>
        <v>1.7071278128810562E-2</v>
      </c>
    </row>
    <row r="1159" spans="1:8" ht="15.75" hidden="1" customHeight="1" x14ac:dyDescent="0.25">
      <c r="A1159" s="20" t="s">
        <v>105</v>
      </c>
      <c r="B1159" s="47" t="s">
        <v>108</v>
      </c>
      <c r="C1159" s="49"/>
      <c r="D1159" s="19" t="s">
        <v>20</v>
      </c>
      <c r="E1159" s="23">
        <v>11</v>
      </c>
      <c r="F1159" s="18">
        <f>E1159* 0.686268801552644</f>
        <v>7.5489568170790839</v>
      </c>
      <c r="G1159" s="18">
        <f>E1159* 0.196991751576904</f>
        <v>2.166909267345944</v>
      </c>
      <c r="H1159" s="18">
        <f>E1159* 0.116642406598738</f>
        <v>1.2830664725861178</v>
      </c>
    </row>
    <row r="1160" spans="1:8" ht="15.75" hidden="1" customHeight="1" x14ac:dyDescent="0.25">
      <c r="A1160" s="20" t="s">
        <v>105</v>
      </c>
      <c r="B1160" s="47" t="s">
        <v>108</v>
      </c>
      <c r="C1160" s="49"/>
      <c r="D1160" s="19" t="s">
        <v>21</v>
      </c>
      <c r="E1160" s="23">
        <v>21</v>
      </c>
      <c r="F1160" s="18">
        <f>E1160* 0.999513766486355</f>
        <v>20.989789096213457</v>
      </c>
      <c r="G1160" s="18">
        <f>E1160* 0.0000243116756822464</f>
        <v>5.1054518932717432E-4</v>
      </c>
      <c r="H1160" s="18">
        <f>E1160* 0.00034036345955145</f>
        <v>7.1476326505804499E-3</v>
      </c>
    </row>
    <row r="1161" spans="1:8" ht="15.75" hidden="1" customHeight="1" x14ac:dyDescent="0.25">
      <c r="A1161" s="20" t="s">
        <v>105</v>
      </c>
      <c r="B1161" s="47" t="s">
        <v>108</v>
      </c>
      <c r="C1161" s="49"/>
      <c r="D1161" s="19" t="s">
        <v>28</v>
      </c>
      <c r="E1161" s="23">
        <v>2</v>
      </c>
      <c r="F1161" s="18">
        <f>E1161* 0.00094876660341556</f>
        <v>1.89753320683112E-3</v>
      </c>
      <c r="G1161" s="18">
        <f>E1161* 0.999051233396584</f>
        <v>1.9981024667931679</v>
      </c>
      <c r="H1161" s="20">
        <v>0</v>
      </c>
    </row>
    <row r="1162" spans="1:8" ht="15.75" hidden="1" customHeight="1" x14ac:dyDescent="0.25">
      <c r="A1162" s="20" t="s">
        <v>105</v>
      </c>
      <c r="B1162" s="47" t="s">
        <v>108</v>
      </c>
      <c r="C1162" s="49"/>
      <c r="D1162" s="19" t="s">
        <v>12</v>
      </c>
      <c r="E1162" s="23">
        <v>69</v>
      </c>
      <c r="F1162" s="18">
        <f>E1162* 0.843786808009423</f>
        <v>58.221289752650186</v>
      </c>
      <c r="G1162" s="18">
        <f>E1162* 0.0740675304279545</f>
        <v>5.1106595995288604</v>
      </c>
      <c r="H1162" s="18">
        <f>E1162* 0.0820965842167256</f>
        <v>5.6646643109540662</v>
      </c>
    </row>
    <row r="1163" spans="1:8" ht="15.75" hidden="1" customHeight="1" x14ac:dyDescent="0.25">
      <c r="A1163" s="20" t="s">
        <v>105</v>
      </c>
      <c r="B1163" s="20"/>
      <c r="C1163" s="20"/>
      <c r="D1163" s="46"/>
      <c r="E1163" s="35"/>
    </row>
    <row r="1164" spans="1:8" ht="15.75" hidden="1" customHeight="1" x14ac:dyDescent="0.25">
      <c r="A1164" s="20" t="s">
        <v>105</v>
      </c>
      <c r="B1164" s="47" t="s">
        <v>109</v>
      </c>
      <c r="C1164" s="12" t="str">
        <f>B1164&amp;"_"&amp;A1164</f>
        <v>Arani_Cochabamba</v>
      </c>
      <c r="D1164" s="20"/>
      <c r="E1164" s="48">
        <v>469</v>
      </c>
      <c r="F1164" s="14">
        <f t="shared" ref="F1164:H1164" si="102">SUM(F1165:F1175)</f>
        <v>381.1674747606786</v>
      </c>
      <c r="G1164" s="14">
        <f t="shared" si="102"/>
        <v>61.428728879923383</v>
      </c>
      <c r="H1164" s="14">
        <f t="shared" si="102"/>
        <v>26.360435069462554</v>
      </c>
    </row>
    <row r="1165" spans="1:8" ht="15.75" hidden="1" customHeight="1" x14ac:dyDescent="0.25">
      <c r="A1165" s="20" t="s">
        <v>105</v>
      </c>
      <c r="B1165" s="47" t="s">
        <v>109</v>
      </c>
      <c r="C1165" s="49"/>
      <c r="D1165" s="29" t="s">
        <v>410</v>
      </c>
      <c r="E1165" s="23">
        <v>0</v>
      </c>
      <c r="F1165" s="20">
        <v>0</v>
      </c>
      <c r="G1165" s="24">
        <f>E1165</f>
        <v>0</v>
      </c>
      <c r="H1165" s="20">
        <v>0</v>
      </c>
    </row>
    <row r="1166" spans="1:8" ht="15.75" hidden="1" customHeight="1" x14ac:dyDescent="0.25">
      <c r="A1166" s="20" t="s">
        <v>105</v>
      </c>
      <c r="B1166" s="47" t="s">
        <v>109</v>
      </c>
      <c r="C1166" s="49"/>
      <c r="D1166" s="19" t="s">
        <v>15</v>
      </c>
      <c r="E1166" s="23">
        <v>91</v>
      </c>
      <c r="F1166" s="18">
        <f>E1166* 0.932775698199239</f>
        <v>84.882588536130754</v>
      </c>
      <c r="G1166" s="18">
        <f>E1166* 0.00808724987291465</f>
        <v>0.73593973843523308</v>
      </c>
      <c r="H1166" s="18">
        <f>E1166* 0.0590600305004852</f>
        <v>5.3744627755441536</v>
      </c>
    </row>
    <row r="1167" spans="1:8" ht="15.75" hidden="1" customHeight="1" x14ac:dyDescent="0.25">
      <c r="A1167" s="20" t="s">
        <v>105</v>
      </c>
      <c r="B1167" s="47" t="s">
        <v>109</v>
      </c>
      <c r="C1167" s="49"/>
      <c r="D1167" s="19" t="s">
        <v>11</v>
      </c>
      <c r="E1167" s="23">
        <v>46</v>
      </c>
      <c r="F1167" s="18">
        <f>E1167* 0.150611071171819</f>
        <v>6.9281092739036731</v>
      </c>
      <c r="G1167" s="18">
        <f>E1167* 0.847699496764917</f>
        <v>38.994176851186182</v>
      </c>
      <c r="H1167" s="18">
        <f>E1167* 0.00136592379583034</f>
        <v>6.2832494608195635E-2</v>
      </c>
    </row>
    <row r="1168" spans="1:8" ht="15.75" hidden="1" customHeight="1" x14ac:dyDescent="0.25">
      <c r="A1168" s="20" t="s">
        <v>105</v>
      </c>
      <c r="B1168" s="47" t="s">
        <v>109</v>
      </c>
      <c r="C1168" s="49"/>
      <c r="D1168" s="19" t="s">
        <v>17</v>
      </c>
      <c r="E1168" s="23">
        <v>25</v>
      </c>
      <c r="F1168" s="18">
        <f>E1168* 0.840430229624022</f>
        <v>21.010755740600551</v>
      </c>
      <c r="G1168" s="18">
        <f>E1168* 0.0777504415846581</f>
        <v>1.9437610396164526</v>
      </c>
      <c r="H1168" s="18">
        <f>E1168* 0.0817877870300278</f>
        <v>2.0446946757506952</v>
      </c>
    </row>
    <row r="1169" spans="1:8" ht="15.75" hidden="1" customHeight="1" x14ac:dyDescent="0.25">
      <c r="A1169" s="20" t="s">
        <v>105</v>
      </c>
      <c r="B1169" s="47" t="s">
        <v>109</v>
      </c>
      <c r="C1169" s="49"/>
      <c r="D1169" s="19" t="s">
        <v>31</v>
      </c>
      <c r="E1169" s="23">
        <v>2</v>
      </c>
      <c r="F1169" s="18">
        <f>E1169* 0.901975683890578</f>
        <v>1.8039513677811561</v>
      </c>
      <c r="G1169" s="18">
        <f>E1169* 0.0364741641337386</f>
        <v>7.29483282674772E-2</v>
      </c>
      <c r="H1169" s="18">
        <f>E1169* 0.0615501519756839</f>
        <v>0.1231003039513678</v>
      </c>
    </row>
    <row r="1170" spans="1:8" ht="15.75" hidden="1" customHeight="1" x14ac:dyDescent="0.25">
      <c r="A1170" s="20" t="s">
        <v>105</v>
      </c>
      <c r="B1170" s="47" t="s">
        <v>109</v>
      </c>
      <c r="C1170" s="49"/>
      <c r="D1170" s="19" t="s">
        <v>18</v>
      </c>
      <c r="E1170" s="23">
        <v>8</v>
      </c>
      <c r="F1170" s="18">
        <f>E1170* 0.932934264493959</f>
        <v>7.463474115951672</v>
      </c>
      <c r="G1170" s="18">
        <f>E1170* 0.0585300964416362</f>
        <v>0.46824077153308957</v>
      </c>
      <c r="H1170" s="18">
        <f>E1170* 0.00853563906440528</f>
        <v>6.8285112515242247E-2</v>
      </c>
    </row>
    <row r="1171" spans="1:8" ht="15.75" hidden="1" customHeight="1" x14ac:dyDescent="0.25">
      <c r="A1171" s="20" t="s">
        <v>105</v>
      </c>
      <c r="B1171" s="47" t="s">
        <v>109</v>
      </c>
      <c r="C1171" s="49"/>
      <c r="D1171" s="19" t="s">
        <v>19</v>
      </c>
      <c r="E1171" s="23">
        <v>0</v>
      </c>
      <c r="F1171" s="18">
        <f>E1171* 0.290681971640783</f>
        <v>0</v>
      </c>
      <c r="G1171" s="18">
        <f>E1171* 0.694125590817016</f>
        <v>0</v>
      </c>
      <c r="H1171" s="18">
        <f>E1171* 0.0151924375422012</f>
        <v>0</v>
      </c>
    </row>
    <row r="1172" spans="1:8" ht="15.75" hidden="1" customHeight="1" x14ac:dyDescent="0.25">
      <c r="A1172" s="20" t="s">
        <v>105</v>
      </c>
      <c r="B1172" s="47" t="s">
        <v>109</v>
      </c>
      <c r="C1172" s="49"/>
      <c r="D1172" s="19" t="s">
        <v>20</v>
      </c>
      <c r="E1172" s="23">
        <v>15</v>
      </c>
      <c r="F1172" s="18">
        <f>E1172* 0.686268801552644</f>
        <v>10.29403202328966</v>
      </c>
      <c r="G1172" s="18">
        <f>E1172* 0.196991751576904</f>
        <v>2.9548762736535599</v>
      </c>
      <c r="H1172" s="18">
        <f>E1172* 0.116642406598738</f>
        <v>1.74963609898107</v>
      </c>
    </row>
    <row r="1173" spans="1:8" ht="15.75" hidden="1" customHeight="1" x14ac:dyDescent="0.25">
      <c r="A1173" s="20" t="s">
        <v>105</v>
      </c>
      <c r="B1173" s="47" t="s">
        <v>109</v>
      </c>
      <c r="C1173" s="49"/>
      <c r="D1173" s="19" t="s">
        <v>21</v>
      </c>
      <c r="E1173" s="23">
        <v>75</v>
      </c>
      <c r="F1173" s="18">
        <f>E1173* 0.999513766486355</f>
        <v>74.963532486476623</v>
      </c>
      <c r="G1173" s="18">
        <f>E1173* 0.0000243116756822464</f>
        <v>1.8233756761684798E-3</v>
      </c>
      <c r="H1173" s="18">
        <f>E1173* 0.00034036345955145</f>
        <v>2.552725946635875E-2</v>
      </c>
    </row>
    <row r="1174" spans="1:8" ht="15.75" hidden="1" customHeight="1" x14ac:dyDescent="0.25">
      <c r="A1174" s="20" t="s">
        <v>105</v>
      </c>
      <c r="B1174" s="47" t="s">
        <v>109</v>
      </c>
      <c r="C1174" s="49"/>
      <c r="D1174" s="19" t="s">
        <v>28</v>
      </c>
      <c r="E1174" s="23">
        <v>1</v>
      </c>
      <c r="F1174" s="18">
        <f>E1174* 0.00094876660341556</f>
        <v>9.4876660341556001E-4</v>
      </c>
      <c r="G1174" s="18">
        <f>E1174* 0.999051233396584</f>
        <v>0.99905123339658397</v>
      </c>
      <c r="H1174" s="20">
        <v>0</v>
      </c>
    </row>
    <row r="1175" spans="1:8" ht="15.75" hidden="1" customHeight="1" x14ac:dyDescent="0.25">
      <c r="A1175" s="20" t="s">
        <v>105</v>
      </c>
      <c r="B1175" s="47" t="s">
        <v>109</v>
      </c>
      <c r="C1175" s="49"/>
      <c r="D1175" s="19" t="s">
        <v>12</v>
      </c>
      <c r="E1175" s="23">
        <v>206</v>
      </c>
      <c r="F1175" s="18">
        <f>E1175* 0.843786808009423</f>
        <v>173.82008244994114</v>
      </c>
      <c r="G1175" s="18">
        <f>E1175* 0.0740675304279545</f>
        <v>15.257911268158626</v>
      </c>
      <c r="H1175" s="18">
        <f>E1175* 0.0820965842167256</f>
        <v>16.911896348645474</v>
      </c>
    </row>
    <row r="1176" spans="1:8" ht="15.75" hidden="1" customHeight="1" x14ac:dyDescent="0.25">
      <c r="A1176" s="20" t="s">
        <v>105</v>
      </c>
      <c r="B1176" s="20"/>
      <c r="C1176" s="20"/>
      <c r="D1176" s="46"/>
      <c r="E1176" s="35"/>
    </row>
    <row r="1177" spans="1:8" ht="15.75" hidden="1" customHeight="1" x14ac:dyDescent="0.25">
      <c r="A1177" s="20" t="s">
        <v>105</v>
      </c>
      <c r="B1177" s="47" t="s">
        <v>110</v>
      </c>
      <c r="C1177" s="12" t="str">
        <f>B1177&amp;"_"&amp;A1177</f>
        <v>Arbieto_Cochabamba</v>
      </c>
      <c r="D1177" s="20"/>
      <c r="E1177" s="48">
        <v>2851</v>
      </c>
      <c r="F1177" s="14">
        <f t="shared" ref="F1177:H1177" si="103">SUM(F1178:F1190)</f>
        <v>2365.8748225517988</v>
      </c>
      <c r="G1177" s="14">
        <f t="shared" si="103"/>
        <v>309.32440773001133</v>
      </c>
      <c r="H1177" s="14">
        <f t="shared" si="103"/>
        <v>175.57291572728317</v>
      </c>
    </row>
    <row r="1178" spans="1:8" ht="15.75" hidden="1" customHeight="1" x14ac:dyDescent="0.25">
      <c r="A1178" s="20" t="s">
        <v>105</v>
      </c>
      <c r="B1178" s="47" t="s">
        <v>110</v>
      </c>
      <c r="C1178" s="49"/>
      <c r="D1178" s="29" t="s">
        <v>411</v>
      </c>
      <c r="E1178" s="23">
        <v>0</v>
      </c>
      <c r="F1178" s="20">
        <v>0</v>
      </c>
      <c r="G1178" s="24">
        <f>E1178</f>
        <v>0</v>
      </c>
      <c r="H1178" s="20">
        <v>0</v>
      </c>
    </row>
    <row r="1179" spans="1:8" ht="15.75" hidden="1" customHeight="1" x14ac:dyDescent="0.25">
      <c r="A1179" s="20" t="s">
        <v>105</v>
      </c>
      <c r="B1179" s="47" t="s">
        <v>110</v>
      </c>
      <c r="C1179" s="49"/>
      <c r="D1179" s="19" t="s">
        <v>15</v>
      </c>
      <c r="E1179" s="23">
        <v>713</v>
      </c>
      <c r="F1179" s="18">
        <f>E1179* 0.932775698199239</f>
        <v>665.06907281605743</v>
      </c>
      <c r="G1179" s="18">
        <f>E1179* 0.00808724987291465</f>
        <v>5.7662091593881453</v>
      </c>
      <c r="H1179" s="18">
        <f>E1179* 0.0590600305004852</f>
        <v>42.109801746845946</v>
      </c>
    </row>
    <row r="1180" spans="1:8" ht="15.75" hidden="1" customHeight="1" x14ac:dyDescent="0.25">
      <c r="A1180" s="20" t="s">
        <v>105</v>
      </c>
      <c r="B1180" s="47" t="s">
        <v>110</v>
      </c>
      <c r="C1180" s="49"/>
      <c r="D1180" s="29" t="s">
        <v>412</v>
      </c>
      <c r="E1180" s="23">
        <v>10</v>
      </c>
      <c r="F1180" s="18">
        <f>E1180* 0.0803212851405623</f>
        <v>0.80321285140562304</v>
      </c>
      <c r="G1180" s="18">
        <f>E1180* 0.913367756741251</f>
        <v>9.1336775674125104</v>
      </c>
      <c r="H1180" s="18">
        <f>E1180* 0.0057372346528973</f>
        <v>5.7372346528973002E-2</v>
      </c>
    </row>
    <row r="1181" spans="1:8" ht="15.75" hidden="1" customHeight="1" x14ac:dyDescent="0.25">
      <c r="A1181" s="20" t="s">
        <v>105</v>
      </c>
      <c r="B1181" s="47" t="s">
        <v>110</v>
      </c>
      <c r="C1181" s="49"/>
      <c r="D1181" s="19" t="s">
        <v>11</v>
      </c>
      <c r="E1181" s="23">
        <v>160</v>
      </c>
      <c r="F1181" s="18">
        <f>E1181* 0.150611071171819</f>
        <v>24.097771387491036</v>
      </c>
      <c r="G1181" s="18">
        <f>E1181* 0.847699496764917</f>
        <v>135.63191948238671</v>
      </c>
      <c r="H1181" s="18">
        <f>E1181* 0.00136592379583034</f>
        <v>0.21854780733285439</v>
      </c>
    </row>
    <row r="1182" spans="1:8" ht="15.75" hidden="1" customHeight="1" x14ac:dyDescent="0.25">
      <c r="A1182" s="20" t="s">
        <v>105</v>
      </c>
      <c r="B1182" s="47" t="s">
        <v>110</v>
      </c>
      <c r="C1182" s="49"/>
      <c r="D1182" s="19" t="s">
        <v>17</v>
      </c>
      <c r="E1182" s="23">
        <v>340</v>
      </c>
      <c r="F1182" s="18">
        <f>E1182* 0.840430229624022</f>
        <v>285.74627807216751</v>
      </c>
      <c r="G1182" s="18">
        <f>E1182* 0.0777504415846581</f>
        <v>26.435150138783754</v>
      </c>
      <c r="H1182" s="18">
        <f>E1182* 0.0817877870300278</f>
        <v>27.807847590209452</v>
      </c>
    </row>
    <row r="1183" spans="1:8" ht="15.75" hidden="1" customHeight="1" x14ac:dyDescent="0.25">
      <c r="A1183" s="20" t="s">
        <v>105</v>
      </c>
      <c r="B1183" s="47" t="s">
        <v>110</v>
      </c>
      <c r="C1183" s="49"/>
      <c r="D1183" s="19" t="s">
        <v>31</v>
      </c>
      <c r="E1183" s="23">
        <v>14</v>
      </c>
      <c r="F1183" s="18">
        <f>E1183* 0.901975683890578</f>
        <v>12.627659574468092</v>
      </c>
      <c r="G1183" s="18">
        <f>E1183* 0.0364741641337386</f>
        <v>0.51063829787234039</v>
      </c>
      <c r="H1183" s="18">
        <f>E1183* 0.0615501519756839</f>
        <v>0.86170212765957455</v>
      </c>
    </row>
    <row r="1184" spans="1:8" ht="15.75" hidden="1" customHeight="1" x14ac:dyDescent="0.25">
      <c r="A1184" s="20" t="s">
        <v>105</v>
      </c>
      <c r="B1184" s="47" t="s">
        <v>110</v>
      </c>
      <c r="C1184" s="49"/>
      <c r="D1184" s="19" t="s">
        <v>18</v>
      </c>
      <c r="E1184" s="23">
        <v>74</v>
      </c>
      <c r="F1184" s="18">
        <f>E1184* 0.932934264493959</f>
        <v>69.03713557255297</v>
      </c>
      <c r="G1184" s="18">
        <f>E1184* 0.0585300964416362</f>
        <v>4.3312271366810782</v>
      </c>
      <c r="H1184" s="18">
        <f>E1184* 0.00853563906440528</f>
        <v>0.63163729076599073</v>
      </c>
    </row>
    <row r="1185" spans="1:8" ht="15.75" hidden="1" customHeight="1" x14ac:dyDescent="0.25">
      <c r="A1185" s="20" t="s">
        <v>105</v>
      </c>
      <c r="B1185" s="47" t="s">
        <v>110</v>
      </c>
      <c r="C1185" s="49"/>
      <c r="D1185" s="19" t="s">
        <v>19</v>
      </c>
      <c r="E1185" s="23">
        <v>7</v>
      </c>
      <c r="F1185" s="18">
        <f>E1185* 0.290681971640783</f>
        <v>2.034773801485481</v>
      </c>
      <c r="G1185" s="18">
        <f>E1185* 0.694125590817016</f>
        <v>4.8588791357191115</v>
      </c>
      <c r="H1185" s="18">
        <f>E1185* 0.0151924375422012</f>
        <v>0.1063470627954084</v>
      </c>
    </row>
    <row r="1186" spans="1:8" ht="15.75" hidden="1" customHeight="1" x14ac:dyDescent="0.25">
      <c r="A1186" s="20" t="s">
        <v>105</v>
      </c>
      <c r="B1186" s="47" t="s">
        <v>110</v>
      </c>
      <c r="C1186" s="49"/>
      <c r="D1186" s="19" t="s">
        <v>20</v>
      </c>
      <c r="E1186" s="23">
        <v>154</v>
      </c>
      <c r="F1186" s="18">
        <f>E1186* 0.686268801552644</f>
        <v>105.68539543910718</v>
      </c>
      <c r="G1186" s="18">
        <f>E1186* 0.196991751576904</f>
        <v>30.336729742843215</v>
      </c>
      <c r="H1186" s="18">
        <f>E1186* 0.116642406598738</f>
        <v>17.96293061620565</v>
      </c>
    </row>
    <row r="1187" spans="1:8" ht="15.75" hidden="1" customHeight="1" x14ac:dyDescent="0.25">
      <c r="A1187" s="20" t="s">
        <v>105</v>
      </c>
      <c r="B1187" s="47" t="s">
        <v>110</v>
      </c>
      <c r="C1187" s="49"/>
      <c r="D1187" s="19" t="s">
        <v>21</v>
      </c>
      <c r="E1187" s="23">
        <v>317</v>
      </c>
      <c r="F1187" s="18">
        <f>E1187* 0.999513766486355</f>
        <v>316.84586397617454</v>
      </c>
      <c r="G1187" s="18">
        <f>E1187* 0.0000243116756822464</f>
        <v>7.7068011912721085E-3</v>
      </c>
      <c r="H1187" s="18">
        <f>E1187* 0.00034036345955145</f>
        <v>0.10789521667780964</v>
      </c>
    </row>
    <row r="1188" spans="1:8" ht="15.75" hidden="1" customHeight="1" x14ac:dyDescent="0.25">
      <c r="A1188" s="20" t="s">
        <v>105</v>
      </c>
      <c r="B1188" s="47" t="s">
        <v>110</v>
      </c>
      <c r="C1188" s="49"/>
      <c r="D1188" s="19" t="s">
        <v>36</v>
      </c>
      <c r="E1188" s="23">
        <v>3</v>
      </c>
      <c r="F1188" s="24">
        <f>E1188</f>
        <v>3</v>
      </c>
      <c r="G1188" s="20">
        <v>0</v>
      </c>
      <c r="H1188" s="20">
        <v>0</v>
      </c>
    </row>
    <row r="1189" spans="1:8" ht="15.75" hidden="1" customHeight="1" x14ac:dyDescent="0.25">
      <c r="A1189" s="20" t="s">
        <v>105</v>
      </c>
      <c r="B1189" s="47" t="s">
        <v>110</v>
      </c>
      <c r="C1189" s="49"/>
      <c r="D1189" s="19" t="s">
        <v>28</v>
      </c>
      <c r="E1189" s="23">
        <v>15</v>
      </c>
      <c r="F1189" s="18">
        <f>E1189* 0.00094876660341556</f>
        <v>1.4231499051233399E-2</v>
      </c>
      <c r="G1189" s="18">
        <f>E1189* 0.999051233396584</f>
        <v>14.98576850094876</v>
      </c>
      <c r="H1189" s="20">
        <v>0</v>
      </c>
    </row>
    <row r="1190" spans="1:8" ht="15.75" hidden="1" customHeight="1" x14ac:dyDescent="0.25">
      <c r="A1190" s="20" t="s">
        <v>105</v>
      </c>
      <c r="B1190" s="47" t="s">
        <v>110</v>
      </c>
      <c r="C1190" s="49"/>
      <c r="D1190" s="19" t="s">
        <v>12</v>
      </c>
      <c r="E1190" s="23">
        <v>1044</v>
      </c>
      <c r="F1190" s="18">
        <f>E1190* 0.843786808009423</f>
        <v>880.91342756183758</v>
      </c>
      <c r="G1190" s="18">
        <f>E1190* 0.0740675304279545</f>
        <v>77.326501766784489</v>
      </c>
      <c r="H1190" s="18">
        <f>E1190* 0.0820965842167256</f>
        <v>85.708833922261519</v>
      </c>
    </row>
    <row r="1191" spans="1:8" ht="15.75" hidden="1" customHeight="1" x14ac:dyDescent="0.25">
      <c r="A1191" s="20" t="s">
        <v>105</v>
      </c>
      <c r="B1191" s="20"/>
      <c r="C1191" s="20"/>
      <c r="D1191" s="46"/>
      <c r="E1191" s="35"/>
    </row>
    <row r="1192" spans="1:8" ht="15.75" hidden="1" customHeight="1" x14ac:dyDescent="0.25">
      <c r="A1192" s="20" t="s">
        <v>105</v>
      </c>
      <c r="B1192" s="47" t="s">
        <v>111</v>
      </c>
      <c r="C1192" s="12" t="str">
        <f>B1192&amp;"_"&amp;A1192</f>
        <v>Arque_Cochabamba</v>
      </c>
      <c r="D1192" s="20"/>
      <c r="E1192" s="48">
        <v>172</v>
      </c>
      <c r="F1192" s="14">
        <f t="shared" ref="F1192:H1192" si="104">SUM(F1193:F1202)</f>
        <v>134.6414538210536</v>
      </c>
      <c r="G1192" s="14">
        <f t="shared" si="104"/>
        <v>27.996026083895462</v>
      </c>
      <c r="H1192" s="14">
        <f t="shared" si="104"/>
        <v>9.3457425942814769</v>
      </c>
    </row>
    <row r="1193" spans="1:8" ht="15.75" hidden="1" customHeight="1" x14ac:dyDescent="0.25">
      <c r="A1193" s="20" t="s">
        <v>105</v>
      </c>
      <c r="B1193" s="47" t="s">
        <v>111</v>
      </c>
      <c r="C1193" s="49"/>
      <c r="D1193" s="19" t="s">
        <v>15</v>
      </c>
      <c r="E1193" s="23">
        <v>21</v>
      </c>
      <c r="F1193" s="18">
        <f>E1193* 0.932775698199239</f>
        <v>19.588289662184017</v>
      </c>
      <c r="G1193" s="18">
        <f>E1193* 0.00808724987291465</f>
        <v>0.16983224733120764</v>
      </c>
      <c r="H1193" s="18">
        <f>E1193* 0.0590600305004852</f>
        <v>1.2402606405101892</v>
      </c>
    </row>
    <row r="1194" spans="1:8" ht="15.75" hidden="1" customHeight="1" x14ac:dyDescent="0.25">
      <c r="A1194" s="20" t="s">
        <v>105</v>
      </c>
      <c r="B1194" s="47" t="s">
        <v>111</v>
      </c>
      <c r="C1194" s="49"/>
      <c r="D1194" s="19" t="s">
        <v>413</v>
      </c>
      <c r="E1194" s="23">
        <v>2</v>
      </c>
      <c r="F1194" s="18">
        <f>E1194* 0.0803212851405623</f>
        <v>0.16064257028112461</v>
      </c>
      <c r="G1194" s="18">
        <f>E1194* 0.913367756741251</f>
        <v>1.8267355134825021</v>
      </c>
      <c r="H1194" s="18">
        <f>E1194* 0.0057372346528973</f>
        <v>1.1474469305794601E-2</v>
      </c>
    </row>
    <row r="1195" spans="1:8" ht="15.75" hidden="1" customHeight="1" x14ac:dyDescent="0.25">
      <c r="A1195" s="20" t="s">
        <v>105</v>
      </c>
      <c r="B1195" s="47" t="s">
        <v>111</v>
      </c>
      <c r="C1195" s="49"/>
      <c r="D1195" s="19" t="s">
        <v>11</v>
      </c>
      <c r="E1195" s="23">
        <v>14</v>
      </c>
      <c r="F1195" s="18">
        <f>E1195* 0.150611071171819</f>
        <v>2.108554996405466</v>
      </c>
      <c r="G1195" s="18">
        <f>E1195* 0.847699496764917</f>
        <v>11.867792954708838</v>
      </c>
      <c r="H1195" s="18">
        <f>E1195* 0.00136592379583034</f>
        <v>1.9122933141624759E-2</v>
      </c>
    </row>
    <row r="1196" spans="1:8" ht="15.75" hidden="1" customHeight="1" x14ac:dyDescent="0.25">
      <c r="A1196" s="20" t="s">
        <v>105</v>
      </c>
      <c r="B1196" s="47" t="s">
        <v>111</v>
      </c>
      <c r="C1196" s="49"/>
      <c r="D1196" s="19" t="s">
        <v>17</v>
      </c>
      <c r="E1196" s="23">
        <v>18</v>
      </c>
      <c r="F1196" s="18">
        <f>E1196* 0.840430229624022</f>
        <v>15.127744133232397</v>
      </c>
      <c r="G1196" s="18">
        <f>E1196* 0.0777504415846581</f>
        <v>1.399507948523846</v>
      </c>
      <c r="H1196" s="18">
        <f>E1196* 0.0817877870300278</f>
        <v>1.4721801665405003</v>
      </c>
    </row>
    <row r="1197" spans="1:8" ht="15.75" hidden="1" customHeight="1" x14ac:dyDescent="0.25">
      <c r="A1197" s="20" t="s">
        <v>105</v>
      </c>
      <c r="B1197" s="47" t="s">
        <v>111</v>
      </c>
      <c r="C1197" s="49"/>
      <c r="D1197" s="19" t="s">
        <v>31</v>
      </c>
      <c r="E1197" s="23">
        <v>5</v>
      </c>
      <c r="F1197" s="18">
        <f>E1197* 0.901975683890578</f>
        <v>4.5098784194528898</v>
      </c>
      <c r="G1197" s="18">
        <f>E1197* 0.0364741641337386</f>
        <v>0.18237082066869301</v>
      </c>
      <c r="H1197" s="18">
        <f>E1197* 0.0615501519756839</f>
        <v>0.30775075987841949</v>
      </c>
    </row>
    <row r="1198" spans="1:8" ht="15.75" hidden="1" customHeight="1" x14ac:dyDescent="0.25">
      <c r="A1198" s="20" t="s">
        <v>105</v>
      </c>
      <c r="B1198" s="47" t="s">
        <v>111</v>
      </c>
      <c r="C1198" s="49"/>
      <c r="D1198" s="19" t="s">
        <v>18</v>
      </c>
      <c r="E1198" s="23">
        <v>1</v>
      </c>
      <c r="F1198" s="18">
        <f>E1198* 0.932934264493959</f>
        <v>0.932934264493959</v>
      </c>
      <c r="G1198" s="18">
        <f>E1198* 0.0585300964416362</f>
        <v>5.8530096441636197E-2</v>
      </c>
      <c r="H1198" s="18">
        <f>E1198* 0.00853563906440528</f>
        <v>8.5356390644052808E-3</v>
      </c>
    </row>
    <row r="1199" spans="1:8" ht="15.75" hidden="1" customHeight="1" x14ac:dyDescent="0.25">
      <c r="A1199" s="20" t="s">
        <v>105</v>
      </c>
      <c r="B1199" s="47" t="s">
        <v>111</v>
      </c>
      <c r="C1199" s="49"/>
      <c r="D1199" s="19" t="s">
        <v>20</v>
      </c>
      <c r="E1199" s="23">
        <v>20</v>
      </c>
      <c r="F1199" s="18">
        <f>E1199* 0.686268801552644</f>
        <v>13.72537603105288</v>
      </c>
      <c r="G1199" s="18">
        <f>E1199* 0.196991751576904</f>
        <v>3.9398350315380797</v>
      </c>
      <c r="H1199" s="18">
        <f>E1199* 0.116642406598738</f>
        <v>2.3328481319747598</v>
      </c>
    </row>
    <row r="1200" spans="1:8" ht="15.75" hidden="1" customHeight="1" x14ac:dyDescent="0.25">
      <c r="A1200" s="20" t="s">
        <v>105</v>
      </c>
      <c r="B1200" s="47" t="s">
        <v>111</v>
      </c>
      <c r="C1200" s="49"/>
      <c r="D1200" s="19" t="s">
        <v>21</v>
      </c>
      <c r="E1200" s="23">
        <v>38</v>
      </c>
      <c r="F1200" s="18">
        <f>E1200* 0.999513766486355</f>
        <v>37.981523126481491</v>
      </c>
      <c r="G1200" s="18">
        <f>E1200* 0.0000243116756822464</f>
        <v>9.2384367592536314E-4</v>
      </c>
      <c r="H1200" s="18">
        <f>E1200* 0.00034036345955145</f>
        <v>1.29338114629551E-2</v>
      </c>
    </row>
    <row r="1201" spans="1:8" ht="15.75" hidden="1" customHeight="1" x14ac:dyDescent="0.25">
      <c r="A1201" s="20" t="s">
        <v>105</v>
      </c>
      <c r="B1201" s="47" t="s">
        <v>111</v>
      </c>
      <c r="C1201" s="49"/>
      <c r="D1201" s="19" t="s">
        <v>28</v>
      </c>
      <c r="E1201" s="23">
        <v>5</v>
      </c>
      <c r="F1201" s="18">
        <f>E1201* 0.00094876660341556</f>
        <v>4.7438330170778004E-3</v>
      </c>
      <c r="G1201" s="18">
        <f>E1201* 0.999051233396584</f>
        <v>4.9952561669829194</v>
      </c>
      <c r="H1201" s="20">
        <v>0</v>
      </c>
    </row>
    <row r="1202" spans="1:8" ht="15.75" hidden="1" customHeight="1" x14ac:dyDescent="0.25">
      <c r="A1202" s="20" t="s">
        <v>105</v>
      </c>
      <c r="B1202" s="47" t="s">
        <v>111</v>
      </c>
      <c r="C1202" s="49"/>
      <c r="D1202" s="19" t="s">
        <v>12</v>
      </c>
      <c r="E1202" s="23">
        <v>48</v>
      </c>
      <c r="F1202" s="18">
        <f>E1202* 0.843786808009423</f>
        <v>40.5017667844523</v>
      </c>
      <c r="G1202" s="18">
        <f>E1202* 0.0740675304279545</f>
        <v>3.5552414605418159</v>
      </c>
      <c r="H1202" s="18">
        <f>E1202* 0.0820965842167256</f>
        <v>3.9406360424028284</v>
      </c>
    </row>
    <row r="1203" spans="1:8" ht="15.75" hidden="1" customHeight="1" x14ac:dyDescent="0.25">
      <c r="A1203" s="20" t="s">
        <v>105</v>
      </c>
      <c r="B1203" s="20"/>
      <c r="C1203" s="20"/>
      <c r="D1203" s="46"/>
      <c r="E1203" s="35"/>
    </row>
    <row r="1204" spans="1:8" ht="15.75" hidden="1" customHeight="1" x14ac:dyDescent="0.25">
      <c r="A1204" s="20" t="s">
        <v>105</v>
      </c>
      <c r="B1204" s="47" t="s">
        <v>112</v>
      </c>
      <c r="C1204" s="12" t="str">
        <f>B1204&amp;"_"&amp;A1204</f>
        <v>Bolívar_Cochabamba</v>
      </c>
      <c r="D1204" s="20"/>
      <c r="E1204" s="48">
        <v>3</v>
      </c>
      <c r="F1204" s="14">
        <f t="shared" ref="F1204:H1204" si="105">SUM(F1205:F1207)</f>
        <v>1.92381699899508</v>
      </c>
      <c r="G1204" s="14">
        <f t="shared" si="105"/>
        <v>0.93353718822248966</v>
      </c>
      <c r="H1204" s="14">
        <f t="shared" si="105"/>
        <v>0.14221374132634335</v>
      </c>
    </row>
    <row r="1205" spans="1:8" ht="15.75" hidden="1" customHeight="1" x14ac:dyDescent="0.25">
      <c r="A1205" s="20" t="s">
        <v>105</v>
      </c>
      <c r="B1205" s="47" t="s">
        <v>112</v>
      </c>
      <c r="C1205" s="49"/>
      <c r="D1205" s="19" t="s">
        <v>15</v>
      </c>
      <c r="E1205" s="23">
        <v>1</v>
      </c>
      <c r="F1205" s="18">
        <f>E1205* 0.932775698199239</f>
        <v>0.932775698199239</v>
      </c>
      <c r="G1205" s="18">
        <f>E1205* 0.00808724987291465</f>
        <v>8.0872498729146498E-3</v>
      </c>
      <c r="H1205" s="18">
        <f>E1205* 0.0590600305004852</f>
        <v>5.9060030500485201E-2</v>
      </c>
    </row>
    <row r="1206" spans="1:8" ht="15.75" hidden="1" customHeight="1" x14ac:dyDescent="0.25">
      <c r="A1206" s="20" t="s">
        <v>105</v>
      </c>
      <c r="B1206" s="47" t="s">
        <v>112</v>
      </c>
      <c r="C1206" s="49"/>
      <c r="D1206" s="19" t="s">
        <v>11</v>
      </c>
      <c r="E1206" s="23">
        <v>1</v>
      </c>
      <c r="F1206" s="18">
        <f>E1206* 0.150611071171819</f>
        <v>0.15061107117181899</v>
      </c>
      <c r="G1206" s="18">
        <f>E1206* 0.847699496764917</f>
        <v>0.84769949676491696</v>
      </c>
      <c r="H1206" s="18">
        <f>E1206* 0.00136592379583034</f>
        <v>1.36592379583034E-3</v>
      </c>
    </row>
    <row r="1207" spans="1:8" ht="15.75" hidden="1" customHeight="1" x14ac:dyDescent="0.25">
      <c r="A1207" s="20" t="s">
        <v>105</v>
      </c>
      <c r="B1207" s="47" t="s">
        <v>112</v>
      </c>
      <c r="C1207" s="49"/>
      <c r="D1207" s="19" t="s">
        <v>17</v>
      </c>
      <c r="E1207" s="23">
        <v>1</v>
      </c>
      <c r="F1207" s="18">
        <f>E1207* 0.840430229624022</f>
        <v>0.84043022962402203</v>
      </c>
      <c r="G1207" s="18">
        <f>E1207* 0.0777504415846581</f>
        <v>7.7750441584658103E-2</v>
      </c>
      <c r="H1207" s="18">
        <f>E1207* 0.0817877870300278</f>
        <v>8.17877870300278E-2</v>
      </c>
    </row>
    <row r="1208" spans="1:8" ht="15.75" hidden="1" customHeight="1" x14ac:dyDescent="0.25">
      <c r="A1208" s="20" t="s">
        <v>105</v>
      </c>
      <c r="B1208" s="20"/>
      <c r="C1208" s="20"/>
      <c r="D1208" s="46"/>
      <c r="E1208" s="35"/>
    </row>
    <row r="1209" spans="1:8" ht="15.75" hidden="1" customHeight="1" x14ac:dyDescent="0.25">
      <c r="A1209" s="20" t="s">
        <v>105</v>
      </c>
      <c r="B1209" s="47" t="s">
        <v>113</v>
      </c>
      <c r="C1209" s="12" t="str">
        <f>B1209&amp;"_"&amp;A1209</f>
        <v>Capinota_Cochabamba</v>
      </c>
      <c r="D1209" s="20"/>
      <c r="E1209" s="48">
        <v>3728</v>
      </c>
      <c r="F1209" s="14">
        <f t="shared" ref="F1209:H1209" si="106">SUM(F1210:F1222)</f>
        <v>3151.6213713712596</v>
      </c>
      <c r="G1209" s="14">
        <f t="shared" si="106"/>
        <v>509.67561001034846</v>
      </c>
      <c r="H1209" s="14">
        <f t="shared" si="106"/>
        <v>66.255726485797794</v>
      </c>
    </row>
    <row r="1210" spans="1:8" ht="15.75" hidden="1" customHeight="1" x14ac:dyDescent="0.25">
      <c r="A1210" s="20" t="s">
        <v>105</v>
      </c>
      <c r="B1210" s="47" t="s">
        <v>113</v>
      </c>
      <c r="C1210" s="49"/>
      <c r="D1210" s="29" t="s">
        <v>414</v>
      </c>
      <c r="E1210" s="23">
        <v>5</v>
      </c>
      <c r="F1210" s="20">
        <v>0</v>
      </c>
      <c r="G1210" s="24">
        <f>E1210</f>
        <v>5</v>
      </c>
      <c r="H1210" s="20">
        <v>0</v>
      </c>
    </row>
    <row r="1211" spans="1:8" ht="15.75" hidden="1" customHeight="1" x14ac:dyDescent="0.25">
      <c r="A1211" s="20" t="s">
        <v>105</v>
      </c>
      <c r="B1211" s="47" t="s">
        <v>113</v>
      </c>
      <c r="C1211" s="49"/>
      <c r="D1211" s="19" t="s">
        <v>15</v>
      </c>
      <c r="E1211" s="23">
        <v>94</v>
      </c>
      <c r="F1211" s="18">
        <f>E1211* 0.932775698199239</f>
        <v>87.680915630728464</v>
      </c>
      <c r="G1211" s="18">
        <f>E1211* 0.00808724987291465</f>
        <v>0.76020148805397703</v>
      </c>
      <c r="H1211" s="18">
        <f>E1211* 0.0590600305004852</f>
        <v>5.5516428670456088</v>
      </c>
    </row>
    <row r="1212" spans="1:8" ht="15.75" hidden="1" customHeight="1" x14ac:dyDescent="0.25">
      <c r="A1212" s="20" t="s">
        <v>105</v>
      </c>
      <c r="B1212" s="47" t="s">
        <v>113</v>
      </c>
      <c r="C1212" s="49"/>
      <c r="D1212" s="29" t="s">
        <v>415</v>
      </c>
      <c r="E1212" s="23">
        <v>6</v>
      </c>
      <c r="F1212" s="18">
        <f>E1212* 0.0803212851405623</f>
        <v>0.48192771084337382</v>
      </c>
      <c r="G1212" s="18">
        <f>E1212* 0.913367756741251</f>
        <v>5.4802065404475062</v>
      </c>
      <c r="H1212" s="18">
        <f>E1212* 0.0057372346528973</f>
        <v>3.4423407917383804E-2</v>
      </c>
    </row>
    <row r="1213" spans="1:8" ht="15.75" hidden="1" customHeight="1" x14ac:dyDescent="0.25">
      <c r="A1213" s="20" t="s">
        <v>105</v>
      </c>
      <c r="B1213" s="47" t="s">
        <v>113</v>
      </c>
      <c r="C1213" s="49"/>
      <c r="D1213" s="19" t="s">
        <v>11</v>
      </c>
      <c r="E1213" s="23">
        <v>341</v>
      </c>
      <c r="F1213" s="18">
        <f>E1213* 0.150611071171819</f>
        <v>51.358375269590276</v>
      </c>
      <c r="G1213" s="18">
        <f>E1213* 0.847699496764917</f>
        <v>289.06552839683667</v>
      </c>
      <c r="H1213" s="18">
        <f>E1213* 0.00136592379583034</f>
        <v>0.46578001437814592</v>
      </c>
    </row>
    <row r="1214" spans="1:8" ht="15.75" hidden="1" customHeight="1" x14ac:dyDescent="0.25">
      <c r="A1214" s="20" t="s">
        <v>105</v>
      </c>
      <c r="B1214" s="47" t="s">
        <v>113</v>
      </c>
      <c r="C1214" s="49"/>
      <c r="D1214" s="19" t="s">
        <v>17</v>
      </c>
      <c r="E1214" s="23">
        <v>135</v>
      </c>
      <c r="F1214" s="18">
        <f>E1214* 0.840430229624022</f>
        <v>113.45808099924298</v>
      </c>
      <c r="G1214" s="18">
        <f>E1214* 0.0777504415846581</f>
        <v>10.496309613928844</v>
      </c>
      <c r="H1214" s="18">
        <f>E1214* 0.0817877870300278</f>
        <v>11.041351249053752</v>
      </c>
    </row>
    <row r="1215" spans="1:8" ht="15.75" hidden="1" customHeight="1" x14ac:dyDescent="0.25">
      <c r="A1215" s="20" t="s">
        <v>105</v>
      </c>
      <c r="B1215" s="47" t="s">
        <v>113</v>
      </c>
      <c r="C1215" s="49"/>
      <c r="D1215" s="19" t="s">
        <v>31</v>
      </c>
      <c r="E1215" s="23">
        <v>4</v>
      </c>
      <c r="F1215" s="18">
        <f>E1215* 0.901975683890578</f>
        <v>3.6079027355623121</v>
      </c>
      <c r="G1215" s="18">
        <f>E1215* 0.0364741641337386</f>
        <v>0.1458966565349544</v>
      </c>
      <c r="H1215" s="18">
        <f>E1215* 0.0615501519756839</f>
        <v>0.2462006079027356</v>
      </c>
    </row>
    <row r="1216" spans="1:8" ht="15.75" hidden="1" customHeight="1" x14ac:dyDescent="0.25">
      <c r="A1216" s="20" t="s">
        <v>105</v>
      </c>
      <c r="B1216" s="47" t="s">
        <v>113</v>
      </c>
      <c r="C1216" s="49"/>
      <c r="D1216" s="19" t="s">
        <v>18</v>
      </c>
      <c r="E1216" s="23">
        <v>28</v>
      </c>
      <c r="F1216" s="18">
        <f>E1216* 0.932934264493959</f>
        <v>26.122159405830853</v>
      </c>
      <c r="G1216" s="18">
        <f>E1216* 0.0585300964416362</f>
        <v>1.6388427003658135</v>
      </c>
      <c r="H1216" s="18">
        <f>E1216* 0.00853563906440528</f>
        <v>0.23899789380334785</v>
      </c>
    </row>
    <row r="1217" spans="1:8" ht="15.75" hidden="1" customHeight="1" x14ac:dyDescent="0.25">
      <c r="A1217" s="20" t="s">
        <v>105</v>
      </c>
      <c r="B1217" s="47" t="s">
        <v>113</v>
      </c>
      <c r="C1217" s="49"/>
      <c r="D1217" s="19" t="s">
        <v>19</v>
      </c>
      <c r="E1217" s="23">
        <v>5</v>
      </c>
      <c r="F1217" s="18">
        <f>E1217* 0.290681971640783</f>
        <v>1.4534098582039152</v>
      </c>
      <c r="G1217" s="18">
        <f>E1217* 0.694125590817016</f>
        <v>3.4706279540850797</v>
      </c>
      <c r="H1217" s="18">
        <f>E1217* 0.0151924375422012</f>
        <v>7.5962187711006005E-2</v>
      </c>
    </row>
    <row r="1218" spans="1:8" ht="15.75" hidden="1" customHeight="1" x14ac:dyDescent="0.25">
      <c r="A1218" s="20" t="s">
        <v>105</v>
      </c>
      <c r="B1218" s="47" t="s">
        <v>113</v>
      </c>
      <c r="C1218" s="49"/>
      <c r="D1218" s="19" t="s">
        <v>20</v>
      </c>
      <c r="E1218" s="23">
        <v>50</v>
      </c>
      <c r="F1218" s="18">
        <f>E1218* 0.686268801552644</f>
        <v>34.313440077632201</v>
      </c>
      <c r="G1218" s="18">
        <f>E1218* 0.196991751576904</f>
        <v>9.849587578845199</v>
      </c>
      <c r="H1218" s="18">
        <f>E1218* 0.116642406598738</f>
        <v>5.8321203299368998</v>
      </c>
    </row>
    <row r="1219" spans="1:8" ht="15.75" hidden="1" customHeight="1" x14ac:dyDescent="0.25">
      <c r="A1219" s="20" t="s">
        <v>105</v>
      </c>
      <c r="B1219" s="47" t="s">
        <v>113</v>
      </c>
      <c r="C1219" s="49"/>
      <c r="D1219" s="19" t="s">
        <v>21</v>
      </c>
      <c r="E1219" s="23">
        <v>2403</v>
      </c>
      <c r="F1219" s="18">
        <f>E1219* 0.999513766486355</f>
        <v>2401.8315808667112</v>
      </c>
      <c r="G1219" s="18">
        <f>E1219* 0.0000243116756822464</f>
        <v>5.8420956664438098E-2</v>
      </c>
      <c r="H1219" s="18">
        <f>E1219* 0.00034036345955145</f>
        <v>0.8178933933021344</v>
      </c>
    </row>
    <row r="1220" spans="1:8" ht="15.75" hidden="1" customHeight="1" x14ac:dyDescent="0.25">
      <c r="A1220" s="20" t="s">
        <v>105</v>
      </c>
      <c r="B1220" s="47" t="s">
        <v>113</v>
      </c>
      <c r="C1220" s="49"/>
      <c r="D1220" s="19" t="s">
        <v>36</v>
      </c>
      <c r="E1220" s="23">
        <v>0</v>
      </c>
      <c r="F1220" s="24">
        <f>E1220</f>
        <v>0</v>
      </c>
      <c r="G1220" s="20">
        <v>0</v>
      </c>
      <c r="H1220" s="20">
        <v>0</v>
      </c>
    </row>
    <row r="1221" spans="1:8" ht="15.75" hidden="1" customHeight="1" x14ac:dyDescent="0.25">
      <c r="A1221" s="20" t="s">
        <v>105</v>
      </c>
      <c r="B1221" s="47" t="s">
        <v>113</v>
      </c>
      <c r="C1221" s="49"/>
      <c r="D1221" s="19" t="s">
        <v>28</v>
      </c>
      <c r="E1221" s="23">
        <v>146</v>
      </c>
      <c r="F1221" s="18">
        <f>E1221* 0.00094876660341556</f>
        <v>0.13851992409867175</v>
      </c>
      <c r="G1221" s="18">
        <f>E1221* 0.999051233396584</f>
        <v>145.86148007590126</v>
      </c>
      <c r="H1221" s="20">
        <v>0</v>
      </c>
    </row>
    <row r="1222" spans="1:8" ht="15.75" hidden="1" customHeight="1" x14ac:dyDescent="0.25">
      <c r="A1222" s="20" t="s">
        <v>105</v>
      </c>
      <c r="B1222" s="47" t="s">
        <v>113</v>
      </c>
      <c r="C1222" s="49"/>
      <c r="D1222" s="19" t="s">
        <v>12</v>
      </c>
      <c r="E1222" s="23">
        <v>511</v>
      </c>
      <c r="F1222" s="18">
        <f>E1222* 0.843786808009423</f>
        <v>431.17505889281512</v>
      </c>
      <c r="G1222" s="18">
        <f>E1222* 0.0740675304279545</f>
        <v>37.848508048684749</v>
      </c>
      <c r="H1222" s="18">
        <f>E1222* 0.0820965842167256</f>
        <v>41.951354534746777</v>
      </c>
    </row>
    <row r="1223" spans="1:8" ht="15.75" hidden="1" customHeight="1" x14ac:dyDescent="0.25">
      <c r="A1223" s="20" t="s">
        <v>105</v>
      </c>
      <c r="B1223" s="20"/>
      <c r="C1223" s="20"/>
      <c r="D1223" s="46"/>
      <c r="E1223" s="35"/>
    </row>
    <row r="1224" spans="1:8" ht="15.75" hidden="1" customHeight="1" x14ac:dyDescent="0.25">
      <c r="A1224" s="20" t="s">
        <v>105</v>
      </c>
      <c r="B1224" s="47" t="s">
        <v>114</v>
      </c>
      <c r="C1224" s="12" t="str">
        <f>B1224&amp;"_"&amp;A1224</f>
        <v>Chimoré_Cochabamba</v>
      </c>
      <c r="D1224" s="20"/>
      <c r="E1224" s="48">
        <v>3474</v>
      </c>
      <c r="F1224" s="14">
        <f t="shared" ref="F1224:H1224" si="107">SUM(F1225:F1237)</f>
        <v>3278.2946170810451</v>
      </c>
      <c r="G1224" s="14">
        <f t="shared" si="107"/>
        <v>139.60870192786314</v>
      </c>
      <c r="H1224" s="14">
        <f t="shared" si="107"/>
        <v>55.713443224505426</v>
      </c>
    </row>
    <row r="1225" spans="1:8" ht="15.75" hidden="1" customHeight="1" x14ac:dyDescent="0.25">
      <c r="A1225" s="20" t="s">
        <v>105</v>
      </c>
      <c r="B1225" s="47" t="s">
        <v>114</v>
      </c>
      <c r="C1225" s="49"/>
      <c r="D1225" s="29" t="s">
        <v>416</v>
      </c>
      <c r="E1225" s="23">
        <v>4</v>
      </c>
      <c r="F1225" s="20">
        <v>0</v>
      </c>
      <c r="G1225" s="24">
        <f>E1225</f>
        <v>4</v>
      </c>
      <c r="H1225" s="20">
        <v>0</v>
      </c>
    </row>
    <row r="1226" spans="1:8" ht="15.75" hidden="1" customHeight="1" x14ac:dyDescent="0.25">
      <c r="A1226" s="20" t="s">
        <v>105</v>
      </c>
      <c r="B1226" s="47" t="s">
        <v>114</v>
      </c>
      <c r="C1226" s="49"/>
      <c r="D1226" s="19" t="s">
        <v>15</v>
      </c>
      <c r="E1226" s="23">
        <v>21</v>
      </c>
      <c r="F1226" s="18">
        <f>E1226* 0.932775698199239</f>
        <v>19.588289662184017</v>
      </c>
      <c r="G1226" s="18">
        <f>E1226* 0.00808724987291465</f>
        <v>0.16983224733120764</v>
      </c>
      <c r="H1226" s="18">
        <f>E1226* 0.0590600305004852</f>
        <v>1.2402606405101892</v>
      </c>
    </row>
    <row r="1227" spans="1:8" ht="15.75" hidden="1" customHeight="1" x14ac:dyDescent="0.25">
      <c r="A1227" s="20" t="s">
        <v>105</v>
      </c>
      <c r="B1227" s="47" t="s">
        <v>114</v>
      </c>
      <c r="C1227" s="49"/>
      <c r="D1227" s="29" t="s">
        <v>417</v>
      </c>
      <c r="E1227" s="23">
        <v>3</v>
      </c>
      <c r="F1227" s="18">
        <f>E1227* 0.0803212851405623</f>
        <v>0.24096385542168691</v>
      </c>
      <c r="G1227" s="18">
        <f>E1227* 0.913367756741251</f>
        <v>2.7401032702237531</v>
      </c>
      <c r="H1227" s="18">
        <f>E1227* 0.0057372346528973</f>
        <v>1.7211703958691902E-2</v>
      </c>
    </row>
    <row r="1228" spans="1:8" ht="15.75" hidden="1" customHeight="1" x14ac:dyDescent="0.25">
      <c r="A1228" s="20" t="s">
        <v>105</v>
      </c>
      <c r="B1228" s="47" t="s">
        <v>114</v>
      </c>
      <c r="C1228" s="49"/>
      <c r="D1228" s="19" t="s">
        <v>11</v>
      </c>
      <c r="E1228" s="23">
        <v>60</v>
      </c>
      <c r="F1228" s="18">
        <f>E1228* 0.150611071171819</f>
        <v>9.0366642703091387</v>
      </c>
      <c r="G1228" s="18">
        <f>E1228* 0.847699496764917</f>
        <v>50.861969805895015</v>
      </c>
      <c r="H1228" s="18">
        <f>E1228* 0.00136592379583034</f>
        <v>8.1955427749820398E-2</v>
      </c>
    </row>
    <row r="1229" spans="1:8" ht="15.75" hidden="1" customHeight="1" x14ac:dyDescent="0.25">
      <c r="A1229" s="20" t="s">
        <v>105</v>
      </c>
      <c r="B1229" s="47" t="s">
        <v>114</v>
      </c>
      <c r="C1229" s="49"/>
      <c r="D1229" s="19" t="s">
        <v>17</v>
      </c>
      <c r="E1229" s="23">
        <v>70</v>
      </c>
      <c r="F1229" s="18">
        <f>E1229* 0.840430229624022</f>
        <v>58.830116073681545</v>
      </c>
      <c r="G1229" s="18">
        <f>E1229* 0.0777504415846581</f>
        <v>5.4425309109260676</v>
      </c>
      <c r="H1229" s="18">
        <f>E1229* 0.0817877870300278</f>
        <v>5.725145092101946</v>
      </c>
    </row>
    <row r="1230" spans="1:8" ht="15.75" hidden="1" customHeight="1" x14ac:dyDescent="0.25">
      <c r="A1230" s="20" t="s">
        <v>105</v>
      </c>
      <c r="B1230" s="47" t="s">
        <v>114</v>
      </c>
      <c r="C1230" s="49"/>
      <c r="D1230" s="19" t="s">
        <v>31</v>
      </c>
      <c r="E1230" s="23">
        <v>3</v>
      </c>
      <c r="F1230" s="18">
        <f>E1230* 0.901975683890578</f>
        <v>2.705927051671734</v>
      </c>
      <c r="G1230" s="18">
        <f>E1230* 0.0364741641337386</f>
        <v>0.10942249240121579</v>
      </c>
      <c r="H1230" s="18">
        <f>E1230* 0.0615501519756839</f>
        <v>0.1846504559270517</v>
      </c>
    </row>
    <row r="1231" spans="1:8" ht="15.75" hidden="1" customHeight="1" x14ac:dyDescent="0.25">
      <c r="A1231" s="20" t="s">
        <v>105</v>
      </c>
      <c r="B1231" s="47" t="s">
        <v>114</v>
      </c>
      <c r="C1231" s="49"/>
      <c r="D1231" s="19" t="s">
        <v>18</v>
      </c>
      <c r="E1231" s="23">
        <v>3</v>
      </c>
      <c r="F1231" s="18">
        <f>E1231* 0.932934264493959</f>
        <v>2.7988027934818769</v>
      </c>
      <c r="G1231" s="18">
        <f>E1231* 0.0585300964416362</f>
        <v>0.17559028932490858</v>
      </c>
      <c r="H1231" s="18">
        <f>E1231* 0.00853563906440528</f>
        <v>2.5606917193215843E-2</v>
      </c>
    </row>
    <row r="1232" spans="1:8" ht="15.75" hidden="1" customHeight="1" x14ac:dyDescent="0.25">
      <c r="A1232" s="20" t="s">
        <v>105</v>
      </c>
      <c r="B1232" s="47" t="s">
        <v>114</v>
      </c>
      <c r="C1232" s="49"/>
      <c r="D1232" s="19" t="s">
        <v>418</v>
      </c>
      <c r="E1232" s="23">
        <v>7</v>
      </c>
      <c r="F1232" s="20">
        <v>0</v>
      </c>
      <c r="G1232" s="24">
        <f>E1232</f>
        <v>7</v>
      </c>
      <c r="H1232" s="20">
        <v>0</v>
      </c>
    </row>
    <row r="1233" spans="1:8" ht="15.75" hidden="1" customHeight="1" x14ac:dyDescent="0.25">
      <c r="A1233" s="20" t="s">
        <v>105</v>
      </c>
      <c r="B1233" s="47" t="s">
        <v>114</v>
      </c>
      <c r="C1233" s="49"/>
      <c r="D1233" s="19" t="s">
        <v>19</v>
      </c>
      <c r="E1233" s="23">
        <v>6</v>
      </c>
      <c r="F1233" s="18">
        <f>E1233* 0.290681971640783</f>
        <v>1.7440918298446981</v>
      </c>
      <c r="G1233" s="18">
        <f>E1233* 0.694125590817016</f>
        <v>4.164753544902096</v>
      </c>
      <c r="H1233" s="18">
        <f>E1233* 0.0151924375422012</f>
        <v>9.1154625253207194E-2</v>
      </c>
    </row>
    <row r="1234" spans="1:8" ht="15.75" hidden="1" customHeight="1" x14ac:dyDescent="0.25">
      <c r="A1234" s="20" t="s">
        <v>105</v>
      </c>
      <c r="B1234" s="47" t="s">
        <v>114</v>
      </c>
      <c r="C1234" s="49"/>
      <c r="D1234" s="19" t="s">
        <v>20</v>
      </c>
      <c r="E1234" s="23">
        <v>23</v>
      </c>
      <c r="F1234" s="18">
        <f>E1234* 0.686268801552644</f>
        <v>15.784182435710813</v>
      </c>
      <c r="G1234" s="18">
        <f>E1234* 0.196991751576904</f>
        <v>4.5308102862687916</v>
      </c>
      <c r="H1234" s="18">
        <f>E1234* 0.116642406598738</f>
        <v>2.682775351770974</v>
      </c>
    </row>
    <row r="1235" spans="1:8" ht="15.75" hidden="1" customHeight="1" x14ac:dyDescent="0.25">
      <c r="A1235" s="20" t="s">
        <v>105</v>
      </c>
      <c r="B1235" s="47" t="s">
        <v>114</v>
      </c>
      <c r="C1235" s="49"/>
      <c r="D1235" s="19" t="s">
        <v>21</v>
      </c>
      <c r="E1235" s="23">
        <v>2709</v>
      </c>
      <c r="F1235" s="18">
        <f>E1235* 0.999513766486355</f>
        <v>2707.6827934115358</v>
      </c>
      <c r="G1235" s="18">
        <f>E1235* 0.0000243116756822464</f>
        <v>6.5860329423205494E-2</v>
      </c>
      <c r="H1235" s="18">
        <f>E1235* 0.00034036345955145</f>
        <v>0.92204461192487808</v>
      </c>
    </row>
    <row r="1236" spans="1:8" ht="15.75" hidden="1" customHeight="1" x14ac:dyDescent="0.25">
      <c r="A1236" s="20" t="s">
        <v>105</v>
      </c>
      <c r="B1236" s="47" t="s">
        <v>114</v>
      </c>
      <c r="C1236" s="49"/>
      <c r="D1236" s="19" t="s">
        <v>28</v>
      </c>
      <c r="E1236" s="23">
        <v>20</v>
      </c>
      <c r="F1236" s="18">
        <f>E1236* 0.00094876660341556</f>
        <v>1.8975332068311201E-2</v>
      </c>
      <c r="G1236" s="18">
        <f>E1236* 0.999051233396584</f>
        <v>19.981024667931678</v>
      </c>
      <c r="H1236" s="20">
        <v>0</v>
      </c>
    </row>
    <row r="1237" spans="1:8" ht="15.75" hidden="1" customHeight="1" x14ac:dyDescent="0.25">
      <c r="A1237" s="20" t="s">
        <v>105</v>
      </c>
      <c r="B1237" s="47" t="s">
        <v>114</v>
      </c>
      <c r="C1237" s="49"/>
      <c r="D1237" s="19" t="s">
        <v>12</v>
      </c>
      <c r="E1237" s="23">
        <v>545</v>
      </c>
      <c r="F1237" s="18">
        <f>E1237* 0.843786808009423</f>
        <v>459.86381036513552</v>
      </c>
      <c r="G1237" s="18">
        <f>E1237* 0.0740675304279545</f>
        <v>40.366804083235202</v>
      </c>
      <c r="H1237" s="18">
        <f>E1237* 0.0820965842167256</f>
        <v>44.742638398115453</v>
      </c>
    </row>
    <row r="1238" spans="1:8" ht="15.75" hidden="1" customHeight="1" x14ac:dyDescent="0.25">
      <c r="A1238" s="20" t="s">
        <v>105</v>
      </c>
      <c r="B1238" s="20"/>
      <c r="C1238" s="20"/>
      <c r="D1238" s="46"/>
      <c r="E1238" s="35"/>
    </row>
    <row r="1239" spans="1:8" ht="15.75" hidden="1" customHeight="1" x14ac:dyDescent="0.25">
      <c r="A1239" s="20" t="s">
        <v>105</v>
      </c>
      <c r="B1239" s="47" t="s">
        <v>116</v>
      </c>
      <c r="C1239" s="12" t="str">
        <f>B1239&amp;"_"&amp;A1239</f>
        <v>Cliza_Cochabamba</v>
      </c>
      <c r="D1239" s="20"/>
      <c r="E1239" s="48">
        <v>4265</v>
      </c>
      <c r="F1239" s="14">
        <f t="shared" ref="F1239:H1239" si="108">SUM(F1240:F1253)</f>
        <v>3285.6196036219258</v>
      </c>
      <c r="G1239" s="14">
        <f t="shared" si="108"/>
        <v>738.54112164546075</v>
      </c>
      <c r="H1239" s="14">
        <f t="shared" si="108"/>
        <v>240.428264530332</v>
      </c>
    </row>
    <row r="1240" spans="1:8" ht="15.75" hidden="1" customHeight="1" x14ac:dyDescent="0.25">
      <c r="A1240" s="20" t="s">
        <v>105</v>
      </c>
      <c r="B1240" s="47" t="s">
        <v>116</v>
      </c>
      <c r="C1240" s="49"/>
      <c r="D1240" s="29" t="s">
        <v>419</v>
      </c>
      <c r="E1240" s="23">
        <v>0</v>
      </c>
      <c r="F1240" s="20">
        <v>0</v>
      </c>
      <c r="G1240" s="24">
        <f>E1240</f>
        <v>0</v>
      </c>
      <c r="H1240" s="20">
        <v>0</v>
      </c>
    </row>
    <row r="1241" spans="1:8" ht="15.75" hidden="1" customHeight="1" x14ac:dyDescent="0.25">
      <c r="A1241" s="20" t="s">
        <v>105</v>
      </c>
      <c r="B1241" s="47" t="s">
        <v>116</v>
      </c>
      <c r="C1241" s="49"/>
      <c r="D1241" s="19" t="s">
        <v>15</v>
      </c>
      <c r="E1241" s="23">
        <v>1046</v>
      </c>
      <c r="F1241" s="18">
        <f>E1241* 0.932775698199239</f>
        <v>975.68338031640394</v>
      </c>
      <c r="G1241" s="18">
        <f>E1241* 0.00808724987291465</f>
        <v>8.4592633670687238</v>
      </c>
      <c r="H1241" s="18">
        <f>E1241* 0.0590600305004852</f>
        <v>61.776791903507522</v>
      </c>
    </row>
    <row r="1242" spans="1:8" ht="15.75" hidden="1" customHeight="1" x14ac:dyDescent="0.25">
      <c r="A1242" s="20" t="s">
        <v>105</v>
      </c>
      <c r="B1242" s="47" t="s">
        <v>116</v>
      </c>
      <c r="C1242" s="49"/>
      <c r="D1242" s="29" t="s">
        <v>420</v>
      </c>
      <c r="E1242" s="23">
        <v>9</v>
      </c>
      <c r="F1242" s="18">
        <f>E1242* 0.0803212851405623</f>
        <v>0.72289156626506079</v>
      </c>
      <c r="G1242" s="18">
        <f>E1242* 0.913367756741251</f>
        <v>8.2203098106712602</v>
      </c>
      <c r="H1242" s="18">
        <f>E1242* 0.0057372346528973</f>
        <v>5.1635111876075702E-2</v>
      </c>
    </row>
    <row r="1243" spans="1:8" ht="15.75" hidden="1" customHeight="1" x14ac:dyDescent="0.25">
      <c r="A1243" s="20" t="s">
        <v>105</v>
      </c>
      <c r="B1243" s="47" t="s">
        <v>116</v>
      </c>
      <c r="C1243" s="49"/>
      <c r="D1243" s="19" t="s">
        <v>11</v>
      </c>
      <c r="E1243" s="23">
        <v>501</v>
      </c>
      <c r="F1243" s="18">
        <f>E1243* 0.150611071171819</f>
        <v>75.45614665708132</v>
      </c>
      <c r="G1243" s="18">
        <f>E1243* 0.847699496764917</f>
        <v>424.69744787922338</v>
      </c>
      <c r="H1243" s="18">
        <f>E1243* 0.00136592379583034</f>
        <v>0.68432782171100037</v>
      </c>
    </row>
    <row r="1244" spans="1:8" ht="15.75" hidden="1" customHeight="1" x14ac:dyDescent="0.25">
      <c r="A1244" s="20" t="s">
        <v>105</v>
      </c>
      <c r="B1244" s="47" t="s">
        <v>116</v>
      </c>
      <c r="C1244" s="49"/>
      <c r="D1244" s="19" t="s">
        <v>17</v>
      </c>
      <c r="E1244" s="23">
        <v>418</v>
      </c>
      <c r="F1244" s="18">
        <f>E1244* 0.840430229624022</f>
        <v>351.29983598284122</v>
      </c>
      <c r="G1244" s="18">
        <f>E1244* 0.0777504415846581</f>
        <v>32.49968458238709</v>
      </c>
      <c r="H1244" s="18">
        <f>E1244* 0.0817877870300278</f>
        <v>34.18729497855162</v>
      </c>
    </row>
    <row r="1245" spans="1:8" ht="15.75" hidden="1" customHeight="1" x14ac:dyDescent="0.25">
      <c r="A1245" s="20" t="s">
        <v>105</v>
      </c>
      <c r="B1245" s="47" t="s">
        <v>116</v>
      </c>
      <c r="C1245" s="49"/>
      <c r="D1245" s="19" t="s">
        <v>31</v>
      </c>
      <c r="E1245" s="23">
        <v>34</v>
      </c>
      <c r="F1245" s="18">
        <f>E1245* 0.901975683890578</f>
        <v>30.667173252279653</v>
      </c>
      <c r="G1245" s="18">
        <f>E1245* 0.0364741641337386</f>
        <v>1.2401215805471124</v>
      </c>
      <c r="H1245" s="18">
        <f>E1245* 0.0615501519756839</f>
        <v>2.0927051671732526</v>
      </c>
    </row>
    <row r="1246" spans="1:8" ht="15.75" hidden="1" customHeight="1" x14ac:dyDescent="0.25">
      <c r="A1246" s="20" t="s">
        <v>105</v>
      </c>
      <c r="B1246" s="47" t="s">
        <v>116</v>
      </c>
      <c r="C1246" s="49"/>
      <c r="D1246" s="19" t="s">
        <v>18</v>
      </c>
      <c r="E1246" s="23">
        <v>45</v>
      </c>
      <c r="F1246" s="18">
        <f>E1246* 0.932934264493959</f>
        <v>41.982041902228154</v>
      </c>
      <c r="G1246" s="18">
        <f>E1246* 0.0585300964416362</f>
        <v>2.6338543398736287</v>
      </c>
      <c r="H1246" s="18">
        <f>E1246* 0.00853563906440528</f>
        <v>0.38410375789823764</v>
      </c>
    </row>
    <row r="1247" spans="1:8" ht="15.75" hidden="1" customHeight="1" x14ac:dyDescent="0.25">
      <c r="A1247" s="20" t="s">
        <v>105</v>
      </c>
      <c r="B1247" s="47" t="s">
        <v>116</v>
      </c>
      <c r="C1247" s="49"/>
      <c r="D1247" s="19" t="s">
        <v>421</v>
      </c>
      <c r="E1247" s="23">
        <v>9</v>
      </c>
      <c r="F1247" s="20">
        <v>0</v>
      </c>
      <c r="G1247" s="24">
        <f>E1247</f>
        <v>9</v>
      </c>
      <c r="H1247" s="20">
        <v>0</v>
      </c>
    </row>
    <row r="1248" spans="1:8" ht="15.75" hidden="1" customHeight="1" x14ac:dyDescent="0.25">
      <c r="A1248" s="20" t="s">
        <v>105</v>
      </c>
      <c r="B1248" s="47" t="s">
        <v>116</v>
      </c>
      <c r="C1248" s="49"/>
      <c r="D1248" s="19" t="s">
        <v>19</v>
      </c>
      <c r="E1248" s="23">
        <v>61</v>
      </c>
      <c r="F1248" s="18">
        <f>E1248* 0.290681971640783</f>
        <v>17.731600270087764</v>
      </c>
      <c r="G1248" s="18">
        <f>E1248* 0.694125590817016</f>
        <v>42.341661039837973</v>
      </c>
      <c r="H1248" s="18">
        <f>E1248* 0.0151924375422012</f>
        <v>0.92673869007427323</v>
      </c>
    </row>
    <row r="1249" spans="1:8" ht="15.75" hidden="1" customHeight="1" x14ac:dyDescent="0.25">
      <c r="A1249" s="20" t="s">
        <v>105</v>
      </c>
      <c r="B1249" s="47" t="s">
        <v>116</v>
      </c>
      <c r="C1249" s="49"/>
      <c r="D1249" s="19" t="s">
        <v>20</v>
      </c>
      <c r="E1249" s="23">
        <v>262</v>
      </c>
      <c r="F1249" s="18">
        <f>E1249* 0.686268801552644</f>
        <v>179.80242600679273</v>
      </c>
      <c r="G1249" s="18">
        <f>E1249* 0.196991751576904</f>
        <v>51.611838913148844</v>
      </c>
      <c r="H1249" s="18">
        <f>E1249* 0.116642406598738</f>
        <v>30.560310528869355</v>
      </c>
    </row>
    <row r="1250" spans="1:8" ht="15.75" hidden="1" customHeight="1" x14ac:dyDescent="0.25">
      <c r="A1250" s="20" t="s">
        <v>105</v>
      </c>
      <c r="B1250" s="47" t="s">
        <v>116</v>
      </c>
      <c r="C1250" s="49"/>
      <c r="D1250" s="19" t="s">
        <v>21</v>
      </c>
      <c r="E1250" s="23">
        <v>486</v>
      </c>
      <c r="F1250" s="18">
        <f>E1250* 0.999513766486355</f>
        <v>485.76369051236856</v>
      </c>
      <c r="G1250" s="18">
        <f>E1250* 0.0000243116756822464</f>
        <v>1.1815474381571749E-2</v>
      </c>
      <c r="H1250" s="18">
        <f>E1250* 0.00034036345955145</f>
        <v>0.16541664134200471</v>
      </c>
    </row>
    <row r="1251" spans="1:8" ht="15.75" hidden="1" customHeight="1" x14ac:dyDescent="0.25">
      <c r="A1251" s="20" t="s">
        <v>105</v>
      </c>
      <c r="B1251" s="47" t="s">
        <v>116</v>
      </c>
      <c r="C1251" s="49"/>
      <c r="D1251" s="19" t="s">
        <v>37</v>
      </c>
      <c r="E1251" s="23">
        <v>1</v>
      </c>
      <c r="F1251" s="20">
        <v>0</v>
      </c>
      <c r="G1251" s="24">
        <f>E1251</f>
        <v>1</v>
      </c>
      <c r="H1251" s="20">
        <v>0</v>
      </c>
    </row>
    <row r="1252" spans="1:8" ht="15.75" hidden="1" customHeight="1" x14ac:dyDescent="0.25">
      <c r="A1252" s="20" t="s">
        <v>105</v>
      </c>
      <c r="B1252" s="47" t="s">
        <v>116</v>
      </c>
      <c r="C1252" s="49"/>
      <c r="D1252" s="19" t="s">
        <v>28</v>
      </c>
      <c r="E1252" s="23">
        <v>58</v>
      </c>
      <c r="F1252" s="18">
        <f>E1252* 0.00094876660341556</f>
        <v>5.5028462998102483E-2</v>
      </c>
      <c r="G1252" s="18">
        <f>E1252* 0.999051233396584</f>
        <v>57.944971537001869</v>
      </c>
      <c r="H1252" s="20">
        <v>0</v>
      </c>
    </row>
    <row r="1253" spans="1:8" ht="15.75" hidden="1" customHeight="1" x14ac:dyDescent="0.25">
      <c r="A1253" s="20" t="s">
        <v>105</v>
      </c>
      <c r="B1253" s="47" t="s">
        <v>116</v>
      </c>
      <c r="C1253" s="49"/>
      <c r="D1253" s="19" t="s">
        <v>12</v>
      </c>
      <c r="E1253" s="23">
        <v>1335</v>
      </c>
      <c r="F1253" s="18">
        <f>E1253* 0.843786808009423</f>
        <v>1126.4553886925796</v>
      </c>
      <c r="G1253" s="18">
        <f>E1253* 0.0740675304279545</f>
        <v>98.880153121319253</v>
      </c>
      <c r="H1253" s="18">
        <f>E1253* 0.0820965842167256</f>
        <v>109.59893992932867</v>
      </c>
    </row>
    <row r="1254" spans="1:8" ht="15.75" hidden="1" customHeight="1" x14ac:dyDescent="0.25">
      <c r="A1254" s="20" t="s">
        <v>105</v>
      </c>
      <c r="B1254" s="20"/>
      <c r="C1254" s="20"/>
      <c r="D1254" s="46"/>
      <c r="E1254" s="35"/>
    </row>
    <row r="1255" spans="1:8" ht="15.75" hidden="1" customHeight="1" x14ac:dyDescent="0.25">
      <c r="A1255" s="20" t="s">
        <v>105</v>
      </c>
      <c r="B1255" s="47" t="s">
        <v>117</v>
      </c>
      <c r="C1255" s="12" t="str">
        <f>B1255&amp;"_"&amp;A1255</f>
        <v>Cocapata_Cochabamba</v>
      </c>
      <c r="D1255" s="20"/>
      <c r="E1255" s="48">
        <v>640</v>
      </c>
      <c r="F1255" s="14">
        <f t="shared" ref="F1255:H1255" si="109">SUM(F1256:F1267)</f>
        <v>440.53556753314473</v>
      </c>
      <c r="G1255" s="14">
        <f t="shared" si="109"/>
        <v>182.50316094179084</v>
      </c>
      <c r="H1255" s="14">
        <f t="shared" si="109"/>
        <v>16.874728661163999</v>
      </c>
    </row>
    <row r="1256" spans="1:8" ht="15.75" hidden="1" customHeight="1" x14ac:dyDescent="0.25">
      <c r="A1256" s="20" t="s">
        <v>105</v>
      </c>
      <c r="B1256" s="47" t="s">
        <v>117</v>
      </c>
      <c r="C1256" s="49"/>
      <c r="D1256" s="29" t="s">
        <v>422</v>
      </c>
      <c r="E1256" s="23">
        <v>9</v>
      </c>
      <c r="F1256" s="20">
        <v>0</v>
      </c>
      <c r="G1256" s="24">
        <f>E1256</f>
        <v>9</v>
      </c>
      <c r="H1256" s="20">
        <v>0</v>
      </c>
    </row>
    <row r="1257" spans="1:8" ht="15.75" hidden="1" customHeight="1" x14ac:dyDescent="0.25">
      <c r="A1257" s="20" t="s">
        <v>105</v>
      </c>
      <c r="B1257" s="47" t="s">
        <v>117</v>
      </c>
      <c r="C1257" s="49"/>
      <c r="D1257" s="19" t="s">
        <v>15</v>
      </c>
      <c r="E1257" s="23">
        <v>10</v>
      </c>
      <c r="F1257" s="18">
        <f>E1257* 0.932775698199239</f>
        <v>9.3277569819923905</v>
      </c>
      <c r="G1257" s="18">
        <f>E1257* 0.00808724987291465</f>
        <v>8.0872498729146494E-2</v>
      </c>
      <c r="H1257" s="18">
        <f>E1257* 0.0590600305004852</f>
        <v>0.59060030500485206</v>
      </c>
    </row>
    <row r="1258" spans="1:8" ht="15.75" hidden="1" customHeight="1" x14ac:dyDescent="0.25">
      <c r="A1258" s="20" t="s">
        <v>105</v>
      </c>
      <c r="B1258" s="47" t="s">
        <v>117</v>
      </c>
      <c r="C1258" s="49"/>
      <c r="D1258" s="29" t="s">
        <v>423</v>
      </c>
      <c r="E1258" s="23">
        <v>23</v>
      </c>
      <c r="F1258" s="18">
        <f>E1258* 0.0803212851405623</f>
        <v>1.8473895582329329</v>
      </c>
      <c r="G1258" s="18">
        <f>E1258* 0.913367756741251</f>
        <v>21.007458405048773</v>
      </c>
      <c r="H1258" s="18">
        <f>E1258* 0.0057372346528973</f>
        <v>0.13195639701663792</v>
      </c>
    </row>
    <row r="1259" spans="1:8" ht="15.75" hidden="1" customHeight="1" x14ac:dyDescent="0.25">
      <c r="A1259" s="20" t="s">
        <v>105</v>
      </c>
      <c r="B1259" s="47" t="s">
        <v>117</v>
      </c>
      <c r="C1259" s="49"/>
      <c r="D1259" s="19" t="s">
        <v>11</v>
      </c>
      <c r="E1259" s="23">
        <v>89</v>
      </c>
      <c r="F1259" s="18">
        <f>E1259* 0.150611071171819</f>
        <v>13.40438533429189</v>
      </c>
      <c r="G1259" s="18">
        <f>E1259* 0.847699496764917</f>
        <v>75.445255212077612</v>
      </c>
      <c r="H1259" s="18">
        <f>E1259* 0.00136592379583034</f>
        <v>0.12156721782890026</v>
      </c>
    </row>
    <row r="1260" spans="1:8" ht="15.75" hidden="1" customHeight="1" x14ac:dyDescent="0.25">
      <c r="A1260" s="20" t="s">
        <v>105</v>
      </c>
      <c r="B1260" s="47" t="s">
        <v>117</v>
      </c>
      <c r="C1260" s="49"/>
      <c r="D1260" s="19" t="s">
        <v>17</v>
      </c>
      <c r="E1260" s="23">
        <v>35</v>
      </c>
      <c r="F1260" s="18">
        <f>E1260* 0.840430229624022</f>
        <v>29.415058036840772</v>
      </c>
      <c r="G1260" s="18">
        <f>E1260* 0.0777504415846581</f>
        <v>2.7212654554630338</v>
      </c>
      <c r="H1260" s="18">
        <f>E1260* 0.0817877870300278</f>
        <v>2.862572546050973</v>
      </c>
    </row>
    <row r="1261" spans="1:8" ht="15.75" hidden="1" customHeight="1" x14ac:dyDescent="0.25">
      <c r="A1261" s="20" t="s">
        <v>105</v>
      </c>
      <c r="B1261" s="47" t="s">
        <v>117</v>
      </c>
      <c r="C1261" s="49"/>
      <c r="D1261" s="19" t="s">
        <v>31</v>
      </c>
      <c r="E1261" s="23">
        <v>5</v>
      </c>
      <c r="F1261" s="18">
        <f>E1261* 0.901975683890578</f>
        <v>4.5098784194528898</v>
      </c>
      <c r="G1261" s="18">
        <f>E1261* 0.0364741641337386</f>
        <v>0.18237082066869301</v>
      </c>
      <c r="H1261" s="18">
        <f>E1261* 0.0615501519756839</f>
        <v>0.30775075987841949</v>
      </c>
    </row>
    <row r="1262" spans="1:8" ht="15.75" hidden="1" customHeight="1" x14ac:dyDescent="0.25">
      <c r="A1262" s="20" t="s">
        <v>105</v>
      </c>
      <c r="B1262" s="47" t="s">
        <v>117</v>
      </c>
      <c r="C1262" s="49"/>
      <c r="D1262" s="19" t="s">
        <v>18</v>
      </c>
      <c r="E1262" s="23">
        <v>9</v>
      </c>
      <c r="F1262" s="18">
        <f>E1262* 0.932934264493959</f>
        <v>8.3964083804456315</v>
      </c>
      <c r="G1262" s="18">
        <f>E1262* 0.0585300964416362</f>
        <v>0.52677086797472572</v>
      </c>
      <c r="H1262" s="18">
        <f>E1262* 0.00853563906440528</f>
        <v>7.6820751579647531E-2</v>
      </c>
    </row>
    <row r="1263" spans="1:8" ht="15.75" hidden="1" customHeight="1" x14ac:dyDescent="0.25">
      <c r="A1263" s="20" t="s">
        <v>105</v>
      </c>
      <c r="B1263" s="47" t="s">
        <v>117</v>
      </c>
      <c r="C1263" s="49"/>
      <c r="D1263" s="19" t="s">
        <v>19</v>
      </c>
      <c r="E1263" s="23">
        <v>12</v>
      </c>
      <c r="F1263" s="18">
        <f>E1263* 0.290681971640783</f>
        <v>3.4881836596893963</v>
      </c>
      <c r="G1263" s="18">
        <f>E1263* 0.694125590817016</f>
        <v>8.3295070898041921</v>
      </c>
      <c r="H1263" s="18">
        <f>E1263* 0.0151924375422012</f>
        <v>0.18230925050641439</v>
      </c>
    </row>
    <row r="1264" spans="1:8" ht="15.75" hidden="1" customHeight="1" x14ac:dyDescent="0.25">
      <c r="A1264" s="20" t="s">
        <v>105</v>
      </c>
      <c r="B1264" s="47" t="s">
        <v>117</v>
      </c>
      <c r="C1264" s="49"/>
      <c r="D1264" s="19" t="s">
        <v>20</v>
      </c>
      <c r="E1264" s="23">
        <v>65</v>
      </c>
      <c r="F1264" s="18">
        <f>E1264* 0.686268801552644</f>
        <v>44.607472100921861</v>
      </c>
      <c r="G1264" s="18">
        <f>E1264* 0.196991751576904</f>
        <v>12.80446385249876</v>
      </c>
      <c r="H1264" s="18">
        <f>E1264* 0.116642406598738</f>
        <v>7.58175642891797</v>
      </c>
    </row>
    <row r="1265" spans="1:8" ht="15.75" hidden="1" customHeight="1" x14ac:dyDescent="0.25">
      <c r="A1265" s="20" t="s">
        <v>105</v>
      </c>
      <c r="B1265" s="47" t="s">
        <v>117</v>
      </c>
      <c r="C1265" s="49"/>
      <c r="D1265" s="19" t="s">
        <v>21</v>
      </c>
      <c r="E1265" s="23">
        <v>275</v>
      </c>
      <c r="F1265" s="18">
        <f>E1265* 0.999513766486355</f>
        <v>274.86628578374763</v>
      </c>
      <c r="G1265" s="18">
        <f>E1265* 0.0000243116756822464</f>
        <v>6.6857108126177596E-3</v>
      </c>
      <c r="H1265" s="18">
        <f>E1265* 0.00034036345955145</f>
        <v>9.3599951376648755E-2</v>
      </c>
    </row>
    <row r="1266" spans="1:8" ht="15.75" hidden="1" customHeight="1" x14ac:dyDescent="0.25">
      <c r="A1266" s="20" t="s">
        <v>105</v>
      </c>
      <c r="B1266" s="47" t="s">
        <v>117</v>
      </c>
      <c r="C1266" s="49"/>
      <c r="D1266" s="19" t="s">
        <v>28</v>
      </c>
      <c r="E1266" s="23">
        <v>48</v>
      </c>
      <c r="F1266" s="18">
        <f>E1266* 0.00094876660341556</f>
        <v>4.5540796963946882E-2</v>
      </c>
      <c r="G1266" s="18">
        <f>E1266* 0.999051233396584</f>
        <v>47.954459203036031</v>
      </c>
      <c r="H1266" s="20">
        <v>0</v>
      </c>
    </row>
    <row r="1267" spans="1:8" ht="15.75" hidden="1" customHeight="1" x14ac:dyDescent="0.25">
      <c r="A1267" s="20" t="s">
        <v>105</v>
      </c>
      <c r="B1267" s="47" t="s">
        <v>117</v>
      </c>
      <c r="C1267" s="49"/>
      <c r="D1267" s="19" t="s">
        <v>12</v>
      </c>
      <c r="E1267" s="23">
        <v>60</v>
      </c>
      <c r="F1267" s="18">
        <f>E1267* 0.843786808009423</f>
        <v>50.627208480565379</v>
      </c>
      <c r="G1267" s="18">
        <f>E1267* 0.0740675304279545</f>
        <v>4.4440518256772696</v>
      </c>
      <c r="H1267" s="18">
        <f>E1267* 0.0820965842167256</f>
        <v>4.9257950530035357</v>
      </c>
    </row>
    <row r="1268" spans="1:8" ht="15.75" hidden="1" customHeight="1" x14ac:dyDescent="0.25">
      <c r="A1268" s="20" t="s">
        <v>105</v>
      </c>
      <c r="B1268" s="20"/>
      <c r="C1268" s="20"/>
      <c r="D1268" s="46"/>
      <c r="E1268" s="35"/>
    </row>
    <row r="1269" spans="1:8" ht="15.75" hidden="1" customHeight="1" x14ac:dyDescent="0.25">
      <c r="A1269" s="20" t="s">
        <v>105</v>
      </c>
      <c r="B1269" s="47" t="s">
        <v>105</v>
      </c>
      <c r="C1269" s="12" t="str">
        <f>B1269&amp;"_"&amp;A1269</f>
        <v>Cochabamba_Cochabamba</v>
      </c>
      <c r="D1269" s="20"/>
      <c r="E1269" s="48">
        <v>305332</v>
      </c>
      <c r="F1269" s="14">
        <f t="shared" ref="F1269:H1269" si="110">SUM(F1270:F1285)</f>
        <v>274949.60175014148</v>
      </c>
      <c r="G1269" s="14">
        <f t="shared" si="110"/>
        <v>18685.128377896704</v>
      </c>
      <c r="H1269" s="14">
        <f t="shared" si="110"/>
        <v>11669.078940284511</v>
      </c>
    </row>
    <row r="1270" spans="1:8" ht="15.75" hidden="1" customHeight="1" x14ac:dyDescent="0.25">
      <c r="A1270" s="20" t="s">
        <v>105</v>
      </c>
      <c r="B1270" s="47" t="s">
        <v>105</v>
      </c>
      <c r="C1270" s="49"/>
      <c r="D1270" s="29" t="s">
        <v>424</v>
      </c>
      <c r="E1270" s="23">
        <v>75</v>
      </c>
      <c r="F1270" s="20">
        <v>0</v>
      </c>
      <c r="G1270" s="24">
        <f>E1270</f>
        <v>75</v>
      </c>
      <c r="H1270" s="20">
        <v>0</v>
      </c>
    </row>
    <row r="1271" spans="1:8" ht="15.75" hidden="1" customHeight="1" x14ac:dyDescent="0.25">
      <c r="A1271" s="20" t="s">
        <v>105</v>
      </c>
      <c r="B1271" s="47" t="s">
        <v>105</v>
      </c>
      <c r="C1271" s="49"/>
      <c r="D1271" s="19" t="s">
        <v>15</v>
      </c>
      <c r="E1271" s="23">
        <v>54591</v>
      </c>
      <c r="F1271" s="18">
        <f>E1271* 0.932775698199239</f>
        <v>50921.158140394655</v>
      </c>
      <c r="G1271" s="18">
        <f>E1271* 0.00808724987291465</f>
        <v>441.49105781228366</v>
      </c>
      <c r="H1271" s="18">
        <f>E1271* 0.0590600305004852</f>
        <v>3224.1461250519878</v>
      </c>
    </row>
    <row r="1272" spans="1:8" ht="15.75" hidden="1" customHeight="1" x14ac:dyDescent="0.25">
      <c r="A1272" s="20" t="s">
        <v>105</v>
      </c>
      <c r="B1272" s="47" t="s">
        <v>105</v>
      </c>
      <c r="C1272" s="49"/>
      <c r="D1272" s="29" t="s">
        <v>425</v>
      </c>
      <c r="E1272" s="23">
        <v>587</v>
      </c>
      <c r="F1272" s="18">
        <f>E1272* 0.0803212851405623</f>
        <v>47.148594377510072</v>
      </c>
      <c r="G1272" s="18">
        <f>E1272* 0.913367756741251</f>
        <v>536.14687320711437</v>
      </c>
      <c r="H1272" s="18">
        <f>E1272* 0.0057372346528973</f>
        <v>3.3677567412507154</v>
      </c>
    </row>
    <row r="1273" spans="1:8" ht="15.75" hidden="1" customHeight="1" x14ac:dyDescent="0.25">
      <c r="A1273" s="20" t="s">
        <v>105</v>
      </c>
      <c r="B1273" s="47" t="s">
        <v>105</v>
      </c>
      <c r="C1273" s="49"/>
      <c r="D1273" s="19" t="s">
        <v>11</v>
      </c>
      <c r="E1273" s="23">
        <v>9265</v>
      </c>
      <c r="F1273" s="18">
        <f>E1273* 0.150611071171819</f>
        <v>1395.4115744069029</v>
      </c>
      <c r="G1273" s="18">
        <f>E1273* 0.847699496764917</f>
        <v>7853.9358375269558</v>
      </c>
      <c r="H1273" s="18">
        <f>E1273* 0.00136592379583034</f>
        <v>12.655283968368099</v>
      </c>
    </row>
    <row r="1274" spans="1:8" ht="15.75" hidden="1" customHeight="1" x14ac:dyDescent="0.25">
      <c r="A1274" s="20" t="s">
        <v>105</v>
      </c>
      <c r="B1274" s="47" t="s">
        <v>105</v>
      </c>
      <c r="C1274" s="49"/>
      <c r="D1274" s="19" t="s">
        <v>17</v>
      </c>
      <c r="E1274" s="23">
        <v>24701</v>
      </c>
      <c r="F1274" s="18">
        <f>E1274* 0.840430229624022</f>
        <v>20759.46710194297</v>
      </c>
      <c r="G1274" s="18">
        <f>E1274* 0.0777504415846581</f>
        <v>1920.5136575826398</v>
      </c>
      <c r="H1274" s="18">
        <f>E1274* 0.0817877870300278</f>
        <v>2020.2401274287167</v>
      </c>
    </row>
    <row r="1275" spans="1:8" ht="15.75" hidden="1" customHeight="1" x14ac:dyDescent="0.25">
      <c r="A1275" s="20" t="s">
        <v>105</v>
      </c>
      <c r="B1275" s="47" t="s">
        <v>105</v>
      </c>
      <c r="C1275" s="49"/>
      <c r="D1275" s="19" t="s">
        <v>31</v>
      </c>
      <c r="E1275" s="23">
        <v>1505</v>
      </c>
      <c r="F1275" s="18">
        <f>E1275* 0.901975683890578</f>
        <v>1357.47340425532</v>
      </c>
      <c r="G1275" s="18">
        <f>E1275* 0.0364741641337386</f>
        <v>54.89361702127659</v>
      </c>
      <c r="H1275" s="18">
        <f>E1275* 0.0615501519756839</f>
        <v>92.632978723404264</v>
      </c>
    </row>
    <row r="1276" spans="1:8" ht="15.75" hidden="1" customHeight="1" x14ac:dyDescent="0.25">
      <c r="A1276" s="20" t="s">
        <v>105</v>
      </c>
      <c r="B1276" s="47" t="s">
        <v>105</v>
      </c>
      <c r="C1276" s="49"/>
      <c r="D1276" s="19" t="s">
        <v>18</v>
      </c>
      <c r="E1276" s="23">
        <v>6764</v>
      </c>
      <c r="F1276" s="18">
        <f>E1276* 0.932934264493959</f>
        <v>6310.3673650371384</v>
      </c>
      <c r="G1276" s="18">
        <f>E1276* 0.0585300964416362</f>
        <v>395.89757233122725</v>
      </c>
      <c r="H1276" s="18">
        <f>E1276* 0.00853563906440528</f>
        <v>57.735062631637319</v>
      </c>
    </row>
    <row r="1277" spans="1:8" ht="15.75" hidden="1" customHeight="1" x14ac:dyDescent="0.25">
      <c r="A1277" s="20" t="s">
        <v>105</v>
      </c>
      <c r="B1277" s="47" t="s">
        <v>105</v>
      </c>
      <c r="C1277" s="49"/>
      <c r="D1277" s="29" t="s">
        <v>426</v>
      </c>
      <c r="E1277" s="23">
        <v>16</v>
      </c>
      <c r="F1277" s="20">
        <v>0</v>
      </c>
      <c r="G1277" s="24">
        <f>E1277</f>
        <v>16</v>
      </c>
      <c r="H1277" s="20">
        <v>0</v>
      </c>
    </row>
    <row r="1278" spans="1:8" ht="15.75" hidden="1" customHeight="1" x14ac:dyDescent="0.25">
      <c r="A1278" s="20" t="s">
        <v>105</v>
      </c>
      <c r="B1278" s="47" t="s">
        <v>105</v>
      </c>
      <c r="C1278" s="49"/>
      <c r="D1278" s="19" t="s">
        <v>19</v>
      </c>
      <c r="E1278" s="23">
        <v>1144</v>
      </c>
      <c r="F1278" s="18">
        <f>E1278* 0.290681971640783</f>
        <v>332.54017555705576</v>
      </c>
      <c r="G1278" s="18">
        <f>E1278* 0.694125590817016</f>
        <v>794.07967589466625</v>
      </c>
      <c r="H1278" s="18">
        <f>E1278* 0.0151924375422012</f>
        <v>17.380148548278171</v>
      </c>
    </row>
    <row r="1279" spans="1:8" ht="15.75" hidden="1" customHeight="1" x14ac:dyDescent="0.25">
      <c r="A1279" s="20" t="s">
        <v>105</v>
      </c>
      <c r="B1279" s="47" t="s">
        <v>105</v>
      </c>
      <c r="C1279" s="49"/>
      <c r="D1279" s="19" t="s">
        <v>20</v>
      </c>
      <c r="E1279" s="23">
        <v>4158</v>
      </c>
      <c r="F1279" s="18">
        <f>E1279* 0.686268801552644</f>
        <v>2853.5056768558939</v>
      </c>
      <c r="G1279" s="18">
        <f>E1279* 0.196991751576904</f>
        <v>819.09170305676673</v>
      </c>
      <c r="H1279" s="18">
        <f>E1279* 0.116642406598738</f>
        <v>484.99912663755259</v>
      </c>
    </row>
    <row r="1280" spans="1:8" ht="15.75" hidden="1" customHeight="1" x14ac:dyDescent="0.25">
      <c r="A1280" s="20" t="s">
        <v>105</v>
      </c>
      <c r="B1280" s="47" t="s">
        <v>105</v>
      </c>
      <c r="C1280" s="49"/>
      <c r="D1280" s="19" t="s">
        <v>21</v>
      </c>
      <c r="E1280" s="23">
        <v>132081</v>
      </c>
      <c r="F1280" s="18">
        <f>E1280* 0.999513766486355</f>
        <v>132016.77779128426</v>
      </c>
      <c r="G1280" s="18">
        <f>E1280* 0.0000243116756822464</f>
        <v>3.2111104357867868</v>
      </c>
      <c r="H1280" s="18">
        <f>E1280* 0.00034036345955145</f>
        <v>44.955546101015067</v>
      </c>
    </row>
    <row r="1281" spans="1:8" ht="15.75" hidden="1" customHeight="1" x14ac:dyDescent="0.25">
      <c r="A1281" s="20" t="s">
        <v>105</v>
      </c>
      <c r="B1281" s="47" t="s">
        <v>105</v>
      </c>
      <c r="C1281" s="49"/>
      <c r="D1281" s="19" t="s">
        <v>36</v>
      </c>
      <c r="E1281" s="23">
        <v>258</v>
      </c>
      <c r="F1281" s="24">
        <f>E1281</f>
        <v>258</v>
      </c>
      <c r="G1281" s="20">
        <v>0</v>
      </c>
      <c r="H1281" s="20">
        <v>0</v>
      </c>
    </row>
    <row r="1282" spans="1:8" ht="15.75" hidden="1" customHeight="1" x14ac:dyDescent="0.25">
      <c r="A1282" s="20" t="s">
        <v>105</v>
      </c>
      <c r="B1282" s="47" t="s">
        <v>105</v>
      </c>
      <c r="C1282" s="49"/>
      <c r="D1282" s="19" t="s">
        <v>37</v>
      </c>
      <c r="E1282" s="23">
        <v>13</v>
      </c>
      <c r="F1282" s="20">
        <v>0</v>
      </c>
      <c r="G1282" s="24">
        <f>E1282</f>
        <v>13</v>
      </c>
      <c r="H1282" s="20">
        <v>0</v>
      </c>
    </row>
    <row r="1283" spans="1:8" ht="15.75" hidden="1" customHeight="1" x14ac:dyDescent="0.25">
      <c r="A1283" s="20" t="s">
        <v>105</v>
      </c>
      <c r="B1283" s="47" t="s">
        <v>105</v>
      </c>
      <c r="C1283" s="49"/>
      <c r="D1283" s="19" t="s">
        <v>28</v>
      </c>
      <c r="E1283" s="23">
        <v>597</v>
      </c>
      <c r="F1283" s="18">
        <f>E1283* 0.00094876660341556</f>
        <v>0.56641366223908929</v>
      </c>
      <c r="G1283" s="18">
        <f>E1283* 0.999051233396584</f>
        <v>596.43358633776063</v>
      </c>
      <c r="H1283" s="20">
        <v>0</v>
      </c>
    </row>
    <row r="1284" spans="1:8" ht="15.75" hidden="1" customHeight="1" x14ac:dyDescent="0.25">
      <c r="A1284" s="20" t="s">
        <v>105</v>
      </c>
      <c r="B1284" s="47" t="s">
        <v>105</v>
      </c>
      <c r="C1284" s="49"/>
      <c r="D1284" s="19" t="s">
        <v>84</v>
      </c>
      <c r="E1284" s="23">
        <v>13</v>
      </c>
      <c r="F1284" s="20">
        <v>0</v>
      </c>
      <c r="G1284" s="24">
        <f>E1284</f>
        <v>13</v>
      </c>
      <c r="H1284" s="20">
        <v>0</v>
      </c>
    </row>
    <row r="1285" spans="1:8" ht="15.75" hidden="1" customHeight="1" x14ac:dyDescent="0.25">
      <c r="A1285" s="20" t="s">
        <v>105</v>
      </c>
      <c r="B1285" s="47" t="s">
        <v>105</v>
      </c>
      <c r="C1285" s="49"/>
      <c r="D1285" s="19" t="s">
        <v>12</v>
      </c>
      <c r="E1285" s="23">
        <v>69564</v>
      </c>
      <c r="F1285" s="18">
        <f>E1285* 0.843786808009423</f>
        <v>58697.185512367498</v>
      </c>
      <c r="G1285" s="18">
        <f>E1285* 0.0740675304279545</f>
        <v>5152.4336866902268</v>
      </c>
      <c r="H1285" s="18">
        <f>E1285* 0.0820965842167256</f>
        <v>5710.9667844522992</v>
      </c>
    </row>
    <row r="1286" spans="1:8" ht="15.75" hidden="1" customHeight="1" x14ac:dyDescent="0.25">
      <c r="A1286" s="20" t="s">
        <v>105</v>
      </c>
      <c r="B1286" s="20"/>
      <c r="C1286" s="20"/>
      <c r="D1286" s="46"/>
      <c r="E1286" s="35"/>
    </row>
    <row r="1287" spans="1:8" ht="15.75" hidden="1" customHeight="1" x14ac:dyDescent="0.25">
      <c r="A1287" s="20" t="s">
        <v>105</v>
      </c>
      <c r="B1287" s="47" t="s">
        <v>118</v>
      </c>
      <c r="C1287" s="12" t="str">
        <f>B1287&amp;"_"&amp;A1287</f>
        <v>Colcapirhua_Cochabamba</v>
      </c>
      <c r="D1287" s="20"/>
      <c r="E1287" s="48">
        <v>13085</v>
      </c>
      <c r="F1287" s="14">
        <f t="shared" ref="F1287:H1287" si="111">SUM(F1288:F1302)</f>
        <v>9872.5352214034319</v>
      </c>
      <c r="G1287" s="14">
        <f t="shared" si="111"/>
        <v>2462.9351893981752</v>
      </c>
      <c r="H1287" s="14">
        <f t="shared" si="111"/>
        <v>748.24179461166193</v>
      </c>
    </row>
    <row r="1288" spans="1:8" ht="15.75" hidden="1" customHeight="1" x14ac:dyDescent="0.25">
      <c r="A1288" s="20" t="s">
        <v>105</v>
      </c>
      <c r="B1288" s="47" t="s">
        <v>118</v>
      </c>
      <c r="C1288" s="49"/>
      <c r="D1288" s="29" t="s">
        <v>427</v>
      </c>
      <c r="E1288" s="23">
        <v>5</v>
      </c>
      <c r="F1288" s="20">
        <v>0</v>
      </c>
      <c r="G1288" s="24">
        <f>E1288</f>
        <v>5</v>
      </c>
      <c r="H1288" s="20">
        <v>0</v>
      </c>
    </row>
    <row r="1289" spans="1:8" ht="15.75" hidden="1" customHeight="1" x14ac:dyDescent="0.25">
      <c r="A1289" s="20" t="s">
        <v>105</v>
      </c>
      <c r="B1289" s="47" t="s">
        <v>118</v>
      </c>
      <c r="C1289" s="49"/>
      <c r="D1289" s="19" t="s">
        <v>15</v>
      </c>
      <c r="E1289" s="23">
        <v>1795</v>
      </c>
      <c r="F1289" s="18">
        <f>E1289* 0.932775698199239</f>
        <v>1674.3323782676341</v>
      </c>
      <c r="G1289" s="18">
        <f>E1289* 0.00808724987291465</f>
        <v>14.516613521881796</v>
      </c>
      <c r="H1289" s="18">
        <f>E1289* 0.0590600305004852</f>
        <v>106.01275474837094</v>
      </c>
    </row>
    <row r="1290" spans="1:8" ht="15.75" hidden="1" customHeight="1" x14ac:dyDescent="0.25">
      <c r="A1290" s="20" t="s">
        <v>105</v>
      </c>
      <c r="B1290" s="47" t="s">
        <v>118</v>
      </c>
      <c r="C1290" s="49"/>
      <c r="D1290" s="29" t="s">
        <v>428</v>
      </c>
      <c r="E1290" s="23">
        <v>38</v>
      </c>
      <c r="F1290" s="18">
        <f>E1290* 0.0803212851405623</f>
        <v>3.0522088353413674</v>
      </c>
      <c r="G1290" s="18">
        <f>E1290* 0.913367756741251</f>
        <v>34.707974756167538</v>
      </c>
      <c r="H1290" s="18">
        <f>E1290* 0.0057372346528973</f>
        <v>0.21801491681009741</v>
      </c>
    </row>
    <row r="1291" spans="1:8" ht="15.75" hidden="1" customHeight="1" x14ac:dyDescent="0.25">
      <c r="A1291" s="20" t="s">
        <v>105</v>
      </c>
      <c r="B1291" s="47" t="s">
        <v>118</v>
      </c>
      <c r="C1291" s="49"/>
      <c r="D1291" s="19" t="s">
        <v>11</v>
      </c>
      <c r="E1291" s="23">
        <v>1455</v>
      </c>
      <c r="F1291" s="18">
        <f>E1291* 0.150611071171819</f>
        <v>219.13910855499662</v>
      </c>
      <c r="G1291" s="18">
        <f>E1291* 0.847699496764917</f>
        <v>1233.4027677929541</v>
      </c>
      <c r="H1291" s="18">
        <f>E1291* 0.00136592379583034</f>
        <v>1.9874191229331446</v>
      </c>
    </row>
    <row r="1292" spans="1:8" ht="15.75" hidden="1" customHeight="1" x14ac:dyDescent="0.25">
      <c r="A1292" s="20" t="s">
        <v>105</v>
      </c>
      <c r="B1292" s="47" t="s">
        <v>118</v>
      </c>
      <c r="C1292" s="49"/>
      <c r="D1292" s="19" t="s">
        <v>17</v>
      </c>
      <c r="E1292" s="23">
        <v>1415</v>
      </c>
      <c r="F1292" s="18">
        <f>E1292* 0.840430229624022</f>
        <v>1189.2087749179911</v>
      </c>
      <c r="G1292" s="18">
        <f>E1292* 0.0777504415846581</f>
        <v>110.01687484229122</v>
      </c>
      <c r="H1292" s="18">
        <f>E1292* 0.0817877870300278</f>
        <v>115.72971864748934</v>
      </c>
    </row>
    <row r="1293" spans="1:8" ht="15.75" hidden="1" customHeight="1" x14ac:dyDescent="0.25">
      <c r="A1293" s="20" t="s">
        <v>105</v>
      </c>
      <c r="B1293" s="47" t="s">
        <v>118</v>
      </c>
      <c r="C1293" s="49"/>
      <c r="D1293" s="19" t="s">
        <v>31</v>
      </c>
      <c r="E1293" s="23">
        <v>97</v>
      </c>
      <c r="F1293" s="18">
        <f>E1293* 0.901975683890578</f>
        <v>87.491641337386071</v>
      </c>
      <c r="G1293" s="18">
        <f>E1293* 0.0364741641337386</f>
        <v>3.5379939209726441</v>
      </c>
      <c r="H1293" s="18">
        <f>E1293* 0.0615501519756839</f>
        <v>5.9703647416413386</v>
      </c>
    </row>
    <row r="1294" spans="1:8" ht="15.75" hidden="1" customHeight="1" x14ac:dyDescent="0.25">
      <c r="A1294" s="20" t="s">
        <v>105</v>
      </c>
      <c r="B1294" s="47" t="s">
        <v>118</v>
      </c>
      <c r="C1294" s="49"/>
      <c r="D1294" s="19" t="s">
        <v>18</v>
      </c>
      <c r="E1294" s="23">
        <v>225</v>
      </c>
      <c r="F1294" s="18">
        <f>E1294* 0.932934264493959</f>
        <v>209.91020951114078</v>
      </c>
      <c r="G1294" s="18">
        <f>E1294* 0.0585300964416362</f>
        <v>13.169271699368144</v>
      </c>
      <c r="H1294" s="18">
        <f>E1294* 0.00853563906440528</f>
        <v>1.9205187894911881</v>
      </c>
    </row>
    <row r="1295" spans="1:8" ht="15.75" hidden="1" customHeight="1" x14ac:dyDescent="0.25">
      <c r="A1295" s="20" t="s">
        <v>105</v>
      </c>
      <c r="B1295" s="47" t="s">
        <v>118</v>
      </c>
      <c r="C1295" s="49"/>
      <c r="D1295" s="29" t="s">
        <v>429</v>
      </c>
      <c r="E1295" s="23">
        <v>6</v>
      </c>
      <c r="F1295" s="20">
        <v>0</v>
      </c>
      <c r="G1295" s="24">
        <f>E1295</f>
        <v>6</v>
      </c>
      <c r="H1295" s="20">
        <v>0</v>
      </c>
    </row>
    <row r="1296" spans="1:8" ht="15.75" hidden="1" customHeight="1" x14ac:dyDescent="0.25">
      <c r="A1296" s="20" t="s">
        <v>105</v>
      </c>
      <c r="B1296" s="47" t="s">
        <v>118</v>
      </c>
      <c r="C1296" s="49"/>
      <c r="D1296" s="19" t="s">
        <v>19</v>
      </c>
      <c r="E1296" s="23">
        <v>64</v>
      </c>
      <c r="F1296" s="18">
        <f>E1296* 0.290681971640783</f>
        <v>18.603646185010113</v>
      </c>
      <c r="G1296" s="18">
        <f>E1296* 0.694125590817016</f>
        <v>44.424037812289022</v>
      </c>
      <c r="H1296" s="18">
        <f>E1296* 0.0151924375422012</f>
        <v>0.97231600270087681</v>
      </c>
    </row>
    <row r="1297" spans="1:8" ht="15.75" hidden="1" customHeight="1" x14ac:dyDescent="0.25">
      <c r="A1297" s="20" t="s">
        <v>105</v>
      </c>
      <c r="B1297" s="47" t="s">
        <v>118</v>
      </c>
      <c r="C1297" s="49"/>
      <c r="D1297" s="19" t="s">
        <v>20</v>
      </c>
      <c r="E1297" s="23">
        <v>1810</v>
      </c>
      <c r="F1297" s="18">
        <f>E1297* 0.686268801552644</f>
        <v>1242.1465308102856</v>
      </c>
      <c r="G1297" s="18">
        <f>E1297* 0.196991751576904</f>
        <v>356.55507035419623</v>
      </c>
      <c r="H1297" s="18">
        <f>E1297* 0.116642406598738</f>
        <v>211.12275594371576</v>
      </c>
    </row>
    <row r="1298" spans="1:8" ht="15.75" hidden="1" customHeight="1" x14ac:dyDescent="0.25">
      <c r="A1298" s="20" t="s">
        <v>105</v>
      </c>
      <c r="B1298" s="47" t="s">
        <v>118</v>
      </c>
      <c r="C1298" s="49"/>
      <c r="D1298" s="19" t="s">
        <v>21</v>
      </c>
      <c r="E1298" s="23">
        <v>2100</v>
      </c>
      <c r="F1298" s="18">
        <f>E1298* 0.999513766486355</f>
        <v>2098.9789096213458</v>
      </c>
      <c r="G1298" s="18">
        <f>E1298* 0.0000243116756822464</f>
        <v>5.1054518932717438E-2</v>
      </c>
      <c r="H1298" s="18">
        <f>E1298* 0.00034036345955145</f>
        <v>0.71476326505804499</v>
      </c>
    </row>
    <row r="1299" spans="1:8" ht="15.75" hidden="1" customHeight="1" x14ac:dyDescent="0.25">
      <c r="A1299" s="20" t="s">
        <v>105</v>
      </c>
      <c r="B1299" s="47" t="s">
        <v>118</v>
      </c>
      <c r="C1299" s="49"/>
      <c r="D1299" s="19" t="s">
        <v>36</v>
      </c>
      <c r="E1299" s="23">
        <v>9</v>
      </c>
      <c r="F1299" s="24">
        <f>E1299</f>
        <v>9</v>
      </c>
      <c r="G1299" s="20">
        <v>0</v>
      </c>
      <c r="H1299" s="20">
        <v>0</v>
      </c>
    </row>
    <row r="1300" spans="1:8" ht="15.75" hidden="1" customHeight="1" x14ac:dyDescent="0.25">
      <c r="A1300" s="20" t="s">
        <v>105</v>
      </c>
      <c r="B1300" s="47" t="s">
        <v>118</v>
      </c>
      <c r="C1300" s="49"/>
      <c r="D1300" s="19" t="s">
        <v>37</v>
      </c>
      <c r="E1300" s="23">
        <v>1</v>
      </c>
      <c r="F1300" s="20">
        <v>0</v>
      </c>
      <c r="G1300" s="24">
        <f>E1300</f>
        <v>1</v>
      </c>
      <c r="H1300" s="20">
        <v>0</v>
      </c>
    </row>
    <row r="1301" spans="1:8" ht="15.75" hidden="1" customHeight="1" x14ac:dyDescent="0.25">
      <c r="A1301" s="20" t="s">
        <v>105</v>
      </c>
      <c r="B1301" s="47" t="s">
        <v>118</v>
      </c>
      <c r="C1301" s="49"/>
      <c r="D1301" s="19" t="s">
        <v>28</v>
      </c>
      <c r="E1301" s="23">
        <v>367</v>
      </c>
      <c r="F1301" s="18">
        <f>E1301* 0.00094876660341556</f>
        <v>0.3481973434535105</v>
      </c>
      <c r="G1301" s="18">
        <f>E1301* 0.999051233396584</f>
        <v>366.65180265654629</v>
      </c>
      <c r="H1301" s="20">
        <v>0</v>
      </c>
    </row>
    <row r="1302" spans="1:8" ht="15.75" hidden="1" customHeight="1" x14ac:dyDescent="0.25">
      <c r="A1302" s="20" t="s">
        <v>105</v>
      </c>
      <c r="B1302" s="47" t="s">
        <v>118</v>
      </c>
      <c r="C1302" s="49"/>
      <c r="D1302" s="19" t="s">
        <v>12</v>
      </c>
      <c r="E1302" s="23">
        <v>3698</v>
      </c>
      <c r="F1302" s="18">
        <f>E1302* 0.843786808009423</f>
        <v>3120.3236160188462</v>
      </c>
      <c r="G1302" s="18">
        <f>E1302* 0.0740675304279545</f>
        <v>273.90172752257575</v>
      </c>
      <c r="H1302" s="18">
        <f>E1302* 0.0820965842167256</f>
        <v>303.59316843345124</v>
      </c>
    </row>
    <row r="1303" spans="1:8" ht="15.75" hidden="1" customHeight="1" x14ac:dyDescent="0.25">
      <c r="A1303" s="20" t="s">
        <v>105</v>
      </c>
      <c r="B1303" s="20"/>
      <c r="C1303" s="20"/>
      <c r="D1303" s="46"/>
      <c r="E1303" s="35"/>
    </row>
    <row r="1304" spans="1:8" ht="15.75" hidden="1" customHeight="1" x14ac:dyDescent="0.25">
      <c r="A1304" s="20" t="s">
        <v>105</v>
      </c>
      <c r="B1304" s="47" t="s">
        <v>119</v>
      </c>
      <c r="C1304" s="12" t="str">
        <f>B1304&amp;"_"&amp;A1304</f>
        <v>Colomi_Cochabamba</v>
      </c>
      <c r="D1304" s="20"/>
      <c r="E1304" s="48">
        <v>1332</v>
      </c>
      <c r="F1304" s="14">
        <f t="shared" ref="F1304:H1304" si="112">SUM(F1305:F1317)</f>
        <v>1055.9730546848166</v>
      </c>
      <c r="G1304" s="14">
        <f t="shared" si="112"/>
        <v>231.85038324658319</v>
      </c>
      <c r="H1304" s="14">
        <f t="shared" si="112"/>
        <v>44.017066050109435</v>
      </c>
    </row>
    <row r="1305" spans="1:8" ht="15.75" hidden="1" customHeight="1" x14ac:dyDescent="0.25">
      <c r="A1305" s="20" t="s">
        <v>105</v>
      </c>
      <c r="B1305" s="47" t="s">
        <v>119</v>
      </c>
      <c r="C1305" s="49"/>
      <c r="D1305" s="29" t="s">
        <v>430</v>
      </c>
      <c r="E1305" s="23">
        <v>0</v>
      </c>
      <c r="F1305" s="20">
        <v>0</v>
      </c>
      <c r="G1305" s="24">
        <f>E1305</f>
        <v>0</v>
      </c>
      <c r="H1305" s="20">
        <v>0</v>
      </c>
    </row>
    <row r="1306" spans="1:8" ht="15.75" hidden="1" customHeight="1" x14ac:dyDescent="0.25">
      <c r="A1306" s="20" t="s">
        <v>105</v>
      </c>
      <c r="B1306" s="47" t="s">
        <v>119</v>
      </c>
      <c r="C1306" s="49"/>
      <c r="D1306" s="19" t="s">
        <v>15</v>
      </c>
      <c r="E1306" s="23">
        <v>102</v>
      </c>
      <c r="F1306" s="18">
        <f>E1306* 0.932775698199239</f>
        <v>95.143121216322385</v>
      </c>
      <c r="G1306" s="18">
        <f>E1306* 0.00808724987291465</f>
        <v>0.82489948703729432</v>
      </c>
      <c r="H1306" s="18">
        <f>E1306* 0.0590600305004852</f>
        <v>6.0241231110494908</v>
      </c>
    </row>
    <row r="1307" spans="1:8" ht="15.75" hidden="1" customHeight="1" x14ac:dyDescent="0.25">
      <c r="A1307" s="20" t="s">
        <v>105</v>
      </c>
      <c r="B1307" s="47" t="s">
        <v>119</v>
      </c>
      <c r="C1307" s="49"/>
      <c r="D1307" s="29" t="s">
        <v>431</v>
      </c>
      <c r="E1307" s="23">
        <v>4</v>
      </c>
      <c r="F1307" s="18">
        <f>E1307* 0.0803212851405623</f>
        <v>0.32128514056224922</v>
      </c>
      <c r="G1307" s="18">
        <f>E1307* 0.913367756741251</f>
        <v>3.6534710269650041</v>
      </c>
      <c r="H1307" s="18">
        <f>E1307* 0.0057372346528973</f>
        <v>2.2948938611589201E-2</v>
      </c>
    </row>
    <row r="1308" spans="1:8" ht="15.75" hidden="1" customHeight="1" x14ac:dyDescent="0.25">
      <c r="A1308" s="20" t="s">
        <v>105</v>
      </c>
      <c r="B1308" s="47" t="s">
        <v>119</v>
      </c>
      <c r="C1308" s="49"/>
      <c r="D1308" s="19" t="s">
        <v>11</v>
      </c>
      <c r="E1308" s="23">
        <v>192</v>
      </c>
      <c r="F1308" s="18">
        <f>E1308* 0.150611071171819</f>
        <v>28.917325664989246</v>
      </c>
      <c r="G1308" s="18">
        <f>E1308* 0.847699496764917</f>
        <v>162.75830337886407</v>
      </c>
      <c r="H1308" s="18">
        <f>E1308* 0.00136592379583034</f>
        <v>0.26225736879942529</v>
      </c>
    </row>
    <row r="1309" spans="1:8" ht="15.75" hidden="1" customHeight="1" x14ac:dyDescent="0.25">
      <c r="A1309" s="20" t="s">
        <v>105</v>
      </c>
      <c r="B1309" s="47" t="s">
        <v>119</v>
      </c>
      <c r="C1309" s="49"/>
      <c r="D1309" s="19" t="s">
        <v>17</v>
      </c>
      <c r="E1309" s="23">
        <v>98</v>
      </c>
      <c r="F1309" s="18">
        <f>E1309* 0.840430229624022</f>
        <v>82.362162503154153</v>
      </c>
      <c r="G1309" s="18">
        <f>E1309* 0.0777504415846581</f>
        <v>7.6195432752964942</v>
      </c>
      <c r="H1309" s="18">
        <f>E1309* 0.0817877870300278</f>
        <v>8.0152031289427246</v>
      </c>
    </row>
    <row r="1310" spans="1:8" ht="15.75" hidden="1" customHeight="1" x14ac:dyDescent="0.25">
      <c r="A1310" s="20" t="s">
        <v>105</v>
      </c>
      <c r="B1310" s="47" t="s">
        <v>119</v>
      </c>
      <c r="C1310" s="49"/>
      <c r="D1310" s="19" t="s">
        <v>31</v>
      </c>
      <c r="E1310" s="23">
        <v>5</v>
      </c>
      <c r="F1310" s="18">
        <f>E1310* 0.901975683890578</f>
        <v>4.5098784194528898</v>
      </c>
      <c r="G1310" s="18">
        <f>E1310* 0.0364741641337386</f>
        <v>0.18237082066869301</v>
      </c>
      <c r="H1310" s="18">
        <f>E1310* 0.0615501519756839</f>
        <v>0.30775075987841949</v>
      </c>
    </row>
    <row r="1311" spans="1:8" ht="15.75" hidden="1" customHeight="1" x14ac:dyDescent="0.25">
      <c r="A1311" s="20" t="s">
        <v>105</v>
      </c>
      <c r="B1311" s="47" t="s">
        <v>119</v>
      </c>
      <c r="C1311" s="49"/>
      <c r="D1311" s="19" t="s">
        <v>18</v>
      </c>
      <c r="E1311" s="23">
        <v>11</v>
      </c>
      <c r="F1311" s="18">
        <f>E1311* 0.932934264493959</f>
        <v>10.262276909433549</v>
      </c>
      <c r="G1311" s="18">
        <f>E1311* 0.0585300964416362</f>
        <v>0.64383106085799813</v>
      </c>
      <c r="H1311" s="18">
        <f>E1311* 0.00853563906440528</f>
        <v>9.3892029708458086E-2</v>
      </c>
    </row>
    <row r="1312" spans="1:8" ht="15.75" hidden="1" customHeight="1" x14ac:dyDescent="0.25">
      <c r="A1312" s="20" t="s">
        <v>105</v>
      </c>
      <c r="B1312" s="47" t="s">
        <v>119</v>
      </c>
      <c r="C1312" s="49"/>
      <c r="D1312" s="19" t="s">
        <v>19</v>
      </c>
      <c r="E1312" s="23">
        <v>6</v>
      </c>
      <c r="F1312" s="18">
        <f>E1312* 0.290681971640783</f>
        <v>1.7440918298446981</v>
      </c>
      <c r="G1312" s="18">
        <f>E1312* 0.694125590817016</f>
        <v>4.164753544902096</v>
      </c>
      <c r="H1312" s="18">
        <f>E1312* 0.0151924375422012</f>
        <v>9.1154625253207194E-2</v>
      </c>
    </row>
    <row r="1313" spans="1:8" ht="15.75" hidden="1" customHeight="1" x14ac:dyDescent="0.25">
      <c r="A1313" s="20" t="s">
        <v>105</v>
      </c>
      <c r="B1313" s="47" t="s">
        <v>119</v>
      </c>
      <c r="C1313" s="49"/>
      <c r="D1313" s="19" t="s">
        <v>20</v>
      </c>
      <c r="E1313" s="23">
        <v>20</v>
      </c>
      <c r="F1313" s="18">
        <f>E1313* 0.686268801552644</f>
        <v>13.72537603105288</v>
      </c>
      <c r="G1313" s="18">
        <f>E1313* 0.196991751576904</f>
        <v>3.9398350315380797</v>
      </c>
      <c r="H1313" s="18">
        <f>E1313* 0.116642406598738</f>
        <v>2.3328481319747598</v>
      </c>
    </row>
    <row r="1314" spans="1:8" ht="15.75" hidden="1" customHeight="1" x14ac:dyDescent="0.25">
      <c r="A1314" s="20" t="s">
        <v>105</v>
      </c>
      <c r="B1314" s="47" t="s">
        <v>119</v>
      </c>
      <c r="C1314" s="49"/>
      <c r="D1314" s="19" t="s">
        <v>21</v>
      </c>
      <c r="E1314" s="23">
        <v>545</v>
      </c>
      <c r="F1314" s="18">
        <f>E1314* 0.999513766486355</f>
        <v>544.73500273506352</v>
      </c>
      <c r="G1314" s="18">
        <f>E1314* 0.0000243116756822464</f>
        <v>1.3249863246824287E-2</v>
      </c>
      <c r="H1314" s="18">
        <f>E1314* 0.00034036345955145</f>
        <v>0.18549808545554025</v>
      </c>
    </row>
    <row r="1315" spans="1:8" ht="15.75" hidden="1" customHeight="1" x14ac:dyDescent="0.25">
      <c r="A1315" s="20" t="s">
        <v>105</v>
      </c>
      <c r="B1315" s="47" t="s">
        <v>119</v>
      </c>
      <c r="C1315" s="49"/>
      <c r="D1315" s="19" t="s">
        <v>37</v>
      </c>
      <c r="E1315" s="23">
        <v>1</v>
      </c>
      <c r="F1315" s="20">
        <v>0</v>
      </c>
      <c r="G1315" s="24">
        <f>E1315</f>
        <v>1</v>
      </c>
      <c r="H1315" s="20">
        <v>0</v>
      </c>
    </row>
    <row r="1316" spans="1:8" ht="15.75" hidden="1" customHeight="1" x14ac:dyDescent="0.25">
      <c r="A1316" s="20" t="s">
        <v>105</v>
      </c>
      <c r="B1316" s="47" t="s">
        <v>119</v>
      </c>
      <c r="C1316" s="49"/>
      <c r="D1316" s="19" t="s">
        <v>28</v>
      </c>
      <c r="E1316" s="23">
        <v>23</v>
      </c>
      <c r="F1316" s="18">
        <f>E1316* 0.00094876660341556</f>
        <v>2.182163187855788E-2</v>
      </c>
      <c r="G1316" s="18">
        <f>E1316* 0.999051233396584</f>
        <v>22.97817836812143</v>
      </c>
      <c r="H1316" s="20">
        <v>0</v>
      </c>
    </row>
    <row r="1317" spans="1:8" ht="15.75" hidden="1" customHeight="1" x14ac:dyDescent="0.25">
      <c r="A1317" s="20" t="s">
        <v>105</v>
      </c>
      <c r="B1317" s="47" t="s">
        <v>119</v>
      </c>
      <c r="C1317" s="49"/>
      <c r="D1317" s="19" t="s">
        <v>12</v>
      </c>
      <c r="E1317" s="23">
        <v>325</v>
      </c>
      <c r="F1317" s="18">
        <f>E1317* 0.843786808009423</f>
        <v>274.23071260306244</v>
      </c>
      <c r="G1317" s="18">
        <f>E1317* 0.0740675304279545</f>
        <v>24.07194738908521</v>
      </c>
      <c r="H1317" s="18">
        <f>E1317* 0.0820965842167256</f>
        <v>26.681389870435819</v>
      </c>
    </row>
    <row r="1318" spans="1:8" ht="15.75" hidden="1" customHeight="1" x14ac:dyDescent="0.25">
      <c r="A1318" s="20" t="s">
        <v>105</v>
      </c>
      <c r="B1318" s="20"/>
      <c r="C1318" s="20"/>
      <c r="D1318" s="46"/>
      <c r="E1318" s="35"/>
    </row>
    <row r="1319" spans="1:8" ht="15.75" hidden="1" customHeight="1" x14ac:dyDescent="0.25">
      <c r="A1319" s="20" t="s">
        <v>105</v>
      </c>
      <c r="B1319" s="47" t="s">
        <v>120</v>
      </c>
      <c r="C1319" s="12" t="str">
        <f>B1319&amp;"_"&amp;A1319</f>
        <v>Entre Ríos_Cochabamba</v>
      </c>
      <c r="D1319" s="20"/>
      <c r="E1319" s="48">
        <v>3688</v>
      </c>
      <c r="F1319" s="14">
        <f t="shared" ref="F1319:H1319" si="113">SUM(F1320:F1331)</f>
        <v>3215.1358338672526</v>
      </c>
      <c r="G1319" s="14">
        <f t="shared" si="113"/>
        <v>332.21381743010022</v>
      </c>
      <c r="H1319" s="14">
        <f t="shared" si="113"/>
        <v>140.2751871020595</v>
      </c>
    </row>
    <row r="1320" spans="1:8" ht="15.75" hidden="1" customHeight="1" x14ac:dyDescent="0.25">
      <c r="A1320" s="20" t="s">
        <v>105</v>
      </c>
      <c r="B1320" s="47" t="s">
        <v>120</v>
      </c>
      <c r="C1320" s="49"/>
      <c r="D1320" s="29" t="s">
        <v>432</v>
      </c>
      <c r="E1320" s="23">
        <v>5</v>
      </c>
      <c r="F1320" s="20">
        <v>0</v>
      </c>
      <c r="G1320" s="24">
        <f>E1320</f>
        <v>5</v>
      </c>
      <c r="H1320" s="20">
        <v>0</v>
      </c>
    </row>
    <row r="1321" spans="1:8" ht="15.75" hidden="1" customHeight="1" x14ac:dyDescent="0.25">
      <c r="A1321" s="20" t="s">
        <v>105</v>
      </c>
      <c r="B1321" s="47" t="s">
        <v>120</v>
      </c>
      <c r="C1321" s="49"/>
      <c r="D1321" s="19" t="s">
        <v>15</v>
      </c>
      <c r="E1321" s="23">
        <v>57</v>
      </c>
      <c r="F1321" s="18">
        <f>E1321* 0.932775698199239</f>
        <v>53.168214797356626</v>
      </c>
      <c r="G1321" s="18">
        <f>E1321* 0.00808724987291465</f>
        <v>0.46097324275613505</v>
      </c>
      <c r="H1321" s="18">
        <f>E1321* 0.0590600305004852</f>
        <v>3.3664217385276567</v>
      </c>
    </row>
    <row r="1322" spans="1:8" ht="15.75" hidden="1" customHeight="1" x14ac:dyDescent="0.25">
      <c r="A1322" s="20" t="s">
        <v>105</v>
      </c>
      <c r="B1322" s="47" t="s">
        <v>120</v>
      </c>
      <c r="C1322" s="49"/>
      <c r="D1322" s="29" t="s">
        <v>433</v>
      </c>
      <c r="E1322" s="23">
        <v>24</v>
      </c>
      <c r="F1322" s="18">
        <f>E1322* 0.0803212851405623</f>
        <v>1.9277108433734953</v>
      </c>
      <c r="G1322" s="18">
        <f>E1322* 0.913367756741251</f>
        <v>21.920826161790025</v>
      </c>
      <c r="H1322" s="18">
        <f>E1322* 0.0057372346528973</f>
        <v>0.13769363166953522</v>
      </c>
    </row>
    <row r="1323" spans="1:8" ht="15.75" hidden="1" customHeight="1" x14ac:dyDescent="0.25">
      <c r="A1323" s="20" t="s">
        <v>105</v>
      </c>
      <c r="B1323" s="47" t="s">
        <v>120</v>
      </c>
      <c r="C1323" s="49"/>
      <c r="D1323" s="19" t="s">
        <v>11</v>
      </c>
      <c r="E1323" s="23">
        <v>157</v>
      </c>
      <c r="F1323" s="18">
        <f>E1323* 0.150611071171819</f>
        <v>23.64593817397558</v>
      </c>
      <c r="G1323" s="18">
        <f>E1323* 0.847699496764917</f>
        <v>133.08882099209197</v>
      </c>
      <c r="H1323" s="18">
        <f>E1323* 0.00136592379583034</f>
        <v>0.21445003594536338</v>
      </c>
    </row>
    <row r="1324" spans="1:8" ht="15.75" hidden="1" customHeight="1" x14ac:dyDescent="0.25">
      <c r="A1324" s="20" t="s">
        <v>105</v>
      </c>
      <c r="B1324" s="47" t="s">
        <v>120</v>
      </c>
      <c r="C1324" s="49"/>
      <c r="D1324" s="19" t="s">
        <v>17</v>
      </c>
      <c r="E1324" s="23">
        <v>60</v>
      </c>
      <c r="F1324" s="18">
        <f>E1324* 0.840430229624022</f>
        <v>50.42581377744132</v>
      </c>
      <c r="G1324" s="18">
        <f>E1324* 0.0777504415846581</f>
        <v>4.665026495079486</v>
      </c>
      <c r="H1324" s="18">
        <f>E1324* 0.0817877870300278</f>
        <v>4.9072672218016677</v>
      </c>
    </row>
    <row r="1325" spans="1:8" ht="15.75" hidden="1" customHeight="1" x14ac:dyDescent="0.25">
      <c r="A1325" s="20" t="s">
        <v>105</v>
      </c>
      <c r="B1325" s="47" t="s">
        <v>120</v>
      </c>
      <c r="C1325" s="49"/>
      <c r="D1325" s="19" t="s">
        <v>31</v>
      </c>
      <c r="E1325" s="23">
        <v>14</v>
      </c>
      <c r="F1325" s="18">
        <f>E1325* 0.901975683890578</f>
        <v>12.627659574468092</v>
      </c>
      <c r="G1325" s="18">
        <f>E1325* 0.0364741641337386</f>
        <v>0.51063829787234039</v>
      </c>
      <c r="H1325" s="18">
        <f>E1325* 0.0615501519756839</f>
        <v>0.86170212765957455</v>
      </c>
    </row>
    <row r="1326" spans="1:8" ht="15.75" hidden="1" customHeight="1" x14ac:dyDescent="0.25">
      <c r="A1326" s="20" t="s">
        <v>105</v>
      </c>
      <c r="B1326" s="47" t="s">
        <v>120</v>
      </c>
      <c r="C1326" s="49"/>
      <c r="D1326" s="19" t="s">
        <v>18</v>
      </c>
      <c r="E1326" s="23">
        <v>3</v>
      </c>
      <c r="F1326" s="18">
        <f>E1326* 0.932934264493959</f>
        <v>2.7988027934818769</v>
      </c>
      <c r="G1326" s="18">
        <f>E1326* 0.0585300964416362</f>
        <v>0.17559028932490858</v>
      </c>
      <c r="H1326" s="18">
        <f>E1326* 0.00853563906440528</f>
        <v>2.5606917193215843E-2</v>
      </c>
    </row>
    <row r="1327" spans="1:8" ht="15.75" hidden="1" customHeight="1" x14ac:dyDescent="0.25">
      <c r="A1327" s="20" t="s">
        <v>105</v>
      </c>
      <c r="B1327" s="47" t="s">
        <v>120</v>
      </c>
      <c r="C1327" s="49"/>
      <c r="D1327" s="19" t="s">
        <v>19</v>
      </c>
      <c r="E1327" s="23">
        <v>4</v>
      </c>
      <c r="F1327" s="18">
        <f>E1327* 0.290681971640783</f>
        <v>1.1627278865631321</v>
      </c>
      <c r="G1327" s="18">
        <f>E1327* 0.694125590817016</f>
        <v>2.7765023632680639</v>
      </c>
      <c r="H1327" s="18">
        <f>E1327* 0.0151924375422012</f>
        <v>6.0769750168804801E-2</v>
      </c>
    </row>
    <row r="1328" spans="1:8" ht="15.75" hidden="1" customHeight="1" x14ac:dyDescent="0.25">
      <c r="A1328" s="20" t="s">
        <v>105</v>
      </c>
      <c r="B1328" s="47" t="s">
        <v>120</v>
      </c>
      <c r="C1328" s="49"/>
      <c r="D1328" s="19" t="s">
        <v>20</v>
      </c>
      <c r="E1328" s="23">
        <v>177</v>
      </c>
      <c r="F1328" s="18">
        <f>E1328* 0.686268801552644</f>
        <v>121.46957787481799</v>
      </c>
      <c r="G1328" s="18">
        <f>E1328* 0.196991751576904</f>
        <v>34.867540029112007</v>
      </c>
      <c r="H1328" s="18">
        <f>E1328* 0.116642406598738</f>
        <v>20.645705967976625</v>
      </c>
    </row>
    <row r="1329" spans="1:8" ht="15.75" hidden="1" customHeight="1" x14ac:dyDescent="0.25">
      <c r="A1329" s="20" t="s">
        <v>105</v>
      </c>
      <c r="B1329" s="47" t="s">
        <v>120</v>
      </c>
      <c r="C1329" s="49"/>
      <c r="D1329" s="19" t="s">
        <v>21</v>
      </c>
      <c r="E1329" s="23">
        <v>1824</v>
      </c>
      <c r="F1329" s="18">
        <f>E1329* 0.999513766486355</f>
        <v>1823.1131100711116</v>
      </c>
      <c r="G1329" s="18">
        <f>E1329* 0.0000243116756822464</f>
        <v>4.4344496444417431E-2</v>
      </c>
      <c r="H1329" s="18">
        <f>E1329* 0.00034036345955145</f>
        <v>0.62082295022184475</v>
      </c>
    </row>
    <row r="1330" spans="1:8" ht="15.75" hidden="1" customHeight="1" x14ac:dyDescent="0.25">
      <c r="A1330" s="20" t="s">
        <v>105</v>
      </c>
      <c r="B1330" s="47" t="s">
        <v>120</v>
      </c>
      <c r="C1330" s="49"/>
      <c r="D1330" s="19" t="s">
        <v>28</v>
      </c>
      <c r="E1330" s="23">
        <v>30</v>
      </c>
      <c r="F1330" s="18">
        <f>E1330* 0.00094876660341556</f>
        <v>2.8462998102466799E-2</v>
      </c>
      <c r="G1330" s="18">
        <f>E1330* 0.999051233396584</f>
        <v>29.97153700189752</v>
      </c>
      <c r="H1330" s="20">
        <v>0</v>
      </c>
    </row>
    <row r="1331" spans="1:8" ht="15.75" hidden="1" customHeight="1" x14ac:dyDescent="0.25">
      <c r="A1331" s="20" t="s">
        <v>105</v>
      </c>
      <c r="B1331" s="47" t="s">
        <v>120</v>
      </c>
      <c r="C1331" s="49"/>
      <c r="D1331" s="19" t="s">
        <v>12</v>
      </c>
      <c r="E1331" s="23">
        <v>1333</v>
      </c>
      <c r="F1331" s="18">
        <f>E1331* 0.843786808009423</f>
        <v>1124.7678150765607</v>
      </c>
      <c r="G1331" s="18">
        <f>E1331* 0.0740675304279545</f>
        <v>98.732018060463346</v>
      </c>
      <c r="H1331" s="18">
        <f>E1331* 0.0820965842167256</f>
        <v>109.43474676089522</v>
      </c>
    </row>
    <row r="1332" spans="1:8" ht="15.75" hidden="1" customHeight="1" x14ac:dyDescent="0.25">
      <c r="A1332" s="20" t="s">
        <v>105</v>
      </c>
      <c r="B1332" s="20"/>
      <c r="C1332" s="20"/>
      <c r="D1332" s="46"/>
      <c r="E1332" s="35"/>
    </row>
    <row r="1333" spans="1:8" ht="15.75" hidden="1" customHeight="1" x14ac:dyDescent="0.25">
      <c r="A1333" s="20" t="s">
        <v>105</v>
      </c>
      <c r="B1333" s="47" t="s">
        <v>121</v>
      </c>
      <c r="C1333" s="12" t="str">
        <f>B1333&amp;"_"&amp;A1333</f>
        <v>Independencia (Ayopaya)_Cochabamba</v>
      </c>
      <c r="D1333" s="20"/>
      <c r="E1333" s="48">
        <v>109</v>
      </c>
      <c r="F1333" s="14">
        <f t="shared" ref="F1333:H1333" si="114">SUM(F1334:F1344)</f>
        <v>47.679714567632644</v>
      </c>
      <c r="G1333" s="14">
        <f t="shared" si="114"/>
        <v>58.435623305445397</v>
      </c>
      <c r="H1333" s="14">
        <f t="shared" si="114"/>
        <v>2.8631545059654315</v>
      </c>
    </row>
    <row r="1334" spans="1:8" ht="15.75" hidden="1" customHeight="1" x14ac:dyDescent="0.25">
      <c r="A1334" s="20" t="s">
        <v>105</v>
      </c>
      <c r="B1334" s="47" t="s">
        <v>121</v>
      </c>
      <c r="C1334" s="49"/>
      <c r="D1334" s="29" t="s">
        <v>434</v>
      </c>
      <c r="E1334" s="23">
        <v>0</v>
      </c>
      <c r="F1334" s="20">
        <v>0</v>
      </c>
      <c r="G1334" s="24">
        <f>E1334</f>
        <v>0</v>
      </c>
      <c r="H1334" s="20">
        <v>0</v>
      </c>
    </row>
    <row r="1335" spans="1:8" ht="15.75" hidden="1" customHeight="1" x14ac:dyDescent="0.25">
      <c r="A1335" s="20" t="s">
        <v>105</v>
      </c>
      <c r="B1335" s="47" t="s">
        <v>121</v>
      </c>
      <c r="C1335" s="49"/>
      <c r="D1335" s="19" t="s">
        <v>15</v>
      </c>
      <c r="E1335" s="23">
        <v>1</v>
      </c>
      <c r="F1335" s="18">
        <f>E1335* 0.932775698199239</f>
        <v>0.932775698199239</v>
      </c>
      <c r="G1335" s="18">
        <f>E1335* 0.00808724987291465</f>
        <v>8.0872498729146498E-3</v>
      </c>
      <c r="H1335" s="18">
        <f>E1335* 0.0590600305004852</f>
        <v>5.9060030500485201E-2</v>
      </c>
    </row>
    <row r="1336" spans="1:8" ht="15.75" hidden="1" customHeight="1" x14ac:dyDescent="0.25">
      <c r="A1336" s="20" t="s">
        <v>105</v>
      </c>
      <c r="B1336" s="47" t="s">
        <v>121</v>
      </c>
      <c r="C1336" s="49"/>
      <c r="D1336" s="29" t="s">
        <v>435</v>
      </c>
      <c r="E1336" s="23">
        <v>3</v>
      </c>
      <c r="F1336" s="18">
        <f>E1336* 0.0803212851405623</f>
        <v>0.24096385542168691</v>
      </c>
      <c r="G1336" s="18">
        <f>E1336* 0.913367756741251</f>
        <v>2.7401032702237531</v>
      </c>
      <c r="H1336" s="18">
        <f>E1336* 0.0057372346528973</f>
        <v>1.7211703958691902E-2</v>
      </c>
    </row>
    <row r="1337" spans="1:8" ht="15.75" hidden="1" customHeight="1" x14ac:dyDescent="0.25">
      <c r="A1337" s="20" t="s">
        <v>105</v>
      </c>
      <c r="B1337" s="47" t="s">
        <v>121</v>
      </c>
      <c r="C1337" s="49"/>
      <c r="D1337" s="19" t="s">
        <v>11</v>
      </c>
      <c r="E1337" s="23">
        <v>52</v>
      </c>
      <c r="F1337" s="18">
        <f>E1337* 0.150611071171819</f>
        <v>7.8317757009345872</v>
      </c>
      <c r="G1337" s="18">
        <f>E1337* 0.847699496764917</f>
        <v>44.080373831775681</v>
      </c>
      <c r="H1337" s="18">
        <f>E1337* 0.00136592379583034</f>
        <v>7.1028037383177686E-2</v>
      </c>
    </row>
    <row r="1338" spans="1:8" ht="15.75" hidden="1" customHeight="1" x14ac:dyDescent="0.25">
      <c r="A1338" s="20" t="s">
        <v>105</v>
      </c>
      <c r="B1338" s="47" t="s">
        <v>121</v>
      </c>
      <c r="C1338" s="49"/>
      <c r="D1338" s="19" t="s">
        <v>17</v>
      </c>
      <c r="E1338" s="23">
        <v>9</v>
      </c>
      <c r="F1338" s="18">
        <f>E1338* 0.840430229624022</f>
        <v>7.5638720666161987</v>
      </c>
      <c r="G1338" s="18">
        <f>E1338* 0.0777504415846581</f>
        <v>0.69975397426192298</v>
      </c>
      <c r="H1338" s="18">
        <f>E1338* 0.0817877870300278</f>
        <v>0.73609008327025016</v>
      </c>
    </row>
    <row r="1339" spans="1:8" ht="15.75" hidden="1" customHeight="1" x14ac:dyDescent="0.25">
      <c r="A1339" s="20" t="s">
        <v>105</v>
      </c>
      <c r="B1339" s="47" t="s">
        <v>121</v>
      </c>
      <c r="C1339" s="49"/>
      <c r="D1339" s="19" t="s">
        <v>31</v>
      </c>
      <c r="E1339" s="23">
        <v>1</v>
      </c>
      <c r="F1339" s="18">
        <f>E1339* 0.901975683890578</f>
        <v>0.90197568389057803</v>
      </c>
      <c r="G1339" s="18">
        <f>E1339* 0.0364741641337386</f>
        <v>3.64741641337386E-2</v>
      </c>
      <c r="H1339" s="18">
        <f>E1339* 0.0615501519756839</f>
        <v>6.1550151975683899E-2</v>
      </c>
    </row>
    <row r="1340" spans="1:8" ht="15.75" hidden="1" customHeight="1" x14ac:dyDescent="0.25">
      <c r="A1340" s="20" t="s">
        <v>105</v>
      </c>
      <c r="B1340" s="47" t="s">
        <v>121</v>
      </c>
      <c r="C1340" s="49"/>
      <c r="D1340" s="19" t="s">
        <v>18</v>
      </c>
      <c r="E1340" s="23">
        <v>3</v>
      </c>
      <c r="F1340" s="18">
        <f>E1340* 0.932934264493959</f>
        <v>2.7988027934818769</v>
      </c>
      <c r="G1340" s="18">
        <f>E1340* 0.0585300964416362</f>
        <v>0.17559028932490858</v>
      </c>
      <c r="H1340" s="18">
        <f>E1340* 0.00853563906440528</f>
        <v>2.5606917193215843E-2</v>
      </c>
    </row>
    <row r="1341" spans="1:8" ht="15.75" hidden="1" customHeight="1" x14ac:dyDescent="0.25">
      <c r="A1341" s="20" t="s">
        <v>105</v>
      </c>
      <c r="B1341" s="47" t="s">
        <v>121</v>
      </c>
      <c r="C1341" s="49"/>
      <c r="D1341" s="19" t="s">
        <v>19</v>
      </c>
      <c r="E1341" s="23">
        <v>12</v>
      </c>
      <c r="F1341" s="18">
        <f>E1341* 0.290681971640783</f>
        <v>3.4881836596893963</v>
      </c>
      <c r="G1341" s="18">
        <f>E1341* 0.694125590817016</f>
        <v>8.3295070898041921</v>
      </c>
      <c r="H1341" s="18">
        <f>E1341* 0.0151924375422012</f>
        <v>0.18230925050641439</v>
      </c>
    </row>
    <row r="1342" spans="1:8" ht="15.75" hidden="1" customHeight="1" x14ac:dyDescent="0.25">
      <c r="A1342" s="20" t="s">
        <v>105</v>
      </c>
      <c r="B1342" s="47" t="s">
        <v>121</v>
      </c>
      <c r="C1342" s="49"/>
      <c r="D1342" s="19" t="s">
        <v>20</v>
      </c>
      <c r="E1342" s="23">
        <v>9</v>
      </c>
      <c r="F1342" s="18">
        <f>E1342* 0.686268801552644</f>
        <v>6.1764192139737961</v>
      </c>
      <c r="G1342" s="18">
        <f>E1342* 0.196991751576904</f>
        <v>1.7729257641921359</v>
      </c>
      <c r="H1342" s="18">
        <f>E1342* 0.116642406598738</f>
        <v>1.049781659388642</v>
      </c>
    </row>
    <row r="1343" spans="1:8" ht="15.75" hidden="1" customHeight="1" x14ac:dyDescent="0.25">
      <c r="A1343" s="20" t="s">
        <v>105</v>
      </c>
      <c r="B1343" s="47" t="s">
        <v>121</v>
      </c>
      <c r="C1343" s="49"/>
      <c r="D1343" s="19" t="s">
        <v>21</v>
      </c>
      <c r="E1343" s="23">
        <v>11</v>
      </c>
      <c r="F1343" s="18">
        <f>E1343* 0.999513766486355</f>
        <v>10.994651431349906</v>
      </c>
      <c r="G1343" s="18">
        <f>E1343* 0.0000243116756822464</f>
        <v>2.6742843250471038E-4</v>
      </c>
      <c r="H1343" s="18">
        <f>E1343* 0.00034036345955145</f>
        <v>3.7439980550659502E-3</v>
      </c>
    </row>
    <row r="1344" spans="1:8" ht="15.75" hidden="1" customHeight="1" x14ac:dyDescent="0.25">
      <c r="A1344" s="20" t="s">
        <v>105</v>
      </c>
      <c r="B1344" s="47" t="s">
        <v>121</v>
      </c>
      <c r="C1344" s="49"/>
      <c r="D1344" s="19" t="s">
        <v>12</v>
      </c>
      <c r="E1344" s="23">
        <v>8</v>
      </c>
      <c r="F1344" s="18">
        <f>E1344* 0.843786808009423</f>
        <v>6.7502944640753837</v>
      </c>
      <c r="G1344" s="18">
        <f>E1344* 0.0740675304279545</f>
        <v>0.59254024342363598</v>
      </c>
      <c r="H1344" s="18">
        <f>E1344* 0.0820965842167256</f>
        <v>0.65677267373380477</v>
      </c>
    </row>
    <row r="1345" spans="1:8" ht="15.75" hidden="1" customHeight="1" x14ac:dyDescent="0.25">
      <c r="A1345" s="20" t="s">
        <v>105</v>
      </c>
      <c r="B1345" s="20"/>
      <c r="C1345" s="20"/>
      <c r="D1345" s="46"/>
      <c r="E1345" s="35"/>
    </row>
    <row r="1346" spans="1:8" ht="15.75" hidden="1" customHeight="1" x14ac:dyDescent="0.25">
      <c r="A1346" s="20" t="s">
        <v>105</v>
      </c>
      <c r="B1346" s="47" t="s">
        <v>122</v>
      </c>
      <c r="C1346" s="12" t="str">
        <f>B1346&amp;"_"&amp;A1346</f>
        <v>Mizque_Cochabamba</v>
      </c>
      <c r="D1346" s="20"/>
      <c r="E1346" s="48">
        <v>392</v>
      </c>
      <c r="F1346" s="14">
        <f t="shared" ref="F1346:H1346" si="115">SUM(F1347:F1359)</f>
        <v>340.68884451616941</v>
      </c>
      <c r="G1346" s="14">
        <f t="shared" si="115"/>
        <v>44.667633036926091</v>
      </c>
      <c r="H1346" s="14">
        <f t="shared" si="115"/>
        <v>6.5937293510863739</v>
      </c>
    </row>
    <row r="1347" spans="1:8" ht="15.75" hidden="1" customHeight="1" x14ac:dyDescent="0.25">
      <c r="A1347" s="20" t="s">
        <v>105</v>
      </c>
      <c r="B1347" s="47" t="s">
        <v>122</v>
      </c>
      <c r="C1347" s="49"/>
      <c r="D1347" s="29" t="s">
        <v>436</v>
      </c>
      <c r="E1347" s="23">
        <v>4</v>
      </c>
      <c r="F1347" s="20">
        <v>0</v>
      </c>
      <c r="G1347" s="24">
        <f>E1347</f>
        <v>4</v>
      </c>
      <c r="H1347" s="20">
        <v>0</v>
      </c>
    </row>
    <row r="1348" spans="1:8" ht="15.75" hidden="1" customHeight="1" x14ac:dyDescent="0.25">
      <c r="A1348" s="20" t="s">
        <v>105</v>
      </c>
      <c r="B1348" s="47" t="s">
        <v>122</v>
      </c>
      <c r="C1348" s="49"/>
      <c r="D1348" s="19" t="s">
        <v>15</v>
      </c>
      <c r="E1348" s="23">
        <v>16</v>
      </c>
      <c r="F1348" s="18">
        <f>E1348* 0.932775698199239</f>
        <v>14.924411171187824</v>
      </c>
      <c r="G1348" s="18">
        <f>E1348* 0.00808724987291465</f>
        <v>0.1293959979666344</v>
      </c>
      <c r="H1348" s="18">
        <f>E1348* 0.0590600305004852</f>
        <v>0.94496048800776322</v>
      </c>
    </row>
    <row r="1349" spans="1:8" ht="15.75" hidden="1" customHeight="1" x14ac:dyDescent="0.25">
      <c r="A1349" s="20" t="s">
        <v>105</v>
      </c>
      <c r="B1349" s="47" t="s">
        <v>122</v>
      </c>
      <c r="C1349" s="49"/>
      <c r="D1349" s="29" t="s">
        <v>437</v>
      </c>
      <c r="E1349" s="23">
        <v>4</v>
      </c>
      <c r="F1349" s="18">
        <f>E1349* 0.0803212851405623</f>
        <v>0.32128514056224922</v>
      </c>
      <c r="G1349" s="18">
        <f>E1349* 0.913367756741251</f>
        <v>3.6534710269650041</v>
      </c>
      <c r="H1349" s="18">
        <f>E1349* 0.0057372346528973</f>
        <v>2.2948938611589201E-2</v>
      </c>
    </row>
    <row r="1350" spans="1:8" ht="15.75" hidden="1" customHeight="1" x14ac:dyDescent="0.25">
      <c r="A1350" s="20" t="s">
        <v>105</v>
      </c>
      <c r="B1350" s="47" t="s">
        <v>122</v>
      </c>
      <c r="C1350" s="49"/>
      <c r="D1350" s="19" t="s">
        <v>11</v>
      </c>
      <c r="E1350" s="23">
        <v>34</v>
      </c>
      <c r="F1350" s="18">
        <f>E1350* 0.150611071171819</f>
        <v>5.120776419841846</v>
      </c>
      <c r="G1350" s="18">
        <f>E1350* 0.847699496764917</f>
        <v>28.821782890007178</v>
      </c>
      <c r="H1350" s="18">
        <f>E1350* 0.00136592379583034</f>
        <v>4.6441409058231561E-2</v>
      </c>
    </row>
    <row r="1351" spans="1:8" ht="15.75" hidden="1" customHeight="1" x14ac:dyDescent="0.25">
      <c r="A1351" s="20" t="s">
        <v>105</v>
      </c>
      <c r="B1351" s="47" t="s">
        <v>122</v>
      </c>
      <c r="C1351" s="49"/>
      <c r="D1351" s="19" t="s">
        <v>17</v>
      </c>
      <c r="E1351" s="23">
        <v>24</v>
      </c>
      <c r="F1351" s="18">
        <f>E1351* 0.840430229624022</f>
        <v>20.170325510976529</v>
      </c>
      <c r="G1351" s="18">
        <f>E1351* 0.0777504415846581</f>
        <v>1.8660105980317945</v>
      </c>
      <c r="H1351" s="18">
        <f>E1351* 0.0817877870300278</f>
        <v>1.9629068887206671</v>
      </c>
    </row>
    <row r="1352" spans="1:8" ht="15.75" hidden="1" customHeight="1" x14ac:dyDescent="0.25">
      <c r="A1352" s="20" t="s">
        <v>105</v>
      </c>
      <c r="B1352" s="47" t="s">
        <v>122</v>
      </c>
      <c r="C1352" s="49"/>
      <c r="D1352" s="19" t="s">
        <v>31</v>
      </c>
      <c r="E1352" s="23">
        <v>1</v>
      </c>
      <c r="F1352" s="18">
        <f>E1352* 0.901975683890578</f>
        <v>0.90197568389057803</v>
      </c>
      <c r="G1352" s="18">
        <f>E1352* 0.0364741641337386</f>
        <v>3.64741641337386E-2</v>
      </c>
      <c r="H1352" s="18">
        <f>E1352* 0.0615501519756839</f>
        <v>6.1550151975683899E-2</v>
      </c>
    </row>
    <row r="1353" spans="1:8" ht="15.75" hidden="1" customHeight="1" x14ac:dyDescent="0.25">
      <c r="A1353" s="20" t="s">
        <v>105</v>
      </c>
      <c r="B1353" s="47" t="s">
        <v>122</v>
      </c>
      <c r="C1353" s="49"/>
      <c r="D1353" s="19" t="s">
        <v>18</v>
      </c>
      <c r="E1353" s="23">
        <v>4</v>
      </c>
      <c r="F1353" s="18">
        <f>E1353* 0.932934264493959</f>
        <v>3.731737057975836</v>
      </c>
      <c r="G1353" s="18">
        <f>E1353* 0.0585300964416362</f>
        <v>0.23412038576654479</v>
      </c>
      <c r="H1353" s="18">
        <f>E1353* 0.00853563906440528</f>
        <v>3.4142556257621123E-2</v>
      </c>
    </row>
    <row r="1354" spans="1:8" ht="15.75" hidden="1" customHeight="1" x14ac:dyDescent="0.25">
      <c r="A1354" s="20" t="s">
        <v>105</v>
      </c>
      <c r="B1354" s="47" t="s">
        <v>122</v>
      </c>
      <c r="C1354" s="49"/>
      <c r="D1354" s="29" t="s">
        <v>438</v>
      </c>
      <c r="E1354" s="23">
        <v>1</v>
      </c>
      <c r="F1354" s="20">
        <v>0</v>
      </c>
      <c r="G1354" s="24">
        <f>E1354</f>
        <v>1</v>
      </c>
      <c r="H1354" s="20">
        <v>0</v>
      </c>
    </row>
    <row r="1355" spans="1:8" ht="15.75" hidden="1" customHeight="1" x14ac:dyDescent="0.25">
      <c r="A1355" s="20" t="s">
        <v>105</v>
      </c>
      <c r="B1355" s="47" t="s">
        <v>122</v>
      </c>
      <c r="C1355" s="49"/>
      <c r="D1355" s="19" t="s">
        <v>19</v>
      </c>
      <c r="E1355" s="35"/>
      <c r="F1355" s="18">
        <f>E1355* 0.290681971640783</f>
        <v>0</v>
      </c>
      <c r="G1355" s="18">
        <f>E1355* 0.694125590817016</f>
        <v>0</v>
      </c>
      <c r="H1355" s="18">
        <f>E1355* 0.0151924375422012</f>
        <v>0</v>
      </c>
    </row>
    <row r="1356" spans="1:8" ht="15.75" hidden="1" customHeight="1" x14ac:dyDescent="0.25">
      <c r="A1356" s="20" t="s">
        <v>105</v>
      </c>
      <c r="B1356" s="47" t="s">
        <v>122</v>
      </c>
      <c r="C1356" s="49"/>
      <c r="D1356" s="19" t="s">
        <v>20</v>
      </c>
      <c r="E1356" s="23">
        <v>9</v>
      </c>
      <c r="F1356" s="18">
        <f>E1356* 0.686268801552644</f>
        <v>6.1764192139737961</v>
      </c>
      <c r="G1356" s="18">
        <f>E1356* 0.196991751576904</f>
        <v>1.7729257641921359</v>
      </c>
      <c r="H1356" s="18">
        <f>E1356* 0.116642406598738</f>
        <v>1.049781659388642</v>
      </c>
    </row>
    <row r="1357" spans="1:8" ht="15.75" hidden="1" customHeight="1" x14ac:dyDescent="0.25">
      <c r="A1357" s="20" t="s">
        <v>105</v>
      </c>
      <c r="B1357" s="47" t="s">
        <v>122</v>
      </c>
      <c r="C1357" s="49"/>
      <c r="D1357" s="19" t="s">
        <v>21</v>
      </c>
      <c r="E1357" s="23">
        <v>265</v>
      </c>
      <c r="F1357" s="18">
        <f>E1357* 0.999513766486355</f>
        <v>264.87114811888409</v>
      </c>
      <c r="G1357" s="18">
        <f>E1357* 0.0000243116756822464</f>
        <v>6.4425940557952957E-3</v>
      </c>
      <c r="H1357" s="18">
        <f>E1357* 0.00034036345955145</f>
        <v>9.0196316781134253E-2</v>
      </c>
    </row>
    <row r="1358" spans="1:8" ht="15.75" hidden="1" customHeight="1" x14ac:dyDescent="0.25">
      <c r="A1358" s="20" t="s">
        <v>105</v>
      </c>
      <c r="B1358" s="47" t="s">
        <v>122</v>
      </c>
      <c r="C1358" s="49"/>
      <c r="D1358" s="19" t="s">
        <v>28</v>
      </c>
      <c r="E1358" s="23">
        <v>1</v>
      </c>
      <c r="F1358" s="18">
        <f>E1358* 0.00094876660341556</f>
        <v>9.4876660341556001E-4</v>
      </c>
      <c r="G1358" s="18">
        <f>E1358* 0.999051233396584</f>
        <v>0.99905123339658397</v>
      </c>
      <c r="H1358" s="20">
        <v>0</v>
      </c>
    </row>
    <row r="1359" spans="1:8" ht="15.75" hidden="1" customHeight="1" x14ac:dyDescent="0.25">
      <c r="A1359" s="20" t="s">
        <v>105</v>
      </c>
      <c r="B1359" s="47" t="s">
        <v>122</v>
      </c>
      <c r="C1359" s="49"/>
      <c r="D1359" s="19" t="s">
        <v>12</v>
      </c>
      <c r="E1359" s="23">
        <v>29</v>
      </c>
      <c r="F1359" s="18">
        <f>E1359* 0.843786808009423</f>
        <v>24.469817432273267</v>
      </c>
      <c r="G1359" s="18">
        <f>E1359* 0.0740675304279545</f>
        <v>2.1479583824106805</v>
      </c>
      <c r="H1359" s="18">
        <f>E1359* 0.0820965842167256</f>
        <v>2.3808009422850422</v>
      </c>
    </row>
    <row r="1360" spans="1:8" ht="15.75" hidden="1" customHeight="1" x14ac:dyDescent="0.25">
      <c r="A1360" s="20" t="s">
        <v>105</v>
      </c>
      <c r="B1360" s="20"/>
      <c r="C1360" s="20"/>
      <c r="D1360" s="46"/>
      <c r="E1360" s="35"/>
    </row>
    <row r="1361" spans="1:8" ht="15.75" hidden="1" customHeight="1" x14ac:dyDescent="0.25">
      <c r="A1361" s="20" t="s">
        <v>105</v>
      </c>
      <c r="B1361" s="47" t="s">
        <v>123</v>
      </c>
      <c r="C1361" s="12" t="str">
        <f>B1361&amp;"_"&amp;A1361</f>
        <v>Morochata_Cochabamba</v>
      </c>
      <c r="D1361" s="20"/>
      <c r="E1361" s="48">
        <v>113</v>
      </c>
      <c r="F1361" s="14">
        <f t="shared" ref="F1361:H1361" si="116">SUM(F1362:F1373)</f>
        <v>93.438831426807056</v>
      </c>
      <c r="G1361" s="14">
        <f t="shared" si="116"/>
        <v>16.98968327081451</v>
      </c>
      <c r="H1361" s="14">
        <f t="shared" si="116"/>
        <v>2.5565313265348619</v>
      </c>
    </row>
    <row r="1362" spans="1:8" ht="15.75" hidden="1" customHeight="1" x14ac:dyDescent="0.25">
      <c r="A1362" s="20" t="s">
        <v>105</v>
      </c>
      <c r="B1362" s="47" t="s">
        <v>123</v>
      </c>
      <c r="C1362" s="49"/>
      <c r="D1362" s="29" t="s">
        <v>439</v>
      </c>
      <c r="E1362" s="23">
        <v>0</v>
      </c>
      <c r="F1362" s="20">
        <v>0</v>
      </c>
      <c r="G1362" s="24">
        <f>E1362</f>
        <v>0</v>
      </c>
      <c r="H1362" s="20">
        <v>0</v>
      </c>
    </row>
    <row r="1363" spans="1:8" ht="15.75" hidden="1" customHeight="1" x14ac:dyDescent="0.25">
      <c r="A1363" s="20" t="s">
        <v>105</v>
      </c>
      <c r="B1363" s="47" t="s">
        <v>123</v>
      </c>
      <c r="C1363" s="49"/>
      <c r="D1363" s="19" t="s">
        <v>15</v>
      </c>
      <c r="E1363" s="23">
        <v>1</v>
      </c>
      <c r="F1363" s="18">
        <f>E1363* 0.932775698199239</f>
        <v>0.932775698199239</v>
      </c>
      <c r="G1363" s="18">
        <f>E1363* 0.00808724987291465</f>
        <v>8.0872498729146498E-3</v>
      </c>
      <c r="H1363" s="18">
        <f>E1363* 0.0590600305004852</f>
        <v>5.9060030500485201E-2</v>
      </c>
    </row>
    <row r="1364" spans="1:8" ht="15.75" hidden="1" customHeight="1" x14ac:dyDescent="0.25">
      <c r="A1364" s="20" t="s">
        <v>105</v>
      </c>
      <c r="B1364" s="47" t="s">
        <v>123</v>
      </c>
      <c r="C1364" s="49"/>
      <c r="D1364" s="29" t="s">
        <v>440</v>
      </c>
      <c r="E1364" s="23">
        <v>4</v>
      </c>
      <c r="F1364" s="18">
        <f>E1364* 0.0803212851405623</f>
        <v>0.32128514056224922</v>
      </c>
      <c r="G1364" s="18">
        <f>E1364* 0.913367756741251</f>
        <v>3.6534710269650041</v>
      </c>
      <c r="H1364" s="18">
        <f>E1364* 0.0057372346528973</f>
        <v>2.2948938611589201E-2</v>
      </c>
    </row>
    <row r="1365" spans="1:8" ht="15.75" hidden="1" customHeight="1" x14ac:dyDescent="0.25">
      <c r="A1365" s="20" t="s">
        <v>105</v>
      </c>
      <c r="B1365" s="47" t="s">
        <v>123</v>
      </c>
      <c r="C1365" s="49"/>
      <c r="D1365" s="19" t="s">
        <v>11</v>
      </c>
      <c r="E1365" s="23">
        <v>10</v>
      </c>
      <c r="F1365" s="18">
        <f>E1365* 0.150611071171819</f>
        <v>1.5061107117181898</v>
      </c>
      <c r="G1365" s="18">
        <f>E1365* 0.847699496764917</f>
        <v>8.4769949676491692</v>
      </c>
      <c r="H1365" s="18">
        <f>E1365* 0.00136592379583034</f>
        <v>1.36592379583034E-2</v>
      </c>
    </row>
    <row r="1366" spans="1:8" ht="15.75" hidden="1" customHeight="1" x14ac:dyDescent="0.25">
      <c r="A1366" s="20" t="s">
        <v>105</v>
      </c>
      <c r="B1366" s="47" t="s">
        <v>123</v>
      </c>
      <c r="C1366" s="49"/>
      <c r="D1366" s="19" t="s">
        <v>17</v>
      </c>
      <c r="E1366" s="23">
        <v>4</v>
      </c>
      <c r="F1366" s="18">
        <f>E1366* 0.840430229624022</f>
        <v>3.3617209184960881</v>
      </c>
      <c r="G1366" s="18">
        <f>E1366* 0.0777504415846581</f>
        <v>0.31100176633863241</v>
      </c>
      <c r="H1366" s="18">
        <f>E1366* 0.0817877870300278</f>
        <v>0.3271511481201112</v>
      </c>
    </row>
    <row r="1367" spans="1:8" ht="15.75" hidden="1" customHeight="1" x14ac:dyDescent="0.25">
      <c r="A1367" s="20" t="s">
        <v>105</v>
      </c>
      <c r="B1367" s="47" t="s">
        <v>123</v>
      </c>
      <c r="C1367" s="49"/>
      <c r="D1367" s="19" t="s">
        <v>31</v>
      </c>
      <c r="E1367" s="23">
        <v>1</v>
      </c>
      <c r="F1367" s="18">
        <f>E1367* 0.901975683890578</f>
        <v>0.90197568389057803</v>
      </c>
      <c r="G1367" s="18">
        <f>E1367* 0.0364741641337386</f>
        <v>3.64741641337386E-2</v>
      </c>
      <c r="H1367" s="18">
        <f>E1367* 0.0615501519756839</f>
        <v>6.1550151975683899E-2</v>
      </c>
    </row>
    <row r="1368" spans="1:8" ht="15.75" hidden="1" customHeight="1" x14ac:dyDescent="0.25">
      <c r="A1368" s="20" t="s">
        <v>105</v>
      </c>
      <c r="B1368" s="47" t="s">
        <v>123</v>
      </c>
      <c r="C1368" s="49"/>
      <c r="D1368" s="19" t="s">
        <v>18</v>
      </c>
      <c r="E1368" s="23">
        <v>3</v>
      </c>
      <c r="F1368" s="18">
        <f>E1368* 0.932934264493959</f>
        <v>2.7988027934818769</v>
      </c>
      <c r="G1368" s="18">
        <f>E1368* 0.0585300964416362</f>
        <v>0.17559028932490858</v>
      </c>
      <c r="H1368" s="18">
        <f>E1368* 0.00853563906440528</f>
        <v>2.5606917193215843E-2</v>
      </c>
    </row>
    <row r="1369" spans="1:8" ht="15.75" hidden="1" customHeight="1" x14ac:dyDescent="0.25">
      <c r="A1369" s="20" t="s">
        <v>105</v>
      </c>
      <c r="B1369" s="47" t="s">
        <v>123</v>
      </c>
      <c r="C1369" s="49"/>
      <c r="D1369" s="19" t="s">
        <v>19</v>
      </c>
      <c r="E1369" s="23">
        <v>3</v>
      </c>
      <c r="F1369" s="18">
        <f>E1369* 0.290681971640783</f>
        <v>0.87204591492234906</v>
      </c>
      <c r="G1369" s="18">
        <f>E1369* 0.694125590817016</f>
        <v>2.082376772451048</v>
      </c>
      <c r="H1369" s="18">
        <f>E1369* 0.0151924375422012</f>
        <v>4.5577312626603597E-2</v>
      </c>
    </row>
    <row r="1370" spans="1:8" ht="15.75" hidden="1" customHeight="1" x14ac:dyDescent="0.25">
      <c r="A1370" s="20" t="s">
        <v>105</v>
      </c>
      <c r="B1370" s="47" t="s">
        <v>123</v>
      </c>
      <c r="C1370" s="49"/>
      <c r="D1370" s="19" t="s">
        <v>20</v>
      </c>
      <c r="E1370" s="23">
        <v>5</v>
      </c>
      <c r="F1370" s="18">
        <f>E1370* 0.686268801552644</f>
        <v>3.43134400776322</v>
      </c>
      <c r="G1370" s="18">
        <f>E1370* 0.196991751576904</f>
        <v>0.98495875788451992</v>
      </c>
      <c r="H1370" s="18">
        <f>E1370* 0.116642406598738</f>
        <v>0.58321203299368995</v>
      </c>
    </row>
    <row r="1371" spans="1:8" ht="15.75" hidden="1" customHeight="1" x14ac:dyDescent="0.25">
      <c r="A1371" s="20" t="s">
        <v>105</v>
      </c>
      <c r="B1371" s="47" t="s">
        <v>123</v>
      </c>
      <c r="C1371" s="49"/>
      <c r="D1371" s="19" t="s">
        <v>21</v>
      </c>
      <c r="E1371" s="23">
        <v>65</v>
      </c>
      <c r="F1371" s="18">
        <f>E1371* 0.999513766486355</f>
        <v>64.968394821613074</v>
      </c>
      <c r="G1371" s="18">
        <f>E1371* 0.0000243116756822464</f>
        <v>1.5802589193460159E-3</v>
      </c>
      <c r="H1371" s="18">
        <f>E1371* 0.00034036345955145</f>
        <v>2.2123624870844249E-2</v>
      </c>
    </row>
    <row r="1372" spans="1:8" ht="15.75" hidden="1" customHeight="1" x14ac:dyDescent="0.25">
      <c r="A1372" s="20" t="s">
        <v>105</v>
      </c>
      <c r="B1372" s="47" t="s">
        <v>123</v>
      </c>
      <c r="C1372" s="49"/>
      <c r="D1372" s="19" t="s">
        <v>28</v>
      </c>
      <c r="E1372" s="23">
        <v>0</v>
      </c>
      <c r="F1372" s="18">
        <f>E1372* 0.00094876660341556</f>
        <v>0</v>
      </c>
      <c r="G1372" s="18">
        <f>E1372* 0.999051233396584</f>
        <v>0</v>
      </c>
      <c r="H1372" s="20">
        <v>0</v>
      </c>
    </row>
    <row r="1373" spans="1:8" ht="15.75" hidden="1" customHeight="1" x14ac:dyDescent="0.25">
      <c r="A1373" s="20" t="s">
        <v>105</v>
      </c>
      <c r="B1373" s="47" t="s">
        <v>123</v>
      </c>
      <c r="C1373" s="49"/>
      <c r="D1373" s="19" t="s">
        <v>12</v>
      </c>
      <c r="E1373" s="23">
        <v>17</v>
      </c>
      <c r="F1373" s="18">
        <f>E1373* 0.843786808009423</f>
        <v>14.34437573616019</v>
      </c>
      <c r="G1373" s="18">
        <f>E1373* 0.0740675304279545</f>
        <v>1.2591480172752265</v>
      </c>
      <c r="H1373" s="18">
        <f>E1373* 0.0820965842167256</f>
        <v>1.3956419316843351</v>
      </c>
    </row>
    <row r="1374" spans="1:8" ht="15.75" hidden="1" customHeight="1" x14ac:dyDescent="0.25">
      <c r="A1374" s="20" t="s">
        <v>105</v>
      </c>
      <c r="B1374" s="20"/>
      <c r="C1374" s="20"/>
      <c r="D1374" s="46"/>
      <c r="E1374" s="35"/>
    </row>
    <row r="1375" spans="1:8" ht="15.75" hidden="1" customHeight="1" x14ac:dyDescent="0.25">
      <c r="A1375" s="20" t="s">
        <v>105</v>
      </c>
      <c r="B1375" s="47" t="s">
        <v>124</v>
      </c>
      <c r="C1375" s="12" t="str">
        <f>B1375&amp;"_"&amp;A1375</f>
        <v>Omereque_Cochabamba</v>
      </c>
      <c r="D1375" s="20"/>
      <c r="E1375" s="48">
        <v>111</v>
      </c>
      <c r="F1375" s="14">
        <f t="shared" ref="F1375:H1375" si="117">SUM(F1376:F1384)</f>
        <v>81.595525339271958</v>
      </c>
      <c r="G1375" s="14">
        <f t="shared" si="117"/>
        <v>26.876659132899466</v>
      </c>
      <c r="H1375" s="14">
        <f t="shared" si="117"/>
        <v>2.5103172590393368</v>
      </c>
    </row>
    <row r="1376" spans="1:8" ht="15.75" hidden="1" customHeight="1" x14ac:dyDescent="0.25">
      <c r="A1376" s="20" t="s">
        <v>105</v>
      </c>
      <c r="B1376" s="47" t="s">
        <v>124</v>
      </c>
      <c r="C1376" s="49"/>
      <c r="D1376" s="19" t="s">
        <v>15</v>
      </c>
      <c r="E1376" s="23">
        <v>1</v>
      </c>
      <c r="F1376" s="18">
        <f>E1376* 0.932775698199239</f>
        <v>0.932775698199239</v>
      </c>
      <c r="G1376" s="18">
        <f>E1376* 0.00808724987291465</f>
        <v>8.0872498729146498E-3</v>
      </c>
      <c r="H1376" s="18">
        <f>E1376* 0.0590600305004852</f>
        <v>5.9060030500485201E-2</v>
      </c>
    </row>
    <row r="1377" spans="1:8" ht="15.75" hidden="1" customHeight="1" x14ac:dyDescent="0.25">
      <c r="A1377" s="20" t="s">
        <v>105</v>
      </c>
      <c r="B1377" s="47" t="s">
        <v>124</v>
      </c>
      <c r="C1377" s="49"/>
      <c r="D1377" s="29" t="s">
        <v>441</v>
      </c>
      <c r="E1377" s="23">
        <v>2</v>
      </c>
      <c r="F1377" s="18">
        <f>E1377* 0.0803212851405623</f>
        <v>0.16064257028112461</v>
      </c>
      <c r="G1377" s="18">
        <f>E1377* 0.913367756741251</f>
        <v>1.8267355134825021</v>
      </c>
      <c r="H1377" s="18">
        <f>E1377* 0.0057372346528973</f>
        <v>1.1474469305794601E-2</v>
      </c>
    </row>
    <row r="1378" spans="1:8" ht="15.75" hidden="1" customHeight="1" x14ac:dyDescent="0.25">
      <c r="A1378" s="20" t="s">
        <v>105</v>
      </c>
      <c r="B1378" s="47" t="s">
        <v>124</v>
      </c>
      <c r="C1378" s="49"/>
      <c r="D1378" s="19" t="s">
        <v>11</v>
      </c>
      <c r="E1378" s="23">
        <v>23</v>
      </c>
      <c r="F1378" s="18">
        <f>E1378* 0.150611071171819</f>
        <v>3.4640546369518366</v>
      </c>
      <c r="G1378" s="18">
        <f>E1378* 0.847699496764917</f>
        <v>19.497088425593091</v>
      </c>
      <c r="H1378" s="18">
        <f>E1378* 0.00136592379583034</f>
        <v>3.1416247304097818E-2</v>
      </c>
    </row>
    <row r="1379" spans="1:8" ht="15.75" hidden="1" customHeight="1" x14ac:dyDescent="0.25">
      <c r="A1379" s="20" t="s">
        <v>105</v>
      </c>
      <c r="B1379" s="47" t="s">
        <v>124</v>
      </c>
      <c r="C1379" s="49"/>
      <c r="D1379" s="19" t="s">
        <v>17</v>
      </c>
      <c r="E1379" s="23">
        <v>1</v>
      </c>
      <c r="F1379" s="18">
        <f>E1379* 0.840430229624022</f>
        <v>0.84043022962402203</v>
      </c>
      <c r="G1379" s="18">
        <f>E1379* 0.0777504415846581</f>
        <v>7.7750441584658103E-2</v>
      </c>
      <c r="H1379" s="18">
        <f>E1379* 0.0817877870300278</f>
        <v>8.17877870300278E-2</v>
      </c>
    </row>
    <row r="1380" spans="1:8" ht="15.75" hidden="1" customHeight="1" x14ac:dyDescent="0.25">
      <c r="A1380" s="20" t="s">
        <v>105</v>
      </c>
      <c r="B1380" s="47" t="s">
        <v>124</v>
      </c>
      <c r="C1380" s="49"/>
      <c r="D1380" s="19" t="s">
        <v>18</v>
      </c>
      <c r="E1380" s="23">
        <v>2</v>
      </c>
      <c r="F1380" s="18">
        <f>E1380* 0.932934264493959</f>
        <v>1.865868528987918</v>
      </c>
      <c r="G1380" s="18">
        <f>E1380* 0.0585300964416362</f>
        <v>0.11706019288327239</v>
      </c>
      <c r="H1380" s="18">
        <f>E1380* 0.00853563906440528</f>
        <v>1.7071278128810562E-2</v>
      </c>
    </row>
    <row r="1381" spans="1:8" ht="15.75" hidden="1" customHeight="1" x14ac:dyDescent="0.25">
      <c r="A1381" s="20" t="s">
        <v>105</v>
      </c>
      <c r="B1381" s="47" t="s">
        <v>124</v>
      </c>
      <c r="C1381" s="49"/>
      <c r="D1381" s="19" t="s">
        <v>20</v>
      </c>
      <c r="E1381" s="23">
        <v>14</v>
      </c>
      <c r="F1381" s="18">
        <f>E1381* 0.686268801552644</f>
        <v>9.6077632217370166</v>
      </c>
      <c r="G1381" s="18">
        <f>E1381* 0.196991751576904</f>
        <v>2.7578845220766559</v>
      </c>
      <c r="H1381" s="18">
        <f>E1381* 0.116642406598738</f>
        <v>1.6329936923823318</v>
      </c>
    </row>
    <row r="1382" spans="1:8" ht="15.75" hidden="1" customHeight="1" x14ac:dyDescent="0.25">
      <c r="A1382" s="20" t="s">
        <v>105</v>
      </c>
      <c r="B1382" s="47" t="s">
        <v>124</v>
      </c>
      <c r="C1382" s="49"/>
      <c r="D1382" s="19" t="s">
        <v>21</v>
      </c>
      <c r="E1382" s="23">
        <v>58</v>
      </c>
      <c r="F1382" s="18">
        <f>E1382* 0.999513766486355</f>
        <v>57.971798456208589</v>
      </c>
      <c r="G1382" s="18">
        <f>E1382* 0.0000243116756822464</f>
        <v>1.4100771895702911E-3</v>
      </c>
      <c r="H1382" s="18">
        <f>E1382* 0.00034036345955145</f>
        <v>1.9741080653984101E-2</v>
      </c>
    </row>
    <row r="1383" spans="1:8" ht="15.75" hidden="1" customHeight="1" x14ac:dyDescent="0.25">
      <c r="A1383" s="20" t="s">
        <v>105</v>
      </c>
      <c r="B1383" s="47" t="s">
        <v>124</v>
      </c>
      <c r="C1383" s="49"/>
      <c r="D1383" s="19" t="s">
        <v>28</v>
      </c>
      <c r="E1383" s="23">
        <v>2</v>
      </c>
      <c r="F1383" s="18">
        <f>E1383* 0.00094876660341556</f>
        <v>1.89753320683112E-3</v>
      </c>
      <c r="G1383" s="18">
        <f>E1383* 0.999051233396584</f>
        <v>1.9981024667931679</v>
      </c>
      <c r="H1383" s="20">
        <v>0</v>
      </c>
    </row>
    <row r="1384" spans="1:8" ht="15.75" hidden="1" customHeight="1" x14ac:dyDescent="0.25">
      <c r="A1384" s="20" t="s">
        <v>105</v>
      </c>
      <c r="B1384" s="47" t="s">
        <v>124</v>
      </c>
      <c r="C1384" s="49"/>
      <c r="D1384" s="19" t="s">
        <v>12</v>
      </c>
      <c r="E1384" s="23">
        <v>8</v>
      </c>
      <c r="F1384" s="18">
        <f>E1384* 0.843786808009423</f>
        <v>6.7502944640753837</v>
      </c>
      <c r="G1384" s="18">
        <f>E1384* 0.0740675304279545</f>
        <v>0.59254024342363598</v>
      </c>
      <c r="H1384" s="18">
        <f>E1384* 0.0820965842167256</f>
        <v>0.65677267373380477</v>
      </c>
    </row>
    <row r="1385" spans="1:8" ht="15.75" hidden="1" customHeight="1" x14ac:dyDescent="0.25">
      <c r="A1385" s="20" t="s">
        <v>105</v>
      </c>
      <c r="B1385" s="20"/>
      <c r="C1385" s="20"/>
      <c r="D1385" s="46"/>
      <c r="E1385" s="35"/>
    </row>
    <row r="1386" spans="1:8" ht="15.75" hidden="1" customHeight="1" x14ac:dyDescent="0.25">
      <c r="A1386" s="20" t="s">
        <v>105</v>
      </c>
      <c r="B1386" s="47" t="s">
        <v>125</v>
      </c>
      <c r="C1386" s="12" t="str">
        <f>B1386&amp;"_"&amp;A1386</f>
        <v>Pasorapa_Cochabamba</v>
      </c>
      <c r="D1386" s="20"/>
      <c r="E1386" s="48">
        <v>1</v>
      </c>
      <c r="F1386" s="14">
        <f t="shared" ref="F1386:H1386" si="118">F1387</f>
        <v>0.84043022962402203</v>
      </c>
      <c r="G1386" s="14">
        <f t="shared" si="118"/>
        <v>7.7750441584658103E-2</v>
      </c>
      <c r="H1386" s="14">
        <f t="shared" si="118"/>
        <v>8.17877870300278E-2</v>
      </c>
    </row>
    <row r="1387" spans="1:8" ht="15.75" hidden="1" customHeight="1" x14ac:dyDescent="0.25">
      <c r="A1387" s="20" t="s">
        <v>105</v>
      </c>
      <c r="B1387" s="47" t="s">
        <v>125</v>
      </c>
      <c r="C1387" s="49"/>
      <c r="D1387" s="19" t="s">
        <v>17</v>
      </c>
      <c r="E1387" s="23">
        <v>1</v>
      </c>
      <c r="F1387" s="18">
        <f>E1387* 0.840430229624022</f>
        <v>0.84043022962402203</v>
      </c>
      <c r="G1387" s="18">
        <f>E1387* 0.0777504415846581</f>
        <v>7.7750441584658103E-2</v>
      </c>
      <c r="H1387" s="18">
        <f>E1387* 0.0817877870300278</f>
        <v>8.17877870300278E-2</v>
      </c>
    </row>
    <row r="1388" spans="1:8" ht="15.75" hidden="1" customHeight="1" x14ac:dyDescent="0.25">
      <c r="A1388" s="20" t="s">
        <v>105</v>
      </c>
      <c r="B1388" s="20"/>
      <c r="C1388" s="20"/>
      <c r="D1388" s="46"/>
      <c r="E1388" s="35"/>
    </row>
    <row r="1389" spans="1:8" ht="15.75" hidden="1" customHeight="1" x14ac:dyDescent="0.25">
      <c r="A1389" s="20" t="s">
        <v>105</v>
      </c>
      <c r="B1389" s="47" t="s">
        <v>126</v>
      </c>
      <c r="C1389" s="12" t="str">
        <f>B1389&amp;"_"&amp;A1389</f>
        <v>Pocona_Cochabamba</v>
      </c>
      <c r="D1389" s="20"/>
      <c r="E1389" s="48">
        <v>65</v>
      </c>
      <c r="F1389" s="14">
        <f t="shared" ref="F1389:H1389" si="119">SUM(F1390:F1398)</f>
        <v>21.175441183487873</v>
      </c>
      <c r="G1389" s="14">
        <f t="shared" si="119"/>
        <v>42.62433307797032</v>
      </c>
      <c r="H1389" s="14">
        <f t="shared" si="119"/>
        <v>1.1834763949600042</v>
      </c>
    </row>
    <row r="1390" spans="1:8" ht="15.75" hidden="1" customHeight="1" x14ac:dyDescent="0.25">
      <c r="A1390" s="20" t="s">
        <v>105</v>
      </c>
      <c r="B1390" s="47" t="s">
        <v>126</v>
      </c>
      <c r="C1390" s="49"/>
      <c r="D1390" s="19" t="s">
        <v>15</v>
      </c>
      <c r="E1390" s="23">
        <v>1</v>
      </c>
      <c r="F1390" s="18">
        <f>E1390* 0.932775698199239</f>
        <v>0.932775698199239</v>
      </c>
      <c r="G1390" s="18">
        <f>E1390* 0.00808724987291465</f>
        <v>8.0872498729146498E-3</v>
      </c>
      <c r="H1390" s="18">
        <f>E1390* 0.0590600305004852</f>
        <v>5.9060030500485201E-2</v>
      </c>
    </row>
    <row r="1391" spans="1:8" ht="15.75" hidden="1" customHeight="1" x14ac:dyDescent="0.25">
      <c r="A1391" s="20" t="s">
        <v>105</v>
      </c>
      <c r="B1391" s="47" t="s">
        <v>126</v>
      </c>
      <c r="C1391" s="49"/>
      <c r="D1391" s="29" t="s">
        <v>442</v>
      </c>
      <c r="E1391" s="23">
        <v>1</v>
      </c>
      <c r="F1391" s="18">
        <f>E1391* 0.0803212851405623</f>
        <v>8.0321285140562304E-2</v>
      </c>
      <c r="G1391" s="18">
        <f>E1391* 0.913367756741251</f>
        <v>0.91336775674125104</v>
      </c>
      <c r="H1391" s="18">
        <f>E1391* 0.0057372346528973</f>
        <v>5.7372346528973004E-3</v>
      </c>
    </row>
    <row r="1392" spans="1:8" ht="15.75" hidden="1" customHeight="1" x14ac:dyDescent="0.25">
      <c r="A1392" s="20" t="s">
        <v>105</v>
      </c>
      <c r="B1392" s="47" t="s">
        <v>126</v>
      </c>
      <c r="C1392" s="49"/>
      <c r="D1392" s="19" t="s">
        <v>11</v>
      </c>
      <c r="E1392" s="23">
        <v>48</v>
      </c>
      <c r="F1392" s="18">
        <f>E1392* 0.150611071171819</f>
        <v>7.2293314162473115</v>
      </c>
      <c r="G1392" s="18">
        <f>E1392* 0.847699496764917</f>
        <v>40.689575844716018</v>
      </c>
      <c r="H1392" s="18">
        <f>E1392* 0.00136592379583034</f>
        <v>6.5564342199856324E-2</v>
      </c>
    </row>
    <row r="1393" spans="1:8" ht="15.75" hidden="1" customHeight="1" x14ac:dyDescent="0.25">
      <c r="A1393" s="20" t="s">
        <v>105</v>
      </c>
      <c r="B1393" s="47" t="s">
        <v>126</v>
      </c>
      <c r="C1393" s="49"/>
      <c r="D1393" s="19" t="s">
        <v>17</v>
      </c>
      <c r="E1393" s="23">
        <v>8</v>
      </c>
      <c r="F1393" s="18">
        <f>E1393* 0.840430229624022</f>
        <v>6.7234418369921762</v>
      </c>
      <c r="G1393" s="18">
        <f>E1393* 0.0777504415846581</f>
        <v>0.62200353267726483</v>
      </c>
      <c r="H1393" s="18">
        <f>E1393* 0.0817877870300278</f>
        <v>0.6543022962402224</v>
      </c>
    </row>
    <row r="1394" spans="1:8" ht="15.75" hidden="1" customHeight="1" x14ac:dyDescent="0.25">
      <c r="A1394" s="20" t="s">
        <v>105</v>
      </c>
      <c r="B1394" s="47" t="s">
        <v>126</v>
      </c>
      <c r="C1394" s="49"/>
      <c r="D1394" s="19" t="s">
        <v>31</v>
      </c>
      <c r="E1394" s="23">
        <v>1</v>
      </c>
      <c r="F1394" s="18">
        <f>E1394* 0.901975683890578</f>
        <v>0.90197568389057803</v>
      </c>
      <c r="G1394" s="18">
        <f>E1394* 0.0364741641337386</f>
        <v>3.64741641337386E-2</v>
      </c>
      <c r="H1394" s="18">
        <f>E1394* 0.0615501519756839</f>
        <v>6.1550151975683899E-2</v>
      </c>
    </row>
    <row r="1395" spans="1:8" ht="15.75" hidden="1" customHeight="1" x14ac:dyDescent="0.25">
      <c r="A1395" s="20" t="s">
        <v>105</v>
      </c>
      <c r="B1395" s="47" t="s">
        <v>126</v>
      </c>
      <c r="C1395" s="49"/>
      <c r="D1395" s="19" t="s">
        <v>18</v>
      </c>
      <c r="E1395" s="23">
        <v>1</v>
      </c>
      <c r="F1395" s="18">
        <f>E1395* 0.932934264493959</f>
        <v>0.932934264493959</v>
      </c>
      <c r="G1395" s="18">
        <f>E1395* 0.0585300964416362</f>
        <v>5.8530096441636197E-2</v>
      </c>
      <c r="H1395" s="18">
        <f>E1395* 0.00853563906440528</f>
        <v>8.5356390644052808E-3</v>
      </c>
    </row>
    <row r="1396" spans="1:8" ht="15.75" hidden="1" customHeight="1" x14ac:dyDescent="0.25">
      <c r="A1396" s="20" t="s">
        <v>105</v>
      </c>
      <c r="B1396" s="47" t="s">
        <v>126</v>
      </c>
      <c r="C1396" s="49"/>
      <c r="D1396" s="19" t="s">
        <v>21</v>
      </c>
      <c r="E1396" s="23">
        <v>1</v>
      </c>
      <c r="F1396" s="18">
        <f>E1396* 0.999513766486355</f>
        <v>0.99951376648635504</v>
      </c>
      <c r="G1396" s="18">
        <f>E1396* 0.0000243116756822464</f>
        <v>2.4311675682246399E-5</v>
      </c>
      <c r="H1396" s="18">
        <f>E1396* 0.00034036345955145</f>
        <v>3.4036345955145E-4</v>
      </c>
    </row>
    <row r="1397" spans="1:8" ht="15.75" hidden="1" customHeight="1" x14ac:dyDescent="0.25">
      <c r="A1397" s="20" t="s">
        <v>105</v>
      </c>
      <c r="B1397" s="47" t="s">
        <v>126</v>
      </c>
      <c r="C1397" s="49"/>
      <c r="D1397" s="19" t="s">
        <v>19</v>
      </c>
      <c r="E1397" s="35"/>
      <c r="F1397" s="18">
        <f>E1397* 0.290681971640783</f>
        <v>0</v>
      </c>
      <c r="G1397" s="18">
        <f>E1397* 0.694125590817016</f>
        <v>0</v>
      </c>
      <c r="H1397" s="18">
        <f>E1397* 0.0151924375422012</f>
        <v>0</v>
      </c>
    </row>
    <row r="1398" spans="1:8" ht="15.75" hidden="1" customHeight="1" x14ac:dyDescent="0.25">
      <c r="A1398" s="20" t="s">
        <v>105</v>
      </c>
      <c r="B1398" s="47" t="s">
        <v>126</v>
      </c>
      <c r="C1398" s="49"/>
      <c r="D1398" s="19" t="s">
        <v>12</v>
      </c>
      <c r="E1398" s="23">
        <v>4</v>
      </c>
      <c r="F1398" s="18">
        <f>E1398* 0.843786808009423</f>
        <v>3.3751472320376918</v>
      </c>
      <c r="G1398" s="18">
        <f>E1398* 0.0740675304279545</f>
        <v>0.29627012171181799</v>
      </c>
      <c r="H1398" s="18">
        <f>E1398* 0.0820965842167256</f>
        <v>0.32838633686690238</v>
      </c>
    </row>
    <row r="1399" spans="1:8" ht="15.75" hidden="1" customHeight="1" x14ac:dyDescent="0.25">
      <c r="A1399" s="20" t="s">
        <v>105</v>
      </c>
      <c r="B1399" s="20"/>
      <c r="C1399" s="20"/>
      <c r="D1399" s="46"/>
      <c r="E1399" s="35"/>
    </row>
    <row r="1400" spans="1:8" ht="15.75" hidden="1" customHeight="1" x14ac:dyDescent="0.25">
      <c r="A1400" s="20" t="s">
        <v>105</v>
      </c>
      <c r="B1400" s="47" t="s">
        <v>127</v>
      </c>
      <c r="C1400" s="12" t="str">
        <f>B1400&amp;"_"&amp;A1400</f>
        <v>Pojo_Cochabamba</v>
      </c>
      <c r="D1400" s="20"/>
      <c r="E1400" s="48">
        <v>62</v>
      </c>
      <c r="F1400" s="14">
        <f t="shared" ref="F1400:H1400" si="120">SUM(F1401:F1408)</f>
        <v>43.274802301042129</v>
      </c>
      <c r="G1400" s="14">
        <f t="shared" si="120"/>
        <v>16.967869251037772</v>
      </c>
      <c r="H1400" s="14">
        <f t="shared" si="120"/>
        <v>1.7475338590954805</v>
      </c>
    </row>
    <row r="1401" spans="1:8" ht="15.75" hidden="1" customHeight="1" x14ac:dyDescent="0.25">
      <c r="A1401" s="20" t="s">
        <v>105</v>
      </c>
      <c r="B1401" s="47" t="s">
        <v>127</v>
      </c>
      <c r="C1401" s="49"/>
      <c r="D1401" s="19" t="s">
        <v>15</v>
      </c>
      <c r="E1401" s="23">
        <v>1</v>
      </c>
      <c r="F1401" s="18">
        <f>E1401* 0.932775698199239</f>
        <v>0.932775698199239</v>
      </c>
      <c r="G1401" s="18">
        <f>E1401* 0.00808724987291465</f>
        <v>8.0872498729146498E-3</v>
      </c>
      <c r="H1401" s="18">
        <f>E1401* 0.0590600305004852</f>
        <v>5.9060030500485201E-2</v>
      </c>
    </row>
    <row r="1402" spans="1:8" ht="15.75" hidden="1" customHeight="1" x14ac:dyDescent="0.25">
      <c r="A1402" s="20" t="s">
        <v>105</v>
      </c>
      <c r="B1402" s="47" t="s">
        <v>127</v>
      </c>
      <c r="C1402" s="49"/>
      <c r="D1402" s="29" t="s">
        <v>443</v>
      </c>
      <c r="E1402" s="23">
        <v>2</v>
      </c>
      <c r="F1402" s="18">
        <f>E1402* 0.0803212851405623</f>
        <v>0.16064257028112461</v>
      </c>
      <c r="G1402" s="18">
        <f>E1402* 0.913367756741251</f>
        <v>1.8267355134825021</v>
      </c>
      <c r="H1402" s="18">
        <f>E1402* 0.0057372346528973</f>
        <v>1.1474469305794601E-2</v>
      </c>
    </row>
    <row r="1403" spans="1:8" ht="15.75" hidden="1" customHeight="1" x14ac:dyDescent="0.25">
      <c r="A1403" s="20" t="s">
        <v>105</v>
      </c>
      <c r="B1403" s="47" t="s">
        <v>127</v>
      </c>
      <c r="C1403" s="49"/>
      <c r="D1403" s="19" t="s">
        <v>11</v>
      </c>
      <c r="E1403" s="23">
        <v>16</v>
      </c>
      <c r="F1403" s="18">
        <f>E1403* 0.150611071171819</f>
        <v>2.4097771387491038</v>
      </c>
      <c r="G1403" s="18">
        <f>E1403* 0.847699496764917</f>
        <v>13.563191948238671</v>
      </c>
      <c r="H1403" s="18">
        <f>E1403* 0.00136592379583034</f>
        <v>2.185478073328544E-2</v>
      </c>
    </row>
    <row r="1404" spans="1:8" ht="15.75" hidden="1" customHeight="1" x14ac:dyDescent="0.25">
      <c r="A1404" s="20" t="s">
        <v>105</v>
      </c>
      <c r="B1404" s="47" t="s">
        <v>127</v>
      </c>
      <c r="C1404" s="49"/>
      <c r="D1404" s="19" t="s">
        <v>17</v>
      </c>
      <c r="E1404" s="23">
        <v>8</v>
      </c>
      <c r="F1404" s="18">
        <f>E1404* 0.840430229624022</f>
        <v>6.7234418369921762</v>
      </c>
      <c r="G1404" s="18">
        <f>E1404* 0.0777504415846581</f>
        <v>0.62200353267726483</v>
      </c>
      <c r="H1404" s="18">
        <f>E1404* 0.0817877870300278</f>
        <v>0.6543022962402224</v>
      </c>
    </row>
    <row r="1405" spans="1:8" ht="15.75" hidden="1" customHeight="1" x14ac:dyDescent="0.25">
      <c r="A1405" s="20" t="s">
        <v>105</v>
      </c>
      <c r="B1405" s="47" t="s">
        <v>127</v>
      </c>
      <c r="C1405" s="49"/>
      <c r="D1405" s="19" t="s">
        <v>18</v>
      </c>
      <c r="E1405" s="23">
        <v>1</v>
      </c>
      <c r="F1405" s="18">
        <f>E1405* 0.932934264493959</f>
        <v>0.932934264493959</v>
      </c>
      <c r="G1405" s="18">
        <f>E1405* 0.0585300964416362</f>
        <v>5.8530096441636197E-2</v>
      </c>
      <c r="H1405" s="18">
        <f>E1405* 0.00853563906440528</f>
        <v>8.5356390644052808E-3</v>
      </c>
    </row>
    <row r="1406" spans="1:8" ht="15.75" hidden="1" customHeight="1" x14ac:dyDescent="0.25">
      <c r="A1406" s="20" t="s">
        <v>105</v>
      </c>
      <c r="B1406" s="47" t="s">
        <v>127</v>
      </c>
      <c r="C1406" s="49"/>
      <c r="D1406" s="19" t="s">
        <v>21</v>
      </c>
      <c r="E1406" s="23">
        <v>21</v>
      </c>
      <c r="F1406" s="18">
        <f>E1406* 0.999513766486355</f>
        <v>20.989789096213457</v>
      </c>
      <c r="G1406" s="18">
        <f>E1406* 0.0000243116756822464</f>
        <v>5.1054518932717432E-4</v>
      </c>
      <c r="H1406" s="18">
        <f>E1406* 0.00034036345955145</f>
        <v>7.1476326505804499E-3</v>
      </c>
    </row>
    <row r="1407" spans="1:8" ht="15.75" hidden="1" customHeight="1" x14ac:dyDescent="0.25">
      <c r="A1407" s="20" t="s">
        <v>105</v>
      </c>
      <c r="B1407" s="47" t="s">
        <v>127</v>
      </c>
      <c r="C1407" s="49"/>
      <c r="D1407" s="19" t="s">
        <v>36</v>
      </c>
      <c r="E1407" s="23">
        <v>1</v>
      </c>
      <c r="F1407" s="24">
        <f>E1407</f>
        <v>1</v>
      </c>
      <c r="G1407" s="20">
        <v>0</v>
      </c>
      <c r="H1407" s="20">
        <v>0</v>
      </c>
    </row>
    <row r="1408" spans="1:8" ht="15.75" hidden="1" customHeight="1" x14ac:dyDescent="0.25">
      <c r="A1408" s="20" t="s">
        <v>105</v>
      </c>
      <c r="B1408" s="47" t="s">
        <v>127</v>
      </c>
      <c r="C1408" s="49"/>
      <c r="D1408" s="19" t="s">
        <v>12</v>
      </c>
      <c r="E1408" s="23">
        <v>12</v>
      </c>
      <c r="F1408" s="18">
        <f>E1408* 0.843786808009423</f>
        <v>10.125441696113075</v>
      </c>
      <c r="G1408" s="18">
        <f>E1408* 0.0740675304279545</f>
        <v>0.88881036513545397</v>
      </c>
      <c r="H1408" s="18">
        <f>E1408* 0.0820965842167256</f>
        <v>0.9851590106007071</v>
      </c>
    </row>
    <row r="1409" spans="1:8" ht="15.75" hidden="1" customHeight="1" x14ac:dyDescent="0.25">
      <c r="A1409" s="20" t="s">
        <v>105</v>
      </c>
      <c r="B1409" s="20"/>
      <c r="C1409" s="20"/>
      <c r="D1409" s="46"/>
      <c r="E1409" s="35"/>
    </row>
    <row r="1410" spans="1:8" ht="15.75" hidden="1" customHeight="1" x14ac:dyDescent="0.25">
      <c r="A1410" s="20" t="s">
        <v>105</v>
      </c>
      <c r="B1410" s="47" t="s">
        <v>128</v>
      </c>
      <c r="C1410" s="12" t="str">
        <f>B1410&amp;"_"&amp;A1410</f>
        <v>Puerto Villarroel_Cochabamba</v>
      </c>
      <c r="D1410" s="20"/>
      <c r="E1410" s="48">
        <v>15132</v>
      </c>
      <c r="F1410" s="14">
        <f t="shared" ref="F1410:H1410" si="121">SUM(F1411:F1423)</f>
        <v>14322.744075926134</v>
      </c>
      <c r="G1410" s="14">
        <f t="shared" si="121"/>
        <v>589.56163516385584</v>
      </c>
      <c r="H1410" s="14">
        <f t="shared" si="121"/>
        <v>217.92627110024685</v>
      </c>
    </row>
    <row r="1411" spans="1:8" ht="15.75" hidden="1" customHeight="1" x14ac:dyDescent="0.25">
      <c r="A1411" s="20" t="s">
        <v>105</v>
      </c>
      <c r="B1411" s="47" t="s">
        <v>128</v>
      </c>
      <c r="C1411" s="49"/>
      <c r="D1411" s="29" t="s">
        <v>444</v>
      </c>
      <c r="E1411" s="23">
        <v>6</v>
      </c>
      <c r="F1411" s="20">
        <v>0</v>
      </c>
      <c r="G1411" s="24">
        <f>E1411</f>
        <v>6</v>
      </c>
      <c r="H1411" s="20">
        <v>0</v>
      </c>
    </row>
    <row r="1412" spans="1:8" ht="15.75" hidden="1" customHeight="1" x14ac:dyDescent="0.25">
      <c r="A1412" s="20" t="s">
        <v>105</v>
      </c>
      <c r="B1412" s="47" t="s">
        <v>128</v>
      </c>
      <c r="C1412" s="49"/>
      <c r="D1412" s="19" t="s">
        <v>15</v>
      </c>
      <c r="E1412" s="23">
        <v>46</v>
      </c>
      <c r="F1412" s="18">
        <f>E1412* 0.932775698199239</f>
        <v>42.907682117164995</v>
      </c>
      <c r="G1412" s="18">
        <f>E1412* 0.00808724987291465</f>
        <v>0.37201349415407386</v>
      </c>
      <c r="H1412" s="18">
        <f>E1412* 0.0590600305004852</f>
        <v>2.7167614030223191</v>
      </c>
    </row>
    <row r="1413" spans="1:8" ht="15.75" hidden="1" customHeight="1" x14ac:dyDescent="0.25">
      <c r="A1413" s="20" t="s">
        <v>105</v>
      </c>
      <c r="B1413" s="47" t="s">
        <v>128</v>
      </c>
      <c r="C1413" s="49"/>
      <c r="D1413" s="29" t="s">
        <v>445</v>
      </c>
      <c r="E1413" s="23">
        <v>82</v>
      </c>
      <c r="F1413" s="18">
        <f>E1413* 0.0803212851405623</f>
        <v>6.586345381526109</v>
      </c>
      <c r="G1413" s="18">
        <f>E1413* 0.913367756741251</f>
        <v>74.896156052782587</v>
      </c>
      <c r="H1413" s="18">
        <f>E1413* 0.0057372346528973</f>
        <v>0.47045324153757861</v>
      </c>
    </row>
    <row r="1414" spans="1:8" ht="15.75" hidden="1" customHeight="1" x14ac:dyDescent="0.25">
      <c r="A1414" s="20" t="s">
        <v>105</v>
      </c>
      <c r="B1414" s="47" t="s">
        <v>128</v>
      </c>
      <c r="C1414" s="49"/>
      <c r="D1414" s="19" t="s">
        <v>11</v>
      </c>
      <c r="E1414" s="23">
        <v>312</v>
      </c>
      <c r="F1414" s="18">
        <f>E1414* 0.150611071171819</f>
        <v>46.990654205607527</v>
      </c>
      <c r="G1414" s="18">
        <f>E1414* 0.847699496764917</f>
        <v>264.48224299065407</v>
      </c>
      <c r="H1414" s="18">
        <f>E1414* 0.00136592379583034</f>
        <v>0.42616822429906609</v>
      </c>
    </row>
    <row r="1415" spans="1:8" ht="15.75" hidden="1" customHeight="1" x14ac:dyDescent="0.25">
      <c r="A1415" s="20" t="s">
        <v>105</v>
      </c>
      <c r="B1415" s="47" t="s">
        <v>128</v>
      </c>
      <c r="C1415" s="49"/>
      <c r="D1415" s="19" t="s">
        <v>17</v>
      </c>
      <c r="E1415" s="23">
        <v>65</v>
      </c>
      <c r="F1415" s="18">
        <f>E1415* 0.840430229624022</f>
        <v>54.627964925561429</v>
      </c>
      <c r="G1415" s="18">
        <f>E1415* 0.0777504415846581</f>
        <v>5.0537787030027763</v>
      </c>
      <c r="H1415" s="18">
        <f>E1415* 0.0817877870300278</f>
        <v>5.3162061569518073</v>
      </c>
    </row>
    <row r="1416" spans="1:8" ht="15.75" hidden="1" customHeight="1" x14ac:dyDescent="0.25">
      <c r="A1416" s="20" t="s">
        <v>105</v>
      </c>
      <c r="B1416" s="47" t="s">
        <v>128</v>
      </c>
      <c r="C1416" s="49"/>
      <c r="D1416" s="19" t="s">
        <v>31</v>
      </c>
      <c r="E1416" s="23">
        <v>51</v>
      </c>
      <c r="F1416" s="18">
        <f>E1416* 0.901975683890578</f>
        <v>46.00075987841948</v>
      </c>
      <c r="G1416" s="18">
        <f>E1416* 0.0364741641337386</f>
        <v>1.8601823708206686</v>
      </c>
      <c r="H1416" s="18">
        <f>E1416* 0.0615501519756839</f>
        <v>3.1390577507598789</v>
      </c>
    </row>
    <row r="1417" spans="1:8" ht="15.75" hidden="1" customHeight="1" x14ac:dyDescent="0.25">
      <c r="A1417" s="20" t="s">
        <v>105</v>
      </c>
      <c r="B1417" s="47" t="s">
        <v>128</v>
      </c>
      <c r="C1417" s="49"/>
      <c r="D1417" s="19" t="s">
        <v>18</v>
      </c>
      <c r="E1417" s="23">
        <v>11</v>
      </c>
      <c r="F1417" s="18">
        <f>E1417* 0.932934264493959</f>
        <v>10.262276909433549</v>
      </c>
      <c r="G1417" s="18">
        <f>E1417* 0.0585300964416362</f>
        <v>0.64383106085799813</v>
      </c>
      <c r="H1417" s="18">
        <f>E1417* 0.00853563906440528</f>
        <v>9.3892029708458086E-2</v>
      </c>
    </row>
    <row r="1418" spans="1:8" ht="15.75" hidden="1" customHeight="1" x14ac:dyDescent="0.25">
      <c r="A1418" s="20" t="s">
        <v>105</v>
      </c>
      <c r="B1418" s="47" t="s">
        <v>128</v>
      </c>
      <c r="C1418" s="49"/>
      <c r="D1418" s="19" t="s">
        <v>19</v>
      </c>
      <c r="E1418" s="23">
        <v>14</v>
      </c>
      <c r="F1418" s="18">
        <f>E1418* 0.290681971640783</f>
        <v>4.0695476029709621</v>
      </c>
      <c r="G1418" s="18">
        <f>E1418* 0.694125590817016</f>
        <v>9.7177582714382229</v>
      </c>
      <c r="H1418" s="18">
        <f>E1418* 0.0151924375422012</f>
        <v>0.2126941255908168</v>
      </c>
    </row>
    <row r="1419" spans="1:8" ht="15.75" hidden="1" customHeight="1" x14ac:dyDescent="0.25">
      <c r="A1419" s="20" t="s">
        <v>105</v>
      </c>
      <c r="B1419" s="47" t="s">
        <v>128</v>
      </c>
      <c r="C1419" s="49"/>
      <c r="D1419" s="19" t="s">
        <v>20</v>
      </c>
      <c r="E1419" s="23">
        <v>333</v>
      </c>
      <c r="F1419" s="18">
        <f>E1419* 0.686268801552644</f>
        <v>228.52751091703047</v>
      </c>
      <c r="G1419" s="18">
        <f>E1419* 0.196991751576904</f>
        <v>65.59825327510903</v>
      </c>
      <c r="H1419" s="18">
        <f>E1419* 0.116642406598738</f>
        <v>38.84192139737975</v>
      </c>
    </row>
    <row r="1420" spans="1:8" ht="15.75" hidden="1" customHeight="1" x14ac:dyDescent="0.25">
      <c r="A1420" s="20" t="s">
        <v>105</v>
      </c>
      <c r="B1420" s="47" t="s">
        <v>128</v>
      </c>
      <c r="C1420" s="49"/>
      <c r="D1420" s="19" t="s">
        <v>21</v>
      </c>
      <c r="E1420" s="23">
        <v>12216</v>
      </c>
      <c r="F1420" s="18">
        <f>E1420* 0.999513766486355</f>
        <v>12210.060171397314</v>
      </c>
      <c r="G1420" s="18">
        <f>E1420* 0.0000243116756822464</f>
        <v>0.296991430134322</v>
      </c>
      <c r="H1420" s="18">
        <f>E1420* 0.00034036345955145</f>
        <v>4.157880021880513</v>
      </c>
    </row>
    <row r="1421" spans="1:8" ht="15.75" hidden="1" customHeight="1" x14ac:dyDescent="0.25">
      <c r="A1421" s="20" t="s">
        <v>105</v>
      </c>
      <c r="B1421" s="47" t="s">
        <v>128</v>
      </c>
      <c r="C1421" s="49"/>
      <c r="D1421" s="19" t="s">
        <v>36</v>
      </c>
      <c r="E1421" s="23">
        <v>2</v>
      </c>
      <c r="F1421" s="24">
        <f>E1421</f>
        <v>2</v>
      </c>
      <c r="G1421" s="20">
        <v>0</v>
      </c>
      <c r="H1421" s="20">
        <v>0</v>
      </c>
    </row>
    <row r="1422" spans="1:8" ht="15.75" hidden="1" customHeight="1" x14ac:dyDescent="0.25">
      <c r="A1422" s="20" t="s">
        <v>105</v>
      </c>
      <c r="B1422" s="47" t="s">
        <v>128</v>
      </c>
      <c r="C1422" s="49"/>
      <c r="D1422" s="19" t="s">
        <v>28</v>
      </c>
      <c r="E1422" s="23">
        <v>14</v>
      </c>
      <c r="F1422" s="18">
        <f>E1422* 0.00094876660341556</f>
        <v>1.328273244781784E-2</v>
      </c>
      <c r="G1422" s="18">
        <f>E1422* 0.999051233396584</f>
        <v>13.986717267552176</v>
      </c>
      <c r="H1422" s="20">
        <v>0</v>
      </c>
    </row>
    <row r="1423" spans="1:8" ht="15.75" hidden="1" customHeight="1" x14ac:dyDescent="0.25">
      <c r="A1423" s="20" t="s">
        <v>105</v>
      </c>
      <c r="B1423" s="47" t="s">
        <v>128</v>
      </c>
      <c r="C1423" s="49"/>
      <c r="D1423" s="19" t="s">
        <v>12</v>
      </c>
      <c r="E1423" s="23">
        <v>1980</v>
      </c>
      <c r="F1423" s="18">
        <f>E1423* 0.843786808009423</f>
        <v>1670.6978798586574</v>
      </c>
      <c r="G1423" s="18">
        <f>E1423* 0.0740675304279545</f>
        <v>146.65371024734989</v>
      </c>
      <c r="H1423" s="18">
        <f>E1423* 0.0820965842167256</f>
        <v>162.55123674911667</v>
      </c>
    </row>
    <row r="1424" spans="1:8" ht="15.75" hidden="1" customHeight="1" x14ac:dyDescent="0.25">
      <c r="A1424" s="20" t="s">
        <v>105</v>
      </c>
      <c r="B1424" s="20"/>
      <c r="C1424" s="20"/>
      <c r="D1424" s="46"/>
      <c r="E1424" s="35"/>
    </row>
    <row r="1425" spans="1:8" ht="15.75" hidden="1" customHeight="1" x14ac:dyDescent="0.25">
      <c r="A1425" s="20" t="s">
        <v>105</v>
      </c>
      <c r="B1425" s="47" t="s">
        <v>129</v>
      </c>
      <c r="C1425" s="12" t="str">
        <f>B1425&amp;"_"&amp;A1425</f>
        <v>Punata_Cochabamba</v>
      </c>
      <c r="D1425" s="20"/>
      <c r="E1425" s="48">
        <v>7871</v>
      </c>
      <c r="F1425" s="14">
        <f t="shared" ref="F1425:H1425" si="122">SUM(F1426:F1438)</f>
        <v>6502.8896250679572</v>
      </c>
      <c r="G1425" s="14">
        <f t="shared" si="122"/>
        <v>931.19249411395094</v>
      </c>
      <c r="H1425" s="14">
        <f t="shared" si="122"/>
        <v>436.22822547201372</v>
      </c>
    </row>
    <row r="1426" spans="1:8" ht="15.75" hidden="1" customHeight="1" x14ac:dyDescent="0.25">
      <c r="A1426" s="20" t="s">
        <v>105</v>
      </c>
      <c r="B1426" s="47" t="s">
        <v>129</v>
      </c>
      <c r="C1426" s="49"/>
      <c r="D1426" s="29" t="s">
        <v>446</v>
      </c>
      <c r="E1426" s="23">
        <v>6</v>
      </c>
      <c r="F1426" s="20">
        <v>0</v>
      </c>
      <c r="G1426" s="24">
        <f>E1426</f>
        <v>6</v>
      </c>
      <c r="H1426" s="20">
        <v>0</v>
      </c>
    </row>
    <row r="1427" spans="1:8" ht="15.75" hidden="1" customHeight="1" x14ac:dyDescent="0.25">
      <c r="A1427" s="20" t="s">
        <v>105</v>
      </c>
      <c r="B1427" s="47" t="s">
        <v>129</v>
      </c>
      <c r="C1427" s="49"/>
      <c r="D1427" s="19" t="s">
        <v>15</v>
      </c>
      <c r="E1427" s="23">
        <v>1175</v>
      </c>
      <c r="F1427" s="18">
        <f>E1427* 0.932775698199239</f>
        <v>1096.0114453841059</v>
      </c>
      <c r="G1427" s="18">
        <f>E1427* 0.00808724987291465</f>
        <v>9.5025186006747138</v>
      </c>
      <c r="H1427" s="18">
        <f>E1427* 0.0590600305004852</f>
        <v>69.395535838070117</v>
      </c>
    </row>
    <row r="1428" spans="1:8" ht="15.75" hidden="1" customHeight="1" x14ac:dyDescent="0.25">
      <c r="A1428" s="20" t="s">
        <v>105</v>
      </c>
      <c r="B1428" s="47" t="s">
        <v>129</v>
      </c>
      <c r="C1428" s="49"/>
      <c r="D1428" s="29" t="s">
        <v>447</v>
      </c>
      <c r="E1428" s="23">
        <v>19</v>
      </c>
      <c r="F1428" s="18">
        <f>E1428* 0.0803212851405623</f>
        <v>1.5261044176706837</v>
      </c>
      <c r="G1428" s="18">
        <f>E1428* 0.913367756741251</f>
        <v>17.353987378083769</v>
      </c>
      <c r="H1428" s="18">
        <f>E1428* 0.0057372346528973</f>
        <v>0.1090074584050487</v>
      </c>
    </row>
    <row r="1429" spans="1:8" ht="15.75" hidden="1" customHeight="1" x14ac:dyDescent="0.25">
      <c r="A1429" s="20" t="s">
        <v>105</v>
      </c>
      <c r="B1429" s="47" t="s">
        <v>129</v>
      </c>
      <c r="C1429" s="49"/>
      <c r="D1429" s="19" t="s">
        <v>11</v>
      </c>
      <c r="E1429" s="23">
        <v>529</v>
      </c>
      <c r="F1429" s="18">
        <f>E1429* 0.150611071171819</f>
        <v>79.673256649892238</v>
      </c>
      <c r="G1429" s="18">
        <f>E1429* 0.847699496764917</f>
        <v>448.43303378864107</v>
      </c>
      <c r="H1429" s="18">
        <f>E1429* 0.00136592379583034</f>
        <v>0.72257368799424981</v>
      </c>
    </row>
    <row r="1430" spans="1:8" ht="15.75" hidden="1" customHeight="1" x14ac:dyDescent="0.25">
      <c r="A1430" s="20" t="s">
        <v>105</v>
      </c>
      <c r="B1430" s="47" t="s">
        <v>129</v>
      </c>
      <c r="C1430" s="49"/>
      <c r="D1430" s="19" t="s">
        <v>17</v>
      </c>
      <c r="E1430" s="23">
        <v>567</v>
      </c>
      <c r="F1430" s="18">
        <f>E1430* 0.840430229624022</f>
        <v>476.52394019682049</v>
      </c>
      <c r="G1430" s="18">
        <f>E1430* 0.0777504415846581</f>
        <v>44.084500378501147</v>
      </c>
      <c r="H1430" s="18">
        <f>E1430* 0.0817877870300278</f>
        <v>46.373675246025762</v>
      </c>
    </row>
    <row r="1431" spans="1:8" ht="15.75" hidden="1" customHeight="1" x14ac:dyDescent="0.25">
      <c r="A1431" s="20" t="s">
        <v>105</v>
      </c>
      <c r="B1431" s="47" t="s">
        <v>129</v>
      </c>
      <c r="C1431" s="49"/>
      <c r="D1431" s="19" t="s">
        <v>31</v>
      </c>
      <c r="E1431" s="23">
        <v>57</v>
      </c>
      <c r="F1431" s="18">
        <f>E1431* 0.901975683890578</f>
        <v>51.412613981762945</v>
      </c>
      <c r="G1431" s="18">
        <f>E1431* 0.0364741641337386</f>
        <v>2.0790273556231003</v>
      </c>
      <c r="H1431" s="18">
        <f>E1431* 0.0615501519756839</f>
        <v>3.5083586626139822</v>
      </c>
    </row>
    <row r="1432" spans="1:8" ht="15.75" hidden="1" customHeight="1" x14ac:dyDescent="0.25">
      <c r="A1432" s="20" t="s">
        <v>105</v>
      </c>
      <c r="B1432" s="47" t="s">
        <v>129</v>
      </c>
      <c r="C1432" s="49"/>
      <c r="D1432" s="19" t="s">
        <v>18</v>
      </c>
      <c r="E1432" s="23">
        <v>86</v>
      </c>
      <c r="F1432" s="18">
        <f>E1432* 0.932934264493959</f>
        <v>80.232346746480474</v>
      </c>
      <c r="G1432" s="18">
        <f>E1432* 0.0585300964416362</f>
        <v>5.0335882939807126</v>
      </c>
      <c r="H1432" s="18">
        <f>E1432* 0.00853563906440528</f>
        <v>0.7340649595388542</v>
      </c>
    </row>
    <row r="1433" spans="1:8" ht="15.75" hidden="1" customHeight="1" x14ac:dyDescent="0.25">
      <c r="A1433" s="20" t="s">
        <v>105</v>
      </c>
      <c r="B1433" s="47" t="s">
        <v>129</v>
      </c>
      <c r="C1433" s="49"/>
      <c r="D1433" s="19" t="s">
        <v>19</v>
      </c>
      <c r="E1433" s="23">
        <v>72</v>
      </c>
      <c r="F1433" s="18">
        <f>E1433* 0.290681971640783</f>
        <v>20.929101958136378</v>
      </c>
      <c r="G1433" s="18">
        <f>E1433* 0.694125590817016</f>
        <v>49.977042538825152</v>
      </c>
      <c r="H1433" s="18">
        <f>E1433* 0.0151924375422012</f>
        <v>1.0938555030384864</v>
      </c>
    </row>
    <row r="1434" spans="1:8" ht="15.75" hidden="1" customHeight="1" x14ac:dyDescent="0.25">
      <c r="A1434" s="20" t="s">
        <v>105</v>
      </c>
      <c r="B1434" s="47" t="s">
        <v>129</v>
      </c>
      <c r="C1434" s="49"/>
      <c r="D1434" s="19" t="s">
        <v>20</v>
      </c>
      <c r="E1434" s="23">
        <v>367</v>
      </c>
      <c r="F1434" s="18">
        <f>E1434* 0.686268801552644</f>
        <v>251.86065016982036</v>
      </c>
      <c r="G1434" s="18">
        <f>E1434* 0.196991751576904</f>
        <v>72.295972828723762</v>
      </c>
      <c r="H1434" s="18">
        <f>E1434* 0.116642406598738</f>
        <v>42.807763221736842</v>
      </c>
    </row>
    <row r="1435" spans="1:8" ht="15.75" hidden="1" customHeight="1" x14ac:dyDescent="0.25">
      <c r="A1435" s="20" t="s">
        <v>105</v>
      </c>
      <c r="B1435" s="47" t="s">
        <v>129</v>
      </c>
      <c r="C1435" s="49"/>
      <c r="D1435" s="19" t="s">
        <v>21</v>
      </c>
      <c r="E1435" s="23">
        <v>1659</v>
      </c>
      <c r="F1435" s="18">
        <f>E1435* 0.999513766486355</f>
        <v>1658.1933386008629</v>
      </c>
      <c r="G1435" s="18">
        <f>E1435* 0.0000243116756822464</f>
        <v>4.0333069956846775E-2</v>
      </c>
      <c r="H1435" s="18">
        <f>E1435* 0.00034036345955145</f>
        <v>0.56466297939585552</v>
      </c>
    </row>
    <row r="1436" spans="1:8" ht="15.75" hidden="1" customHeight="1" x14ac:dyDescent="0.25">
      <c r="A1436" s="20" t="s">
        <v>105</v>
      </c>
      <c r="B1436" s="47" t="s">
        <v>129</v>
      </c>
      <c r="C1436" s="49"/>
      <c r="D1436" s="19" t="s">
        <v>36</v>
      </c>
      <c r="E1436" s="23">
        <v>2</v>
      </c>
      <c r="F1436" s="24">
        <f>E1436</f>
        <v>2</v>
      </c>
      <c r="G1436" s="20">
        <v>0</v>
      </c>
      <c r="H1436" s="20">
        <v>0</v>
      </c>
    </row>
    <row r="1437" spans="1:8" ht="15.75" hidden="1" customHeight="1" x14ac:dyDescent="0.25">
      <c r="A1437" s="20" t="s">
        <v>105</v>
      </c>
      <c r="B1437" s="47" t="s">
        <v>129</v>
      </c>
      <c r="C1437" s="49"/>
      <c r="D1437" s="19" t="s">
        <v>28</v>
      </c>
      <c r="E1437" s="23">
        <v>32</v>
      </c>
      <c r="F1437" s="18">
        <f>E1437* 0.00094876660341556</f>
        <v>3.036053130929792E-2</v>
      </c>
      <c r="G1437" s="18">
        <f>E1437* 0.999051233396584</f>
        <v>31.969639468690687</v>
      </c>
      <c r="H1437" s="20">
        <v>0</v>
      </c>
    </row>
    <row r="1438" spans="1:8" ht="15.75" hidden="1" customHeight="1" x14ac:dyDescent="0.25">
      <c r="A1438" s="20" t="s">
        <v>105</v>
      </c>
      <c r="B1438" s="47" t="s">
        <v>129</v>
      </c>
      <c r="C1438" s="49"/>
      <c r="D1438" s="19" t="s">
        <v>12</v>
      </c>
      <c r="E1438" s="23">
        <v>3300</v>
      </c>
      <c r="F1438" s="18">
        <f>E1438* 0.843786808009423</f>
        <v>2784.496466431096</v>
      </c>
      <c r="G1438" s="18">
        <f>E1438* 0.0740675304279545</f>
        <v>244.42285041224983</v>
      </c>
      <c r="H1438" s="18">
        <f>E1438* 0.0820965842167256</f>
        <v>270.91872791519449</v>
      </c>
    </row>
    <row r="1439" spans="1:8" ht="15.75" hidden="1" customHeight="1" x14ac:dyDescent="0.25">
      <c r="A1439" s="20" t="s">
        <v>105</v>
      </c>
      <c r="B1439" s="20"/>
      <c r="C1439" s="20"/>
      <c r="D1439" s="46"/>
      <c r="E1439" s="35"/>
    </row>
    <row r="1440" spans="1:8" ht="15.75" hidden="1" customHeight="1" x14ac:dyDescent="0.25">
      <c r="A1440" s="20" t="s">
        <v>105</v>
      </c>
      <c r="B1440" s="47" t="s">
        <v>130</v>
      </c>
      <c r="C1440" s="12" t="str">
        <f>B1440&amp;"_"&amp;A1440</f>
        <v>Quillacollo_Cochabamba</v>
      </c>
      <c r="D1440" s="20"/>
      <c r="E1440" s="48">
        <v>69591</v>
      </c>
      <c r="F1440" s="14">
        <f t="shared" ref="F1440:H1440" si="123">SUM(F1441:F1454)</f>
        <v>51715.755494289086</v>
      </c>
      <c r="G1440" s="14">
        <f t="shared" si="123"/>
        <v>14256.419650278332</v>
      </c>
      <c r="H1440" s="14">
        <f t="shared" si="123"/>
        <v>3612.0892570132087</v>
      </c>
    </row>
    <row r="1441" spans="1:8" ht="15.75" hidden="1" customHeight="1" x14ac:dyDescent="0.25">
      <c r="A1441" s="20" t="s">
        <v>105</v>
      </c>
      <c r="B1441" s="47" t="s">
        <v>130</v>
      </c>
      <c r="C1441" s="49"/>
      <c r="D1441" s="29" t="s">
        <v>448</v>
      </c>
      <c r="E1441" s="23">
        <v>21</v>
      </c>
      <c r="F1441" s="20">
        <v>0</v>
      </c>
      <c r="G1441" s="24">
        <f>E1441</f>
        <v>21</v>
      </c>
      <c r="H1441" s="20">
        <v>0</v>
      </c>
    </row>
    <row r="1442" spans="1:8" ht="15.75" hidden="1" customHeight="1" x14ac:dyDescent="0.25">
      <c r="A1442" s="20" t="s">
        <v>105</v>
      </c>
      <c r="B1442" s="47" t="s">
        <v>130</v>
      </c>
      <c r="C1442" s="49"/>
      <c r="D1442" s="19" t="s">
        <v>15</v>
      </c>
      <c r="E1442" s="23">
        <v>11628</v>
      </c>
      <c r="F1442" s="18">
        <f>E1442* 0.932775698199239</f>
        <v>10846.315818660751</v>
      </c>
      <c r="G1442" s="18">
        <f>E1442* 0.00808724987291465</f>
        <v>94.038541522251549</v>
      </c>
      <c r="H1442" s="18">
        <f>E1442* 0.0590600305004852</f>
        <v>686.75003465964187</v>
      </c>
    </row>
    <row r="1443" spans="1:8" ht="15.75" hidden="1" customHeight="1" x14ac:dyDescent="0.25">
      <c r="A1443" s="20" t="s">
        <v>105</v>
      </c>
      <c r="B1443" s="47" t="s">
        <v>130</v>
      </c>
      <c r="C1443" s="49"/>
      <c r="D1443" s="29" t="s">
        <v>449</v>
      </c>
      <c r="E1443" s="23">
        <v>321</v>
      </c>
      <c r="F1443" s="18">
        <f>E1443* 0.0803212851405623</f>
        <v>25.783132530120501</v>
      </c>
      <c r="G1443" s="18">
        <f>E1443* 0.913367756741251</f>
        <v>293.19104991394158</v>
      </c>
      <c r="H1443" s="18">
        <f>E1443* 0.0057372346528973</f>
        <v>1.8416523235800335</v>
      </c>
    </row>
    <row r="1444" spans="1:8" ht="15.75" hidden="1" customHeight="1" x14ac:dyDescent="0.25">
      <c r="A1444" s="20" t="s">
        <v>105</v>
      </c>
      <c r="B1444" s="47" t="s">
        <v>130</v>
      </c>
      <c r="C1444" s="49"/>
      <c r="D1444" s="19" t="s">
        <v>11</v>
      </c>
      <c r="E1444" s="23">
        <v>8417</v>
      </c>
      <c r="F1444" s="18">
        <f>E1444* 0.150611071171819</f>
        <v>1267.6933860532004</v>
      </c>
      <c r="G1444" s="18">
        <f>E1444* 0.847699496764917</f>
        <v>7135.0866642703058</v>
      </c>
      <c r="H1444" s="18">
        <f>E1444* 0.00136592379583034</f>
        <v>11.496980589503972</v>
      </c>
    </row>
    <row r="1445" spans="1:8" ht="15.75" hidden="1" customHeight="1" x14ac:dyDescent="0.25">
      <c r="A1445" s="20" t="s">
        <v>105</v>
      </c>
      <c r="B1445" s="47" t="s">
        <v>130</v>
      </c>
      <c r="C1445" s="49"/>
      <c r="D1445" s="19" t="s">
        <v>17</v>
      </c>
      <c r="E1445" s="23">
        <v>7385</v>
      </c>
      <c r="F1445" s="18">
        <f>E1445* 0.840430229624022</f>
        <v>6206.5772457734029</v>
      </c>
      <c r="G1445" s="18">
        <f>E1445* 0.0777504415846581</f>
        <v>574.18701110270013</v>
      </c>
      <c r="H1445" s="18">
        <f>E1445* 0.0817877870300278</f>
        <v>604.00280721675529</v>
      </c>
    </row>
    <row r="1446" spans="1:8" ht="15.75" hidden="1" customHeight="1" x14ac:dyDescent="0.25">
      <c r="A1446" s="20" t="s">
        <v>105</v>
      </c>
      <c r="B1446" s="47" t="s">
        <v>130</v>
      </c>
      <c r="C1446" s="49"/>
      <c r="D1446" s="19" t="s">
        <v>31</v>
      </c>
      <c r="E1446" s="23">
        <v>333</v>
      </c>
      <c r="F1446" s="18">
        <f>E1446* 0.901975683890578</f>
        <v>300.3579027355625</v>
      </c>
      <c r="G1446" s="18">
        <f>E1446* 0.0364741641337386</f>
        <v>12.145896656534953</v>
      </c>
      <c r="H1446" s="18">
        <f>E1446* 0.0615501519756839</f>
        <v>20.49620060790274</v>
      </c>
    </row>
    <row r="1447" spans="1:8" ht="15.75" hidden="1" customHeight="1" x14ac:dyDescent="0.25">
      <c r="A1447" s="20" t="s">
        <v>105</v>
      </c>
      <c r="B1447" s="47" t="s">
        <v>130</v>
      </c>
      <c r="C1447" s="49"/>
      <c r="D1447" s="19" t="s">
        <v>18</v>
      </c>
      <c r="E1447" s="23">
        <v>1626</v>
      </c>
      <c r="F1447" s="18">
        <f>E1447* 0.932934264493959</f>
        <v>1516.9511140671773</v>
      </c>
      <c r="G1447" s="18">
        <f>E1447* 0.0585300964416362</f>
        <v>95.169936814100453</v>
      </c>
      <c r="H1447" s="18">
        <f>E1447* 0.00853563906440528</f>
        <v>13.878949118722987</v>
      </c>
    </row>
    <row r="1448" spans="1:8" ht="15.75" hidden="1" customHeight="1" x14ac:dyDescent="0.25">
      <c r="A1448" s="20" t="s">
        <v>105</v>
      </c>
      <c r="B1448" s="47" t="s">
        <v>130</v>
      </c>
      <c r="C1448" s="49"/>
      <c r="D1448" s="19" t="s">
        <v>19</v>
      </c>
      <c r="E1448" s="23">
        <v>687</v>
      </c>
      <c r="F1448" s="18">
        <f>E1448* 0.290681971640783</f>
        <v>199.69851451721794</v>
      </c>
      <c r="G1448" s="18">
        <f>E1448* 0.694125590817016</f>
        <v>476.86428089128998</v>
      </c>
      <c r="H1448" s="18">
        <f>E1448* 0.0151924375422012</f>
        <v>10.437204591492225</v>
      </c>
    </row>
    <row r="1449" spans="1:8" ht="15.75" hidden="1" customHeight="1" x14ac:dyDescent="0.25">
      <c r="A1449" s="20" t="s">
        <v>105</v>
      </c>
      <c r="B1449" s="47" t="s">
        <v>130</v>
      </c>
      <c r="C1449" s="49"/>
      <c r="D1449" s="19" t="s">
        <v>20</v>
      </c>
      <c r="E1449" s="23">
        <v>4095</v>
      </c>
      <c r="F1449" s="18">
        <f>E1449* 0.686268801552644</f>
        <v>2810.2707423580773</v>
      </c>
      <c r="G1449" s="18">
        <f>E1449* 0.196991751576904</f>
        <v>806.68122270742185</v>
      </c>
      <c r="H1449" s="18">
        <f>E1449* 0.116642406598738</f>
        <v>477.65065502183211</v>
      </c>
    </row>
    <row r="1450" spans="1:8" ht="15.75" hidden="1" customHeight="1" x14ac:dyDescent="0.25">
      <c r="A1450" s="20" t="s">
        <v>105</v>
      </c>
      <c r="B1450" s="47" t="s">
        <v>130</v>
      </c>
      <c r="C1450" s="49"/>
      <c r="D1450" s="19" t="s">
        <v>21</v>
      </c>
      <c r="E1450" s="23">
        <v>10178</v>
      </c>
      <c r="F1450" s="18">
        <f>E1450* 0.999513766486355</f>
        <v>10173.051115298122</v>
      </c>
      <c r="G1450" s="18">
        <f>E1450* 0.0000243116756822464</f>
        <v>0.24744423509390384</v>
      </c>
      <c r="H1450" s="18">
        <f>E1450* 0.00034036345955145</f>
        <v>3.4642192913146581</v>
      </c>
    </row>
    <row r="1451" spans="1:8" ht="15.75" hidden="1" customHeight="1" x14ac:dyDescent="0.25">
      <c r="A1451" s="20" t="s">
        <v>105</v>
      </c>
      <c r="B1451" s="47" t="s">
        <v>130</v>
      </c>
      <c r="C1451" s="49"/>
      <c r="D1451" s="19" t="s">
        <v>36</v>
      </c>
      <c r="E1451" s="23">
        <v>50</v>
      </c>
      <c r="F1451" s="24">
        <f>E1451</f>
        <v>50</v>
      </c>
      <c r="G1451" s="20">
        <v>0</v>
      </c>
      <c r="H1451" s="20">
        <v>0</v>
      </c>
    </row>
    <row r="1452" spans="1:8" ht="15.75" hidden="1" customHeight="1" x14ac:dyDescent="0.25">
      <c r="A1452" s="20" t="s">
        <v>105</v>
      </c>
      <c r="B1452" s="47" t="s">
        <v>130</v>
      </c>
      <c r="C1452" s="49"/>
      <c r="D1452" s="19" t="s">
        <v>37</v>
      </c>
      <c r="E1452" s="23">
        <v>6</v>
      </c>
      <c r="F1452" s="20">
        <v>0</v>
      </c>
      <c r="G1452" s="24">
        <f>E1452</f>
        <v>6</v>
      </c>
      <c r="H1452" s="20">
        <v>0</v>
      </c>
    </row>
    <row r="1453" spans="1:8" ht="15.75" hidden="1" customHeight="1" x14ac:dyDescent="0.25">
      <c r="A1453" s="20" t="s">
        <v>105</v>
      </c>
      <c r="B1453" s="47" t="s">
        <v>130</v>
      </c>
      <c r="C1453" s="49"/>
      <c r="D1453" s="19" t="s">
        <v>28</v>
      </c>
      <c r="E1453" s="23">
        <v>3137</v>
      </c>
      <c r="F1453" s="18">
        <f>E1453* 0.00094876660341556</f>
        <v>2.9762808349146117</v>
      </c>
      <c r="G1453" s="18">
        <f>E1453* 0.999051233396584</f>
        <v>3134.023719165084</v>
      </c>
      <c r="H1453" s="20">
        <v>0</v>
      </c>
    </row>
    <row r="1454" spans="1:8" ht="15.75" hidden="1" customHeight="1" x14ac:dyDescent="0.25">
      <c r="A1454" s="20" t="s">
        <v>105</v>
      </c>
      <c r="B1454" s="47" t="s">
        <v>130</v>
      </c>
      <c r="C1454" s="49"/>
      <c r="D1454" s="19" t="s">
        <v>12</v>
      </c>
      <c r="E1454" s="23">
        <v>21707</v>
      </c>
      <c r="F1454" s="18">
        <f>E1454* 0.843786808009423</f>
        <v>18316.080241460546</v>
      </c>
      <c r="G1454" s="18">
        <f>E1454* 0.0740675304279545</f>
        <v>1607.7838829996083</v>
      </c>
      <c r="H1454" s="18">
        <f>E1454* 0.0820965842167256</f>
        <v>1782.0705535924626</v>
      </c>
    </row>
    <row r="1455" spans="1:8" ht="15.75" hidden="1" customHeight="1" x14ac:dyDescent="0.25">
      <c r="A1455" s="20" t="s">
        <v>105</v>
      </c>
      <c r="B1455" s="20"/>
      <c r="C1455" s="20"/>
      <c r="D1455" s="46"/>
      <c r="E1455" s="35"/>
    </row>
    <row r="1456" spans="1:8" ht="15.75" hidden="1" customHeight="1" x14ac:dyDescent="0.25">
      <c r="A1456" s="20" t="s">
        <v>105</v>
      </c>
      <c r="B1456" s="47" t="s">
        <v>131</v>
      </c>
      <c r="C1456" s="12" t="str">
        <f>B1456&amp;"_"&amp;A1456</f>
        <v>Sacaba_Cochabamba</v>
      </c>
      <c r="D1456" s="20"/>
      <c r="E1456" s="48">
        <v>53392</v>
      </c>
      <c r="F1456" s="14">
        <f t="shared" ref="F1456:H1456" si="124">SUM(F1457:F1472)</f>
        <v>40724.071912664673</v>
      </c>
      <c r="G1456" s="14">
        <f t="shared" si="124"/>
        <v>10223.823624330162</v>
      </c>
      <c r="H1456" s="14">
        <f t="shared" si="124"/>
        <v>2438.2849395646099</v>
      </c>
    </row>
    <row r="1457" spans="1:8" ht="15.75" hidden="1" customHeight="1" x14ac:dyDescent="0.25">
      <c r="A1457" s="20" t="s">
        <v>105</v>
      </c>
      <c r="B1457" s="47" t="s">
        <v>131</v>
      </c>
      <c r="C1457" s="49"/>
      <c r="D1457" s="29" t="s">
        <v>450</v>
      </c>
      <c r="E1457" s="23">
        <v>19</v>
      </c>
      <c r="F1457" s="20">
        <v>0</v>
      </c>
      <c r="G1457" s="24">
        <f>E1457</f>
        <v>19</v>
      </c>
      <c r="H1457" s="20">
        <v>0</v>
      </c>
    </row>
    <row r="1458" spans="1:8" ht="15.75" hidden="1" customHeight="1" x14ac:dyDescent="0.25">
      <c r="A1458" s="20" t="s">
        <v>105</v>
      </c>
      <c r="B1458" s="47" t="s">
        <v>131</v>
      </c>
      <c r="C1458" s="49"/>
      <c r="D1458" s="19" t="s">
        <v>15</v>
      </c>
      <c r="E1458" s="23">
        <v>6132</v>
      </c>
      <c r="F1458" s="18">
        <f>E1458* 0.932775698199239</f>
        <v>5719.7805813577334</v>
      </c>
      <c r="G1458" s="18">
        <f>E1458* 0.00808724987291465</f>
        <v>49.591016220712632</v>
      </c>
      <c r="H1458" s="18">
        <f>E1458* 0.0590600305004852</f>
        <v>362.15610702897527</v>
      </c>
    </row>
    <row r="1459" spans="1:8" ht="15.75" hidden="1" customHeight="1" x14ac:dyDescent="0.25">
      <c r="A1459" s="20" t="s">
        <v>105</v>
      </c>
      <c r="B1459" s="47" t="s">
        <v>131</v>
      </c>
      <c r="C1459" s="49"/>
      <c r="D1459" s="29" t="s">
        <v>451</v>
      </c>
      <c r="E1459" s="23">
        <v>343</v>
      </c>
      <c r="F1459" s="18">
        <f>E1459* 0.0803212851405623</f>
        <v>27.550200803212871</v>
      </c>
      <c r="G1459" s="18">
        <f>E1459* 0.913367756741251</f>
        <v>313.28514056224913</v>
      </c>
      <c r="H1459" s="18">
        <f>E1459* 0.0057372346528973</f>
        <v>1.967871485943774</v>
      </c>
    </row>
    <row r="1460" spans="1:8" ht="15.75" hidden="1" customHeight="1" x14ac:dyDescent="0.25">
      <c r="A1460" s="20" t="s">
        <v>105</v>
      </c>
      <c r="B1460" s="47" t="s">
        <v>131</v>
      </c>
      <c r="C1460" s="49"/>
      <c r="D1460" s="19" t="s">
        <v>11</v>
      </c>
      <c r="E1460" s="23">
        <v>6260</v>
      </c>
      <c r="F1460" s="18">
        <f>E1460* 0.150611071171819</f>
        <v>942.82530553558684</v>
      </c>
      <c r="G1460" s="18">
        <f>E1460* 0.847699496764917</f>
        <v>5306.5988497483804</v>
      </c>
      <c r="H1460" s="18">
        <f>E1460* 0.00136592379583034</f>
        <v>8.5506829618979285</v>
      </c>
    </row>
    <row r="1461" spans="1:8" ht="15.75" hidden="1" customHeight="1" x14ac:dyDescent="0.25">
      <c r="A1461" s="20" t="s">
        <v>105</v>
      </c>
      <c r="B1461" s="47" t="s">
        <v>131</v>
      </c>
      <c r="C1461" s="49"/>
      <c r="D1461" s="19" t="s">
        <v>17</v>
      </c>
      <c r="E1461" s="23">
        <v>4587</v>
      </c>
      <c r="F1461" s="18">
        <f>E1461* 0.840430229624022</f>
        <v>3855.0534632853892</v>
      </c>
      <c r="G1461" s="18">
        <f>E1461* 0.0777504415846581</f>
        <v>356.64127554882674</v>
      </c>
      <c r="H1461" s="18">
        <f>E1461* 0.0817877870300278</f>
        <v>375.16057910673754</v>
      </c>
    </row>
    <row r="1462" spans="1:8" ht="15.75" hidden="1" customHeight="1" x14ac:dyDescent="0.25">
      <c r="A1462" s="20" t="s">
        <v>105</v>
      </c>
      <c r="B1462" s="47" t="s">
        <v>131</v>
      </c>
      <c r="C1462" s="49"/>
      <c r="D1462" s="19" t="s">
        <v>31</v>
      </c>
      <c r="E1462" s="23">
        <v>208</v>
      </c>
      <c r="F1462" s="18">
        <f>E1462* 0.901975683890578</f>
        <v>187.61094224924022</v>
      </c>
      <c r="G1462" s="18">
        <f>E1462* 0.0364741641337386</f>
        <v>7.5866261398176285</v>
      </c>
      <c r="H1462" s="18">
        <f>E1462* 0.0615501519756839</f>
        <v>12.802431610942252</v>
      </c>
    </row>
    <row r="1463" spans="1:8" ht="15.75" hidden="1" customHeight="1" x14ac:dyDescent="0.25">
      <c r="A1463" s="20" t="s">
        <v>105</v>
      </c>
      <c r="B1463" s="47" t="s">
        <v>131</v>
      </c>
      <c r="C1463" s="49"/>
      <c r="D1463" s="19" t="s">
        <v>18</v>
      </c>
      <c r="E1463" s="23">
        <v>734</v>
      </c>
      <c r="F1463" s="18">
        <f>E1463* 0.932934264493959</f>
        <v>684.7737501385659</v>
      </c>
      <c r="G1463" s="18">
        <f>E1463* 0.0585300964416362</f>
        <v>42.961090788160966</v>
      </c>
      <c r="H1463" s="18">
        <f>E1463* 0.00853563906440528</f>
        <v>6.2651590732734759</v>
      </c>
    </row>
    <row r="1464" spans="1:8" ht="15.75" hidden="1" customHeight="1" x14ac:dyDescent="0.25">
      <c r="A1464" s="20" t="s">
        <v>105</v>
      </c>
      <c r="B1464" s="47" t="s">
        <v>131</v>
      </c>
      <c r="C1464" s="49"/>
      <c r="D1464" s="29" t="s">
        <v>452</v>
      </c>
      <c r="E1464" s="23">
        <v>1</v>
      </c>
      <c r="F1464" s="20">
        <v>0</v>
      </c>
      <c r="G1464" s="24">
        <f>E1464</f>
        <v>1</v>
      </c>
      <c r="H1464" s="20">
        <v>0</v>
      </c>
    </row>
    <row r="1465" spans="1:8" ht="15.75" hidden="1" customHeight="1" x14ac:dyDescent="0.25">
      <c r="A1465" s="20" t="s">
        <v>105</v>
      </c>
      <c r="B1465" s="47" t="s">
        <v>131</v>
      </c>
      <c r="C1465" s="49"/>
      <c r="D1465" s="19" t="s">
        <v>19</v>
      </c>
      <c r="E1465" s="23">
        <v>307</v>
      </c>
      <c r="F1465" s="18">
        <f>E1465* 0.290681971640783</f>
        <v>89.239365293720383</v>
      </c>
      <c r="G1465" s="18">
        <f>E1465* 0.694125590817016</f>
        <v>213.0965563808239</v>
      </c>
      <c r="H1465" s="18">
        <f>E1465* 0.0151924375422012</f>
        <v>4.6640783254557681</v>
      </c>
    </row>
    <row r="1466" spans="1:8" ht="15.75" hidden="1" customHeight="1" x14ac:dyDescent="0.25">
      <c r="A1466" s="20" t="s">
        <v>105</v>
      </c>
      <c r="B1466" s="47" t="s">
        <v>131</v>
      </c>
      <c r="C1466" s="49"/>
      <c r="D1466" s="19" t="s">
        <v>20</v>
      </c>
      <c r="E1466" s="23">
        <v>5726</v>
      </c>
      <c r="F1466" s="18">
        <f>E1466* 0.686268801552644</f>
        <v>3929.5751576904395</v>
      </c>
      <c r="G1466" s="18">
        <f>E1466* 0.196991751576904</f>
        <v>1127.9747695293522</v>
      </c>
      <c r="H1466" s="18">
        <f>E1466* 0.116642406598738</f>
        <v>667.89442018437376</v>
      </c>
    </row>
    <row r="1467" spans="1:8" ht="15.75" hidden="1" customHeight="1" x14ac:dyDescent="0.25">
      <c r="A1467" s="20" t="s">
        <v>105</v>
      </c>
      <c r="B1467" s="47" t="s">
        <v>131</v>
      </c>
      <c r="C1467" s="49"/>
      <c r="D1467" s="19" t="s">
        <v>21</v>
      </c>
      <c r="E1467" s="23">
        <v>15062</v>
      </c>
      <c r="F1467" s="18">
        <f>E1467* 0.999513766486355</f>
        <v>15054.676350817479</v>
      </c>
      <c r="G1467" s="18">
        <f>E1467* 0.0000243116756822464</f>
        <v>0.36618245912599523</v>
      </c>
      <c r="H1467" s="18">
        <f>E1467* 0.00034036345955145</f>
        <v>5.1265544277639403</v>
      </c>
    </row>
    <row r="1468" spans="1:8" ht="15.75" hidden="1" customHeight="1" x14ac:dyDescent="0.25">
      <c r="A1468" s="20" t="s">
        <v>105</v>
      </c>
      <c r="B1468" s="47" t="s">
        <v>131</v>
      </c>
      <c r="C1468" s="49"/>
      <c r="D1468" s="19" t="s">
        <v>36</v>
      </c>
      <c r="E1468" s="23">
        <v>18</v>
      </c>
      <c r="F1468" s="24">
        <f>E1468</f>
        <v>18</v>
      </c>
      <c r="G1468" s="20">
        <v>0</v>
      </c>
      <c r="H1468" s="20">
        <v>0</v>
      </c>
    </row>
    <row r="1469" spans="1:8" ht="15.75" hidden="1" customHeight="1" x14ac:dyDescent="0.25">
      <c r="A1469" s="20" t="s">
        <v>105</v>
      </c>
      <c r="B1469" s="47" t="s">
        <v>131</v>
      </c>
      <c r="C1469" s="49"/>
      <c r="D1469" s="19" t="s">
        <v>37</v>
      </c>
      <c r="E1469" s="23">
        <v>2</v>
      </c>
      <c r="F1469" s="20">
        <v>0</v>
      </c>
      <c r="G1469" s="24">
        <f>E1469</f>
        <v>2</v>
      </c>
      <c r="H1469" s="20">
        <v>0</v>
      </c>
    </row>
    <row r="1470" spans="1:8" ht="15.75" hidden="1" customHeight="1" x14ac:dyDescent="0.25">
      <c r="A1470" s="20" t="s">
        <v>105</v>
      </c>
      <c r="B1470" s="47" t="s">
        <v>131</v>
      </c>
      <c r="C1470" s="49"/>
      <c r="D1470" s="19" t="s">
        <v>28</v>
      </c>
      <c r="E1470" s="23">
        <v>1888</v>
      </c>
      <c r="F1470" s="18">
        <f>E1470* 0.00094876660341556</f>
        <v>1.7912713472485773</v>
      </c>
      <c r="G1470" s="18">
        <f>E1470* 0.999051233396584</f>
        <v>1886.2087286527506</v>
      </c>
      <c r="H1470" s="20">
        <v>0</v>
      </c>
    </row>
    <row r="1471" spans="1:8" ht="15.75" hidden="1" customHeight="1" x14ac:dyDescent="0.25">
      <c r="A1471" s="20" t="s">
        <v>105</v>
      </c>
      <c r="B1471" s="47" t="s">
        <v>131</v>
      </c>
      <c r="C1471" s="49"/>
      <c r="D1471" s="19" t="s">
        <v>84</v>
      </c>
      <c r="E1471" s="23">
        <v>1</v>
      </c>
      <c r="F1471" s="20">
        <v>0</v>
      </c>
      <c r="G1471" s="24">
        <f>E1471</f>
        <v>1</v>
      </c>
      <c r="H1471" s="20">
        <v>0</v>
      </c>
    </row>
    <row r="1472" spans="1:8" ht="15.75" hidden="1" customHeight="1" x14ac:dyDescent="0.25">
      <c r="A1472" s="20" t="s">
        <v>105</v>
      </c>
      <c r="B1472" s="47" t="s">
        <v>131</v>
      </c>
      <c r="C1472" s="49"/>
      <c r="D1472" s="19" t="s">
        <v>12</v>
      </c>
      <c r="E1472" s="23">
        <v>12104</v>
      </c>
      <c r="F1472" s="18">
        <f>E1472* 0.843786808009423</f>
        <v>10213.195524146056</v>
      </c>
      <c r="G1472" s="18">
        <f>E1472* 0.0740675304279545</f>
        <v>896.51338829996121</v>
      </c>
      <c r="H1472" s="18">
        <f>E1472* 0.0820965842167256</f>
        <v>993.69705535924663</v>
      </c>
    </row>
    <row r="1473" spans="1:8" ht="15.75" hidden="1" customHeight="1" x14ac:dyDescent="0.25">
      <c r="A1473" s="20" t="s">
        <v>105</v>
      </c>
      <c r="B1473" s="20"/>
      <c r="C1473" s="20"/>
      <c r="D1473" s="46"/>
      <c r="E1473" s="35"/>
    </row>
    <row r="1474" spans="1:8" ht="15.75" hidden="1" customHeight="1" x14ac:dyDescent="0.25">
      <c r="A1474" s="20" t="s">
        <v>105</v>
      </c>
      <c r="B1474" s="47" t="s">
        <v>132</v>
      </c>
      <c r="C1474" s="12" t="str">
        <f>B1474&amp;"_"&amp;A1474</f>
        <v>Sacabamba_Cochabamba</v>
      </c>
      <c r="D1474" s="20"/>
      <c r="E1474" s="48">
        <v>6</v>
      </c>
      <c r="F1474" s="14">
        <f t="shared" ref="F1474:H1474" si="125">SUM(F1475:F1478)</f>
        <v>4.1211810350333558</v>
      </c>
      <c r="G1474" s="14">
        <f t="shared" si="125"/>
        <v>1.6973745941026135</v>
      </c>
      <c r="H1474" s="14">
        <f t="shared" si="125"/>
        <v>0.18081466231719004</v>
      </c>
    </row>
    <row r="1475" spans="1:8" ht="15.75" hidden="1" customHeight="1" x14ac:dyDescent="0.25">
      <c r="A1475" s="20" t="s">
        <v>105</v>
      </c>
      <c r="B1475" s="47" t="s">
        <v>132</v>
      </c>
      <c r="C1475" s="49"/>
      <c r="D1475" s="19" t="s">
        <v>11</v>
      </c>
      <c r="E1475" s="23">
        <v>1</v>
      </c>
      <c r="F1475" s="18">
        <f>E1475* 0.150611071171819</f>
        <v>0.15061107117181899</v>
      </c>
      <c r="G1475" s="18">
        <f>E1475* 0.847699496764917</f>
        <v>0.84769949676491696</v>
      </c>
      <c r="H1475" s="18">
        <f>E1475* 0.00136592379583034</f>
        <v>1.36592379583034E-3</v>
      </c>
    </row>
    <row r="1476" spans="1:8" ht="15.75" hidden="1" customHeight="1" x14ac:dyDescent="0.25">
      <c r="A1476" s="20" t="s">
        <v>105</v>
      </c>
      <c r="B1476" s="47" t="s">
        <v>132</v>
      </c>
      <c r="C1476" s="49"/>
      <c r="D1476" s="19" t="s">
        <v>17</v>
      </c>
      <c r="E1476" s="23">
        <v>2</v>
      </c>
      <c r="F1476" s="18">
        <f>E1476* 0.840430229624022</f>
        <v>1.6808604592480441</v>
      </c>
      <c r="G1476" s="18">
        <f>E1476* 0.0777504415846581</f>
        <v>0.15550088316931621</v>
      </c>
      <c r="H1476" s="18">
        <f>E1476* 0.0817877870300278</f>
        <v>0.1635755740600556</v>
      </c>
    </row>
    <row r="1477" spans="1:8" ht="15.75" hidden="1" customHeight="1" x14ac:dyDescent="0.25">
      <c r="A1477" s="20" t="s">
        <v>105</v>
      </c>
      <c r="B1477" s="47" t="s">
        <v>132</v>
      </c>
      <c r="C1477" s="49"/>
      <c r="D1477" s="19" t="s">
        <v>19</v>
      </c>
      <c r="E1477" s="23">
        <v>1</v>
      </c>
      <c r="F1477" s="18">
        <f>E1477* 0.290681971640783</f>
        <v>0.29068197164078302</v>
      </c>
      <c r="G1477" s="18">
        <f>E1477* 0.694125590817016</f>
        <v>0.69412559081701597</v>
      </c>
      <c r="H1477" s="18">
        <f>E1477* 0.0151924375422012</f>
        <v>1.51924375422012E-2</v>
      </c>
    </row>
    <row r="1478" spans="1:8" ht="15.75" hidden="1" customHeight="1" x14ac:dyDescent="0.25">
      <c r="A1478" s="20" t="s">
        <v>105</v>
      </c>
      <c r="B1478" s="47" t="s">
        <v>132</v>
      </c>
      <c r="C1478" s="49"/>
      <c r="D1478" s="19" t="s">
        <v>21</v>
      </c>
      <c r="E1478" s="23">
        <v>2</v>
      </c>
      <c r="F1478" s="18">
        <f>E1478* 0.999513766486355</f>
        <v>1.9990275329727101</v>
      </c>
      <c r="G1478" s="18">
        <f>E1478* 0.0000243116756822464</f>
        <v>4.8623351364492797E-5</v>
      </c>
      <c r="H1478" s="18">
        <f>E1478* 0.00034036345955145</f>
        <v>6.807269191029E-4</v>
      </c>
    </row>
    <row r="1479" spans="1:8" ht="15.75" hidden="1" customHeight="1" x14ac:dyDescent="0.25">
      <c r="A1479" s="20" t="s">
        <v>105</v>
      </c>
      <c r="B1479" s="20"/>
      <c r="C1479" s="20"/>
      <c r="D1479" s="46"/>
      <c r="E1479" s="35"/>
    </row>
    <row r="1480" spans="1:8" ht="15.75" hidden="1" customHeight="1" x14ac:dyDescent="0.25">
      <c r="A1480" s="20" t="s">
        <v>105</v>
      </c>
      <c r="B1480" s="47" t="s">
        <v>133</v>
      </c>
      <c r="C1480" s="12" t="str">
        <f>B1480&amp;"_"&amp;A1480</f>
        <v>San Benito_Cochabamba</v>
      </c>
      <c r="D1480" s="20"/>
      <c r="E1480" s="48">
        <v>1441</v>
      </c>
      <c r="F1480" s="14">
        <f t="shared" ref="F1480:H1480" si="126">SUM(F1481:F1491)</f>
        <v>1094.4757891304057</v>
      </c>
      <c r="G1480" s="14">
        <f t="shared" si="126"/>
        <v>257.87534941178723</v>
      </c>
      <c r="H1480" s="14">
        <f t="shared" si="126"/>
        <v>88.503201079920359</v>
      </c>
    </row>
    <row r="1481" spans="1:8" ht="15.75" hidden="1" customHeight="1" x14ac:dyDescent="0.25">
      <c r="A1481" s="20" t="s">
        <v>105</v>
      </c>
      <c r="B1481" s="47" t="s">
        <v>133</v>
      </c>
      <c r="C1481" s="49"/>
      <c r="D1481" s="29" t="s">
        <v>453</v>
      </c>
      <c r="E1481" s="23">
        <v>5</v>
      </c>
      <c r="F1481" s="20">
        <v>0</v>
      </c>
      <c r="G1481" s="24">
        <f>E1481</f>
        <v>5</v>
      </c>
      <c r="H1481" s="20">
        <v>0</v>
      </c>
    </row>
    <row r="1482" spans="1:8" ht="15.75" hidden="1" customHeight="1" x14ac:dyDescent="0.25">
      <c r="A1482" s="20" t="s">
        <v>105</v>
      </c>
      <c r="B1482" s="47" t="s">
        <v>133</v>
      </c>
      <c r="C1482" s="49"/>
      <c r="D1482" s="19" t="s">
        <v>15</v>
      </c>
      <c r="E1482" s="23">
        <v>148</v>
      </c>
      <c r="F1482" s="18">
        <f>E1482* 0.932775698199239</f>
        <v>138.05080333348738</v>
      </c>
      <c r="G1482" s="18">
        <f>E1482* 0.00808724987291465</f>
        <v>1.1969129811913681</v>
      </c>
      <c r="H1482" s="18">
        <f>E1482* 0.0590600305004852</f>
        <v>8.7408845140718103</v>
      </c>
    </row>
    <row r="1483" spans="1:8" ht="15.75" hidden="1" customHeight="1" x14ac:dyDescent="0.25">
      <c r="A1483" s="20" t="s">
        <v>105</v>
      </c>
      <c r="B1483" s="47" t="s">
        <v>133</v>
      </c>
      <c r="C1483" s="49"/>
      <c r="D1483" s="29" t="s">
        <v>454</v>
      </c>
      <c r="E1483" s="23">
        <v>1</v>
      </c>
      <c r="F1483" s="18">
        <f>E1483* 0.0803212851405623</f>
        <v>8.0321285140562304E-2</v>
      </c>
      <c r="G1483" s="18">
        <f>E1483* 0.913367756741251</f>
        <v>0.91336775674125104</v>
      </c>
      <c r="H1483" s="18">
        <f>E1483* 0.0057372346528973</f>
        <v>5.7372346528973004E-3</v>
      </c>
    </row>
    <row r="1484" spans="1:8" ht="15.75" hidden="1" customHeight="1" x14ac:dyDescent="0.25">
      <c r="A1484" s="20" t="s">
        <v>105</v>
      </c>
      <c r="B1484" s="47" t="s">
        <v>133</v>
      </c>
      <c r="C1484" s="49"/>
      <c r="D1484" s="19" t="s">
        <v>11</v>
      </c>
      <c r="E1484" s="23">
        <v>154</v>
      </c>
      <c r="F1484" s="18">
        <f>E1484* 0.150611071171819</f>
        <v>23.194104960460123</v>
      </c>
      <c r="G1484" s="18">
        <f>E1484* 0.847699496764917</f>
        <v>130.5457225017972</v>
      </c>
      <c r="H1484" s="18">
        <f>E1484* 0.00136592379583034</f>
        <v>0.21035226455787237</v>
      </c>
    </row>
    <row r="1485" spans="1:8" ht="15.75" hidden="1" customHeight="1" x14ac:dyDescent="0.25">
      <c r="A1485" s="20" t="s">
        <v>105</v>
      </c>
      <c r="B1485" s="47" t="s">
        <v>133</v>
      </c>
      <c r="C1485" s="49"/>
      <c r="D1485" s="19" t="s">
        <v>17</v>
      </c>
      <c r="E1485" s="23">
        <v>136</v>
      </c>
      <c r="F1485" s="18">
        <f>E1485* 0.840430229624022</f>
        <v>114.298511228867</v>
      </c>
      <c r="G1485" s="18">
        <f>E1485* 0.0777504415846581</f>
        <v>10.574060055513502</v>
      </c>
      <c r="H1485" s="18">
        <f>E1485* 0.0817877870300278</f>
        <v>11.123139036083781</v>
      </c>
    </row>
    <row r="1486" spans="1:8" ht="15.75" hidden="1" customHeight="1" x14ac:dyDescent="0.25">
      <c r="A1486" s="20" t="s">
        <v>105</v>
      </c>
      <c r="B1486" s="47" t="s">
        <v>133</v>
      </c>
      <c r="C1486" s="49"/>
      <c r="D1486" s="19" t="s">
        <v>31</v>
      </c>
      <c r="E1486" s="23">
        <v>8</v>
      </c>
      <c r="F1486" s="18">
        <f>E1486* 0.901975683890578</f>
        <v>7.2158054711246242</v>
      </c>
      <c r="G1486" s="18">
        <f>E1486* 0.0364741641337386</f>
        <v>0.2917933130699088</v>
      </c>
      <c r="H1486" s="18">
        <f>E1486* 0.0615501519756839</f>
        <v>0.49240121580547119</v>
      </c>
    </row>
    <row r="1487" spans="1:8" ht="15.75" hidden="1" customHeight="1" x14ac:dyDescent="0.25">
      <c r="A1487" s="20" t="s">
        <v>105</v>
      </c>
      <c r="B1487" s="47" t="s">
        <v>133</v>
      </c>
      <c r="C1487" s="49"/>
      <c r="D1487" s="19" t="s">
        <v>18</v>
      </c>
      <c r="E1487" s="23">
        <v>9</v>
      </c>
      <c r="F1487" s="18">
        <f>E1487* 0.932934264493959</f>
        <v>8.3964083804456315</v>
      </c>
      <c r="G1487" s="18">
        <f>E1487* 0.0585300964416362</f>
        <v>0.52677086797472572</v>
      </c>
      <c r="H1487" s="18">
        <f>E1487* 0.00853563906440528</f>
        <v>7.6820751579647531E-2</v>
      </c>
    </row>
    <row r="1488" spans="1:8" ht="15.75" hidden="1" customHeight="1" x14ac:dyDescent="0.25">
      <c r="A1488" s="20" t="s">
        <v>105</v>
      </c>
      <c r="B1488" s="47" t="s">
        <v>133</v>
      </c>
      <c r="C1488" s="49"/>
      <c r="D1488" s="19" t="s">
        <v>20</v>
      </c>
      <c r="E1488" s="23">
        <v>291</v>
      </c>
      <c r="F1488" s="18">
        <f>E1488* 0.686268801552644</f>
        <v>199.7042212518194</v>
      </c>
      <c r="G1488" s="18">
        <f>E1488* 0.196991751576904</f>
        <v>57.324599708879063</v>
      </c>
      <c r="H1488" s="18">
        <f>E1488* 0.116642406598738</f>
        <v>33.942940320232758</v>
      </c>
    </row>
    <row r="1489" spans="1:8" ht="15.75" hidden="1" customHeight="1" x14ac:dyDescent="0.25">
      <c r="A1489" s="20" t="s">
        <v>105</v>
      </c>
      <c r="B1489" s="47" t="s">
        <v>133</v>
      </c>
      <c r="C1489" s="49"/>
      <c r="D1489" s="19" t="s">
        <v>21</v>
      </c>
      <c r="E1489" s="23">
        <v>256</v>
      </c>
      <c r="F1489" s="18">
        <f>E1489* 0.999513766486355</f>
        <v>255.87552422050689</v>
      </c>
      <c r="G1489" s="18">
        <f>E1489* 0.0000243116756822464</f>
        <v>6.2237889746550781E-3</v>
      </c>
      <c r="H1489" s="18">
        <f>E1489* 0.00034036345955145</f>
        <v>8.71330456451712E-2</v>
      </c>
    </row>
    <row r="1490" spans="1:8" ht="15.75" hidden="1" customHeight="1" x14ac:dyDescent="0.25">
      <c r="A1490" s="20" t="s">
        <v>105</v>
      </c>
      <c r="B1490" s="47" t="s">
        <v>133</v>
      </c>
      <c r="C1490" s="49"/>
      <c r="D1490" s="19" t="s">
        <v>28</v>
      </c>
      <c r="E1490" s="23">
        <v>21</v>
      </c>
      <c r="F1490" s="18">
        <f>E1490* 0.00094876660341556</f>
        <v>1.9924098671726759E-2</v>
      </c>
      <c r="G1490" s="18">
        <f>E1490* 0.999051233396584</f>
        <v>20.980075901328263</v>
      </c>
      <c r="H1490" s="20">
        <v>0</v>
      </c>
    </row>
    <row r="1491" spans="1:8" ht="15.75" hidden="1" customHeight="1" x14ac:dyDescent="0.25">
      <c r="A1491" s="20" t="s">
        <v>105</v>
      </c>
      <c r="B1491" s="47" t="s">
        <v>133</v>
      </c>
      <c r="C1491" s="49"/>
      <c r="D1491" s="19" t="s">
        <v>12</v>
      </c>
      <c r="E1491" s="23">
        <v>412</v>
      </c>
      <c r="F1491" s="18">
        <f>E1491* 0.843786808009423</f>
        <v>347.64016489988228</v>
      </c>
      <c r="G1491" s="18">
        <f>E1491* 0.0740675304279545</f>
        <v>30.515822536317252</v>
      </c>
      <c r="H1491" s="18">
        <f>E1491* 0.0820965842167256</f>
        <v>33.823792697290948</v>
      </c>
    </row>
    <row r="1492" spans="1:8" ht="15.75" hidden="1" customHeight="1" x14ac:dyDescent="0.25">
      <c r="A1492" s="20" t="s">
        <v>105</v>
      </c>
      <c r="B1492" s="20"/>
      <c r="C1492" s="20"/>
      <c r="D1492" s="46"/>
      <c r="E1492" s="35"/>
    </row>
    <row r="1493" spans="1:8" ht="15.75" hidden="1" customHeight="1" x14ac:dyDescent="0.25">
      <c r="A1493" s="20" t="s">
        <v>105</v>
      </c>
      <c r="B1493" s="47" t="s">
        <v>134</v>
      </c>
      <c r="C1493" s="12" t="str">
        <f>B1493&amp;"_"&amp;A1493</f>
        <v>Santiváñez_Cochabamba</v>
      </c>
      <c r="D1493" s="20"/>
      <c r="E1493" s="48">
        <v>339</v>
      </c>
      <c r="F1493" s="14">
        <f t="shared" ref="F1493:H1493" si="127">SUM(F1494:F1504)</f>
        <v>250.62978342462003</v>
      </c>
      <c r="G1493" s="14">
        <f t="shared" si="127"/>
        <v>75.346165195453949</v>
      </c>
      <c r="H1493" s="14">
        <f t="shared" si="127"/>
        <v>12.982876544369592</v>
      </c>
    </row>
    <row r="1494" spans="1:8" ht="15.75" hidden="1" customHeight="1" x14ac:dyDescent="0.25">
      <c r="A1494" s="20" t="s">
        <v>105</v>
      </c>
      <c r="B1494" s="47" t="s">
        <v>134</v>
      </c>
      <c r="C1494" s="49"/>
      <c r="D1494" s="29" t="s">
        <v>455</v>
      </c>
      <c r="E1494" s="23">
        <v>3</v>
      </c>
      <c r="F1494" s="20">
        <v>0</v>
      </c>
      <c r="G1494" s="24">
        <f>E1494</f>
        <v>3</v>
      </c>
      <c r="H1494" s="20">
        <v>0</v>
      </c>
    </row>
    <row r="1495" spans="1:8" ht="15.75" hidden="1" customHeight="1" x14ac:dyDescent="0.25">
      <c r="A1495" s="20" t="s">
        <v>105</v>
      </c>
      <c r="B1495" s="47" t="s">
        <v>134</v>
      </c>
      <c r="C1495" s="49"/>
      <c r="D1495" s="19" t="s">
        <v>15</v>
      </c>
      <c r="E1495" s="23">
        <v>31</v>
      </c>
      <c r="F1495" s="18">
        <f>E1495* 0.932775698199239</f>
        <v>28.916046644176408</v>
      </c>
      <c r="G1495" s="18">
        <f>E1495* 0.00808724987291465</f>
        <v>0.25070474606035414</v>
      </c>
      <c r="H1495" s="18">
        <f>E1495* 0.0590600305004852</f>
        <v>1.8308609455150413</v>
      </c>
    </row>
    <row r="1496" spans="1:8" ht="15.75" hidden="1" customHeight="1" x14ac:dyDescent="0.25">
      <c r="A1496" s="20" t="s">
        <v>105</v>
      </c>
      <c r="B1496" s="47" t="s">
        <v>134</v>
      </c>
      <c r="C1496" s="49"/>
      <c r="D1496" s="19" t="s">
        <v>11</v>
      </c>
      <c r="E1496" s="23">
        <v>58</v>
      </c>
      <c r="F1496" s="18">
        <f>E1496* 0.150611071171819</f>
        <v>8.7354421279655021</v>
      </c>
      <c r="G1496" s="18">
        <f>E1496* 0.847699496764917</f>
        <v>49.166570812365187</v>
      </c>
      <c r="H1496" s="18">
        <f>E1496* 0.00136592379583034</f>
        <v>7.9223580158159723E-2</v>
      </c>
    </row>
    <row r="1497" spans="1:8" ht="15.75" hidden="1" customHeight="1" x14ac:dyDescent="0.25">
      <c r="A1497" s="20" t="s">
        <v>105</v>
      </c>
      <c r="B1497" s="47" t="s">
        <v>134</v>
      </c>
      <c r="C1497" s="49"/>
      <c r="D1497" s="19" t="s">
        <v>17</v>
      </c>
      <c r="E1497" s="23">
        <v>18</v>
      </c>
      <c r="F1497" s="18">
        <f>E1497* 0.840430229624022</f>
        <v>15.127744133232397</v>
      </c>
      <c r="G1497" s="18">
        <f>E1497* 0.0777504415846581</f>
        <v>1.399507948523846</v>
      </c>
      <c r="H1497" s="18">
        <f>E1497* 0.0817877870300278</f>
        <v>1.4721801665405003</v>
      </c>
    </row>
    <row r="1498" spans="1:8" ht="15.75" hidden="1" customHeight="1" x14ac:dyDescent="0.25">
      <c r="A1498" s="20" t="s">
        <v>105</v>
      </c>
      <c r="B1498" s="47" t="s">
        <v>134</v>
      </c>
      <c r="C1498" s="49"/>
      <c r="D1498" s="19" t="s">
        <v>31</v>
      </c>
      <c r="E1498" s="23">
        <v>4</v>
      </c>
      <c r="F1498" s="18">
        <f>E1498* 0.901975683890578</f>
        <v>3.6079027355623121</v>
      </c>
      <c r="G1498" s="18">
        <f>E1498* 0.0364741641337386</f>
        <v>0.1458966565349544</v>
      </c>
      <c r="H1498" s="18">
        <f>E1498* 0.0615501519756839</f>
        <v>0.2462006079027356</v>
      </c>
    </row>
    <row r="1499" spans="1:8" ht="15.75" hidden="1" customHeight="1" x14ac:dyDescent="0.25">
      <c r="A1499" s="20" t="s">
        <v>105</v>
      </c>
      <c r="B1499" s="47" t="s">
        <v>134</v>
      </c>
      <c r="C1499" s="49"/>
      <c r="D1499" s="19" t="s">
        <v>18</v>
      </c>
      <c r="E1499" s="23">
        <v>2</v>
      </c>
      <c r="F1499" s="18">
        <f>E1499* 0.932934264493959</f>
        <v>1.865868528987918</v>
      </c>
      <c r="G1499" s="18">
        <f>E1499* 0.0585300964416362</f>
        <v>0.11706019288327239</v>
      </c>
      <c r="H1499" s="18">
        <f>E1499* 0.00853563906440528</f>
        <v>1.7071278128810562E-2</v>
      </c>
    </row>
    <row r="1500" spans="1:8" ht="15.75" hidden="1" customHeight="1" x14ac:dyDescent="0.25">
      <c r="A1500" s="20" t="s">
        <v>105</v>
      </c>
      <c r="B1500" s="47" t="s">
        <v>134</v>
      </c>
      <c r="C1500" s="49"/>
      <c r="D1500" s="19" t="s">
        <v>19</v>
      </c>
      <c r="E1500" s="23">
        <v>1</v>
      </c>
      <c r="F1500" s="18">
        <f>E1500* 0.290681971640783</f>
        <v>0.29068197164078302</v>
      </c>
      <c r="G1500" s="18">
        <f>E1500* 0.694125590817016</f>
        <v>0.69412559081701597</v>
      </c>
      <c r="H1500" s="18">
        <f>E1500* 0.0151924375422012</f>
        <v>1.51924375422012E-2</v>
      </c>
    </row>
    <row r="1501" spans="1:8" ht="15.75" hidden="1" customHeight="1" x14ac:dyDescent="0.25">
      <c r="A1501" s="20" t="s">
        <v>105</v>
      </c>
      <c r="B1501" s="47" t="s">
        <v>134</v>
      </c>
      <c r="C1501" s="49"/>
      <c r="D1501" s="19" t="s">
        <v>20</v>
      </c>
      <c r="E1501" s="23">
        <v>24</v>
      </c>
      <c r="F1501" s="18">
        <f>E1501* 0.686268801552644</f>
        <v>16.470451237263458</v>
      </c>
      <c r="G1501" s="18">
        <f>E1501* 0.196991751576904</f>
        <v>4.727802037845696</v>
      </c>
      <c r="H1501" s="18">
        <f>E1501* 0.116642406598738</f>
        <v>2.799417758369712</v>
      </c>
    </row>
    <row r="1502" spans="1:8" ht="15.75" hidden="1" customHeight="1" x14ac:dyDescent="0.25">
      <c r="A1502" s="20" t="s">
        <v>105</v>
      </c>
      <c r="B1502" s="47" t="s">
        <v>134</v>
      </c>
      <c r="C1502" s="49"/>
      <c r="D1502" s="19" t="s">
        <v>21</v>
      </c>
      <c r="E1502" s="23">
        <v>109</v>
      </c>
      <c r="F1502" s="18">
        <f>E1502* 0.999513766486355</f>
        <v>108.94700054701269</v>
      </c>
      <c r="G1502" s="18">
        <f>E1502* 0.0000243116756822464</f>
        <v>2.6499726493648575E-3</v>
      </c>
      <c r="H1502" s="18">
        <f>E1502* 0.00034036345955145</f>
        <v>3.7099617091108053E-2</v>
      </c>
    </row>
    <row r="1503" spans="1:8" ht="15.75" hidden="1" customHeight="1" x14ac:dyDescent="0.25">
      <c r="A1503" s="20" t="s">
        <v>105</v>
      </c>
      <c r="B1503" s="47" t="s">
        <v>134</v>
      </c>
      <c r="C1503" s="49"/>
      <c r="D1503" s="19" t="s">
        <v>28</v>
      </c>
      <c r="E1503" s="23">
        <v>10</v>
      </c>
      <c r="F1503" s="18">
        <f>E1503* 0.00094876660341556</f>
        <v>9.4876660341556007E-3</v>
      </c>
      <c r="G1503" s="18">
        <f>E1503* 0.999051233396584</f>
        <v>9.9905123339658388</v>
      </c>
      <c r="H1503" s="20">
        <v>0</v>
      </c>
    </row>
    <row r="1504" spans="1:8" ht="15.75" hidden="1" customHeight="1" x14ac:dyDescent="0.25">
      <c r="A1504" s="20" t="s">
        <v>105</v>
      </c>
      <c r="B1504" s="47" t="s">
        <v>134</v>
      </c>
      <c r="C1504" s="49"/>
      <c r="D1504" s="19" t="s">
        <v>12</v>
      </c>
      <c r="E1504" s="23">
        <v>79</v>
      </c>
      <c r="F1504" s="18">
        <f>E1504* 0.843786808009423</f>
        <v>66.659157832744413</v>
      </c>
      <c r="G1504" s="18">
        <f>E1504* 0.0740675304279545</f>
        <v>5.8513349038084055</v>
      </c>
      <c r="H1504" s="18">
        <f>E1504* 0.0820965842167256</f>
        <v>6.4856301531213223</v>
      </c>
    </row>
    <row r="1505" spans="1:8" ht="15.75" hidden="1" customHeight="1" x14ac:dyDescent="0.25">
      <c r="A1505" s="20" t="s">
        <v>105</v>
      </c>
      <c r="B1505" s="20"/>
      <c r="C1505" s="20"/>
      <c r="D1505" s="46"/>
      <c r="E1505" s="35"/>
    </row>
    <row r="1506" spans="1:8" ht="15.75" hidden="1" customHeight="1" x14ac:dyDescent="0.25">
      <c r="A1506" s="20" t="s">
        <v>105</v>
      </c>
      <c r="B1506" s="47" t="s">
        <v>135</v>
      </c>
      <c r="C1506" s="12" t="str">
        <f>B1506&amp;"_"&amp;A1506</f>
        <v>Shinahota_Cochabamba</v>
      </c>
      <c r="D1506" s="20"/>
      <c r="E1506" s="48">
        <v>3692</v>
      </c>
      <c r="F1506" s="14">
        <f t="shared" ref="F1506:H1506" si="128">SUM(F1507:F1519)</f>
        <v>3560.9226907393904</v>
      </c>
      <c r="G1506" s="14">
        <f t="shared" si="128"/>
        <v>87.410219266117181</v>
      </c>
      <c r="H1506" s="14">
        <f t="shared" si="128"/>
        <v>43.245689313276948</v>
      </c>
    </row>
    <row r="1507" spans="1:8" ht="15.75" hidden="1" customHeight="1" x14ac:dyDescent="0.25">
      <c r="A1507" s="20" t="s">
        <v>105</v>
      </c>
      <c r="B1507" s="47" t="s">
        <v>135</v>
      </c>
      <c r="C1507" s="49"/>
      <c r="D1507" s="29" t="s">
        <v>456</v>
      </c>
      <c r="E1507" s="23">
        <v>2</v>
      </c>
      <c r="F1507" s="20">
        <v>0</v>
      </c>
      <c r="G1507" s="24">
        <f>E1507</f>
        <v>2</v>
      </c>
      <c r="H1507" s="20">
        <v>0</v>
      </c>
    </row>
    <row r="1508" spans="1:8" ht="15.75" hidden="1" customHeight="1" x14ac:dyDescent="0.25">
      <c r="A1508" s="20" t="s">
        <v>105</v>
      </c>
      <c r="B1508" s="47" t="s">
        <v>135</v>
      </c>
      <c r="C1508" s="49"/>
      <c r="D1508" s="19" t="s">
        <v>15</v>
      </c>
      <c r="E1508" s="23">
        <v>18</v>
      </c>
      <c r="F1508" s="18">
        <f>E1508* 0.932775698199239</f>
        <v>16.789962567586301</v>
      </c>
      <c r="G1508" s="18">
        <f>E1508* 0.00808724987291465</f>
        <v>0.14557049771246369</v>
      </c>
      <c r="H1508" s="18">
        <f>E1508* 0.0590600305004852</f>
        <v>1.0630805490087336</v>
      </c>
    </row>
    <row r="1509" spans="1:8" ht="15.75" hidden="1" customHeight="1" x14ac:dyDescent="0.25">
      <c r="A1509" s="20" t="s">
        <v>105</v>
      </c>
      <c r="B1509" s="47" t="s">
        <v>135</v>
      </c>
      <c r="C1509" s="49"/>
      <c r="D1509" s="29" t="s">
        <v>457</v>
      </c>
      <c r="E1509" s="23">
        <v>3</v>
      </c>
      <c r="F1509" s="18">
        <f>E1509* 0.0803212851405623</f>
        <v>0.24096385542168691</v>
      </c>
      <c r="G1509" s="18">
        <f>E1509* 0.913367756741251</f>
        <v>2.7401032702237531</v>
      </c>
      <c r="H1509" s="18">
        <f>E1509* 0.0057372346528973</f>
        <v>1.7211703958691902E-2</v>
      </c>
    </row>
    <row r="1510" spans="1:8" ht="15.75" hidden="1" customHeight="1" x14ac:dyDescent="0.25">
      <c r="A1510" s="20" t="s">
        <v>105</v>
      </c>
      <c r="B1510" s="47" t="s">
        <v>135</v>
      </c>
      <c r="C1510" s="49"/>
      <c r="D1510" s="19" t="s">
        <v>11</v>
      </c>
      <c r="E1510" s="23">
        <v>43</v>
      </c>
      <c r="F1510" s="18">
        <f>E1510* 0.150611071171819</f>
        <v>6.4762760603882166</v>
      </c>
      <c r="G1510" s="18">
        <f>E1510* 0.847699496764917</f>
        <v>36.451078360891429</v>
      </c>
      <c r="H1510" s="18">
        <f>E1510* 0.00136592379583034</f>
        <v>5.8734723220704617E-2</v>
      </c>
    </row>
    <row r="1511" spans="1:8" ht="15.75" hidden="1" customHeight="1" x14ac:dyDescent="0.25">
      <c r="A1511" s="20" t="s">
        <v>105</v>
      </c>
      <c r="B1511" s="47" t="s">
        <v>135</v>
      </c>
      <c r="C1511" s="49"/>
      <c r="D1511" s="19" t="s">
        <v>17</v>
      </c>
      <c r="E1511" s="23">
        <v>30</v>
      </c>
      <c r="F1511" s="18">
        <f>E1511* 0.840430229624022</f>
        <v>25.21290688872066</v>
      </c>
      <c r="G1511" s="18">
        <f>E1511* 0.0777504415846581</f>
        <v>2.332513247539743</v>
      </c>
      <c r="H1511" s="18">
        <f>E1511* 0.0817877870300278</f>
        <v>2.4536336109008339</v>
      </c>
    </row>
    <row r="1512" spans="1:8" ht="15.75" hidden="1" customHeight="1" x14ac:dyDescent="0.25">
      <c r="A1512" s="20" t="s">
        <v>105</v>
      </c>
      <c r="B1512" s="47" t="s">
        <v>135</v>
      </c>
      <c r="C1512" s="49"/>
      <c r="D1512" s="19" t="s">
        <v>31</v>
      </c>
      <c r="E1512" s="23">
        <v>11</v>
      </c>
      <c r="F1512" s="18">
        <f>E1512* 0.901975683890578</f>
        <v>9.9217325227963578</v>
      </c>
      <c r="G1512" s="18">
        <f>E1512* 0.0364741641337386</f>
        <v>0.40121580547112462</v>
      </c>
      <c r="H1512" s="18">
        <f>E1512* 0.0615501519756839</f>
        <v>0.6770516717325229</v>
      </c>
    </row>
    <row r="1513" spans="1:8" ht="15.75" hidden="1" customHeight="1" x14ac:dyDescent="0.25">
      <c r="A1513" s="20" t="s">
        <v>105</v>
      </c>
      <c r="B1513" s="47" t="s">
        <v>135</v>
      </c>
      <c r="C1513" s="49"/>
      <c r="D1513" s="19" t="s">
        <v>18</v>
      </c>
      <c r="E1513" s="23">
        <v>7</v>
      </c>
      <c r="F1513" s="18">
        <f>E1513* 0.932934264493959</f>
        <v>6.5305398514577133</v>
      </c>
      <c r="G1513" s="18">
        <f>E1513* 0.0585300964416362</f>
        <v>0.40971067509145337</v>
      </c>
      <c r="H1513" s="18">
        <f>E1513* 0.00853563906440528</f>
        <v>5.9749473450836962E-2</v>
      </c>
    </row>
    <row r="1514" spans="1:8" ht="15.75" hidden="1" customHeight="1" x14ac:dyDescent="0.25">
      <c r="A1514" s="20" t="s">
        <v>105</v>
      </c>
      <c r="B1514" s="47" t="s">
        <v>135</v>
      </c>
      <c r="C1514" s="49"/>
      <c r="D1514" s="19" t="s">
        <v>19</v>
      </c>
      <c r="E1514" s="23">
        <v>5</v>
      </c>
      <c r="F1514" s="18">
        <f>E1514* 0.290681971640783</f>
        <v>1.4534098582039152</v>
      </c>
      <c r="G1514" s="18">
        <f>E1514* 0.694125590817016</f>
        <v>3.4706279540850797</v>
      </c>
      <c r="H1514" s="18">
        <f>E1514* 0.0151924375422012</f>
        <v>7.5962187711006005E-2</v>
      </c>
    </row>
    <row r="1515" spans="1:8" ht="15.75" hidden="1" customHeight="1" x14ac:dyDescent="0.25">
      <c r="A1515" s="20" t="s">
        <v>105</v>
      </c>
      <c r="B1515" s="47" t="s">
        <v>135</v>
      </c>
      <c r="C1515" s="49"/>
      <c r="D1515" s="19" t="s">
        <v>20</v>
      </c>
      <c r="E1515" s="23">
        <v>36</v>
      </c>
      <c r="F1515" s="18">
        <f>E1515* 0.686268801552644</f>
        <v>24.705676855895184</v>
      </c>
      <c r="G1515" s="18">
        <f>E1515* 0.196991751576904</f>
        <v>7.0917030567685435</v>
      </c>
      <c r="H1515" s="18">
        <f>E1515* 0.116642406598738</f>
        <v>4.1991266375545679</v>
      </c>
    </row>
    <row r="1516" spans="1:8" ht="15.75" hidden="1" customHeight="1" x14ac:dyDescent="0.25">
      <c r="A1516" s="20" t="s">
        <v>105</v>
      </c>
      <c r="B1516" s="47" t="s">
        <v>135</v>
      </c>
      <c r="C1516" s="49"/>
      <c r="D1516" s="19" t="s">
        <v>21</v>
      </c>
      <c r="E1516" s="23">
        <v>3125</v>
      </c>
      <c r="F1516" s="18">
        <f>E1516* 0.999513766486355</f>
        <v>3123.4805202698594</v>
      </c>
      <c r="G1516" s="18">
        <f>E1516* 0.0000243116756822464</f>
        <v>7.5973986507020003E-2</v>
      </c>
      <c r="H1516" s="18">
        <f>E1516* 0.00034036345955145</f>
        <v>1.0636358110982813</v>
      </c>
    </row>
    <row r="1517" spans="1:8" ht="15.75" hidden="1" customHeight="1" x14ac:dyDescent="0.25">
      <c r="A1517" s="20" t="s">
        <v>105</v>
      </c>
      <c r="B1517" s="47" t="s">
        <v>135</v>
      </c>
      <c r="C1517" s="49"/>
      <c r="D1517" s="19" t="s">
        <v>36</v>
      </c>
      <c r="E1517" s="23">
        <v>1</v>
      </c>
      <c r="F1517" s="24">
        <f>E1517</f>
        <v>1</v>
      </c>
      <c r="G1517" s="20">
        <v>0</v>
      </c>
      <c r="H1517" s="20">
        <v>0</v>
      </c>
    </row>
    <row r="1518" spans="1:8" ht="15.75" hidden="1" customHeight="1" x14ac:dyDescent="0.25">
      <c r="A1518" s="20" t="s">
        <v>105</v>
      </c>
      <c r="B1518" s="47" t="s">
        <v>135</v>
      </c>
      <c r="C1518" s="49"/>
      <c r="D1518" s="19" t="s">
        <v>28</v>
      </c>
      <c r="E1518" s="23">
        <v>2</v>
      </c>
      <c r="F1518" s="18">
        <f>E1518* 0.00094876660341556</f>
        <v>1.89753320683112E-3</v>
      </c>
      <c r="G1518" s="18">
        <f>E1518* 0.999051233396584</f>
        <v>1.9981024667931679</v>
      </c>
      <c r="H1518" s="20">
        <v>0</v>
      </c>
    </row>
    <row r="1519" spans="1:8" ht="15.75" hidden="1" customHeight="1" x14ac:dyDescent="0.25">
      <c r="A1519" s="20" t="s">
        <v>105</v>
      </c>
      <c r="B1519" s="47" t="s">
        <v>135</v>
      </c>
      <c r="C1519" s="49"/>
      <c r="D1519" s="19" t="s">
        <v>12</v>
      </c>
      <c r="E1519" s="23">
        <v>409</v>
      </c>
      <c r="F1519" s="18">
        <f>E1519* 0.843786808009423</f>
        <v>345.10880447585401</v>
      </c>
      <c r="G1519" s="18">
        <f>E1519* 0.0740675304279545</f>
        <v>30.293619945033388</v>
      </c>
      <c r="H1519" s="18">
        <f>E1519* 0.0820965842167256</f>
        <v>33.57750294464077</v>
      </c>
    </row>
    <row r="1520" spans="1:8" ht="15.75" hidden="1" customHeight="1" x14ac:dyDescent="0.25">
      <c r="A1520" s="20" t="s">
        <v>105</v>
      </c>
      <c r="B1520" s="20"/>
      <c r="C1520" s="20"/>
      <c r="D1520" s="46"/>
      <c r="E1520" s="35"/>
    </row>
    <row r="1521" spans="1:8" ht="15.75" hidden="1" customHeight="1" x14ac:dyDescent="0.25">
      <c r="A1521" s="20" t="s">
        <v>105</v>
      </c>
      <c r="B1521" s="47" t="s">
        <v>136</v>
      </c>
      <c r="C1521" s="12" t="str">
        <f>B1521&amp;"_"&amp;A1521</f>
        <v>Sipe Sipe_Cochabamba</v>
      </c>
      <c r="D1521" s="20"/>
      <c r="E1521" s="48">
        <v>4331</v>
      </c>
      <c r="F1521" s="14">
        <f t="shared" ref="F1521:H1521" si="129">SUM(F1522:F1534)</f>
        <v>3076.2950483226759</v>
      </c>
      <c r="G1521" s="14">
        <f t="shared" si="129"/>
        <v>1033.6570320761141</v>
      </c>
      <c r="H1521" s="14">
        <f t="shared" si="129"/>
        <v>220.5888533575712</v>
      </c>
    </row>
    <row r="1522" spans="1:8" ht="15.75" hidden="1" customHeight="1" x14ac:dyDescent="0.25">
      <c r="A1522" s="20" t="s">
        <v>105</v>
      </c>
      <c r="B1522" s="47" t="s">
        <v>136</v>
      </c>
      <c r="C1522" s="49"/>
      <c r="D1522" s="29" t="s">
        <v>458</v>
      </c>
      <c r="E1522" s="23">
        <v>0</v>
      </c>
      <c r="F1522" s="20">
        <v>0</v>
      </c>
      <c r="G1522" s="24">
        <f>E1522</f>
        <v>0</v>
      </c>
      <c r="H1522" s="20">
        <v>0</v>
      </c>
    </row>
    <row r="1523" spans="1:8" ht="15.75" hidden="1" customHeight="1" x14ac:dyDescent="0.25">
      <c r="A1523" s="20" t="s">
        <v>105</v>
      </c>
      <c r="B1523" s="47" t="s">
        <v>136</v>
      </c>
      <c r="C1523" s="49"/>
      <c r="D1523" s="19" t="s">
        <v>15</v>
      </c>
      <c r="E1523" s="23">
        <v>659</v>
      </c>
      <c r="F1523" s="18">
        <f>E1523* 0.932775698199239</f>
        <v>614.69918511329854</v>
      </c>
      <c r="G1523" s="18">
        <f>E1523* 0.00808724987291465</f>
        <v>5.3294976662507541</v>
      </c>
      <c r="H1523" s="18">
        <f>E1523* 0.0590600305004852</f>
        <v>38.920560099819745</v>
      </c>
    </row>
    <row r="1524" spans="1:8" ht="15.75" hidden="1" customHeight="1" x14ac:dyDescent="0.25">
      <c r="A1524" s="20" t="s">
        <v>105</v>
      </c>
      <c r="B1524" s="47" t="s">
        <v>136</v>
      </c>
      <c r="C1524" s="49"/>
      <c r="D1524" s="29" t="s">
        <v>459</v>
      </c>
      <c r="E1524" s="23">
        <v>44</v>
      </c>
      <c r="F1524" s="18">
        <f>E1524* 0.0803212851405623</f>
        <v>3.5341365461847412</v>
      </c>
      <c r="G1524" s="18">
        <f>E1524* 0.913367756741251</f>
        <v>40.188181296615042</v>
      </c>
      <c r="H1524" s="18">
        <f>E1524* 0.0057372346528973</f>
        <v>0.25243832472748123</v>
      </c>
    </row>
    <row r="1525" spans="1:8" ht="15.75" hidden="1" customHeight="1" x14ac:dyDescent="0.25">
      <c r="A1525" s="20" t="s">
        <v>105</v>
      </c>
      <c r="B1525" s="47" t="s">
        <v>136</v>
      </c>
      <c r="C1525" s="49"/>
      <c r="D1525" s="19" t="s">
        <v>11</v>
      </c>
      <c r="E1525" s="23">
        <v>629</v>
      </c>
      <c r="F1525" s="18">
        <f>E1525* 0.150611071171819</f>
        <v>94.734363767074143</v>
      </c>
      <c r="G1525" s="18">
        <f>E1525* 0.847699496764917</f>
        <v>533.20298346513277</v>
      </c>
      <c r="H1525" s="18">
        <f>E1525* 0.00136592379583034</f>
        <v>0.85916606757728387</v>
      </c>
    </row>
    <row r="1526" spans="1:8" ht="15.75" hidden="1" customHeight="1" x14ac:dyDescent="0.25">
      <c r="A1526" s="20" t="s">
        <v>105</v>
      </c>
      <c r="B1526" s="47" t="s">
        <v>136</v>
      </c>
      <c r="C1526" s="49"/>
      <c r="D1526" s="19" t="s">
        <v>17</v>
      </c>
      <c r="E1526" s="23">
        <v>500</v>
      </c>
      <c r="F1526" s="18">
        <f>E1526* 0.840430229624022</f>
        <v>420.215114812011</v>
      </c>
      <c r="G1526" s="18">
        <f>E1526* 0.0777504415846581</f>
        <v>38.875220792329053</v>
      </c>
      <c r="H1526" s="18">
        <f>E1526* 0.0817877870300278</f>
        <v>40.8938935150139</v>
      </c>
    </row>
    <row r="1527" spans="1:8" ht="15.75" hidden="1" customHeight="1" x14ac:dyDescent="0.25">
      <c r="A1527" s="20" t="s">
        <v>105</v>
      </c>
      <c r="B1527" s="47" t="s">
        <v>136</v>
      </c>
      <c r="C1527" s="49"/>
      <c r="D1527" s="19" t="s">
        <v>31</v>
      </c>
      <c r="E1527" s="23">
        <v>26</v>
      </c>
      <c r="F1527" s="18">
        <f>E1527* 0.901975683890578</f>
        <v>23.451367781155028</v>
      </c>
      <c r="G1527" s="18">
        <f>E1527* 0.0364741641337386</f>
        <v>0.94832826747720356</v>
      </c>
      <c r="H1527" s="18">
        <f>E1527* 0.0615501519756839</f>
        <v>1.6003039513677815</v>
      </c>
    </row>
    <row r="1528" spans="1:8" ht="15.75" hidden="1" customHeight="1" x14ac:dyDescent="0.25">
      <c r="A1528" s="20" t="s">
        <v>105</v>
      </c>
      <c r="B1528" s="47" t="s">
        <v>136</v>
      </c>
      <c r="C1528" s="49"/>
      <c r="D1528" s="19" t="s">
        <v>18</v>
      </c>
      <c r="E1528" s="23">
        <v>94</v>
      </c>
      <c r="F1528" s="18">
        <f>E1528* 0.932934264493959</f>
        <v>87.695820862432143</v>
      </c>
      <c r="G1528" s="18">
        <f>E1528* 0.0585300964416362</f>
        <v>5.5018290655138022</v>
      </c>
      <c r="H1528" s="18">
        <f>E1528* 0.00853563906440528</f>
        <v>0.80235007205409636</v>
      </c>
    </row>
    <row r="1529" spans="1:8" ht="15.75" hidden="1" customHeight="1" x14ac:dyDescent="0.25">
      <c r="A1529" s="20" t="s">
        <v>105</v>
      </c>
      <c r="B1529" s="47" t="s">
        <v>136</v>
      </c>
      <c r="C1529" s="49"/>
      <c r="D1529" s="19" t="s">
        <v>19</v>
      </c>
      <c r="E1529" s="23">
        <v>28</v>
      </c>
      <c r="F1529" s="18">
        <f>E1529* 0.290681971640783</f>
        <v>8.1390952059419241</v>
      </c>
      <c r="G1529" s="18">
        <f>E1529* 0.694125590817016</f>
        <v>19.435516542876446</v>
      </c>
      <c r="H1529" s="18">
        <f>E1529* 0.0151924375422012</f>
        <v>0.42538825118163359</v>
      </c>
    </row>
    <row r="1530" spans="1:8" ht="15.75" hidden="1" customHeight="1" x14ac:dyDescent="0.25">
      <c r="A1530" s="20" t="s">
        <v>105</v>
      </c>
      <c r="B1530" s="47" t="s">
        <v>136</v>
      </c>
      <c r="C1530" s="49"/>
      <c r="D1530" s="19" t="s">
        <v>20</v>
      </c>
      <c r="E1530" s="23">
        <v>350</v>
      </c>
      <c r="F1530" s="18">
        <f>E1530* 0.686268801552644</f>
        <v>240.1940805434254</v>
      </c>
      <c r="G1530" s="18">
        <f>E1530* 0.196991751576904</f>
        <v>68.947113051916389</v>
      </c>
      <c r="H1530" s="18">
        <f>E1530* 0.116642406598738</f>
        <v>40.824842309558299</v>
      </c>
    </row>
    <row r="1531" spans="1:8" ht="15.75" hidden="1" customHeight="1" x14ac:dyDescent="0.25">
      <c r="A1531" s="20" t="s">
        <v>105</v>
      </c>
      <c r="B1531" s="47" t="s">
        <v>136</v>
      </c>
      <c r="C1531" s="49"/>
      <c r="D1531" s="19" t="s">
        <v>21</v>
      </c>
      <c r="E1531" s="23">
        <v>597</v>
      </c>
      <c r="F1531" s="18">
        <f>E1531* 0.999513766486355</f>
        <v>596.70971859235397</v>
      </c>
      <c r="G1531" s="18">
        <f>E1531* 0.0000243116756822464</f>
        <v>1.4514070382301099E-2</v>
      </c>
      <c r="H1531" s="18">
        <f>E1531* 0.00034036345955145</f>
        <v>0.20319698535221564</v>
      </c>
    </row>
    <row r="1532" spans="1:8" ht="15.75" hidden="1" customHeight="1" x14ac:dyDescent="0.25">
      <c r="A1532" s="20" t="s">
        <v>105</v>
      </c>
      <c r="B1532" s="47" t="s">
        <v>136</v>
      </c>
      <c r="C1532" s="49"/>
      <c r="D1532" s="19" t="s">
        <v>36</v>
      </c>
      <c r="E1532" s="23">
        <v>2</v>
      </c>
      <c r="F1532" s="24">
        <f>E1532</f>
        <v>2</v>
      </c>
      <c r="G1532" s="20">
        <v>0</v>
      </c>
      <c r="H1532" s="20">
        <v>0</v>
      </c>
    </row>
    <row r="1533" spans="1:8" ht="15.75" hidden="1" customHeight="1" x14ac:dyDescent="0.25">
      <c r="A1533" s="20" t="s">
        <v>105</v>
      </c>
      <c r="B1533" s="47" t="s">
        <v>136</v>
      </c>
      <c r="C1533" s="49"/>
      <c r="D1533" s="19" t="s">
        <v>28</v>
      </c>
      <c r="E1533" s="23">
        <v>235</v>
      </c>
      <c r="F1533" s="18">
        <f>E1533* 0.00094876660341556</f>
        <v>0.2229601518026566</v>
      </c>
      <c r="G1533" s="18">
        <f>E1533* 0.999051233396584</f>
        <v>234.77703984819723</v>
      </c>
      <c r="H1533" s="20">
        <v>0</v>
      </c>
    </row>
    <row r="1534" spans="1:8" ht="15.75" hidden="1" customHeight="1" x14ac:dyDescent="0.25">
      <c r="A1534" s="20" t="s">
        <v>105</v>
      </c>
      <c r="B1534" s="47" t="s">
        <v>136</v>
      </c>
      <c r="C1534" s="49"/>
      <c r="D1534" s="19" t="s">
        <v>12</v>
      </c>
      <c r="E1534" s="23">
        <v>1167</v>
      </c>
      <c r="F1534" s="18">
        <f>E1534* 0.843786808009423</f>
        <v>984.69920494699659</v>
      </c>
      <c r="G1534" s="18">
        <f>E1534* 0.0740675304279545</f>
        <v>86.436808009422904</v>
      </c>
      <c r="H1534" s="18">
        <f>E1534* 0.0820965842167256</f>
        <v>95.80671378091877</v>
      </c>
    </row>
    <row r="1535" spans="1:8" ht="15.75" hidden="1" customHeight="1" x14ac:dyDescent="0.25">
      <c r="A1535" s="20" t="s">
        <v>105</v>
      </c>
      <c r="B1535" s="20"/>
      <c r="C1535" s="20"/>
      <c r="D1535" s="46"/>
      <c r="E1535" s="35"/>
    </row>
    <row r="1536" spans="1:8" ht="15.75" hidden="1" customHeight="1" x14ac:dyDescent="0.25">
      <c r="A1536" s="20" t="s">
        <v>105</v>
      </c>
      <c r="B1536" s="47" t="s">
        <v>137</v>
      </c>
      <c r="C1536" s="12" t="str">
        <f>B1536&amp;"_"&amp;A1536</f>
        <v>Tacopaya_Cochabamba</v>
      </c>
      <c r="D1536" s="20"/>
      <c r="E1536" s="48">
        <v>272</v>
      </c>
      <c r="F1536" s="14">
        <f t="shared" ref="F1536:H1536" si="130">SUM(F1537:F1547)</f>
        <v>209.21360877955405</v>
      </c>
      <c r="G1536" s="14">
        <f t="shared" si="130"/>
        <v>49.92572452822683</v>
      </c>
      <c r="H1536" s="14">
        <f t="shared" si="130"/>
        <v>12.831014580572965</v>
      </c>
    </row>
    <row r="1537" spans="1:8" ht="15.75" hidden="1" customHeight="1" x14ac:dyDescent="0.25">
      <c r="A1537" s="20" t="s">
        <v>105</v>
      </c>
      <c r="B1537" s="47" t="s">
        <v>137</v>
      </c>
      <c r="C1537" s="49"/>
      <c r="D1537" s="19" t="s">
        <v>15</v>
      </c>
      <c r="E1537" s="23">
        <v>34</v>
      </c>
      <c r="F1537" s="18">
        <f>E1537* 0.932775698199239</f>
        <v>31.714373738774125</v>
      </c>
      <c r="G1537" s="18">
        <f>E1537* 0.00808724987291465</f>
        <v>0.27496649567909809</v>
      </c>
      <c r="H1537" s="18">
        <f>E1537* 0.0590600305004852</f>
        <v>2.0080410370164969</v>
      </c>
    </row>
    <row r="1538" spans="1:8" ht="15.75" hidden="1" customHeight="1" x14ac:dyDescent="0.25">
      <c r="A1538" s="20" t="s">
        <v>105</v>
      </c>
      <c r="B1538" s="47" t="s">
        <v>137</v>
      </c>
      <c r="C1538" s="49"/>
      <c r="D1538" s="29" t="s">
        <v>460</v>
      </c>
      <c r="E1538" s="23">
        <v>2</v>
      </c>
      <c r="F1538" s="18">
        <f>E1538* 0.0803212851405623</f>
        <v>0.16064257028112461</v>
      </c>
      <c r="G1538" s="18">
        <f>E1538* 0.913367756741251</f>
        <v>1.8267355134825021</v>
      </c>
      <c r="H1538" s="18">
        <f>E1538* 0.0057372346528973</f>
        <v>1.1474469305794601E-2</v>
      </c>
    </row>
    <row r="1539" spans="1:8" ht="15.75" hidden="1" customHeight="1" x14ac:dyDescent="0.25">
      <c r="A1539" s="20" t="s">
        <v>105</v>
      </c>
      <c r="B1539" s="47" t="s">
        <v>137</v>
      </c>
      <c r="C1539" s="49"/>
      <c r="D1539" s="19" t="s">
        <v>11</v>
      </c>
      <c r="E1539" s="23">
        <v>35</v>
      </c>
      <c r="F1539" s="18">
        <f>E1539* 0.150611071171819</f>
        <v>5.2713874910136642</v>
      </c>
      <c r="G1539" s="18">
        <f>E1539* 0.847699496764917</f>
        <v>29.669482386772092</v>
      </c>
      <c r="H1539" s="18">
        <f>E1539* 0.00136592379583034</f>
        <v>4.7807332854061899E-2</v>
      </c>
    </row>
    <row r="1540" spans="1:8" ht="15.75" hidden="1" customHeight="1" x14ac:dyDescent="0.25">
      <c r="A1540" s="20" t="s">
        <v>105</v>
      </c>
      <c r="B1540" s="47" t="s">
        <v>137</v>
      </c>
      <c r="C1540" s="49"/>
      <c r="D1540" s="19" t="s">
        <v>17</v>
      </c>
      <c r="E1540" s="23">
        <v>31</v>
      </c>
      <c r="F1540" s="18">
        <f>E1540* 0.840430229624022</f>
        <v>26.053337118344682</v>
      </c>
      <c r="G1540" s="18">
        <f>E1540* 0.0777504415846581</f>
        <v>2.4102636891244011</v>
      </c>
      <c r="H1540" s="18">
        <f>E1540* 0.0817877870300278</f>
        <v>2.535421397930862</v>
      </c>
    </row>
    <row r="1541" spans="1:8" ht="15.75" hidden="1" customHeight="1" x14ac:dyDescent="0.25">
      <c r="A1541" s="20" t="s">
        <v>105</v>
      </c>
      <c r="B1541" s="47" t="s">
        <v>137</v>
      </c>
      <c r="C1541" s="49"/>
      <c r="D1541" s="19" t="s">
        <v>31</v>
      </c>
      <c r="E1541" s="23">
        <v>1</v>
      </c>
      <c r="F1541" s="18">
        <f>E1541* 0.901975683890578</f>
        <v>0.90197568389057803</v>
      </c>
      <c r="G1541" s="18">
        <f>E1541* 0.0364741641337386</f>
        <v>3.64741641337386E-2</v>
      </c>
      <c r="H1541" s="18">
        <f>E1541* 0.0615501519756839</f>
        <v>6.1550151975683899E-2</v>
      </c>
    </row>
    <row r="1542" spans="1:8" ht="15.75" hidden="1" customHeight="1" x14ac:dyDescent="0.25">
      <c r="A1542" s="20" t="s">
        <v>105</v>
      </c>
      <c r="B1542" s="47" t="s">
        <v>137</v>
      </c>
      <c r="C1542" s="49"/>
      <c r="D1542" s="19" t="s">
        <v>18</v>
      </c>
      <c r="E1542" s="23">
        <v>5</v>
      </c>
      <c r="F1542" s="18">
        <f>E1542* 0.932934264493959</f>
        <v>4.6646713224697951</v>
      </c>
      <c r="G1542" s="18">
        <f>E1542* 0.0585300964416362</f>
        <v>0.29265048220818096</v>
      </c>
      <c r="H1542" s="18">
        <f>E1542* 0.00853563906440528</f>
        <v>4.2678195322026408E-2</v>
      </c>
    </row>
    <row r="1543" spans="1:8" ht="15.75" hidden="1" customHeight="1" x14ac:dyDescent="0.25">
      <c r="A1543" s="20" t="s">
        <v>105</v>
      </c>
      <c r="B1543" s="47" t="s">
        <v>137</v>
      </c>
      <c r="C1543" s="49"/>
      <c r="D1543" s="19" t="s">
        <v>19</v>
      </c>
      <c r="E1543" s="23">
        <v>8</v>
      </c>
      <c r="F1543" s="18">
        <f>E1543* 0.290681971640783</f>
        <v>2.3254557731262642</v>
      </c>
      <c r="G1543" s="18">
        <f>E1543* 0.694125590817016</f>
        <v>5.5530047265361278</v>
      </c>
      <c r="H1543" s="18">
        <f>E1543* 0.0151924375422012</f>
        <v>0.1215395003376096</v>
      </c>
    </row>
    <row r="1544" spans="1:8" ht="15.75" hidden="1" customHeight="1" x14ac:dyDescent="0.25">
      <c r="A1544" s="20" t="s">
        <v>105</v>
      </c>
      <c r="B1544" s="47" t="s">
        <v>137</v>
      </c>
      <c r="C1544" s="49"/>
      <c r="D1544" s="19" t="s">
        <v>20</v>
      </c>
      <c r="E1544" s="23">
        <v>29</v>
      </c>
      <c r="F1544" s="18">
        <f>E1544* 0.686268801552644</f>
        <v>19.901795245026676</v>
      </c>
      <c r="G1544" s="18">
        <f>E1544* 0.196991751576904</f>
        <v>5.7127607957302153</v>
      </c>
      <c r="H1544" s="18">
        <f>E1544* 0.116642406598738</f>
        <v>3.382629791363402</v>
      </c>
    </row>
    <row r="1545" spans="1:8" ht="15.75" hidden="1" customHeight="1" x14ac:dyDescent="0.25">
      <c r="A1545" s="20" t="s">
        <v>105</v>
      </c>
      <c r="B1545" s="47" t="s">
        <v>137</v>
      </c>
      <c r="C1545" s="49"/>
      <c r="D1545" s="19" t="s">
        <v>21</v>
      </c>
      <c r="E1545" s="23">
        <v>66</v>
      </c>
      <c r="F1545" s="18">
        <f>E1545* 0.999513766486355</f>
        <v>65.967908588099434</v>
      </c>
      <c r="G1545" s="18">
        <f>E1545* 0.0000243116756822464</f>
        <v>1.6045705950282624E-3</v>
      </c>
      <c r="H1545" s="18">
        <f>E1545* 0.00034036345955145</f>
        <v>2.2463988330395701E-2</v>
      </c>
    </row>
    <row r="1546" spans="1:8" ht="15.75" hidden="1" customHeight="1" x14ac:dyDescent="0.25">
      <c r="A1546" s="20" t="s">
        <v>105</v>
      </c>
      <c r="B1546" s="47" t="s">
        <v>137</v>
      </c>
      <c r="C1546" s="49"/>
      <c r="D1546" s="19" t="s">
        <v>36</v>
      </c>
      <c r="E1546" s="23">
        <v>5</v>
      </c>
      <c r="F1546" s="24">
        <f>E1546</f>
        <v>5</v>
      </c>
      <c r="G1546" s="20">
        <v>0</v>
      </c>
      <c r="H1546" s="20">
        <v>0</v>
      </c>
    </row>
    <row r="1547" spans="1:8" ht="15.75" hidden="1" customHeight="1" x14ac:dyDescent="0.25">
      <c r="A1547" s="20" t="s">
        <v>105</v>
      </c>
      <c r="B1547" s="47" t="s">
        <v>137</v>
      </c>
      <c r="C1547" s="49"/>
      <c r="D1547" s="19" t="s">
        <v>12</v>
      </c>
      <c r="E1547" s="23">
        <v>56</v>
      </c>
      <c r="F1547" s="18">
        <f>E1547* 0.843786808009423</f>
        <v>47.252061248527689</v>
      </c>
      <c r="G1547" s="18">
        <f>E1547* 0.0740675304279545</f>
        <v>4.1477817039654514</v>
      </c>
      <c r="H1547" s="18">
        <f>E1547* 0.0820965842167256</f>
        <v>4.5974087161366333</v>
      </c>
    </row>
    <row r="1548" spans="1:8" ht="15.75" hidden="1" customHeight="1" x14ac:dyDescent="0.25">
      <c r="A1548" s="20" t="s">
        <v>105</v>
      </c>
      <c r="B1548" s="20"/>
      <c r="C1548" s="20"/>
      <c r="D1548" s="46"/>
      <c r="E1548" s="35"/>
    </row>
    <row r="1549" spans="1:8" ht="15.75" hidden="1" customHeight="1" x14ac:dyDescent="0.25">
      <c r="A1549" s="20" t="s">
        <v>105</v>
      </c>
      <c r="B1549" s="47" t="s">
        <v>138</v>
      </c>
      <c r="C1549" s="12" t="str">
        <f>B1549&amp;"_"&amp;A1549</f>
        <v>Tapacarí_Cochabamba</v>
      </c>
      <c r="D1549" s="20"/>
      <c r="E1549" s="48">
        <v>233</v>
      </c>
      <c r="F1549" s="14">
        <f t="shared" ref="F1549:H1549" si="131">SUM(F1550:F1561)</f>
        <v>159.45664742311874</v>
      </c>
      <c r="G1549" s="14">
        <f t="shared" si="131"/>
        <v>58.161486043921585</v>
      </c>
      <c r="H1549" s="14">
        <f t="shared" si="131"/>
        <v>15.358339621912823</v>
      </c>
    </row>
    <row r="1550" spans="1:8" ht="15.75" hidden="1" customHeight="1" x14ac:dyDescent="0.25">
      <c r="A1550" s="20" t="s">
        <v>105</v>
      </c>
      <c r="B1550" s="47" t="s">
        <v>138</v>
      </c>
      <c r="C1550" s="49"/>
      <c r="D1550" s="29" t="s">
        <v>461</v>
      </c>
      <c r="E1550" s="23">
        <v>0</v>
      </c>
      <c r="F1550" s="20">
        <v>0</v>
      </c>
      <c r="G1550" s="24">
        <f>E1550</f>
        <v>0</v>
      </c>
      <c r="H1550" s="20">
        <v>0</v>
      </c>
    </row>
    <row r="1551" spans="1:8" ht="15.75" hidden="1" customHeight="1" x14ac:dyDescent="0.25">
      <c r="A1551" s="20" t="s">
        <v>105</v>
      </c>
      <c r="B1551" s="47" t="s">
        <v>138</v>
      </c>
      <c r="C1551" s="49"/>
      <c r="D1551" s="19" t="s">
        <v>15</v>
      </c>
      <c r="E1551" s="23">
        <v>2</v>
      </c>
      <c r="F1551" s="18">
        <f>E1551* 0.932775698199239</f>
        <v>1.865551396398478</v>
      </c>
      <c r="G1551" s="18">
        <f>E1551* 0.00808724987291465</f>
        <v>1.61744997458293E-2</v>
      </c>
      <c r="H1551" s="18">
        <f>E1551* 0.0590600305004852</f>
        <v>0.1181200610009704</v>
      </c>
    </row>
    <row r="1552" spans="1:8" ht="15.75" hidden="1" customHeight="1" x14ac:dyDescent="0.25">
      <c r="A1552" s="20" t="s">
        <v>105</v>
      </c>
      <c r="B1552" s="47" t="s">
        <v>138</v>
      </c>
      <c r="C1552" s="49"/>
      <c r="D1552" s="29" t="s">
        <v>462</v>
      </c>
      <c r="E1552" s="23">
        <v>4</v>
      </c>
      <c r="F1552" s="18">
        <f>E1552* 0.0803212851405623</f>
        <v>0.32128514056224922</v>
      </c>
      <c r="G1552" s="18">
        <f>E1552* 0.913367756741251</f>
        <v>3.6534710269650041</v>
      </c>
      <c r="H1552" s="18">
        <f>E1552* 0.0057372346528973</f>
        <v>2.2948938611589201E-2</v>
      </c>
    </row>
    <row r="1553" spans="1:8" ht="15.75" hidden="1" customHeight="1" x14ac:dyDescent="0.25">
      <c r="A1553" s="20" t="s">
        <v>105</v>
      </c>
      <c r="B1553" s="47" t="s">
        <v>138</v>
      </c>
      <c r="C1553" s="49"/>
      <c r="D1553" s="19" t="s">
        <v>11</v>
      </c>
      <c r="E1553" s="23">
        <v>18</v>
      </c>
      <c r="F1553" s="18">
        <f>E1553* 0.150611071171819</f>
        <v>2.7109992810927417</v>
      </c>
      <c r="G1553" s="18">
        <f>E1553* 0.847699496764917</f>
        <v>15.258590941768505</v>
      </c>
      <c r="H1553" s="18">
        <f>E1553* 0.00136592379583034</f>
        <v>2.4586628324946121E-2</v>
      </c>
    </row>
    <row r="1554" spans="1:8" ht="15.75" hidden="1" customHeight="1" x14ac:dyDescent="0.25">
      <c r="A1554" s="20" t="s">
        <v>105</v>
      </c>
      <c r="B1554" s="47" t="s">
        <v>138</v>
      </c>
      <c r="C1554" s="49"/>
      <c r="D1554" s="19" t="s">
        <v>17</v>
      </c>
      <c r="E1554" s="23">
        <v>15</v>
      </c>
      <c r="F1554" s="18">
        <f>E1554* 0.840430229624022</f>
        <v>12.60645344436033</v>
      </c>
      <c r="G1554" s="18">
        <f>E1554* 0.0777504415846581</f>
        <v>1.1662566237698715</v>
      </c>
      <c r="H1554" s="18">
        <f>E1554* 0.0817877870300278</f>
        <v>1.2268168054504169</v>
      </c>
    </row>
    <row r="1555" spans="1:8" ht="15.75" hidden="1" customHeight="1" x14ac:dyDescent="0.25">
      <c r="A1555" s="20" t="s">
        <v>105</v>
      </c>
      <c r="B1555" s="47" t="s">
        <v>138</v>
      </c>
      <c r="C1555" s="49"/>
      <c r="D1555" s="19" t="s">
        <v>31</v>
      </c>
      <c r="E1555" s="23">
        <v>2</v>
      </c>
      <c r="F1555" s="18">
        <f>E1555* 0.901975683890578</f>
        <v>1.8039513677811561</v>
      </c>
      <c r="G1555" s="18">
        <f>E1555* 0.0364741641337386</f>
        <v>7.29483282674772E-2</v>
      </c>
      <c r="H1555" s="18">
        <f>E1555* 0.0615501519756839</f>
        <v>0.1231003039513678</v>
      </c>
    </row>
    <row r="1556" spans="1:8" ht="15.75" hidden="1" customHeight="1" x14ac:dyDescent="0.25">
      <c r="A1556" s="20" t="s">
        <v>105</v>
      </c>
      <c r="B1556" s="47" t="s">
        <v>138</v>
      </c>
      <c r="C1556" s="49"/>
      <c r="D1556" s="19" t="s">
        <v>18</v>
      </c>
      <c r="E1556" s="23">
        <v>4</v>
      </c>
      <c r="F1556" s="18">
        <f>E1556* 0.932934264493959</f>
        <v>3.731737057975836</v>
      </c>
      <c r="G1556" s="18">
        <f>E1556* 0.0585300964416362</f>
        <v>0.23412038576654479</v>
      </c>
      <c r="H1556" s="18">
        <f>E1556* 0.00853563906440528</f>
        <v>3.4142556257621123E-2</v>
      </c>
    </row>
    <row r="1557" spans="1:8" ht="15.75" hidden="1" customHeight="1" x14ac:dyDescent="0.25">
      <c r="A1557" s="20" t="s">
        <v>105</v>
      </c>
      <c r="B1557" s="47" t="s">
        <v>138</v>
      </c>
      <c r="C1557" s="49"/>
      <c r="D1557" s="19" t="s">
        <v>19</v>
      </c>
      <c r="E1557" s="23">
        <v>24</v>
      </c>
      <c r="F1557" s="18">
        <f>E1557* 0.290681971640783</f>
        <v>6.9763673193787925</v>
      </c>
      <c r="G1557" s="18">
        <f>E1557* 0.694125590817016</f>
        <v>16.659014179608384</v>
      </c>
      <c r="H1557" s="18">
        <f>E1557* 0.0151924375422012</f>
        <v>0.36461850101282878</v>
      </c>
    </row>
    <row r="1558" spans="1:8" ht="15.75" hidden="1" customHeight="1" x14ac:dyDescent="0.25">
      <c r="A1558" s="20" t="s">
        <v>105</v>
      </c>
      <c r="B1558" s="47" t="s">
        <v>138</v>
      </c>
      <c r="C1558" s="49"/>
      <c r="D1558" s="19" t="s">
        <v>20</v>
      </c>
      <c r="E1558" s="23">
        <v>87</v>
      </c>
      <c r="F1558" s="18">
        <f>E1558* 0.686268801552644</f>
        <v>59.705385735080029</v>
      </c>
      <c r="G1558" s="18">
        <f>E1558* 0.196991751576904</f>
        <v>17.138282387190646</v>
      </c>
      <c r="H1558" s="18">
        <f>E1558* 0.116642406598738</f>
        <v>10.147889374090205</v>
      </c>
    </row>
    <row r="1559" spans="1:8" ht="15.75" hidden="1" customHeight="1" x14ac:dyDescent="0.25">
      <c r="A1559" s="20" t="s">
        <v>105</v>
      </c>
      <c r="B1559" s="47" t="s">
        <v>138</v>
      </c>
      <c r="C1559" s="49"/>
      <c r="D1559" s="19" t="s">
        <v>21</v>
      </c>
      <c r="E1559" s="23">
        <v>36</v>
      </c>
      <c r="F1559" s="18">
        <f>E1559* 0.999513766486355</f>
        <v>35.98249559350878</v>
      </c>
      <c r="G1559" s="18">
        <f>E1559* 0.0000243116756822464</f>
        <v>8.7522032456087038E-4</v>
      </c>
      <c r="H1559" s="18">
        <f>E1559* 0.00034036345955145</f>
        <v>1.22530845438522E-2</v>
      </c>
    </row>
    <row r="1560" spans="1:8" ht="15.75" hidden="1" customHeight="1" x14ac:dyDescent="0.25">
      <c r="A1560" s="20" t="s">
        <v>105</v>
      </c>
      <c r="B1560" s="47" t="s">
        <v>138</v>
      </c>
      <c r="C1560" s="49"/>
      <c r="D1560" s="19" t="s">
        <v>28</v>
      </c>
      <c r="E1560" s="23">
        <v>1</v>
      </c>
      <c r="F1560" s="18">
        <f>E1560* 0.00094876660341556</f>
        <v>9.4876660341556001E-4</v>
      </c>
      <c r="G1560" s="18">
        <f>E1560* 0.999051233396584</f>
        <v>0.99905123339658397</v>
      </c>
      <c r="H1560" s="20">
        <v>0</v>
      </c>
    </row>
    <row r="1561" spans="1:8" ht="15.75" hidden="1" customHeight="1" x14ac:dyDescent="0.25">
      <c r="A1561" s="20" t="s">
        <v>105</v>
      </c>
      <c r="B1561" s="47" t="s">
        <v>138</v>
      </c>
      <c r="C1561" s="49"/>
      <c r="D1561" s="19" t="s">
        <v>12</v>
      </c>
      <c r="E1561" s="23">
        <v>40</v>
      </c>
      <c r="F1561" s="18">
        <f>E1561* 0.843786808009423</f>
        <v>33.751472320376919</v>
      </c>
      <c r="G1561" s="18">
        <f>E1561* 0.0740675304279545</f>
        <v>2.9627012171181799</v>
      </c>
      <c r="H1561" s="18">
        <f>E1561* 0.0820965842167256</f>
        <v>3.283863368669024</v>
      </c>
    </row>
    <row r="1562" spans="1:8" ht="15.75" hidden="1" customHeight="1" x14ac:dyDescent="0.25">
      <c r="A1562" s="20" t="s">
        <v>105</v>
      </c>
      <c r="B1562" s="20"/>
      <c r="C1562" s="20"/>
      <c r="D1562" s="46"/>
      <c r="E1562" s="35"/>
    </row>
    <row r="1563" spans="1:8" ht="15.75" hidden="1" customHeight="1" x14ac:dyDescent="0.25">
      <c r="A1563" s="20" t="s">
        <v>105</v>
      </c>
      <c r="B1563" s="47" t="s">
        <v>139</v>
      </c>
      <c r="C1563" s="12" t="str">
        <f>B1563&amp;"_"&amp;A1563</f>
        <v>Tarata_Cochabamba</v>
      </c>
      <c r="D1563" s="20"/>
      <c r="E1563" s="48">
        <v>700</v>
      </c>
      <c r="F1563" s="14">
        <f t="shared" ref="F1563:H1563" si="132">SUM(F1564:F1574)</f>
        <v>585.29809120752111</v>
      </c>
      <c r="G1563" s="14">
        <f t="shared" si="132"/>
        <v>66.943451416819073</v>
      </c>
      <c r="H1563" s="14">
        <f t="shared" si="132"/>
        <v>47.705652823791169</v>
      </c>
    </row>
    <row r="1564" spans="1:8" ht="15.75" hidden="1" customHeight="1" x14ac:dyDescent="0.25">
      <c r="A1564" s="20" t="s">
        <v>105</v>
      </c>
      <c r="B1564" s="47" t="s">
        <v>139</v>
      </c>
      <c r="C1564" s="49"/>
      <c r="D1564" s="29" t="s">
        <v>463</v>
      </c>
      <c r="E1564" s="23">
        <v>0</v>
      </c>
      <c r="F1564" s="20">
        <v>0</v>
      </c>
      <c r="G1564" s="24">
        <f>E1564</f>
        <v>0</v>
      </c>
      <c r="H1564" s="20">
        <v>0</v>
      </c>
    </row>
    <row r="1565" spans="1:8" ht="15.75" hidden="1" customHeight="1" x14ac:dyDescent="0.25">
      <c r="A1565" s="20" t="s">
        <v>105</v>
      </c>
      <c r="B1565" s="47" t="s">
        <v>139</v>
      </c>
      <c r="C1565" s="49"/>
      <c r="D1565" s="19" t="s">
        <v>15</v>
      </c>
      <c r="E1565" s="23">
        <v>126</v>
      </c>
      <c r="F1565" s="18">
        <f>E1565* 0.932775698199239</f>
        <v>117.52973797310412</v>
      </c>
      <c r="G1565" s="18">
        <f>E1565* 0.00808724987291465</f>
        <v>1.0189934839872459</v>
      </c>
      <c r="H1565" s="18">
        <f>E1565* 0.0590600305004852</f>
        <v>7.4415638430611351</v>
      </c>
    </row>
    <row r="1566" spans="1:8" ht="15.75" hidden="1" customHeight="1" x14ac:dyDescent="0.25">
      <c r="A1566" s="20" t="s">
        <v>105</v>
      </c>
      <c r="B1566" s="47" t="s">
        <v>139</v>
      </c>
      <c r="C1566" s="49"/>
      <c r="D1566" s="29" t="s">
        <v>464</v>
      </c>
      <c r="E1566" s="23">
        <v>1</v>
      </c>
      <c r="F1566" s="18">
        <f>E1566* 0.0803212851405623</f>
        <v>8.0321285140562304E-2</v>
      </c>
      <c r="G1566" s="18">
        <f>E1566* 0.913367756741251</f>
        <v>0.91336775674125104</v>
      </c>
      <c r="H1566" s="18">
        <f>E1566* 0.0057372346528973</f>
        <v>5.7372346528973004E-3</v>
      </c>
    </row>
    <row r="1567" spans="1:8" ht="15.75" hidden="1" customHeight="1" x14ac:dyDescent="0.25">
      <c r="A1567" s="20" t="s">
        <v>105</v>
      </c>
      <c r="B1567" s="47" t="s">
        <v>139</v>
      </c>
      <c r="C1567" s="49"/>
      <c r="D1567" s="19" t="s">
        <v>11</v>
      </c>
      <c r="E1567" s="23">
        <v>23</v>
      </c>
      <c r="F1567" s="18">
        <f>E1567* 0.150611071171819</f>
        <v>3.4640546369518366</v>
      </c>
      <c r="G1567" s="18">
        <f>E1567* 0.847699496764917</f>
        <v>19.497088425593091</v>
      </c>
      <c r="H1567" s="18">
        <f>E1567* 0.00136592379583034</f>
        <v>3.1416247304097818E-2</v>
      </c>
    </row>
    <row r="1568" spans="1:8" ht="15.75" hidden="1" customHeight="1" x14ac:dyDescent="0.25">
      <c r="A1568" s="20" t="s">
        <v>105</v>
      </c>
      <c r="B1568" s="47" t="s">
        <v>139</v>
      </c>
      <c r="C1568" s="49"/>
      <c r="D1568" s="19" t="s">
        <v>17</v>
      </c>
      <c r="E1568" s="23">
        <v>54</v>
      </c>
      <c r="F1568" s="18">
        <f>E1568* 0.840430229624022</f>
        <v>45.383232399697192</v>
      </c>
      <c r="G1568" s="18">
        <f>E1568* 0.0777504415846581</f>
        <v>4.1985238455715379</v>
      </c>
      <c r="H1568" s="18">
        <f>E1568* 0.0817877870300278</f>
        <v>4.416540499621501</v>
      </c>
    </row>
    <row r="1569" spans="1:8" ht="15.75" hidden="1" customHeight="1" x14ac:dyDescent="0.25">
      <c r="A1569" s="20" t="s">
        <v>105</v>
      </c>
      <c r="B1569" s="47" t="s">
        <v>139</v>
      </c>
      <c r="C1569" s="49"/>
      <c r="D1569" s="19" t="s">
        <v>31</v>
      </c>
      <c r="E1569" s="23">
        <v>11</v>
      </c>
      <c r="F1569" s="18">
        <f>E1569* 0.901975683890578</f>
        <v>9.9217325227963578</v>
      </c>
      <c r="G1569" s="18">
        <f>E1569* 0.0364741641337386</f>
        <v>0.40121580547112462</v>
      </c>
      <c r="H1569" s="18">
        <f>E1569* 0.0615501519756839</f>
        <v>0.6770516717325229</v>
      </c>
    </row>
    <row r="1570" spans="1:8" ht="15.75" hidden="1" customHeight="1" x14ac:dyDescent="0.25">
      <c r="A1570" s="20" t="s">
        <v>105</v>
      </c>
      <c r="B1570" s="47" t="s">
        <v>139</v>
      </c>
      <c r="C1570" s="49"/>
      <c r="D1570" s="19" t="s">
        <v>18</v>
      </c>
      <c r="E1570" s="23">
        <v>7</v>
      </c>
      <c r="F1570" s="18">
        <f>E1570* 0.932934264493959</f>
        <v>6.5305398514577133</v>
      </c>
      <c r="G1570" s="18">
        <f>E1570* 0.0585300964416362</f>
        <v>0.40971067509145337</v>
      </c>
      <c r="H1570" s="18">
        <f>E1570* 0.00853563906440528</f>
        <v>5.9749473450836962E-2</v>
      </c>
    </row>
    <row r="1571" spans="1:8" ht="15.75" hidden="1" customHeight="1" x14ac:dyDescent="0.25">
      <c r="A1571" s="20" t="s">
        <v>105</v>
      </c>
      <c r="B1571" s="47" t="s">
        <v>139</v>
      </c>
      <c r="C1571" s="49"/>
      <c r="D1571" s="19" t="s">
        <v>19</v>
      </c>
      <c r="E1571" s="23">
        <v>2</v>
      </c>
      <c r="F1571" s="18">
        <f>E1571* 0.290681971640783</f>
        <v>0.58136394328156604</v>
      </c>
      <c r="G1571" s="18">
        <f>E1571* 0.694125590817016</f>
        <v>1.3882511816340319</v>
      </c>
      <c r="H1571" s="18">
        <f>E1571* 0.0151924375422012</f>
        <v>3.03848750844024E-2</v>
      </c>
    </row>
    <row r="1572" spans="1:8" ht="15.75" hidden="1" customHeight="1" x14ac:dyDescent="0.25">
      <c r="A1572" s="20" t="s">
        <v>105</v>
      </c>
      <c r="B1572" s="47" t="s">
        <v>139</v>
      </c>
      <c r="C1572" s="49"/>
      <c r="D1572" s="19" t="s">
        <v>20</v>
      </c>
      <c r="E1572" s="23">
        <v>82</v>
      </c>
      <c r="F1572" s="18">
        <f>E1572* 0.686268801552644</f>
        <v>56.274041727316813</v>
      </c>
      <c r="G1572" s="18">
        <f>E1572* 0.196991751576904</f>
        <v>16.153323629306126</v>
      </c>
      <c r="H1572" s="18">
        <f>E1572* 0.116642406598738</f>
        <v>9.564677341096516</v>
      </c>
    </row>
    <row r="1573" spans="1:8" ht="15.75" hidden="1" customHeight="1" x14ac:dyDescent="0.25">
      <c r="A1573" s="20" t="s">
        <v>105</v>
      </c>
      <c r="B1573" s="47" t="s">
        <v>139</v>
      </c>
      <c r="C1573" s="49"/>
      <c r="D1573" s="19" t="s">
        <v>21</v>
      </c>
      <c r="E1573" s="23">
        <v>84</v>
      </c>
      <c r="F1573" s="18">
        <f>E1573* 0.999513766486355</f>
        <v>83.959156384853827</v>
      </c>
      <c r="G1573" s="18">
        <f>E1573* 0.0000243116756822464</f>
        <v>2.0421807573086973E-3</v>
      </c>
      <c r="H1573" s="18">
        <f>E1573* 0.00034036345955145</f>
        <v>2.8590530602321799E-2</v>
      </c>
    </row>
    <row r="1574" spans="1:8" ht="15.75" hidden="1" customHeight="1" x14ac:dyDescent="0.25">
      <c r="A1574" s="20" t="s">
        <v>105</v>
      </c>
      <c r="B1574" s="47" t="s">
        <v>139</v>
      </c>
      <c r="C1574" s="49"/>
      <c r="D1574" s="19" t="s">
        <v>12</v>
      </c>
      <c r="E1574" s="23">
        <v>310</v>
      </c>
      <c r="F1574" s="18">
        <f>E1574* 0.843786808009423</f>
        <v>261.57391048292112</v>
      </c>
      <c r="G1574" s="18">
        <f>E1574* 0.0740675304279545</f>
        <v>22.960934432665894</v>
      </c>
      <c r="H1574" s="18">
        <f>E1574* 0.0820965842167256</f>
        <v>25.449941107184934</v>
      </c>
    </row>
    <row r="1575" spans="1:8" ht="15.75" hidden="1" customHeight="1" x14ac:dyDescent="0.25">
      <c r="A1575" s="20" t="s">
        <v>105</v>
      </c>
      <c r="B1575" s="20"/>
      <c r="C1575" s="20"/>
      <c r="D1575" s="46"/>
      <c r="E1575" s="35"/>
    </row>
    <row r="1576" spans="1:8" ht="15.75" hidden="1" customHeight="1" x14ac:dyDescent="0.25">
      <c r="A1576" s="20" t="s">
        <v>105</v>
      </c>
      <c r="B1576" s="47" t="s">
        <v>140</v>
      </c>
      <c r="C1576" s="12" t="str">
        <f>B1576&amp;"_"&amp;A1576</f>
        <v>Tiquipaya_Cochabamba</v>
      </c>
      <c r="D1576" s="20"/>
      <c r="E1576" s="48">
        <v>17345</v>
      </c>
      <c r="F1576" s="14">
        <f t="shared" ref="F1576:H1576" si="133">SUM(F1577:F1589)</f>
        <v>14554.113601289169</v>
      </c>
      <c r="G1576" s="14">
        <f t="shared" si="133"/>
        <v>1924.3468679821713</v>
      </c>
      <c r="H1576" s="14">
        <f t="shared" si="133"/>
        <v>865.02471485732087</v>
      </c>
    </row>
    <row r="1577" spans="1:8" ht="15.75" hidden="1" customHeight="1" x14ac:dyDescent="0.25">
      <c r="A1577" s="20" t="s">
        <v>105</v>
      </c>
      <c r="B1577" s="47" t="s">
        <v>140</v>
      </c>
      <c r="C1577" s="49"/>
      <c r="D1577" s="29" t="s">
        <v>465</v>
      </c>
      <c r="E1577" s="23">
        <v>6</v>
      </c>
      <c r="F1577" s="20">
        <v>0</v>
      </c>
      <c r="G1577" s="24">
        <f>E1577</f>
        <v>6</v>
      </c>
      <c r="H1577" s="20">
        <v>0</v>
      </c>
    </row>
    <row r="1578" spans="1:8" ht="15.75" hidden="1" customHeight="1" x14ac:dyDescent="0.25">
      <c r="A1578" s="20" t="s">
        <v>105</v>
      </c>
      <c r="B1578" s="47" t="s">
        <v>140</v>
      </c>
      <c r="C1578" s="49"/>
      <c r="D1578" s="19" t="s">
        <v>15</v>
      </c>
      <c r="E1578" s="23">
        <v>2546</v>
      </c>
      <c r="F1578" s="18">
        <f>E1578* 0.932775698199239</f>
        <v>2374.8469276152623</v>
      </c>
      <c r="G1578" s="18">
        <f>E1578* 0.00808724987291465</f>
        <v>20.5901381764407</v>
      </c>
      <c r="H1578" s="18">
        <f>E1578* 0.0590600305004852</f>
        <v>150.36683765423533</v>
      </c>
    </row>
    <row r="1579" spans="1:8" ht="15.75" hidden="1" customHeight="1" x14ac:dyDescent="0.25">
      <c r="A1579" s="20" t="s">
        <v>105</v>
      </c>
      <c r="B1579" s="47" t="s">
        <v>140</v>
      </c>
      <c r="C1579" s="49"/>
      <c r="D1579" s="29" t="s">
        <v>466</v>
      </c>
      <c r="E1579" s="23">
        <v>81</v>
      </c>
      <c r="F1579" s="18">
        <f>E1579* 0.0803212851405623</f>
        <v>6.5060240963855467</v>
      </c>
      <c r="G1579" s="18">
        <f>E1579* 0.913367756741251</f>
        <v>73.982788296041335</v>
      </c>
      <c r="H1579" s="18">
        <f>E1579* 0.0057372346528973</f>
        <v>0.46471600688468134</v>
      </c>
    </row>
    <row r="1580" spans="1:8" ht="15.75" hidden="1" customHeight="1" x14ac:dyDescent="0.25">
      <c r="A1580" s="20" t="s">
        <v>105</v>
      </c>
      <c r="B1580" s="47" t="s">
        <v>140</v>
      </c>
      <c r="C1580" s="49"/>
      <c r="D1580" s="19" t="s">
        <v>11</v>
      </c>
      <c r="E1580" s="23">
        <v>864</v>
      </c>
      <c r="F1580" s="18">
        <f>E1580* 0.150611071171819</f>
        <v>130.12796549245161</v>
      </c>
      <c r="G1580" s="18">
        <f>E1580* 0.847699496764917</f>
        <v>732.41236520488826</v>
      </c>
      <c r="H1580" s="18">
        <f>E1580* 0.00136592379583034</f>
        <v>1.1801581595974138</v>
      </c>
    </row>
    <row r="1581" spans="1:8" ht="15.75" hidden="1" customHeight="1" x14ac:dyDescent="0.25">
      <c r="A1581" s="20" t="s">
        <v>105</v>
      </c>
      <c r="B1581" s="47" t="s">
        <v>140</v>
      </c>
      <c r="C1581" s="49"/>
      <c r="D1581" s="19" t="s">
        <v>17</v>
      </c>
      <c r="E1581" s="23">
        <v>2010</v>
      </c>
      <c r="F1581" s="18">
        <f>E1581* 0.840430229624022</f>
        <v>1689.2647615442843</v>
      </c>
      <c r="G1581" s="18">
        <f>E1581* 0.0777504415846581</f>
        <v>156.27838758516279</v>
      </c>
      <c r="H1581" s="18">
        <f>E1581* 0.0817877870300278</f>
        <v>164.39345193035587</v>
      </c>
    </row>
    <row r="1582" spans="1:8" ht="15.75" hidden="1" customHeight="1" x14ac:dyDescent="0.25">
      <c r="A1582" s="20" t="s">
        <v>105</v>
      </c>
      <c r="B1582" s="47" t="s">
        <v>140</v>
      </c>
      <c r="C1582" s="49"/>
      <c r="D1582" s="19" t="s">
        <v>31</v>
      </c>
      <c r="E1582" s="23">
        <v>106</v>
      </c>
      <c r="F1582" s="18">
        <f>E1582* 0.901975683890578</f>
        <v>95.609422492401265</v>
      </c>
      <c r="G1582" s="18">
        <f>E1582* 0.0364741641337386</f>
        <v>3.8662613981762917</v>
      </c>
      <c r="H1582" s="18">
        <f>E1582* 0.0615501519756839</f>
        <v>6.5243161094224931</v>
      </c>
    </row>
    <row r="1583" spans="1:8" ht="15.75" hidden="1" customHeight="1" x14ac:dyDescent="0.25">
      <c r="A1583" s="20" t="s">
        <v>105</v>
      </c>
      <c r="B1583" s="47" t="s">
        <v>140</v>
      </c>
      <c r="C1583" s="49"/>
      <c r="D1583" s="19" t="s">
        <v>18</v>
      </c>
      <c r="E1583" s="23">
        <v>352</v>
      </c>
      <c r="F1583" s="18">
        <f>E1583* 0.932934264493959</f>
        <v>328.39286110187356</v>
      </c>
      <c r="G1583" s="18">
        <f>E1583* 0.0585300964416362</f>
        <v>20.60259394745594</v>
      </c>
      <c r="H1583" s="18">
        <f>E1583* 0.00853563906440528</f>
        <v>3.0045449506706587</v>
      </c>
    </row>
    <row r="1584" spans="1:8" ht="15.75" hidden="1" customHeight="1" x14ac:dyDescent="0.25">
      <c r="A1584" s="20" t="s">
        <v>105</v>
      </c>
      <c r="B1584" s="47" t="s">
        <v>140</v>
      </c>
      <c r="C1584" s="49"/>
      <c r="D1584" s="19" t="s">
        <v>19</v>
      </c>
      <c r="E1584" s="23">
        <v>48</v>
      </c>
      <c r="F1584" s="18">
        <f>E1584* 0.290681971640783</f>
        <v>13.952734638757585</v>
      </c>
      <c r="G1584" s="18">
        <f>E1584* 0.694125590817016</f>
        <v>33.318028359216768</v>
      </c>
      <c r="H1584" s="18">
        <f>E1584* 0.0151924375422012</f>
        <v>0.72923700202565755</v>
      </c>
    </row>
    <row r="1585" spans="1:8" ht="15.75" hidden="1" customHeight="1" x14ac:dyDescent="0.25">
      <c r="A1585" s="20" t="s">
        <v>105</v>
      </c>
      <c r="B1585" s="47" t="s">
        <v>140</v>
      </c>
      <c r="C1585" s="49"/>
      <c r="D1585" s="19" t="s">
        <v>20</v>
      </c>
      <c r="E1585" s="23">
        <v>831</v>
      </c>
      <c r="F1585" s="18">
        <f>E1585* 0.686268801552644</f>
        <v>570.28937409024718</v>
      </c>
      <c r="G1585" s="18">
        <f>E1585* 0.196991751576904</f>
        <v>163.70014556040721</v>
      </c>
      <c r="H1585" s="18">
        <f>E1585* 0.116642406598738</f>
        <v>96.929839883551267</v>
      </c>
    </row>
    <row r="1586" spans="1:8" ht="15.75" hidden="1" customHeight="1" x14ac:dyDescent="0.25">
      <c r="A1586" s="20" t="s">
        <v>105</v>
      </c>
      <c r="B1586" s="47" t="s">
        <v>140</v>
      </c>
      <c r="C1586" s="49"/>
      <c r="D1586" s="19" t="s">
        <v>21</v>
      </c>
      <c r="E1586" s="23">
        <v>4819</v>
      </c>
      <c r="F1586" s="18">
        <f>E1586* 0.999513766486355</f>
        <v>4816.6568406977449</v>
      </c>
      <c r="G1586" s="18">
        <f>E1586* 0.0000243116756822464</f>
        <v>0.1171579651127454</v>
      </c>
      <c r="H1586" s="18">
        <f>E1586* 0.00034036345955145</f>
        <v>1.6402115115784375</v>
      </c>
    </row>
    <row r="1587" spans="1:8" ht="15.75" hidden="1" customHeight="1" x14ac:dyDescent="0.25">
      <c r="A1587" s="20" t="s">
        <v>105</v>
      </c>
      <c r="B1587" s="47" t="s">
        <v>140</v>
      </c>
      <c r="C1587" s="49"/>
      <c r="D1587" s="19" t="s">
        <v>36</v>
      </c>
      <c r="E1587" s="23">
        <v>8</v>
      </c>
      <c r="F1587" s="24">
        <f>E1587</f>
        <v>8</v>
      </c>
      <c r="G1587" s="20">
        <v>0</v>
      </c>
      <c r="H1587" s="20">
        <v>0</v>
      </c>
    </row>
    <row r="1588" spans="1:8" ht="15.75" hidden="1" customHeight="1" x14ac:dyDescent="0.25">
      <c r="A1588" s="20" t="s">
        <v>105</v>
      </c>
      <c r="B1588" s="47" t="s">
        <v>140</v>
      </c>
      <c r="C1588" s="49"/>
      <c r="D1588" s="19" t="s">
        <v>28</v>
      </c>
      <c r="E1588" s="23">
        <v>317</v>
      </c>
      <c r="F1588" s="18">
        <f>E1588* 0.00094876660341556</f>
        <v>0.30075901328273252</v>
      </c>
      <c r="G1588" s="18">
        <f>E1588* 0.999051233396584</f>
        <v>316.69924098671714</v>
      </c>
      <c r="H1588" s="20">
        <v>0</v>
      </c>
    </row>
    <row r="1589" spans="1:8" ht="15.75" hidden="1" customHeight="1" x14ac:dyDescent="0.25">
      <c r="A1589" s="20" t="s">
        <v>105</v>
      </c>
      <c r="B1589" s="47" t="s">
        <v>140</v>
      </c>
      <c r="C1589" s="49"/>
      <c r="D1589" s="19" t="s">
        <v>12</v>
      </c>
      <c r="E1589" s="23">
        <v>5357</v>
      </c>
      <c r="F1589" s="18">
        <f>E1589* 0.843786808009423</f>
        <v>4520.1659305064786</v>
      </c>
      <c r="G1589" s="18">
        <f>E1589* 0.0740675304279545</f>
        <v>396.77976050255222</v>
      </c>
      <c r="H1589" s="18">
        <f>E1589* 0.0820965842167256</f>
        <v>439.791401648999</v>
      </c>
    </row>
    <row r="1590" spans="1:8" ht="15.75" hidden="1" customHeight="1" x14ac:dyDescent="0.25">
      <c r="A1590" s="20" t="s">
        <v>105</v>
      </c>
      <c r="B1590" s="20"/>
      <c r="C1590" s="20"/>
      <c r="D1590" s="46"/>
      <c r="E1590" s="35"/>
    </row>
    <row r="1591" spans="1:8" ht="15.75" hidden="1" customHeight="1" x14ac:dyDescent="0.25">
      <c r="A1591" s="20" t="s">
        <v>105</v>
      </c>
      <c r="B1591" s="47" t="s">
        <v>141</v>
      </c>
      <c r="C1591" s="12" t="str">
        <f>B1591&amp;"_"&amp;A1591</f>
        <v>Tiraque_Cochabamba</v>
      </c>
      <c r="D1591" s="20"/>
      <c r="E1591" s="48">
        <v>3405</v>
      </c>
      <c r="F1591" s="14">
        <f t="shared" ref="F1591:H1591" si="134">SUM(F1592:F1604)</f>
        <v>2530.0600097708702</v>
      </c>
      <c r="G1591" s="14">
        <f t="shared" si="134"/>
        <v>753.96772662513104</v>
      </c>
      <c r="H1591" s="14">
        <f t="shared" si="134"/>
        <v>120.56881750794952</v>
      </c>
    </row>
    <row r="1592" spans="1:8" ht="15.75" hidden="1" customHeight="1" x14ac:dyDescent="0.25">
      <c r="A1592" s="20" t="s">
        <v>105</v>
      </c>
      <c r="B1592" s="47" t="s">
        <v>141</v>
      </c>
      <c r="C1592" s="49"/>
      <c r="D1592" s="29" t="s">
        <v>467</v>
      </c>
      <c r="E1592" s="23">
        <v>4</v>
      </c>
      <c r="F1592" s="20">
        <v>0</v>
      </c>
      <c r="G1592" s="24">
        <f>E1592</f>
        <v>4</v>
      </c>
      <c r="H1592" s="20">
        <v>0</v>
      </c>
    </row>
    <row r="1593" spans="1:8" ht="15.75" hidden="1" customHeight="1" x14ac:dyDescent="0.25">
      <c r="A1593" s="20" t="s">
        <v>105</v>
      </c>
      <c r="B1593" s="47" t="s">
        <v>141</v>
      </c>
      <c r="C1593" s="49"/>
      <c r="D1593" s="19" t="s">
        <v>15</v>
      </c>
      <c r="E1593" s="23">
        <v>205</v>
      </c>
      <c r="F1593" s="18">
        <f>E1593* 0.932775698199239</f>
        <v>191.21901813084401</v>
      </c>
      <c r="G1593" s="18">
        <f>E1593* 0.00808724987291465</f>
        <v>1.6578862239475032</v>
      </c>
      <c r="H1593" s="18">
        <f>E1593* 0.0590600305004852</f>
        <v>12.107306252599466</v>
      </c>
    </row>
    <row r="1594" spans="1:8" ht="15.75" hidden="1" customHeight="1" x14ac:dyDescent="0.25">
      <c r="A1594" s="20" t="s">
        <v>105</v>
      </c>
      <c r="B1594" s="47" t="s">
        <v>141</v>
      </c>
      <c r="C1594" s="49"/>
      <c r="D1594" s="29" t="s">
        <v>468</v>
      </c>
      <c r="E1594" s="23">
        <v>21</v>
      </c>
      <c r="F1594" s="18">
        <f>E1594* 0.0803212851405623</f>
        <v>1.6867469879518084</v>
      </c>
      <c r="G1594" s="18">
        <f>E1594* 0.913367756741251</f>
        <v>19.180722891566273</v>
      </c>
      <c r="H1594" s="18">
        <f>E1594* 0.0057372346528973</f>
        <v>0.1204819277108433</v>
      </c>
    </row>
    <row r="1595" spans="1:8" ht="15.75" hidden="1" customHeight="1" x14ac:dyDescent="0.25">
      <c r="A1595" s="20" t="s">
        <v>105</v>
      </c>
      <c r="B1595" s="47" t="s">
        <v>141</v>
      </c>
      <c r="C1595" s="49"/>
      <c r="D1595" s="19" t="s">
        <v>11</v>
      </c>
      <c r="E1595" s="23">
        <v>522</v>
      </c>
      <c r="F1595" s="18">
        <f>E1595* 0.150611071171819</f>
        <v>78.618979151689516</v>
      </c>
      <c r="G1595" s="18">
        <f>E1595* 0.847699496764917</f>
        <v>442.49913731128663</v>
      </c>
      <c r="H1595" s="18">
        <f>E1595* 0.00136592379583034</f>
        <v>0.71301222142343745</v>
      </c>
    </row>
    <row r="1596" spans="1:8" ht="15.75" hidden="1" customHeight="1" x14ac:dyDescent="0.25">
      <c r="A1596" s="20" t="s">
        <v>105</v>
      </c>
      <c r="B1596" s="47" t="s">
        <v>141</v>
      </c>
      <c r="C1596" s="49"/>
      <c r="D1596" s="19" t="s">
        <v>17</v>
      </c>
      <c r="E1596" s="23">
        <v>171</v>
      </c>
      <c r="F1596" s="18">
        <f>E1596* 0.840430229624022</f>
        <v>143.71356926570778</v>
      </c>
      <c r="G1596" s="18">
        <f>E1596* 0.0777504415846581</f>
        <v>13.295325510976536</v>
      </c>
      <c r="H1596" s="18">
        <f>E1596* 0.0817877870300278</f>
        <v>13.985711582134753</v>
      </c>
    </row>
    <row r="1597" spans="1:8" ht="15.75" hidden="1" customHeight="1" x14ac:dyDescent="0.25">
      <c r="A1597" s="20" t="s">
        <v>105</v>
      </c>
      <c r="B1597" s="47" t="s">
        <v>141</v>
      </c>
      <c r="C1597" s="49"/>
      <c r="D1597" s="19" t="s">
        <v>31</v>
      </c>
      <c r="E1597" s="23">
        <v>4</v>
      </c>
      <c r="F1597" s="18">
        <f>E1597* 0.901975683890578</f>
        <v>3.6079027355623121</v>
      </c>
      <c r="G1597" s="18">
        <f>E1597* 0.0364741641337386</f>
        <v>0.1458966565349544</v>
      </c>
      <c r="H1597" s="18">
        <f>E1597* 0.0615501519756839</f>
        <v>0.2462006079027356</v>
      </c>
    </row>
    <row r="1598" spans="1:8" ht="15.75" hidden="1" customHeight="1" x14ac:dyDescent="0.25">
      <c r="A1598" s="20" t="s">
        <v>105</v>
      </c>
      <c r="B1598" s="47" t="s">
        <v>141</v>
      </c>
      <c r="C1598" s="49"/>
      <c r="D1598" s="19" t="s">
        <v>18</v>
      </c>
      <c r="E1598" s="23">
        <v>25</v>
      </c>
      <c r="F1598" s="18">
        <f>E1598* 0.932934264493959</f>
        <v>23.323356612348974</v>
      </c>
      <c r="G1598" s="18">
        <f>E1598* 0.0585300964416362</f>
        <v>1.4632524110409049</v>
      </c>
      <c r="H1598" s="18">
        <f>E1598* 0.00853563906440528</f>
        <v>0.21339097661013201</v>
      </c>
    </row>
    <row r="1599" spans="1:8" ht="15.75" hidden="1" customHeight="1" x14ac:dyDescent="0.25">
      <c r="A1599" s="20" t="s">
        <v>105</v>
      </c>
      <c r="B1599" s="47" t="s">
        <v>141</v>
      </c>
      <c r="C1599" s="49"/>
      <c r="D1599" s="19" t="s">
        <v>19</v>
      </c>
      <c r="E1599" s="23">
        <v>14</v>
      </c>
      <c r="F1599" s="18">
        <f>E1599* 0.290681971640783</f>
        <v>4.0695476029709621</v>
      </c>
      <c r="G1599" s="18">
        <f>E1599* 0.694125590817016</f>
        <v>9.7177582714382229</v>
      </c>
      <c r="H1599" s="18">
        <f>E1599* 0.0151924375422012</f>
        <v>0.2126941255908168</v>
      </c>
    </row>
    <row r="1600" spans="1:8" ht="15.75" hidden="1" customHeight="1" x14ac:dyDescent="0.25">
      <c r="A1600" s="20" t="s">
        <v>105</v>
      </c>
      <c r="B1600" s="47" t="s">
        <v>141</v>
      </c>
      <c r="C1600" s="49"/>
      <c r="D1600" s="19" t="s">
        <v>20</v>
      </c>
      <c r="E1600" s="23">
        <v>94</v>
      </c>
      <c r="F1600" s="18">
        <f>E1600* 0.686268801552644</f>
        <v>64.509267345948544</v>
      </c>
      <c r="G1600" s="18">
        <f>E1600* 0.196991751576904</f>
        <v>18.517224648228975</v>
      </c>
      <c r="H1600" s="18">
        <f>E1600* 0.116642406598738</f>
        <v>10.964386220281371</v>
      </c>
    </row>
    <row r="1601" spans="1:8" ht="15.75" hidden="1" customHeight="1" x14ac:dyDescent="0.25">
      <c r="A1601" s="20" t="s">
        <v>105</v>
      </c>
      <c r="B1601" s="47" t="s">
        <v>141</v>
      </c>
      <c r="C1601" s="49"/>
      <c r="D1601" s="19" t="s">
        <v>21</v>
      </c>
      <c r="E1601" s="23">
        <v>1180</v>
      </c>
      <c r="F1601" s="18">
        <f>E1601* 0.999513766486355</f>
        <v>1179.426244453899</v>
      </c>
      <c r="G1601" s="18">
        <f>E1601* 0.0000243116756822464</f>
        <v>2.868777730505075E-2</v>
      </c>
      <c r="H1601" s="18">
        <f>E1601* 0.00034036345955145</f>
        <v>0.40162888227071103</v>
      </c>
    </row>
    <row r="1602" spans="1:8" ht="15.75" hidden="1" customHeight="1" x14ac:dyDescent="0.25">
      <c r="A1602" s="20" t="s">
        <v>105</v>
      </c>
      <c r="B1602" s="47" t="s">
        <v>141</v>
      </c>
      <c r="C1602" s="49"/>
      <c r="D1602" s="19" t="s">
        <v>36</v>
      </c>
      <c r="E1602" s="23">
        <v>1</v>
      </c>
      <c r="F1602" s="24">
        <f>E1602</f>
        <v>1</v>
      </c>
      <c r="G1602" s="20">
        <v>0</v>
      </c>
      <c r="H1602" s="20">
        <v>0</v>
      </c>
    </row>
    <row r="1603" spans="1:8" ht="15.75" hidden="1" customHeight="1" x14ac:dyDescent="0.25">
      <c r="A1603" s="20" t="s">
        <v>105</v>
      </c>
      <c r="B1603" s="47" t="s">
        <v>141</v>
      </c>
      <c r="C1603" s="49"/>
      <c r="D1603" s="19" t="s">
        <v>28</v>
      </c>
      <c r="E1603" s="23">
        <v>170</v>
      </c>
      <c r="F1603" s="18">
        <f>E1603* 0.00094876660341556</f>
        <v>0.16129032258064521</v>
      </c>
      <c r="G1603" s="18">
        <f>E1603* 0.999051233396584</f>
        <v>169.83870967741927</v>
      </c>
      <c r="H1603" s="20">
        <v>0</v>
      </c>
    </row>
    <row r="1604" spans="1:8" ht="15.75" hidden="1" customHeight="1" x14ac:dyDescent="0.25">
      <c r="A1604" s="20" t="s">
        <v>105</v>
      </c>
      <c r="B1604" s="47" t="s">
        <v>141</v>
      </c>
      <c r="C1604" s="49"/>
      <c r="D1604" s="19" t="s">
        <v>12</v>
      </c>
      <c r="E1604" s="23">
        <v>994</v>
      </c>
      <c r="F1604" s="18">
        <f>E1604* 0.843786808009423</f>
        <v>838.72408716136647</v>
      </c>
      <c r="G1604" s="18">
        <f>E1604* 0.0740675304279545</f>
        <v>73.623125245386774</v>
      </c>
      <c r="H1604" s="18">
        <f>E1604* 0.0820965842167256</f>
        <v>81.604004711425247</v>
      </c>
    </row>
    <row r="1605" spans="1:8" ht="15.75" hidden="1" customHeight="1" x14ac:dyDescent="0.25">
      <c r="A1605" s="20" t="s">
        <v>105</v>
      </c>
      <c r="B1605" s="20"/>
      <c r="C1605" s="20"/>
      <c r="D1605" s="46"/>
      <c r="E1605" s="35"/>
    </row>
    <row r="1606" spans="1:8" ht="15.75" hidden="1" customHeight="1" x14ac:dyDescent="0.25">
      <c r="A1606" s="20" t="s">
        <v>105</v>
      </c>
      <c r="B1606" s="47" t="s">
        <v>142</v>
      </c>
      <c r="C1606" s="12" t="str">
        <f>B1606&amp;"_"&amp;A1606</f>
        <v>Toco_Cochabamba</v>
      </c>
      <c r="D1606" s="20"/>
      <c r="E1606" s="48">
        <v>108</v>
      </c>
      <c r="F1606" s="14">
        <f t="shared" ref="F1606:H1606" si="135">SUM(F1607:F1615)</f>
        <v>84.860438708579366</v>
      </c>
      <c r="G1606" s="14">
        <f t="shared" si="135"/>
        <v>18.940494056589408</v>
      </c>
      <c r="H1606" s="14">
        <f t="shared" si="135"/>
        <v>4.1866684670021694</v>
      </c>
    </row>
    <row r="1607" spans="1:8" ht="15.75" hidden="1" customHeight="1" x14ac:dyDescent="0.25">
      <c r="A1607" s="20" t="s">
        <v>105</v>
      </c>
      <c r="B1607" s="47" t="s">
        <v>142</v>
      </c>
      <c r="C1607" s="49"/>
      <c r="D1607" s="19" t="s">
        <v>15</v>
      </c>
      <c r="E1607" s="23">
        <v>9</v>
      </c>
      <c r="F1607" s="18">
        <f>E1607* 0.932775698199239</f>
        <v>8.3949812837931503</v>
      </c>
      <c r="G1607" s="18">
        <f>E1607* 0.00808724987291465</f>
        <v>7.2785248856231846E-2</v>
      </c>
      <c r="H1607" s="18">
        <f>E1607* 0.0590600305004852</f>
        <v>0.53154027450436681</v>
      </c>
    </row>
    <row r="1608" spans="1:8" ht="15.75" hidden="1" customHeight="1" x14ac:dyDescent="0.25">
      <c r="A1608" s="20" t="s">
        <v>105</v>
      </c>
      <c r="B1608" s="47" t="s">
        <v>142</v>
      </c>
      <c r="C1608" s="49"/>
      <c r="D1608" s="19" t="s">
        <v>11</v>
      </c>
      <c r="E1608" s="23">
        <v>17</v>
      </c>
      <c r="F1608" s="18">
        <f>E1608* 0.150611071171819</f>
        <v>2.560388209920923</v>
      </c>
      <c r="G1608" s="18">
        <f>E1608* 0.847699496764917</f>
        <v>14.410891445003589</v>
      </c>
      <c r="H1608" s="18">
        <f>E1608* 0.00136592379583034</f>
        <v>2.3220704529115781E-2</v>
      </c>
    </row>
    <row r="1609" spans="1:8" ht="15.75" hidden="1" customHeight="1" x14ac:dyDescent="0.25">
      <c r="A1609" s="20" t="s">
        <v>105</v>
      </c>
      <c r="B1609" s="47" t="s">
        <v>142</v>
      </c>
      <c r="C1609" s="49"/>
      <c r="D1609" s="19" t="s">
        <v>17</v>
      </c>
      <c r="E1609" s="23">
        <v>9</v>
      </c>
      <c r="F1609" s="18">
        <f>E1609* 0.840430229624022</f>
        <v>7.5638720666161987</v>
      </c>
      <c r="G1609" s="18">
        <f>E1609* 0.0777504415846581</f>
        <v>0.69975397426192298</v>
      </c>
      <c r="H1609" s="18">
        <f>E1609* 0.0817877870300278</f>
        <v>0.73609008327025016</v>
      </c>
    </row>
    <row r="1610" spans="1:8" ht="15.75" hidden="1" customHeight="1" x14ac:dyDescent="0.25">
      <c r="A1610" s="20" t="s">
        <v>105</v>
      </c>
      <c r="B1610" s="47" t="s">
        <v>142</v>
      </c>
      <c r="C1610" s="49"/>
      <c r="D1610" s="19" t="s">
        <v>31</v>
      </c>
      <c r="E1610" s="23">
        <v>2</v>
      </c>
      <c r="F1610" s="18">
        <f>E1610* 0.901975683890578</f>
        <v>1.8039513677811561</v>
      </c>
      <c r="G1610" s="18">
        <f>E1610* 0.0364741641337386</f>
        <v>7.29483282674772E-2</v>
      </c>
      <c r="H1610" s="18">
        <f>E1610* 0.0615501519756839</f>
        <v>0.1231003039513678</v>
      </c>
    </row>
    <row r="1611" spans="1:8" ht="15.75" hidden="1" customHeight="1" x14ac:dyDescent="0.25">
      <c r="A1611" s="20" t="s">
        <v>105</v>
      </c>
      <c r="B1611" s="47" t="s">
        <v>142</v>
      </c>
      <c r="C1611" s="49"/>
      <c r="D1611" s="19" t="s">
        <v>18</v>
      </c>
      <c r="E1611" s="23">
        <v>2</v>
      </c>
      <c r="F1611" s="18">
        <f>E1611* 0.932934264493959</f>
        <v>1.865868528987918</v>
      </c>
      <c r="G1611" s="18">
        <f>E1611* 0.0585300964416362</f>
        <v>0.11706019288327239</v>
      </c>
      <c r="H1611" s="18">
        <f>E1611* 0.00853563906440528</f>
        <v>1.7071278128810562E-2</v>
      </c>
    </row>
    <row r="1612" spans="1:8" ht="15.75" hidden="1" customHeight="1" x14ac:dyDescent="0.25">
      <c r="A1612" s="20" t="s">
        <v>105</v>
      </c>
      <c r="B1612" s="47" t="s">
        <v>142</v>
      </c>
      <c r="C1612" s="49"/>
      <c r="D1612" s="19" t="s">
        <v>20</v>
      </c>
      <c r="E1612" s="23">
        <v>1</v>
      </c>
      <c r="F1612" s="18">
        <f>E1612* 0.686268801552644</f>
        <v>0.68626880155264403</v>
      </c>
      <c r="G1612" s="18">
        <f>E1612* 0.196991751576904</f>
        <v>0.19699175157690399</v>
      </c>
      <c r="H1612" s="18">
        <f>E1612* 0.116642406598738</f>
        <v>0.11664240659873799</v>
      </c>
    </row>
    <row r="1613" spans="1:8" ht="15.75" hidden="1" customHeight="1" x14ac:dyDescent="0.25">
      <c r="A1613" s="20" t="s">
        <v>105</v>
      </c>
      <c r="B1613" s="47" t="s">
        <v>142</v>
      </c>
      <c r="C1613" s="49"/>
      <c r="D1613" s="19" t="s">
        <v>21</v>
      </c>
      <c r="E1613" s="23">
        <v>35</v>
      </c>
      <c r="F1613" s="18">
        <f>E1613* 0.999513766486355</f>
        <v>34.982981827022428</v>
      </c>
      <c r="G1613" s="18">
        <f>E1613* 0.0000243116756822464</f>
        <v>8.5090864887862395E-4</v>
      </c>
      <c r="H1613" s="18">
        <f>E1613* 0.00034036345955145</f>
        <v>1.191272108430075E-2</v>
      </c>
    </row>
    <row r="1614" spans="1:8" ht="15.75" hidden="1" customHeight="1" x14ac:dyDescent="0.25">
      <c r="A1614" s="20" t="s">
        <v>105</v>
      </c>
      <c r="B1614" s="47" t="s">
        <v>142</v>
      </c>
      <c r="C1614" s="49"/>
      <c r="D1614" s="19" t="s">
        <v>28</v>
      </c>
      <c r="E1614" s="23">
        <v>1</v>
      </c>
      <c r="F1614" s="18">
        <f>E1614* 0.00094876660341556</f>
        <v>9.4876660341556001E-4</v>
      </c>
      <c r="G1614" s="18">
        <f>E1614* 0.999051233396584</f>
        <v>0.99905123339658397</v>
      </c>
      <c r="H1614" s="20">
        <v>0</v>
      </c>
    </row>
    <row r="1615" spans="1:8" ht="15.75" hidden="1" customHeight="1" x14ac:dyDescent="0.25">
      <c r="A1615" s="20" t="s">
        <v>105</v>
      </c>
      <c r="B1615" s="47" t="s">
        <v>142</v>
      </c>
      <c r="C1615" s="49"/>
      <c r="D1615" s="19" t="s">
        <v>12</v>
      </c>
      <c r="E1615" s="23">
        <v>32</v>
      </c>
      <c r="F1615" s="18">
        <f>E1615* 0.843786808009423</f>
        <v>27.001177856301535</v>
      </c>
      <c r="G1615" s="18">
        <f>E1615* 0.0740675304279545</f>
        <v>2.3701609736945439</v>
      </c>
      <c r="H1615" s="18">
        <f>E1615* 0.0820965842167256</f>
        <v>2.6270906949352191</v>
      </c>
    </row>
    <row r="1616" spans="1:8" ht="15.75" hidden="1" customHeight="1" x14ac:dyDescent="0.25">
      <c r="A1616" s="20" t="s">
        <v>105</v>
      </c>
      <c r="B1616" s="20"/>
      <c r="C1616" s="20"/>
      <c r="D1616" s="46"/>
      <c r="E1616" s="35"/>
    </row>
    <row r="1617" spans="1:8" ht="15.75" hidden="1" customHeight="1" x14ac:dyDescent="0.25">
      <c r="A1617" s="20" t="s">
        <v>105</v>
      </c>
      <c r="B1617" s="47" t="s">
        <v>143</v>
      </c>
      <c r="C1617" s="12" t="str">
        <f>B1617&amp;"_"&amp;A1617</f>
        <v>Tolata_Cochabamba</v>
      </c>
      <c r="D1617" s="20"/>
      <c r="E1617" s="48">
        <v>315</v>
      </c>
      <c r="F1617" s="14">
        <f t="shared" ref="F1617:H1617" si="136">SUM(F1618:F1628)</f>
        <v>250.53742540761311</v>
      </c>
      <c r="G1617" s="14">
        <f t="shared" si="136"/>
        <v>47.7035499791441</v>
      </c>
      <c r="H1617" s="14">
        <f t="shared" si="136"/>
        <v>16.729546413878349</v>
      </c>
    </row>
    <row r="1618" spans="1:8" ht="15.75" hidden="1" customHeight="1" x14ac:dyDescent="0.25">
      <c r="A1618" s="20" t="s">
        <v>105</v>
      </c>
      <c r="B1618" s="47" t="s">
        <v>143</v>
      </c>
      <c r="C1618" s="49"/>
      <c r="D1618" s="29" t="s">
        <v>469</v>
      </c>
      <c r="E1618" s="23">
        <v>3</v>
      </c>
      <c r="F1618" s="20">
        <v>0</v>
      </c>
      <c r="G1618" s="24">
        <f>E1618</f>
        <v>3</v>
      </c>
      <c r="H1618" s="20">
        <v>0</v>
      </c>
    </row>
    <row r="1619" spans="1:8" ht="15.75" hidden="1" customHeight="1" x14ac:dyDescent="0.25">
      <c r="A1619" s="20" t="s">
        <v>105</v>
      </c>
      <c r="B1619" s="47" t="s">
        <v>143</v>
      </c>
      <c r="C1619" s="49"/>
      <c r="D1619" s="19" t="s">
        <v>15</v>
      </c>
      <c r="E1619" s="23">
        <v>34</v>
      </c>
      <c r="F1619" s="18">
        <f>E1619* 0.932775698199239</f>
        <v>31.714373738774125</v>
      </c>
      <c r="G1619" s="18">
        <f>E1619* 0.00808724987291465</f>
        <v>0.27496649567909809</v>
      </c>
      <c r="H1619" s="18">
        <f>E1619* 0.0590600305004852</f>
        <v>2.0080410370164969</v>
      </c>
    </row>
    <row r="1620" spans="1:8" ht="15.75" hidden="1" customHeight="1" x14ac:dyDescent="0.25">
      <c r="A1620" s="20" t="s">
        <v>105</v>
      </c>
      <c r="B1620" s="47" t="s">
        <v>143</v>
      </c>
      <c r="C1620" s="49"/>
      <c r="D1620" s="29" t="s">
        <v>470</v>
      </c>
      <c r="E1620" s="23">
        <v>2</v>
      </c>
      <c r="F1620" s="18">
        <f>E1620* 0.0803212851405623</f>
        <v>0.16064257028112461</v>
      </c>
      <c r="G1620" s="18">
        <f>E1620* 0.913367756741251</f>
        <v>1.8267355134825021</v>
      </c>
      <c r="H1620" s="18">
        <f>E1620* 0.0057372346528973</f>
        <v>1.1474469305794601E-2</v>
      </c>
    </row>
    <row r="1621" spans="1:8" ht="15.75" hidden="1" customHeight="1" x14ac:dyDescent="0.25">
      <c r="A1621" s="20" t="s">
        <v>105</v>
      </c>
      <c r="B1621" s="47" t="s">
        <v>143</v>
      </c>
      <c r="C1621" s="49"/>
      <c r="D1621" s="19" t="s">
        <v>11</v>
      </c>
      <c r="E1621" s="23">
        <v>32</v>
      </c>
      <c r="F1621" s="18">
        <f>E1621* 0.150611071171819</f>
        <v>4.8195542774982076</v>
      </c>
      <c r="G1621" s="18">
        <f>E1621* 0.847699496764917</f>
        <v>27.126383896477343</v>
      </c>
      <c r="H1621" s="18">
        <f>E1621* 0.00136592379583034</f>
        <v>4.370956146657088E-2</v>
      </c>
    </row>
    <row r="1622" spans="1:8" ht="15.75" hidden="1" customHeight="1" x14ac:dyDescent="0.25">
      <c r="A1622" s="20" t="s">
        <v>105</v>
      </c>
      <c r="B1622" s="47" t="s">
        <v>143</v>
      </c>
      <c r="C1622" s="49"/>
      <c r="D1622" s="19" t="s">
        <v>17</v>
      </c>
      <c r="E1622" s="23">
        <v>53</v>
      </c>
      <c r="F1622" s="18">
        <f>E1622* 0.840430229624022</f>
        <v>44.542802170073166</v>
      </c>
      <c r="G1622" s="18">
        <f>E1622* 0.0777504415846581</f>
        <v>4.1207734039868793</v>
      </c>
      <c r="H1622" s="18">
        <f>E1622* 0.0817877870300278</f>
        <v>4.3347527125914738</v>
      </c>
    </row>
    <row r="1623" spans="1:8" ht="15.75" hidden="1" customHeight="1" x14ac:dyDescent="0.25">
      <c r="A1623" s="20" t="s">
        <v>105</v>
      </c>
      <c r="B1623" s="47" t="s">
        <v>143</v>
      </c>
      <c r="C1623" s="49"/>
      <c r="D1623" s="19" t="s">
        <v>31</v>
      </c>
      <c r="E1623" s="23">
        <v>2</v>
      </c>
      <c r="F1623" s="18">
        <f>E1623* 0.901975683890578</f>
        <v>1.8039513677811561</v>
      </c>
      <c r="G1623" s="18">
        <f>E1623* 0.0364741641337386</f>
        <v>7.29483282674772E-2</v>
      </c>
      <c r="H1623" s="18">
        <f>E1623* 0.0615501519756839</f>
        <v>0.1231003039513678</v>
      </c>
    </row>
    <row r="1624" spans="1:8" ht="15.75" hidden="1" customHeight="1" x14ac:dyDescent="0.25">
      <c r="A1624" s="20" t="s">
        <v>105</v>
      </c>
      <c r="B1624" s="47" t="s">
        <v>143</v>
      </c>
      <c r="C1624" s="49"/>
      <c r="D1624" s="19" t="s">
        <v>18</v>
      </c>
      <c r="E1624" s="23">
        <v>7</v>
      </c>
      <c r="F1624" s="18">
        <f>E1624* 0.932934264493959</f>
        <v>6.5305398514577133</v>
      </c>
      <c r="G1624" s="18">
        <f>E1624* 0.0585300964416362</f>
        <v>0.40971067509145337</v>
      </c>
      <c r="H1624" s="18">
        <f>E1624* 0.00853563906440528</f>
        <v>5.9749473450836962E-2</v>
      </c>
    </row>
    <row r="1625" spans="1:8" ht="15.75" hidden="1" customHeight="1" x14ac:dyDescent="0.25">
      <c r="A1625" s="20" t="s">
        <v>105</v>
      </c>
      <c r="B1625" s="47" t="s">
        <v>143</v>
      </c>
      <c r="C1625" s="49"/>
      <c r="D1625" s="19" t="s">
        <v>20</v>
      </c>
      <c r="E1625" s="23">
        <v>8</v>
      </c>
      <c r="F1625" s="18">
        <f>E1625* 0.686268801552644</f>
        <v>5.4901504124211522</v>
      </c>
      <c r="G1625" s="18">
        <f>E1625* 0.196991751576904</f>
        <v>1.5759340126152319</v>
      </c>
      <c r="H1625" s="18">
        <f>E1625* 0.116642406598738</f>
        <v>0.93313925278990395</v>
      </c>
    </row>
    <row r="1626" spans="1:8" ht="15.75" hidden="1" customHeight="1" x14ac:dyDescent="0.25">
      <c r="A1626" s="20" t="s">
        <v>105</v>
      </c>
      <c r="B1626" s="47" t="s">
        <v>143</v>
      </c>
      <c r="C1626" s="49"/>
      <c r="D1626" s="19" t="s">
        <v>21</v>
      </c>
      <c r="E1626" s="23">
        <v>61</v>
      </c>
      <c r="F1626" s="18">
        <f>E1626* 0.999513766486355</f>
        <v>60.970339755667659</v>
      </c>
      <c r="G1626" s="18">
        <f>E1626* 0.0000243116756822464</f>
        <v>1.4830122166170302E-3</v>
      </c>
      <c r="H1626" s="18">
        <f>E1626* 0.00034036345955145</f>
        <v>2.076217103263845E-2</v>
      </c>
    </row>
    <row r="1627" spans="1:8" ht="15.75" hidden="1" customHeight="1" x14ac:dyDescent="0.25">
      <c r="A1627" s="20" t="s">
        <v>105</v>
      </c>
      <c r="B1627" s="47" t="s">
        <v>143</v>
      </c>
      <c r="C1627" s="49"/>
      <c r="D1627" s="19" t="s">
        <v>28</v>
      </c>
      <c r="E1627" s="23">
        <v>1</v>
      </c>
      <c r="F1627" s="18">
        <f>E1627* 0.00094876660341556</f>
        <v>9.4876660341556001E-4</v>
      </c>
      <c r="G1627" s="18">
        <f>E1627* 0.999051233396584</f>
        <v>0.99905123339658397</v>
      </c>
      <c r="H1627" s="20">
        <v>0</v>
      </c>
    </row>
    <row r="1628" spans="1:8" ht="15.75" hidden="1" customHeight="1" x14ac:dyDescent="0.25">
      <c r="A1628" s="20" t="s">
        <v>105</v>
      </c>
      <c r="B1628" s="47" t="s">
        <v>143</v>
      </c>
      <c r="C1628" s="49"/>
      <c r="D1628" s="19" t="s">
        <v>12</v>
      </c>
      <c r="E1628" s="23">
        <v>112</v>
      </c>
      <c r="F1628" s="18">
        <f>E1628* 0.843786808009423</f>
        <v>94.504122497055377</v>
      </c>
      <c r="G1628" s="18">
        <f>E1628* 0.0740675304279545</f>
        <v>8.2955634079309029</v>
      </c>
      <c r="H1628" s="18">
        <f>E1628* 0.0820965842167256</f>
        <v>9.1948174322732665</v>
      </c>
    </row>
    <row r="1629" spans="1:8" ht="15.75" hidden="1" customHeight="1" x14ac:dyDescent="0.25">
      <c r="A1629" s="20" t="s">
        <v>105</v>
      </c>
      <c r="B1629" s="20"/>
      <c r="C1629" s="20"/>
      <c r="D1629" s="46"/>
      <c r="E1629" s="35"/>
    </row>
    <row r="1630" spans="1:8" ht="15.75" hidden="1" customHeight="1" x14ac:dyDescent="0.25">
      <c r="A1630" s="20" t="s">
        <v>105</v>
      </c>
      <c r="B1630" s="47" t="s">
        <v>144</v>
      </c>
      <c r="C1630" s="12" t="str">
        <f>B1630&amp;"_"&amp;A1630</f>
        <v>Totora_Cochabamba</v>
      </c>
      <c r="D1630" s="20"/>
      <c r="E1630" s="48">
        <v>179</v>
      </c>
      <c r="F1630" s="14">
        <f t="shared" ref="F1630:H1630" si="137">SUM(F1631:F1641)</f>
        <v>101.53753874193453</v>
      </c>
      <c r="G1630" s="14">
        <f t="shared" si="137"/>
        <v>71.00874598039529</v>
      </c>
      <c r="H1630" s="14">
        <f t="shared" si="137"/>
        <v>6.422761730388669</v>
      </c>
    </row>
    <row r="1631" spans="1:8" ht="15.75" hidden="1" customHeight="1" x14ac:dyDescent="0.25">
      <c r="A1631" s="20" t="s">
        <v>105</v>
      </c>
      <c r="B1631" s="47" t="s">
        <v>144</v>
      </c>
      <c r="C1631" s="49"/>
      <c r="D1631" s="29" t="s">
        <v>471</v>
      </c>
      <c r="E1631" s="23">
        <v>0</v>
      </c>
      <c r="F1631" s="20">
        <v>0</v>
      </c>
      <c r="G1631" s="24">
        <f>E1631</f>
        <v>0</v>
      </c>
      <c r="H1631" s="20">
        <v>0</v>
      </c>
    </row>
    <row r="1632" spans="1:8" ht="15.75" hidden="1" customHeight="1" x14ac:dyDescent="0.25">
      <c r="A1632" s="20" t="s">
        <v>105</v>
      </c>
      <c r="B1632" s="47" t="s">
        <v>144</v>
      </c>
      <c r="C1632" s="49"/>
      <c r="D1632" s="19" t="s">
        <v>15</v>
      </c>
      <c r="E1632" s="32">
        <v>7</v>
      </c>
      <c r="F1632" s="18">
        <f>E1632* 0.932775698199239</f>
        <v>6.5294298873946728</v>
      </c>
      <c r="G1632" s="18">
        <f>E1632* 0.00808724987291465</f>
        <v>5.661074911040255E-2</v>
      </c>
      <c r="H1632" s="18">
        <f>E1632* 0.0590600305004852</f>
        <v>0.41342021350339642</v>
      </c>
    </row>
    <row r="1633" spans="1:8" ht="15.75" hidden="1" customHeight="1" x14ac:dyDescent="0.25">
      <c r="A1633" s="20" t="s">
        <v>105</v>
      </c>
      <c r="B1633" s="47" t="s">
        <v>144</v>
      </c>
      <c r="C1633" s="49"/>
      <c r="D1633" s="29" t="s">
        <v>472</v>
      </c>
      <c r="E1633" s="23">
        <v>0</v>
      </c>
      <c r="F1633" s="18">
        <f>E1633* 0.0803212851405623</f>
        <v>0</v>
      </c>
      <c r="G1633" s="18">
        <f>E1633* 0.913367756741251</f>
        <v>0</v>
      </c>
      <c r="H1633" s="18">
        <f>E1633* 0.0057372346528973</f>
        <v>0</v>
      </c>
    </row>
    <row r="1634" spans="1:8" ht="15.75" hidden="1" customHeight="1" x14ac:dyDescent="0.25">
      <c r="A1634" s="20" t="s">
        <v>105</v>
      </c>
      <c r="B1634" s="47" t="s">
        <v>144</v>
      </c>
      <c r="C1634" s="49"/>
      <c r="D1634" s="19" t="s">
        <v>11</v>
      </c>
      <c r="E1634" s="23">
        <v>74</v>
      </c>
      <c r="F1634" s="18">
        <f>E1634* 0.150611071171819</f>
        <v>11.145219266714605</v>
      </c>
      <c r="G1634" s="18">
        <f>E1634* 0.847699496764917</f>
        <v>62.729762760603855</v>
      </c>
      <c r="H1634" s="18">
        <f>E1634* 0.00136592379583034</f>
        <v>0.10107836089144516</v>
      </c>
    </row>
    <row r="1635" spans="1:8" ht="15.75" hidden="1" customHeight="1" x14ac:dyDescent="0.25">
      <c r="A1635" s="20" t="s">
        <v>105</v>
      </c>
      <c r="B1635" s="47" t="s">
        <v>144</v>
      </c>
      <c r="C1635" s="49"/>
      <c r="D1635" s="19" t="s">
        <v>17</v>
      </c>
      <c r="E1635" s="32">
        <v>12</v>
      </c>
      <c r="F1635" s="18">
        <f>E1635* 0.840430229624022</f>
        <v>10.085162755488264</v>
      </c>
      <c r="G1635" s="18">
        <f>E1635* 0.0777504415846581</f>
        <v>0.93300529901589724</v>
      </c>
      <c r="H1635" s="18">
        <f>E1635* 0.0817877870300278</f>
        <v>0.98145344436033355</v>
      </c>
    </row>
    <row r="1636" spans="1:8" ht="15.75" hidden="1" customHeight="1" x14ac:dyDescent="0.25">
      <c r="A1636" s="20" t="s">
        <v>105</v>
      </c>
      <c r="B1636" s="47" t="s">
        <v>144</v>
      </c>
      <c r="C1636" s="49"/>
      <c r="D1636" s="19" t="s">
        <v>18</v>
      </c>
      <c r="E1636" s="32">
        <v>5</v>
      </c>
      <c r="F1636" s="18">
        <f>E1636* 0.932934264493959</f>
        <v>4.6646713224697951</v>
      </c>
      <c r="G1636" s="18">
        <f>E1636* 0.0585300964416362</f>
        <v>0.29265048220818096</v>
      </c>
      <c r="H1636" s="18">
        <f>E1636* 0.00853563906440528</f>
        <v>4.2678195322026408E-2</v>
      </c>
    </row>
    <row r="1637" spans="1:8" ht="15.75" hidden="1" customHeight="1" x14ac:dyDescent="0.25">
      <c r="A1637" s="20" t="s">
        <v>105</v>
      </c>
      <c r="B1637" s="47" t="s">
        <v>144</v>
      </c>
      <c r="C1637" s="49"/>
      <c r="D1637" s="19" t="s">
        <v>19</v>
      </c>
      <c r="E1637" s="32">
        <v>1</v>
      </c>
      <c r="F1637" s="18">
        <f>E1637* 0.290681971640783</f>
        <v>0.29068197164078302</v>
      </c>
      <c r="G1637" s="18">
        <f>E1637* 0.694125590817016</f>
        <v>0.69412559081701597</v>
      </c>
      <c r="H1637" s="18">
        <f>E1637* 0.0151924375422012</f>
        <v>1.51924375422012E-2</v>
      </c>
    </row>
    <row r="1638" spans="1:8" ht="15.75" hidden="1" customHeight="1" x14ac:dyDescent="0.25">
      <c r="A1638" s="20" t="s">
        <v>105</v>
      </c>
      <c r="B1638" s="47" t="s">
        <v>144</v>
      </c>
      <c r="C1638" s="49"/>
      <c r="D1638" s="19" t="s">
        <v>20</v>
      </c>
      <c r="E1638" s="32">
        <v>10</v>
      </c>
      <c r="F1638" s="18">
        <f>E1638* 0.686268801552644</f>
        <v>6.86268801552644</v>
      </c>
      <c r="G1638" s="18">
        <f>E1638* 0.196991751576904</f>
        <v>1.9699175157690398</v>
      </c>
      <c r="H1638" s="18">
        <f>E1638* 0.116642406598738</f>
        <v>1.1664240659873799</v>
      </c>
    </row>
    <row r="1639" spans="1:8" ht="15.75" hidden="1" customHeight="1" x14ac:dyDescent="0.25">
      <c r="A1639" s="20" t="s">
        <v>105</v>
      </c>
      <c r="B1639" s="47" t="s">
        <v>144</v>
      </c>
      <c r="C1639" s="49"/>
      <c r="D1639" s="19" t="s">
        <v>21</v>
      </c>
      <c r="E1639" s="32">
        <v>24</v>
      </c>
      <c r="F1639" s="18">
        <f>E1639* 0.999513766486355</f>
        <v>23.98833039567252</v>
      </c>
      <c r="G1639" s="18">
        <f>E1639* 0.0000243116756822464</f>
        <v>5.8348021637391351E-4</v>
      </c>
      <c r="H1639" s="18">
        <f>E1639* 0.00034036345955145</f>
        <v>8.1687230292347996E-3</v>
      </c>
    </row>
    <row r="1640" spans="1:8" ht="15.75" hidden="1" customHeight="1" x14ac:dyDescent="0.25">
      <c r="A1640" s="20" t="s">
        <v>105</v>
      </c>
      <c r="B1640" s="47" t="s">
        <v>144</v>
      </c>
      <c r="C1640" s="49"/>
      <c r="D1640" s="19" t="s">
        <v>28</v>
      </c>
      <c r="E1640" s="32">
        <v>1</v>
      </c>
      <c r="F1640" s="18">
        <f>E1640* 0.00094876660341556</f>
        <v>9.4876660341556001E-4</v>
      </c>
      <c r="G1640" s="18">
        <f>E1640* 0.999051233396584</f>
        <v>0.99905123339658397</v>
      </c>
      <c r="H1640" s="20">
        <v>0</v>
      </c>
    </row>
    <row r="1641" spans="1:8" ht="15.75" hidden="1" customHeight="1" x14ac:dyDescent="0.25">
      <c r="A1641" s="20" t="s">
        <v>105</v>
      </c>
      <c r="B1641" s="47" t="s">
        <v>144</v>
      </c>
      <c r="C1641" s="49"/>
      <c r="D1641" s="19" t="s">
        <v>12</v>
      </c>
      <c r="E1641" s="32">
        <v>45</v>
      </c>
      <c r="F1641" s="18">
        <f>E1641* 0.843786808009423</f>
        <v>37.970406360424036</v>
      </c>
      <c r="G1641" s="18">
        <f>E1641* 0.0740675304279545</f>
        <v>3.3330388692579525</v>
      </c>
      <c r="H1641" s="18">
        <f>E1641* 0.0820965842167256</f>
        <v>3.694346289752652</v>
      </c>
    </row>
    <row r="1642" spans="1:8" ht="15.75" hidden="1" customHeight="1" x14ac:dyDescent="0.25">
      <c r="A1642" s="20" t="s">
        <v>105</v>
      </c>
      <c r="B1642" s="20"/>
      <c r="C1642" s="20"/>
      <c r="D1642" s="46"/>
      <c r="E1642" s="35"/>
    </row>
    <row r="1643" spans="1:8" ht="15.75" hidden="1" customHeight="1" x14ac:dyDescent="0.25">
      <c r="A1643" s="20" t="s">
        <v>105</v>
      </c>
      <c r="B1643" s="47" t="s">
        <v>145</v>
      </c>
      <c r="C1643" s="12" t="str">
        <f>B1643&amp;"_"&amp;A1643</f>
        <v>Vacas_Cochabamba</v>
      </c>
      <c r="D1643" s="20"/>
      <c r="E1643" s="48">
        <v>137</v>
      </c>
      <c r="F1643" s="14">
        <f t="shared" ref="F1643:H1643" si="138">SUM(F1644:F1651)</f>
        <v>97.22346390631418</v>
      </c>
      <c r="G1643" s="14">
        <f t="shared" si="138"/>
        <v>31.412213487298253</v>
      </c>
      <c r="H1643" s="14">
        <f t="shared" si="138"/>
        <v>8.3503074848836949</v>
      </c>
    </row>
    <row r="1644" spans="1:8" ht="15.75" hidden="1" customHeight="1" x14ac:dyDescent="0.25">
      <c r="A1644" s="20" t="s">
        <v>105</v>
      </c>
      <c r="B1644" s="47" t="s">
        <v>145</v>
      </c>
      <c r="C1644" s="49"/>
      <c r="D1644" s="29" t="s">
        <v>473</v>
      </c>
      <c r="E1644" s="23">
        <v>4</v>
      </c>
      <c r="F1644" s="20">
        <v>0</v>
      </c>
      <c r="G1644" s="24">
        <f>E1644</f>
        <v>4</v>
      </c>
      <c r="H1644" s="20">
        <v>0</v>
      </c>
    </row>
    <row r="1645" spans="1:8" ht="15.75" hidden="1" customHeight="1" x14ac:dyDescent="0.25">
      <c r="A1645" s="20" t="s">
        <v>105</v>
      </c>
      <c r="B1645" s="47" t="s">
        <v>145</v>
      </c>
      <c r="C1645" s="49"/>
      <c r="D1645" s="19" t="s">
        <v>15</v>
      </c>
      <c r="E1645" s="23">
        <v>3</v>
      </c>
      <c r="F1645" s="18">
        <f>E1645* 0.932775698199239</f>
        <v>2.7983270945977168</v>
      </c>
      <c r="G1645" s="18">
        <f>E1645* 0.00808724987291465</f>
        <v>2.4261749618743951E-2</v>
      </c>
      <c r="H1645" s="18">
        <f>E1645* 0.0590600305004852</f>
        <v>0.17718009150145561</v>
      </c>
    </row>
    <row r="1646" spans="1:8" ht="15.75" hidden="1" customHeight="1" x14ac:dyDescent="0.25">
      <c r="A1646" s="20" t="s">
        <v>105</v>
      </c>
      <c r="B1646" s="47" t="s">
        <v>145</v>
      </c>
      <c r="C1646" s="49"/>
      <c r="D1646" s="29" t="s">
        <v>474</v>
      </c>
      <c r="E1646" s="23">
        <v>1</v>
      </c>
      <c r="F1646" s="18">
        <f>E1646* 0.0803212851405623</f>
        <v>8.0321285140562304E-2</v>
      </c>
      <c r="G1646" s="18">
        <f>E1646* 0.913367756741251</f>
        <v>0.91336775674125104</v>
      </c>
      <c r="H1646" s="18">
        <f>E1646* 0.0057372346528973</f>
        <v>5.7372346528973004E-3</v>
      </c>
    </row>
    <row r="1647" spans="1:8" ht="15.75" hidden="1" customHeight="1" x14ac:dyDescent="0.25">
      <c r="A1647" s="20" t="s">
        <v>105</v>
      </c>
      <c r="B1647" s="47" t="s">
        <v>145</v>
      </c>
      <c r="C1647" s="49"/>
      <c r="D1647" s="19" t="s">
        <v>11</v>
      </c>
      <c r="E1647" s="23">
        <v>22</v>
      </c>
      <c r="F1647" s="18">
        <f>E1647* 0.150611071171819</f>
        <v>3.3134435657800179</v>
      </c>
      <c r="G1647" s="18">
        <f>E1647* 0.847699496764917</f>
        <v>18.649388928828174</v>
      </c>
      <c r="H1647" s="18">
        <f>E1647* 0.00136592379583034</f>
        <v>3.005032350826748E-2</v>
      </c>
    </row>
    <row r="1648" spans="1:8" ht="15.75" hidden="1" customHeight="1" x14ac:dyDescent="0.25">
      <c r="A1648" s="20" t="s">
        <v>105</v>
      </c>
      <c r="B1648" s="47" t="s">
        <v>145</v>
      </c>
      <c r="C1648" s="49"/>
      <c r="D1648" s="19" t="s">
        <v>17</v>
      </c>
      <c r="E1648" s="23">
        <v>7</v>
      </c>
      <c r="F1648" s="18">
        <f>E1648* 0.840430229624022</f>
        <v>5.8830116073681538</v>
      </c>
      <c r="G1648" s="18">
        <f>E1648* 0.0777504415846581</f>
        <v>0.54425309109260667</v>
      </c>
      <c r="H1648" s="18">
        <f>E1648* 0.0817877870300278</f>
        <v>0.57251450921019464</v>
      </c>
    </row>
    <row r="1649" spans="1:8" ht="15.75" hidden="1" customHeight="1" x14ac:dyDescent="0.25">
      <c r="A1649" s="20" t="s">
        <v>105</v>
      </c>
      <c r="B1649" s="47" t="s">
        <v>145</v>
      </c>
      <c r="C1649" s="49"/>
      <c r="D1649" s="19" t="s">
        <v>20</v>
      </c>
      <c r="E1649" s="23">
        <v>5</v>
      </c>
      <c r="F1649" s="18">
        <f>E1649* 0.686268801552644</f>
        <v>3.43134400776322</v>
      </c>
      <c r="G1649" s="18">
        <f>E1649* 0.196991751576904</f>
        <v>0.98495875788451992</v>
      </c>
      <c r="H1649" s="18">
        <f>E1649* 0.116642406598738</f>
        <v>0.58321203299368995</v>
      </c>
    </row>
    <row r="1650" spans="1:8" ht="15.75" hidden="1" customHeight="1" x14ac:dyDescent="0.25">
      <c r="A1650" s="20" t="s">
        <v>105</v>
      </c>
      <c r="B1650" s="47" t="s">
        <v>145</v>
      </c>
      <c r="C1650" s="49"/>
      <c r="D1650" s="19" t="s">
        <v>21</v>
      </c>
      <c r="E1650" s="23">
        <v>10</v>
      </c>
      <c r="F1650" s="18">
        <f>E1650* 0.999513766486355</f>
        <v>9.9951376648635506</v>
      </c>
      <c r="G1650" s="18">
        <f>E1650* 0.0000243116756822464</f>
        <v>2.43116756822464E-4</v>
      </c>
      <c r="H1650" s="18">
        <f>E1650* 0.00034036345955145</f>
        <v>3.4036345955145001E-3</v>
      </c>
    </row>
    <row r="1651" spans="1:8" ht="15.75" hidden="1" customHeight="1" x14ac:dyDescent="0.25">
      <c r="A1651" s="20" t="s">
        <v>105</v>
      </c>
      <c r="B1651" s="47" t="s">
        <v>145</v>
      </c>
      <c r="C1651" s="49"/>
      <c r="D1651" s="19" t="s">
        <v>12</v>
      </c>
      <c r="E1651" s="23">
        <v>85</v>
      </c>
      <c r="F1651" s="18">
        <f>E1651* 0.843786808009423</f>
        <v>71.721878680800955</v>
      </c>
      <c r="G1651" s="18">
        <f>E1651* 0.0740675304279545</f>
        <v>6.2957400863761324</v>
      </c>
      <c r="H1651" s="18">
        <f>E1651* 0.0820965842167256</f>
        <v>6.978209658421676</v>
      </c>
    </row>
    <row r="1652" spans="1:8" ht="15.75" hidden="1" customHeight="1" x14ac:dyDescent="0.25">
      <c r="A1652" s="20" t="s">
        <v>105</v>
      </c>
      <c r="B1652" s="20"/>
      <c r="C1652" s="20"/>
      <c r="D1652" s="46"/>
      <c r="E1652" s="35"/>
    </row>
    <row r="1653" spans="1:8" ht="15.75" hidden="1" customHeight="1" x14ac:dyDescent="0.25">
      <c r="A1653" s="20" t="s">
        <v>105</v>
      </c>
      <c r="B1653" s="47" t="s">
        <v>146</v>
      </c>
      <c r="C1653" s="12" t="str">
        <f>B1653&amp;"_"&amp;A1653</f>
        <v>Vila Vila_Cochabamba</v>
      </c>
      <c r="D1653" s="20"/>
      <c r="E1653" s="48">
        <v>1</v>
      </c>
      <c r="F1653" s="14">
        <f t="shared" ref="F1653:H1653" si="139">SUM(F1654:F1655)</f>
        <v>0.99951376648635504</v>
      </c>
      <c r="G1653" s="14">
        <f t="shared" si="139"/>
        <v>2.4311675682246399E-5</v>
      </c>
      <c r="H1653" s="14">
        <f t="shared" si="139"/>
        <v>3.4036345955145E-4</v>
      </c>
    </row>
    <row r="1654" spans="1:8" ht="15.75" hidden="1" customHeight="1" x14ac:dyDescent="0.25">
      <c r="A1654" s="20" t="s">
        <v>105</v>
      </c>
      <c r="B1654" s="47" t="s">
        <v>146</v>
      </c>
      <c r="C1654" s="49"/>
      <c r="D1654" s="19" t="s">
        <v>21</v>
      </c>
      <c r="E1654" s="23">
        <v>1</v>
      </c>
      <c r="F1654" s="18">
        <f>E1654* 0.999513766486355</f>
        <v>0.99951376648635504</v>
      </c>
      <c r="G1654" s="18">
        <f>E1654* 0.0000243116756822464</f>
        <v>2.4311675682246399E-5</v>
      </c>
      <c r="H1654" s="18">
        <f>E1654* 0.00034036345955145</f>
        <v>3.4036345955145E-4</v>
      </c>
    </row>
    <row r="1655" spans="1:8" ht="15.75" hidden="1" customHeight="1" x14ac:dyDescent="0.25">
      <c r="A1655" s="20" t="s">
        <v>105</v>
      </c>
      <c r="B1655" s="47" t="s">
        <v>146</v>
      </c>
      <c r="C1655" s="49"/>
      <c r="D1655" s="19" t="s">
        <v>12</v>
      </c>
      <c r="E1655" s="35"/>
      <c r="F1655" s="18">
        <f>E1655* 0.843786808009423</f>
        <v>0</v>
      </c>
      <c r="G1655" s="18">
        <f>E1655* 0.0740675304279545</f>
        <v>0</v>
      </c>
      <c r="H1655" s="18">
        <f>E1655* 0.0820965842167256</f>
        <v>0</v>
      </c>
    </row>
    <row r="1656" spans="1:8" ht="15.75" hidden="1" customHeight="1" x14ac:dyDescent="0.25">
      <c r="A1656" s="20" t="s">
        <v>105</v>
      </c>
      <c r="B1656" s="20"/>
      <c r="C1656" s="20"/>
      <c r="D1656" s="46"/>
      <c r="E1656" s="35"/>
    </row>
    <row r="1657" spans="1:8" ht="15.75" hidden="1" customHeight="1" x14ac:dyDescent="0.25">
      <c r="A1657" s="20" t="s">
        <v>105</v>
      </c>
      <c r="B1657" s="47" t="s">
        <v>147</v>
      </c>
      <c r="C1657" s="12" t="str">
        <f>B1657&amp;"_"&amp;A1657</f>
        <v>Villa Rivero_Cochabamba</v>
      </c>
      <c r="D1657" s="20"/>
      <c r="E1657" s="48">
        <v>407</v>
      </c>
      <c r="F1657" s="14">
        <f t="shared" ref="F1657:H1657" si="140">SUM(F1658:F1668)</f>
        <v>341.66387175695212</v>
      </c>
      <c r="G1657" s="14">
        <f t="shared" si="140"/>
        <v>42.512807073573434</v>
      </c>
      <c r="H1657" s="14">
        <f t="shared" si="140"/>
        <v>22.789613518714155</v>
      </c>
    </row>
    <row r="1658" spans="1:8" ht="15.75" hidden="1" customHeight="1" x14ac:dyDescent="0.25">
      <c r="A1658" s="20" t="s">
        <v>105</v>
      </c>
      <c r="B1658" s="47" t="s">
        <v>147</v>
      </c>
      <c r="C1658" s="49"/>
      <c r="D1658" s="29" t="s">
        <v>475</v>
      </c>
      <c r="E1658" s="23">
        <v>7</v>
      </c>
      <c r="F1658" s="20">
        <v>0</v>
      </c>
      <c r="G1658" s="24">
        <f>E1658</f>
        <v>7</v>
      </c>
      <c r="H1658" s="20">
        <v>0</v>
      </c>
    </row>
    <row r="1659" spans="1:8" ht="15.75" hidden="1" customHeight="1" x14ac:dyDescent="0.25">
      <c r="A1659" s="20" t="s">
        <v>105</v>
      </c>
      <c r="B1659" s="47" t="s">
        <v>147</v>
      </c>
      <c r="C1659" s="49"/>
      <c r="D1659" s="19" t="s">
        <v>15</v>
      </c>
      <c r="E1659" s="23">
        <v>38</v>
      </c>
      <c r="F1659" s="18">
        <f>E1659* 0.932775698199239</f>
        <v>35.445476531571082</v>
      </c>
      <c r="G1659" s="18">
        <f>E1659* 0.00808724987291465</f>
        <v>0.30731549517075668</v>
      </c>
      <c r="H1659" s="18">
        <f>E1659* 0.0590600305004852</f>
        <v>2.2442811590184375</v>
      </c>
    </row>
    <row r="1660" spans="1:8" ht="15.75" hidden="1" customHeight="1" x14ac:dyDescent="0.25">
      <c r="A1660" s="20" t="s">
        <v>105</v>
      </c>
      <c r="B1660" s="47" t="s">
        <v>147</v>
      </c>
      <c r="C1660" s="49"/>
      <c r="D1660" s="19" t="s">
        <v>11</v>
      </c>
      <c r="E1660" s="23">
        <v>14</v>
      </c>
      <c r="F1660" s="18">
        <f>E1660* 0.150611071171819</f>
        <v>2.108554996405466</v>
      </c>
      <c r="G1660" s="18">
        <f>E1660* 0.847699496764917</f>
        <v>11.867792954708838</v>
      </c>
      <c r="H1660" s="18">
        <f>E1660* 0.00136592379583034</f>
        <v>1.9122933141624759E-2</v>
      </c>
    </row>
    <row r="1661" spans="1:8" ht="15.75" hidden="1" customHeight="1" x14ac:dyDescent="0.25">
      <c r="A1661" s="20" t="s">
        <v>105</v>
      </c>
      <c r="B1661" s="47" t="s">
        <v>147</v>
      </c>
      <c r="C1661" s="49"/>
      <c r="D1661" s="19" t="s">
        <v>17</v>
      </c>
      <c r="E1661" s="23">
        <v>17</v>
      </c>
      <c r="F1661" s="18">
        <f>E1661* 0.840430229624022</f>
        <v>14.287313903608375</v>
      </c>
      <c r="G1661" s="18">
        <f>E1661* 0.0777504415846581</f>
        <v>1.3217575069391878</v>
      </c>
      <c r="H1661" s="18">
        <f>E1661* 0.0817877870300278</f>
        <v>1.3903923795104727</v>
      </c>
    </row>
    <row r="1662" spans="1:8" ht="15.75" hidden="1" customHeight="1" x14ac:dyDescent="0.25">
      <c r="A1662" s="20" t="s">
        <v>105</v>
      </c>
      <c r="B1662" s="47" t="s">
        <v>147</v>
      </c>
      <c r="C1662" s="49"/>
      <c r="D1662" s="19" t="s">
        <v>31</v>
      </c>
      <c r="E1662" s="23">
        <v>9</v>
      </c>
      <c r="F1662" s="18">
        <f>E1662* 0.901975683890578</f>
        <v>8.1177811550152015</v>
      </c>
      <c r="G1662" s="18">
        <f>E1662* 0.0364741641337386</f>
        <v>0.32826747720364741</v>
      </c>
      <c r="H1662" s="18">
        <f>E1662* 0.0615501519756839</f>
        <v>0.55395136778115506</v>
      </c>
    </row>
    <row r="1663" spans="1:8" ht="15.75" hidden="1" customHeight="1" x14ac:dyDescent="0.25">
      <c r="A1663" s="20" t="s">
        <v>105</v>
      </c>
      <c r="B1663" s="47" t="s">
        <v>147</v>
      </c>
      <c r="C1663" s="49"/>
      <c r="D1663" s="19" t="s">
        <v>18</v>
      </c>
      <c r="E1663" s="23">
        <v>2</v>
      </c>
      <c r="F1663" s="18">
        <f>E1663* 0.932934264493959</f>
        <v>1.865868528987918</v>
      </c>
      <c r="G1663" s="18">
        <f>E1663* 0.0585300964416362</f>
        <v>0.11706019288327239</v>
      </c>
      <c r="H1663" s="18">
        <f>E1663* 0.00853563906440528</f>
        <v>1.7071278128810562E-2</v>
      </c>
    </row>
    <row r="1664" spans="1:8" ht="15.75" hidden="1" customHeight="1" x14ac:dyDescent="0.25">
      <c r="A1664" s="20" t="s">
        <v>105</v>
      </c>
      <c r="B1664" s="47" t="s">
        <v>147</v>
      </c>
      <c r="C1664" s="49"/>
      <c r="D1664" s="19" t="s">
        <v>19</v>
      </c>
      <c r="E1664" s="23">
        <v>0</v>
      </c>
      <c r="F1664" s="18">
        <f>E1664* 0.290681971640783</f>
        <v>0</v>
      </c>
      <c r="G1664" s="18">
        <f>E1664* 0.694125590817016</f>
        <v>0</v>
      </c>
      <c r="H1664" s="18">
        <f>E1664* 0.0151924375422012</f>
        <v>0</v>
      </c>
    </row>
    <row r="1665" spans="1:8" ht="15.75" hidden="1" customHeight="1" x14ac:dyDescent="0.25">
      <c r="A1665" s="20" t="s">
        <v>105</v>
      </c>
      <c r="B1665" s="47" t="s">
        <v>147</v>
      </c>
      <c r="C1665" s="49"/>
      <c r="D1665" s="19" t="s">
        <v>20</v>
      </c>
      <c r="E1665" s="23">
        <v>42</v>
      </c>
      <c r="F1665" s="18">
        <f>E1665* 0.686268801552644</f>
        <v>28.82328966521105</v>
      </c>
      <c r="G1665" s="18">
        <f>E1665* 0.196991751576904</f>
        <v>8.2736535662299673</v>
      </c>
      <c r="H1665" s="18">
        <f>E1665* 0.116642406598738</f>
        <v>4.8989810771469955</v>
      </c>
    </row>
    <row r="1666" spans="1:8" ht="15.75" hidden="1" customHeight="1" x14ac:dyDescent="0.25">
      <c r="A1666" s="20" t="s">
        <v>105</v>
      </c>
      <c r="B1666" s="47" t="s">
        <v>147</v>
      </c>
      <c r="C1666" s="49"/>
      <c r="D1666" s="19" t="s">
        <v>21</v>
      </c>
      <c r="E1666" s="23">
        <v>111</v>
      </c>
      <c r="F1666" s="18">
        <f>E1666* 0.999513766486355</f>
        <v>110.94602807998541</v>
      </c>
      <c r="G1666" s="18">
        <f>E1666* 0.0000243116756822464</f>
        <v>2.6985960007293503E-3</v>
      </c>
      <c r="H1666" s="18">
        <f>E1666* 0.00034036345955145</f>
        <v>3.7780344010210951E-2</v>
      </c>
    </row>
    <row r="1667" spans="1:8" ht="15.75" hidden="1" customHeight="1" x14ac:dyDescent="0.25">
      <c r="A1667" s="20" t="s">
        <v>105</v>
      </c>
      <c r="B1667" s="47" t="s">
        <v>147</v>
      </c>
      <c r="C1667" s="49"/>
      <c r="D1667" s="19" t="s">
        <v>148</v>
      </c>
      <c r="E1667" s="23">
        <v>1</v>
      </c>
      <c r="F1667" s="18">
        <f>E1667* 0.00094876660341556</f>
        <v>9.4876660341556001E-4</v>
      </c>
      <c r="G1667" s="18">
        <f>E1667* 0.999051233396584</f>
        <v>0.99905123339658397</v>
      </c>
      <c r="H1667" s="20">
        <v>0</v>
      </c>
    </row>
    <row r="1668" spans="1:8" ht="15.75" hidden="1" customHeight="1" x14ac:dyDescent="0.25">
      <c r="A1668" s="20" t="s">
        <v>105</v>
      </c>
      <c r="B1668" s="47" t="s">
        <v>147</v>
      </c>
      <c r="C1668" s="49"/>
      <c r="D1668" s="19" t="s">
        <v>12</v>
      </c>
      <c r="E1668" s="23">
        <v>166</v>
      </c>
      <c r="F1668" s="18">
        <f>E1668* 0.843786808009423</f>
        <v>140.06861012956421</v>
      </c>
      <c r="G1668" s="18">
        <f>E1668* 0.0740675304279545</f>
        <v>12.295210051040447</v>
      </c>
      <c r="H1668" s="18">
        <f>E1668* 0.0820965842167256</f>
        <v>13.628032979976449</v>
      </c>
    </row>
    <row r="1669" spans="1:8" ht="15.75" hidden="1" customHeight="1" x14ac:dyDescent="0.25">
      <c r="A1669" s="20" t="s">
        <v>105</v>
      </c>
      <c r="B1669" s="20"/>
      <c r="C1669" s="20"/>
      <c r="D1669" s="46"/>
      <c r="E1669" s="35"/>
    </row>
    <row r="1670" spans="1:8" ht="15.75" hidden="1" customHeight="1" x14ac:dyDescent="0.25">
      <c r="A1670" s="20" t="s">
        <v>105</v>
      </c>
      <c r="B1670" s="47" t="s">
        <v>149</v>
      </c>
      <c r="C1670" s="12" t="str">
        <f>B1670&amp;"_"&amp;A1670</f>
        <v>Villa Tunari_Cochabamba</v>
      </c>
      <c r="D1670" s="20"/>
      <c r="E1670" s="48">
        <v>6267</v>
      </c>
      <c r="F1670" s="14">
        <f t="shared" ref="F1670:H1670" si="141">SUM(F1671:F1684)</f>
        <v>5588.6423478071383</v>
      </c>
      <c r="G1670" s="14">
        <f t="shared" si="141"/>
        <v>468.26602969051532</v>
      </c>
      <c r="H1670" s="14">
        <f t="shared" si="141"/>
        <v>209.44708931827276</v>
      </c>
    </row>
    <row r="1671" spans="1:8" ht="15.75" hidden="1" customHeight="1" x14ac:dyDescent="0.25">
      <c r="A1671" s="20" t="s">
        <v>105</v>
      </c>
      <c r="B1671" s="47" t="s">
        <v>149</v>
      </c>
      <c r="C1671" s="49"/>
      <c r="D1671" s="29" t="s">
        <v>476</v>
      </c>
      <c r="E1671" s="23">
        <v>6</v>
      </c>
      <c r="F1671" s="20">
        <v>0</v>
      </c>
      <c r="G1671" s="24">
        <f>E1671</f>
        <v>6</v>
      </c>
      <c r="H1671" s="20">
        <v>0</v>
      </c>
    </row>
    <row r="1672" spans="1:8" ht="15.75" hidden="1" customHeight="1" x14ac:dyDescent="0.25">
      <c r="A1672" s="20" t="s">
        <v>105</v>
      </c>
      <c r="B1672" s="47" t="s">
        <v>149</v>
      </c>
      <c r="C1672" s="49"/>
      <c r="D1672" s="19" t="s">
        <v>15</v>
      </c>
      <c r="E1672" s="23">
        <v>98</v>
      </c>
      <c r="F1672" s="18">
        <f>E1672* 0.932775698199239</f>
        <v>91.412018423525424</v>
      </c>
      <c r="G1672" s="18">
        <f>E1672* 0.00808724987291465</f>
        <v>0.79255048754563573</v>
      </c>
      <c r="H1672" s="18">
        <f>E1672* 0.0590600305004852</f>
        <v>5.7878829890475494</v>
      </c>
    </row>
    <row r="1673" spans="1:8" ht="15.75" hidden="1" customHeight="1" x14ac:dyDescent="0.25">
      <c r="A1673" s="20" t="s">
        <v>105</v>
      </c>
      <c r="B1673" s="47" t="s">
        <v>149</v>
      </c>
      <c r="C1673" s="49"/>
      <c r="D1673" s="29" t="s">
        <v>477</v>
      </c>
      <c r="E1673" s="23">
        <v>3</v>
      </c>
      <c r="F1673" s="18">
        <f>E1673* 0.0803212851405623</f>
        <v>0.24096385542168691</v>
      </c>
      <c r="G1673" s="18">
        <f>E1673* 0.913367756741251</f>
        <v>2.7401032702237531</v>
      </c>
      <c r="H1673" s="18">
        <f>E1673* 0.0057372346528973</f>
        <v>1.7211703958691902E-2</v>
      </c>
    </row>
    <row r="1674" spans="1:8" ht="15.75" hidden="1" customHeight="1" x14ac:dyDescent="0.25">
      <c r="A1674" s="20" t="s">
        <v>105</v>
      </c>
      <c r="B1674" s="47" t="s">
        <v>149</v>
      </c>
      <c r="C1674" s="49"/>
      <c r="D1674" s="19" t="s">
        <v>11</v>
      </c>
      <c r="E1674" s="23">
        <v>273</v>
      </c>
      <c r="F1674" s="18">
        <f>E1674* 0.150611071171819</f>
        <v>41.116822429906584</v>
      </c>
      <c r="G1674" s="18">
        <f>E1674* 0.847699496764917</f>
        <v>231.42196261682233</v>
      </c>
      <c r="H1674" s="18">
        <f>E1674* 0.00136592379583034</f>
        <v>0.37289719626168283</v>
      </c>
    </row>
    <row r="1675" spans="1:8" ht="15.75" hidden="1" customHeight="1" x14ac:dyDescent="0.25">
      <c r="A1675" s="20" t="s">
        <v>105</v>
      </c>
      <c r="B1675" s="47" t="s">
        <v>149</v>
      </c>
      <c r="C1675" s="49"/>
      <c r="D1675" s="19" t="s">
        <v>17</v>
      </c>
      <c r="E1675" s="23">
        <v>184</v>
      </c>
      <c r="F1675" s="18">
        <f>E1675* 0.840430229624022</f>
        <v>154.63916225082005</v>
      </c>
      <c r="G1675" s="18">
        <f>E1675* 0.0777504415846581</f>
        <v>14.306081251577091</v>
      </c>
      <c r="H1675" s="18">
        <f>E1675* 0.0817877870300278</f>
        <v>15.048952813525116</v>
      </c>
    </row>
    <row r="1676" spans="1:8" ht="15.75" hidden="1" customHeight="1" x14ac:dyDescent="0.25">
      <c r="A1676" s="20" t="s">
        <v>105</v>
      </c>
      <c r="B1676" s="47" t="s">
        <v>149</v>
      </c>
      <c r="C1676" s="49"/>
      <c r="D1676" s="19" t="s">
        <v>31</v>
      </c>
      <c r="E1676" s="23">
        <v>18</v>
      </c>
      <c r="F1676" s="18">
        <f>E1676* 0.901975683890578</f>
        <v>16.235562310030403</v>
      </c>
      <c r="G1676" s="18">
        <f>E1676* 0.0364741641337386</f>
        <v>0.65653495440729481</v>
      </c>
      <c r="H1676" s="18">
        <f>E1676* 0.0615501519756839</f>
        <v>1.1079027355623101</v>
      </c>
    </row>
    <row r="1677" spans="1:8" ht="15.75" hidden="1" customHeight="1" x14ac:dyDescent="0.25">
      <c r="A1677" s="20" t="s">
        <v>105</v>
      </c>
      <c r="B1677" s="47" t="s">
        <v>149</v>
      </c>
      <c r="C1677" s="49"/>
      <c r="D1677" s="19" t="s">
        <v>18</v>
      </c>
      <c r="E1677" s="23">
        <v>20</v>
      </c>
      <c r="F1677" s="18">
        <f>E1677* 0.932934264493959</f>
        <v>18.65868528987918</v>
      </c>
      <c r="G1677" s="18">
        <f>E1677* 0.0585300964416362</f>
        <v>1.1706019288327238</v>
      </c>
      <c r="H1677" s="18">
        <f>E1677* 0.00853563906440528</f>
        <v>0.17071278128810563</v>
      </c>
    </row>
    <row r="1678" spans="1:8" ht="15.75" hidden="1" customHeight="1" x14ac:dyDescent="0.25">
      <c r="A1678" s="20" t="s">
        <v>105</v>
      </c>
      <c r="B1678" s="47" t="s">
        <v>149</v>
      </c>
      <c r="C1678" s="49"/>
      <c r="D1678" s="19" t="s">
        <v>19</v>
      </c>
      <c r="E1678" s="23">
        <v>7</v>
      </c>
      <c r="F1678" s="18">
        <f>E1678* 0.290681971640783</f>
        <v>2.034773801485481</v>
      </c>
      <c r="G1678" s="18">
        <f>E1678* 0.694125590817016</f>
        <v>4.8588791357191115</v>
      </c>
      <c r="H1678" s="18">
        <f>E1678* 0.0151924375422012</f>
        <v>0.1063470627954084</v>
      </c>
    </row>
    <row r="1679" spans="1:8" ht="15.75" hidden="1" customHeight="1" x14ac:dyDescent="0.25">
      <c r="A1679" s="20" t="s">
        <v>105</v>
      </c>
      <c r="B1679" s="47" t="s">
        <v>149</v>
      </c>
      <c r="C1679" s="49"/>
      <c r="D1679" s="19" t="s">
        <v>20</v>
      </c>
      <c r="E1679" s="23">
        <v>248</v>
      </c>
      <c r="F1679" s="18">
        <f>E1679* 0.686268801552644</f>
        <v>170.19466278505573</v>
      </c>
      <c r="G1679" s="18">
        <f>E1679* 0.196991751576904</f>
        <v>48.853954391072186</v>
      </c>
      <c r="H1679" s="18">
        <f>E1679* 0.116642406598738</f>
        <v>28.927316836487023</v>
      </c>
    </row>
    <row r="1680" spans="1:8" ht="15.75" hidden="1" customHeight="1" x14ac:dyDescent="0.25">
      <c r="A1680" s="20" t="s">
        <v>105</v>
      </c>
      <c r="B1680" s="47" t="s">
        <v>149</v>
      </c>
      <c r="C1680" s="49"/>
      <c r="D1680" s="19" t="s">
        <v>21</v>
      </c>
      <c r="E1680" s="23">
        <v>3483</v>
      </c>
      <c r="F1680" s="18">
        <f>E1680* 0.999513766486355</f>
        <v>3481.3064486719745</v>
      </c>
      <c r="G1680" s="18">
        <f>E1680* 0.0000243116756822464</f>
        <v>8.4677566401264212E-2</v>
      </c>
      <c r="H1680" s="18">
        <f>E1680* 0.00034036345955145</f>
        <v>1.1854859296177003</v>
      </c>
    </row>
    <row r="1681" spans="1:8" ht="15.75" hidden="1" customHeight="1" x14ac:dyDescent="0.25">
      <c r="A1681" s="20" t="s">
        <v>105</v>
      </c>
      <c r="B1681" s="47" t="s">
        <v>149</v>
      </c>
      <c r="C1681" s="49"/>
      <c r="D1681" s="19" t="s">
        <v>36</v>
      </c>
      <c r="E1681" s="23">
        <v>2</v>
      </c>
      <c r="F1681" s="24">
        <f>E1681</f>
        <v>2</v>
      </c>
      <c r="G1681" s="20">
        <v>0</v>
      </c>
      <c r="H1681" s="20">
        <v>0</v>
      </c>
    </row>
    <row r="1682" spans="1:8" ht="15.75" hidden="1" customHeight="1" x14ac:dyDescent="0.25">
      <c r="A1682" s="20" t="s">
        <v>105</v>
      </c>
      <c r="B1682" s="47" t="s">
        <v>149</v>
      </c>
      <c r="C1682" s="49"/>
      <c r="D1682" s="19" t="s">
        <v>148</v>
      </c>
      <c r="E1682" s="23">
        <v>15</v>
      </c>
      <c r="F1682" s="18">
        <f>E1682* 0.00094876660341556</f>
        <v>1.4231499051233399E-2</v>
      </c>
      <c r="G1682" s="18">
        <f>E1682* 0.999051233396584</f>
        <v>14.98576850094876</v>
      </c>
      <c r="H1682" s="20">
        <v>0</v>
      </c>
    </row>
    <row r="1683" spans="1:8" ht="15.75" hidden="1" customHeight="1" x14ac:dyDescent="0.25">
      <c r="A1683" s="20" t="s">
        <v>105</v>
      </c>
      <c r="B1683" s="47" t="s">
        <v>149</v>
      </c>
      <c r="C1683" s="49"/>
      <c r="D1683" s="19" t="s">
        <v>84</v>
      </c>
      <c r="E1683" s="23">
        <v>1</v>
      </c>
      <c r="F1683" s="20">
        <v>0</v>
      </c>
      <c r="G1683" s="24">
        <f>E1683</f>
        <v>1</v>
      </c>
      <c r="H1683" s="20">
        <v>0</v>
      </c>
    </row>
    <row r="1684" spans="1:8" ht="15.75" hidden="1" customHeight="1" x14ac:dyDescent="0.25">
      <c r="A1684" s="20" t="s">
        <v>105</v>
      </c>
      <c r="B1684" s="47" t="s">
        <v>149</v>
      </c>
      <c r="C1684" s="49"/>
      <c r="D1684" s="19" t="s">
        <v>12</v>
      </c>
      <c r="E1684" s="23">
        <v>1909</v>
      </c>
      <c r="F1684" s="18">
        <f>E1684* 0.843786808009423</f>
        <v>1610.7890164899884</v>
      </c>
      <c r="G1684" s="18">
        <f>E1684* 0.0740675304279545</f>
        <v>141.39491558696514</v>
      </c>
      <c r="H1684" s="18">
        <f>E1684* 0.0820965842167256</f>
        <v>156.72237926972917</v>
      </c>
    </row>
    <row r="1685" spans="1:8" ht="15.75" hidden="1" customHeight="1" x14ac:dyDescent="0.25">
      <c r="A1685" s="20" t="s">
        <v>105</v>
      </c>
      <c r="B1685" s="20"/>
      <c r="C1685" s="20"/>
      <c r="D1685" s="46"/>
      <c r="E1685" s="35"/>
    </row>
    <row r="1686" spans="1:8" ht="15.75" hidden="1" customHeight="1" x14ac:dyDescent="0.25">
      <c r="A1686" s="20" t="s">
        <v>105</v>
      </c>
      <c r="B1686" s="47" t="s">
        <v>150</v>
      </c>
      <c r="C1686" s="12" t="str">
        <f>B1686&amp;"_"&amp;A1686</f>
        <v>Vinto_Cochabamba</v>
      </c>
      <c r="D1686" s="20"/>
      <c r="E1686" s="48">
        <v>16884</v>
      </c>
      <c r="F1686" s="14">
        <f t="shared" ref="F1686:H1686" si="142">SUM(F1687:F1700)</f>
        <v>11167.695462659882</v>
      </c>
      <c r="G1686" s="14">
        <f t="shared" si="142"/>
        <v>4978.7377639861807</v>
      </c>
      <c r="H1686" s="14">
        <f t="shared" si="142"/>
        <v>735.63299338273373</v>
      </c>
    </row>
    <row r="1687" spans="1:8" ht="15.75" hidden="1" customHeight="1" x14ac:dyDescent="0.25">
      <c r="A1687" s="20" t="s">
        <v>105</v>
      </c>
      <c r="B1687" s="47" t="s">
        <v>150</v>
      </c>
      <c r="C1687" s="49"/>
      <c r="D1687" s="29" t="s">
        <v>478</v>
      </c>
      <c r="E1687" s="23">
        <v>0</v>
      </c>
      <c r="F1687" s="20">
        <v>0</v>
      </c>
      <c r="G1687" s="24">
        <f>E1687</f>
        <v>0</v>
      </c>
      <c r="H1687" s="20">
        <v>0</v>
      </c>
    </row>
    <row r="1688" spans="1:8" ht="15.75" hidden="1" customHeight="1" x14ac:dyDescent="0.25">
      <c r="A1688" s="20" t="s">
        <v>105</v>
      </c>
      <c r="B1688" s="47" t="s">
        <v>150</v>
      </c>
      <c r="C1688" s="49"/>
      <c r="D1688" s="19" t="s">
        <v>15</v>
      </c>
      <c r="E1688" s="23">
        <v>2005</v>
      </c>
      <c r="F1688" s="18">
        <f>E1688* 0.932775698199239</f>
        <v>1870.2152748894741</v>
      </c>
      <c r="G1688" s="18">
        <f>E1688* 0.00808724987291465</f>
        <v>16.214935995193873</v>
      </c>
      <c r="H1688" s="18">
        <f>E1688* 0.0590600305004852</f>
        <v>118.41536115347283</v>
      </c>
    </row>
    <row r="1689" spans="1:8" ht="15.75" hidden="1" customHeight="1" x14ac:dyDescent="0.25">
      <c r="A1689" s="20" t="s">
        <v>105</v>
      </c>
      <c r="B1689" s="47" t="s">
        <v>150</v>
      </c>
      <c r="C1689" s="49"/>
      <c r="D1689" s="29" t="s">
        <v>479</v>
      </c>
      <c r="E1689" s="23">
        <v>256</v>
      </c>
      <c r="F1689" s="18">
        <f>E1689* 0.0803212851405623</f>
        <v>20.56224899598395</v>
      </c>
      <c r="G1689" s="18">
        <f>E1689* 0.913367756741251</f>
        <v>233.82214572576027</v>
      </c>
      <c r="H1689" s="18">
        <f>E1689* 0.0057372346528973</f>
        <v>1.4687320711417089</v>
      </c>
    </row>
    <row r="1690" spans="1:8" ht="15.75" hidden="1" customHeight="1" x14ac:dyDescent="0.25">
      <c r="A1690" s="20" t="s">
        <v>105</v>
      </c>
      <c r="B1690" s="47" t="s">
        <v>150</v>
      </c>
      <c r="C1690" s="49"/>
      <c r="D1690" s="19" t="s">
        <v>11</v>
      </c>
      <c r="E1690" s="23">
        <v>2876</v>
      </c>
      <c r="F1690" s="18">
        <f>E1690* 0.150611071171819</f>
        <v>433.15744069015142</v>
      </c>
      <c r="G1690" s="18">
        <f>E1690* 0.847699496764917</f>
        <v>2437.9837526959013</v>
      </c>
      <c r="H1690" s="18">
        <f>E1690* 0.00136592379583034</f>
        <v>3.9283968368080577</v>
      </c>
    </row>
    <row r="1691" spans="1:8" ht="15.75" hidden="1" customHeight="1" x14ac:dyDescent="0.25">
      <c r="A1691" s="20" t="s">
        <v>105</v>
      </c>
      <c r="B1691" s="47" t="s">
        <v>150</v>
      </c>
      <c r="C1691" s="49"/>
      <c r="D1691" s="19" t="s">
        <v>17</v>
      </c>
      <c r="E1691" s="23">
        <v>1807</v>
      </c>
      <c r="F1691" s="18">
        <f>E1691* 0.840430229624022</f>
        <v>1518.6574249306077</v>
      </c>
      <c r="G1691" s="18">
        <f>E1691* 0.0777504415846581</f>
        <v>140.4950479434772</v>
      </c>
      <c r="H1691" s="18">
        <f>E1691* 0.0817877870300278</f>
        <v>147.79053116326023</v>
      </c>
    </row>
    <row r="1692" spans="1:8" ht="15.75" hidden="1" customHeight="1" x14ac:dyDescent="0.25">
      <c r="A1692" s="20" t="s">
        <v>105</v>
      </c>
      <c r="B1692" s="47" t="s">
        <v>150</v>
      </c>
      <c r="C1692" s="49"/>
      <c r="D1692" s="19" t="s">
        <v>31</v>
      </c>
      <c r="E1692" s="23">
        <v>95</v>
      </c>
      <c r="F1692" s="18">
        <f>E1692* 0.901975683890578</f>
        <v>85.687689969604918</v>
      </c>
      <c r="G1692" s="18">
        <f>E1692* 0.0364741641337386</f>
        <v>3.4650455927051671</v>
      </c>
      <c r="H1692" s="18">
        <f>E1692* 0.0615501519756839</f>
        <v>5.8472644376899705</v>
      </c>
    </row>
    <row r="1693" spans="1:8" ht="15.75" hidden="1" customHeight="1" x14ac:dyDescent="0.25">
      <c r="A1693" s="20" t="s">
        <v>105</v>
      </c>
      <c r="B1693" s="47" t="s">
        <v>150</v>
      </c>
      <c r="C1693" s="49"/>
      <c r="D1693" s="19" t="s">
        <v>18</v>
      </c>
      <c r="E1693" s="23">
        <v>322</v>
      </c>
      <c r="F1693" s="18">
        <f>E1693* 0.932934264493959</f>
        <v>300.40483316705479</v>
      </c>
      <c r="G1693" s="18">
        <f>E1693* 0.0585300964416362</f>
        <v>18.846691054206854</v>
      </c>
      <c r="H1693" s="18">
        <f>E1693* 0.00853563906440528</f>
        <v>2.7484757787385004</v>
      </c>
    </row>
    <row r="1694" spans="1:8" ht="15.75" hidden="1" customHeight="1" x14ac:dyDescent="0.25">
      <c r="A1694" s="20" t="s">
        <v>105</v>
      </c>
      <c r="B1694" s="47" t="s">
        <v>150</v>
      </c>
      <c r="C1694" s="49"/>
      <c r="D1694" s="19" t="s">
        <v>19</v>
      </c>
      <c r="E1694" s="23">
        <v>86</v>
      </c>
      <c r="F1694" s="18">
        <f>E1694* 0.290681971640783</f>
        <v>24.998649561107339</v>
      </c>
      <c r="G1694" s="18">
        <f>E1694* 0.694125590817016</f>
        <v>59.694800810263374</v>
      </c>
      <c r="H1694" s="18">
        <f>E1694* 0.0151924375422012</f>
        <v>1.3065496286293032</v>
      </c>
    </row>
    <row r="1695" spans="1:8" ht="15.75" hidden="1" customHeight="1" x14ac:dyDescent="0.25">
      <c r="A1695" s="20" t="s">
        <v>105</v>
      </c>
      <c r="B1695" s="47" t="s">
        <v>150</v>
      </c>
      <c r="C1695" s="49"/>
      <c r="D1695" s="19" t="s">
        <v>20</v>
      </c>
      <c r="E1695" s="23">
        <v>1131</v>
      </c>
      <c r="F1695" s="18">
        <f>E1695* 0.686268801552644</f>
        <v>776.17001455604043</v>
      </c>
      <c r="G1695" s="18">
        <f>E1695* 0.196991751576904</f>
        <v>222.79767103347842</v>
      </c>
      <c r="H1695" s="18">
        <f>E1695* 0.116642406598738</f>
        <v>131.92256186317266</v>
      </c>
    </row>
    <row r="1696" spans="1:8" ht="15.75" hidden="1" customHeight="1" x14ac:dyDescent="0.25">
      <c r="A1696" s="20" t="s">
        <v>105</v>
      </c>
      <c r="B1696" s="47" t="s">
        <v>150</v>
      </c>
      <c r="C1696" s="49"/>
      <c r="D1696" s="19" t="s">
        <v>21</v>
      </c>
      <c r="E1696" s="23">
        <v>2824</v>
      </c>
      <c r="F1696" s="18">
        <f>E1696* 0.999513766486355</f>
        <v>2822.6268765574664</v>
      </c>
      <c r="G1696" s="18">
        <f>E1696* 0.0000243116756822464</f>
        <v>6.8656172126663834E-2</v>
      </c>
      <c r="H1696" s="18">
        <f>E1696* 0.00034036345955145</f>
        <v>0.96118640977329484</v>
      </c>
    </row>
    <row r="1697" spans="1:8" ht="15.75" hidden="1" customHeight="1" x14ac:dyDescent="0.25">
      <c r="A1697" s="20" t="s">
        <v>105</v>
      </c>
      <c r="B1697" s="47" t="s">
        <v>150</v>
      </c>
      <c r="C1697" s="49"/>
      <c r="D1697" s="19" t="s">
        <v>36</v>
      </c>
      <c r="E1697" s="23">
        <v>12</v>
      </c>
      <c r="F1697" s="24">
        <f>E1697</f>
        <v>12</v>
      </c>
      <c r="G1697" s="20">
        <v>0</v>
      </c>
      <c r="H1697" s="20">
        <v>0</v>
      </c>
    </row>
    <row r="1698" spans="1:8" ht="15.75" hidden="1" customHeight="1" x14ac:dyDescent="0.25">
      <c r="A1698" s="20" t="s">
        <v>105</v>
      </c>
      <c r="B1698" s="47" t="s">
        <v>150</v>
      </c>
      <c r="C1698" s="49"/>
      <c r="D1698" s="19" t="s">
        <v>37</v>
      </c>
      <c r="E1698" s="23">
        <v>0</v>
      </c>
      <c r="F1698" s="20">
        <v>0</v>
      </c>
      <c r="G1698" s="24">
        <f>E1698</f>
        <v>0</v>
      </c>
      <c r="H1698" s="20">
        <v>0</v>
      </c>
    </row>
    <row r="1699" spans="1:8" ht="15.75" hidden="1" customHeight="1" x14ac:dyDescent="0.25">
      <c r="A1699" s="20" t="s">
        <v>105</v>
      </c>
      <c r="B1699" s="47" t="s">
        <v>150</v>
      </c>
      <c r="C1699" s="49"/>
      <c r="D1699" s="19" t="s">
        <v>148</v>
      </c>
      <c r="E1699" s="23">
        <v>1557</v>
      </c>
      <c r="F1699" s="18">
        <f>E1699* 0.00094876660341556</f>
        <v>1.4772296015180268</v>
      </c>
      <c r="G1699" s="18">
        <f>E1699* 0.999051233396584</f>
        <v>1555.5227703984813</v>
      </c>
      <c r="H1699" s="20">
        <v>0</v>
      </c>
    </row>
    <row r="1700" spans="1:8" ht="15.75" hidden="1" customHeight="1" x14ac:dyDescent="0.25">
      <c r="A1700" s="20" t="s">
        <v>105</v>
      </c>
      <c r="B1700" s="47" t="s">
        <v>150</v>
      </c>
      <c r="C1700" s="49"/>
      <c r="D1700" s="52" t="s">
        <v>12</v>
      </c>
      <c r="E1700" s="27">
        <v>3913</v>
      </c>
      <c r="F1700" s="18">
        <f>E1700* 0.843786808009423</f>
        <v>3301.7377797408722</v>
      </c>
      <c r="G1700" s="18">
        <f>E1700* 0.0740675304279545</f>
        <v>289.82624656458597</v>
      </c>
      <c r="H1700" s="18">
        <f>E1700* 0.0820965842167256</f>
        <v>321.24393404004724</v>
      </c>
    </row>
    <row r="1701" spans="1:8" ht="15.75" customHeight="1" x14ac:dyDescent="0.25">
      <c r="A1701" s="20" t="s">
        <v>151</v>
      </c>
      <c r="B1701" s="47" t="s">
        <v>480</v>
      </c>
      <c r="C1701" s="12" t="str">
        <f>B1701&amp;"_"&amp;A1701</f>
        <v>Antequera_Oruro</v>
      </c>
      <c r="D1701" s="20"/>
      <c r="E1701" s="48">
        <v>722</v>
      </c>
      <c r="F1701" s="14">
        <f t="shared" ref="F1701:H1701" si="143">SUM(F1702:F1712)</f>
        <v>607.61352578153856</v>
      </c>
      <c r="G1701" s="14">
        <f t="shared" si="143"/>
        <v>75.540650487440672</v>
      </c>
      <c r="H1701" s="14">
        <f t="shared" si="143"/>
        <v>38.82503835541069</v>
      </c>
    </row>
    <row r="1702" spans="1:8" ht="15.75" hidden="1" customHeight="1" x14ac:dyDescent="0.25">
      <c r="A1702" s="20" t="s">
        <v>151</v>
      </c>
      <c r="B1702" s="47" t="s">
        <v>480</v>
      </c>
      <c r="C1702" s="49"/>
      <c r="D1702" s="19" t="s">
        <v>15</v>
      </c>
      <c r="E1702" s="23">
        <v>49</v>
      </c>
      <c r="F1702" s="18">
        <f>E1702* 0.929012779104059</f>
        <v>45.521626176098891</v>
      </c>
      <c r="G1702" s="18">
        <f>E1702* 0.00947900575761831</f>
        <v>0.46447128212329719</v>
      </c>
      <c r="H1702" s="18">
        <f>E1702* 0.0614380002808594</f>
        <v>3.0104620137621105</v>
      </c>
    </row>
    <row r="1703" spans="1:8" ht="15.75" hidden="1" customHeight="1" x14ac:dyDescent="0.25">
      <c r="A1703" s="20" t="s">
        <v>151</v>
      </c>
      <c r="B1703" s="47" t="s">
        <v>480</v>
      </c>
      <c r="C1703" s="49"/>
      <c r="D1703" s="29" t="s">
        <v>481</v>
      </c>
      <c r="E1703" s="23">
        <v>3</v>
      </c>
      <c r="F1703" s="18">
        <f>E1703* 0.0624390243902439</f>
        <v>0.18731707317073171</v>
      </c>
      <c r="G1703" s="18">
        <f>E1703* 0.936585365853659</f>
        <v>2.8097560975609772</v>
      </c>
      <c r="H1703" s="20">
        <v>0</v>
      </c>
    </row>
    <row r="1704" spans="1:8" ht="15.75" hidden="1" customHeight="1" x14ac:dyDescent="0.25">
      <c r="A1704" s="20" t="s">
        <v>151</v>
      </c>
      <c r="B1704" s="47" t="s">
        <v>480</v>
      </c>
      <c r="C1704" s="49"/>
      <c r="D1704" s="19" t="s">
        <v>11</v>
      </c>
      <c r="E1704" s="23">
        <v>29</v>
      </c>
      <c r="F1704" s="18">
        <f>E1704* 0.080360592401803</f>
        <v>2.3304571796522873</v>
      </c>
      <c r="G1704" s="18">
        <f>E1704* 0.917192530585963</f>
        <v>26.598583386992924</v>
      </c>
      <c r="H1704" s="18">
        <f>E1704* 0.00218931101094656</f>
        <v>6.3490019317450241E-2</v>
      </c>
    </row>
    <row r="1705" spans="1:8" ht="15.75" hidden="1" customHeight="1" x14ac:dyDescent="0.25">
      <c r="A1705" s="20" t="s">
        <v>151</v>
      </c>
      <c r="B1705" s="47" t="s">
        <v>480</v>
      </c>
      <c r="C1705" s="49"/>
      <c r="D1705" s="19" t="s">
        <v>17</v>
      </c>
      <c r="E1705" s="23">
        <v>125</v>
      </c>
      <c r="F1705" s="18">
        <f>E1705* 0.836035451794207</f>
        <v>104.50443147427588</v>
      </c>
      <c r="G1705" s="18">
        <f>E1705* 0.0583657587548638</f>
        <v>7.2957198443579747</v>
      </c>
      <c r="H1705" s="18">
        <f>E1705* 0.10559878945093</f>
        <v>13.19984868136625</v>
      </c>
    </row>
    <row r="1706" spans="1:8" ht="15.75" hidden="1" customHeight="1" x14ac:dyDescent="0.25">
      <c r="A1706" s="20" t="s">
        <v>151</v>
      </c>
      <c r="B1706" s="47" t="s">
        <v>480</v>
      </c>
      <c r="C1706" s="49"/>
      <c r="D1706" s="19" t="s">
        <v>31</v>
      </c>
      <c r="E1706" s="23">
        <v>4</v>
      </c>
      <c r="F1706" s="18">
        <f>E1706* 0.872611464968153</f>
        <v>3.490445859872612</v>
      </c>
      <c r="G1706" s="18">
        <f>E1706* 0.0764331210191083</f>
        <v>0.30573248407643322</v>
      </c>
      <c r="H1706" s="18">
        <f>E1706* 0.0509554140127389</f>
        <v>0.20382165605095559</v>
      </c>
    </row>
    <row r="1707" spans="1:8" ht="15.75" hidden="1" customHeight="1" x14ac:dyDescent="0.25">
      <c r="A1707" s="20" t="s">
        <v>151</v>
      </c>
      <c r="B1707" s="47" t="s">
        <v>480</v>
      </c>
      <c r="C1707" s="49"/>
      <c r="D1707" s="19" t="s">
        <v>18</v>
      </c>
      <c r="E1707" s="23">
        <v>2</v>
      </c>
      <c r="F1707" s="18">
        <f>E1707* 0.920270974465868</f>
        <v>1.8405419489317361</v>
      </c>
      <c r="G1707" s="18">
        <f>E1707* 0.0703491401771756</f>
        <v>0.1406982803543512</v>
      </c>
      <c r="H1707" s="18">
        <f>E1707* 0.00937988535695675</f>
        <v>1.87597707139135E-2</v>
      </c>
    </row>
    <row r="1708" spans="1:8" ht="15.75" hidden="1" customHeight="1" x14ac:dyDescent="0.25">
      <c r="A1708" s="20" t="s">
        <v>151</v>
      </c>
      <c r="B1708" s="47" t="s">
        <v>480</v>
      </c>
      <c r="C1708" s="49"/>
      <c r="D1708" s="19" t="s">
        <v>19</v>
      </c>
      <c r="E1708" s="23">
        <v>3</v>
      </c>
      <c r="F1708" s="18">
        <f>E1708* 0.223420647149461</f>
        <v>0.67026194144838303</v>
      </c>
      <c r="G1708" s="18">
        <f>E1708* 0.773497688751926</f>
        <v>2.3204930662557781</v>
      </c>
      <c r="H1708" s="18">
        <f>E1708* 0.00308166409861325</f>
        <v>9.244992295839749E-3</v>
      </c>
    </row>
    <row r="1709" spans="1:8" ht="15.75" hidden="1" customHeight="1" x14ac:dyDescent="0.25">
      <c r="A1709" s="20" t="s">
        <v>151</v>
      </c>
      <c r="B1709" s="47" t="s">
        <v>480</v>
      </c>
      <c r="C1709" s="49"/>
      <c r="D1709" s="19" t="s">
        <v>20</v>
      </c>
      <c r="E1709" s="23">
        <v>58</v>
      </c>
      <c r="F1709" s="18">
        <f>E1709* 0.61531089014017</f>
        <v>35.688031628129863</v>
      </c>
      <c r="G1709" s="18">
        <f>E1709* 0.298190966814424</f>
        <v>17.29507607523659</v>
      </c>
      <c r="H1709" s="18">
        <f>E1709* 0.086378339523182</f>
        <v>5.0099436923445557</v>
      </c>
    </row>
    <row r="1710" spans="1:8" ht="15.75" hidden="1" customHeight="1" x14ac:dyDescent="0.25">
      <c r="A1710" s="20" t="s">
        <v>151</v>
      </c>
      <c r="B1710" s="47" t="s">
        <v>480</v>
      </c>
      <c r="C1710" s="49"/>
      <c r="D1710" s="19" t="s">
        <v>21</v>
      </c>
      <c r="E1710" s="23">
        <v>241</v>
      </c>
      <c r="F1710" s="18">
        <f>E1710* 0.999801370543252</f>
        <v>240.95213030092373</v>
      </c>
      <c r="G1710" s="18">
        <f>E1710* 0.0000993147283742179</f>
        <v>2.3934849538186514E-2</v>
      </c>
      <c r="H1710" s="18">
        <f>E1710* 0.0000993147283742179</f>
        <v>2.3934849538186514E-2</v>
      </c>
    </row>
    <row r="1711" spans="1:8" ht="15.75" hidden="1" customHeight="1" x14ac:dyDescent="0.25">
      <c r="A1711" s="20" t="s">
        <v>151</v>
      </c>
      <c r="B1711" s="47" t="s">
        <v>480</v>
      </c>
      <c r="C1711" s="49"/>
      <c r="D1711" s="19" t="s">
        <v>28</v>
      </c>
      <c r="E1711" s="23">
        <v>5</v>
      </c>
      <c r="F1711" s="20">
        <v>0</v>
      </c>
      <c r="G1711" s="18">
        <f>E1711* 0.99904671115348</f>
        <v>4.9952335557673999</v>
      </c>
      <c r="H1711" s="18">
        <f>E1711* 0.000953288846520496</f>
        <v>4.7664442326024797E-3</v>
      </c>
    </row>
    <row r="1712" spans="1:8" ht="15.75" hidden="1" customHeight="1" x14ac:dyDescent="0.25">
      <c r="A1712" s="20" t="s">
        <v>151</v>
      </c>
      <c r="B1712" s="47" t="s">
        <v>480</v>
      </c>
      <c r="C1712" s="49"/>
      <c r="D1712" s="19" t="s">
        <v>12</v>
      </c>
      <c r="E1712" s="23">
        <v>203</v>
      </c>
      <c r="F1712" s="18">
        <f>E1712* 0.849400404921352</f>
        <v>172.42828219903447</v>
      </c>
      <c r="G1712" s="18">
        <f>E1712* 0.0654726678087525</f>
        <v>13.290951565176757</v>
      </c>
      <c r="H1712" s="18">
        <f>E1712* 0.0851269272698957</f>
        <v>17.280766235788825</v>
      </c>
    </row>
    <row r="1713" spans="1:8" ht="15.75" hidden="1" customHeight="1" x14ac:dyDescent="0.25">
      <c r="A1713" s="20" t="s">
        <v>151</v>
      </c>
      <c r="B1713" s="20"/>
      <c r="C1713" s="20"/>
      <c r="D1713" s="46"/>
      <c r="E1713" s="35"/>
    </row>
    <row r="1714" spans="1:8" ht="15.75" customHeight="1" x14ac:dyDescent="0.25">
      <c r="A1714" s="20" t="s">
        <v>151</v>
      </c>
      <c r="B1714" s="47" t="s">
        <v>153</v>
      </c>
      <c r="C1714" s="12" t="str">
        <f>B1714&amp;"_"&amp;A1714</f>
        <v>Belén de Andamarca_Oruro</v>
      </c>
      <c r="D1714" s="20"/>
      <c r="E1714" s="48">
        <v>45</v>
      </c>
      <c r="F1714" s="14">
        <f t="shared" ref="F1714:H1714" si="144">SUM(F1715:F1723)</f>
        <v>35.656522621729529</v>
      </c>
      <c r="G1714" s="14">
        <f t="shared" si="144"/>
        <v>6.4535179281956649</v>
      </c>
      <c r="H1714" s="14">
        <f t="shared" si="144"/>
        <v>2.8875598688031223</v>
      </c>
    </row>
    <row r="1715" spans="1:8" ht="15.75" hidden="1" customHeight="1" x14ac:dyDescent="0.25">
      <c r="A1715" s="20" t="s">
        <v>151</v>
      </c>
      <c r="B1715" s="47" t="s">
        <v>153</v>
      </c>
      <c r="C1715" s="49"/>
      <c r="D1715" s="19" t="s">
        <v>15</v>
      </c>
      <c r="E1715" s="23">
        <v>1</v>
      </c>
      <c r="F1715" s="18">
        <f>E1715* 0.929012779104059</f>
        <v>0.92901277910405899</v>
      </c>
      <c r="G1715" s="18">
        <f>E1715* 0.00947900575761831</f>
        <v>9.4790057576183105E-3</v>
      </c>
      <c r="H1715" s="18">
        <f>E1715* 0.0614380002808594</f>
        <v>6.1438000280859398E-2</v>
      </c>
    </row>
    <row r="1716" spans="1:8" ht="15.75" hidden="1" customHeight="1" x14ac:dyDescent="0.25">
      <c r="A1716" s="20" t="s">
        <v>151</v>
      </c>
      <c r="B1716" s="47" t="s">
        <v>153</v>
      </c>
      <c r="C1716" s="49"/>
      <c r="D1716" s="29" t="s">
        <v>482</v>
      </c>
      <c r="E1716" s="23">
        <v>1</v>
      </c>
      <c r="F1716" s="18">
        <f>E1716* 0.0624390243902439</f>
        <v>6.2439024390243902E-2</v>
      </c>
      <c r="G1716" s="18">
        <f>E1716* 0.936585365853659</f>
        <v>0.93658536585365904</v>
      </c>
      <c r="H1716" s="20">
        <v>0</v>
      </c>
    </row>
    <row r="1717" spans="1:8" ht="15.75" hidden="1" customHeight="1" x14ac:dyDescent="0.25">
      <c r="A1717" s="20" t="s">
        <v>151</v>
      </c>
      <c r="B1717" s="47" t="s">
        <v>153</v>
      </c>
      <c r="C1717" s="49"/>
      <c r="D1717" s="19" t="s">
        <v>11</v>
      </c>
      <c r="E1717" s="23">
        <v>2</v>
      </c>
      <c r="F1717" s="18">
        <f>E1717* 0.080360592401803</f>
        <v>0.160721184803606</v>
      </c>
      <c r="G1717" s="18">
        <f>E1717* 0.917192530585963</f>
        <v>1.8343850611719259</v>
      </c>
      <c r="H1717" s="18">
        <f>E1717* 0.00218931101094656</f>
        <v>4.3786220218931197E-3</v>
      </c>
    </row>
    <row r="1718" spans="1:8" ht="15.75" hidden="1" customHeight="1" x14ac:dyDescent="0.25">
      <c r="A1718" s="20" t="s">
        <v>151</v>
      </c>
      <c r="B1718" s="47" t="s">
        <v>153</v>
      </c>
      <c r="C1718" s="49"/>
      <c r="D1718" s="19" t="s">
        <v>17</v>
      </c>
      <c r="E1718" s="23">
        <v>8</v>
      </c>
      <c r="F1718" s="18">
        <f>E1718* 0.836035451794207</f>
        <v>6.6882836143536561</v>
      </c>
      <c r="G1718" s="18">
        <f>E1718* 0.0583657587548638</f>
        <v>0.4669260700389104</v>
      </c>
      <c r="H1718" s="18">
        <f>E1718* 0.10559878945093</f>
        <v>0.84479031560744</v>
      </c>
    </row>
    <row r="1719" spans="1:8" ht="15.75" hidden="1" customHeight="1" x14ac:dyDescent="0.25">
      <c r="A1719" s="20" t="s">
        <v>151</v>
      </c>
      <c r="B1719" s="47" t="s">
        <v>153</v>
      </c>
      <c r="C1719" s="49"/>
      <c r="D1719" s="19" t="s">
        <v>31</v>
      </c>
      <c r="E1719" s="23">
        <v>0</v>
      </c>
      <c r="F1719" s="18">
        <f>E1719* 0.872611464968153</f>
        <v>0</v>
      </c>
      <c r="G1719" s="18">
        <f>E1719* 0.0764331210191083</f>
        <v>0</v>
      </c>
      <c r="H1719" s="18">
        <f>E1719* 0.0509554140127389</f>
        <v>0</v>
      </c>
    </row>
    <row r="1720" spans="1:8" ht="15.75" hidden="1" customHeight="1" x14ac:dyDescent="0.25">
      <c r="A1720" s="20" t="s">
        <v>151</v>
      </c>
      <c r="B1720" s="47" t="s">
        <v>153</v>
      </c>
      <c r="C1720" s="49"/>
      <c r="D1720" s="19" t="s">
        <v>18</v>
      </c>
      <c r="E1720" s="23">
        <v>1</v>
      </c>
      <c r="F1720" s="18">
        <f>E1720* 0.920270974465868</f>
        <v>0.92027097446586803</v>
      </c>
      <c r="G1720" s="18">
        <f>E1720* 0.0703491401771756</f>
        <v>7.0349140177175598E-2</v>
      </c>
      <c r="H1720" s="18">
        <f>E1720* 0.00937988535695675</f>
        <v>9.3798853569567499E-3</v>
      </c>
    </row>
    <row r="1721" spans="1:8" ht="15.75" hidden="1" customHeight="1" x14ac:dyDescent="0.25">
      <c r="A1721" s="20" t="s">
        <v>151</v>
      </c>
      <c r="B1721" s="47" t="s">
        <v>153</v>
      </c>
      <c r="C1721" s="49"/>
      <c r="D1721" s="19" t="s">
        <v>20</v>
      </c>
      <c r="E1721" s="23">
        <v>7</v>
      </c>
      <c r="F1721" s="18">
        <f>E1721* 0.61531089014017</f>
        <v>4.3071762309811898</v>
      </c>
      <c r="G1721" s="18">
        <f>E1721* 0.298190966814424</f>
        <v>2.0873367677009678</v>
      </c>
      <c r="H1721" s="18">
        <f>E1721* 0.086378339523182</f>
        <v>0.604648376662274</v>
      </c>
    </row>
    <row r="1722" spans="1:8" ht="15.75" hidden="1" customHeight="1" x14ac:dyDescent="0.25">
      <c r="A1722" s="20" t="s">
        <v>151</v>
      </c>
      <c r="B1722" s="47" t="s">
        <v>153</v>
      </c>
      <c r="C1722" s="49"/>
      <c r="D1722" s="19" t="s">
        <v>21</v>
      </c>
      <c r="E1722" s="23">
        <v>9</v>
      </c>
      <c r="F1722" s="18">
        <f>E1722* 0.999801370543252</f>
        <v>8.9982123348892689</v>
      </c>
      <c r="G1722" s="18">
        <f>E1722* 0.0000993147283742179</f>
        <v>8.9383255536796115E-4</v>
      </c>
      <c r="H1722" s="18">
        <f>E1722* 0.0000993147283742179</f>
        <v>8.9383255536796115E-4</v>
      </c>
    </row>
    <row r="1723" spans="1:8" ht="15.75" hidden="1" customHeight="1" x14ac:dyDescent="0.25">
      <c r="A1723" s="20" t="s">
        <v>151</v>
      </c>
      <c r="B1723" s="47" t="s">
        <v>153</v>
      </c>
      <c r="C1723" s="49"/>
      <c r="D1723" s="19" t="s">
        <v>12</v>
      </c>
      <c r="E1723" s="23">
        <v>16</v>
      </c>
      <c r="F1723" s="18">
        <f>E1723* 0.849400404921352</f>
        <v>13.590406478741633</v>
      </c>
      <c r="G1723" s="18">
        <f>E1723* 0.0654726678087525</f>
        <v>1.0475626849400399</v>
      </c>
      <c r="H1723" s="18">
        <f>E1723* 0.0851269272698957</f>
        <v>1.3620308363183311</v>
      </c>
    </row>
    <row r="1724" spans="1:8" ht="15.75" hidden="1" customHeight="1" x14ac:dyDescent="0.25">
      <c r="A1724" s="20" t="s">
        <v>151</v>
      </c>
      <c r="B1724" s="20"/>
      <c r="C1724" s="20"/>
      <c r="D1724" s="46"/>
      <c r="E1724" s="35"/>
    </row>
    <row r="1725" spans="1:8" ht="15.75" customHeight="1" x14ac:dyDescent="0.25">
      <c r="A1725" s="20" t="s">
        <v>151</v>
      </c>
      <c r="B1725" s="47" t="s">
        <v>154</v>
      </c>
      <c r="C1725" s="12" t="str">
        <f>B1725&amp;"_"&amp;A1725</f>
        <v>Caracollo_Oruro</v>
      </c>
      <c r="D1725" s="20"/>
      <c r="E1725" s="48">
        <v>1093</v>
      </c>
      <c r="F1725" s="14">
        <f t="shared" ref="F1725:H1725" si="145">SUM(F1726:F1738)</f>
        <v>829.01162788070724</v>
      </c>
      <c r="G1725" s="14">
        <f t="shared" si="145"/>
        <v>197.86417256829407</v>
      </c>
      <c r="H1725" s="14">
        <f t="shared" si="145"/>
        <v>66.066134962885315</v>
      </c>
    </row>
    <row r="1726" spans="1:8" ht="15.75" hidden="1" customHeight="1" x14ac:dyDescent="0.25">
      <c r="A1726" s="20" t="s">
        <v>151</v>
      </c>
      <c r="B1726" s="47" t="s">
        <v>154</v>
      </c>
      <c r="C1726" s="49"/>
      <c r="D1726" s="29" t="s">
        <v>483</v>
      </c>
      <c r="E1726" s="23">
        <v>4</v>
      </c>
      <c r="F1726" s="20">
        <v>0</v>
      </c>
      <c r="G1726" s="24">
        <f>E1726</f>
        <v>4</v>
      </c>
      <c r="H1726" s="20">
        <v>0</v>
      </c>
    </row>
    <row r="1727" spans="1:8" ht="15.75" hidden="1" customHeight="1" x14ac:dyDescent="0.25">
      <c r="A1727" s="20" t="s">
        <v>151</v>
      </c>
      <c r="B1727" s="47" t="s">
        <v>154</v>
      </c>
      <c r="C1727" s="49"/>
      <c r="D1727" s="19" t="s">
        <v>15</v>
      </c>
      <c r="E1727" s="23">
        <v>180</v>
      </c>
      <c r="F1727" s="18">
        <f>E1727* 0.929012779104059</f>
        <v>167.22230023873061</v>
      </c>
      <c r="G1727" s="18">
        <f>E1727* 0.00947900575761831</f>
        <v>1.706221036371296</v>
      </c>
      <c r="H1727" s="18">
        <f>E1727* 0.0614380002808594</f>
        <v>11.058840050554691</v>
      </c>
    </row>
    <row r="1728" spans="1:8" ht="15.75" hidden="1" customHeight="1" x14ac:dyDescent="0.25">
      <c r="A1728" s="20" t="s">
        <v>151</v>
      </c>
      <c r="B1728" s="47" t="s">
        <v>154</v>
      </c>
      <c r="C1728" s="49"/>
      <c r="D1728" s="29" t="s">
        <v>484</v>
      </c>
      <c r="E1728" s="23">
        <v>3</v>
      </c>
      <c r="F1728" s="18">
        <f>E1728* 0.0624390243902439</f>
        <v>0.18731707317073171</v>
      </c>
      <c r="G1728" s="18">
        <f>E1728* 0.936585365853659</f>
        <v>2.8097560975609772</v>
      </c>
      <c r="H1728" s="20">
        <v>0</v>
      </c>
    </row>
    <row r="1729" spans="1:8" ht="15.75" hidden="1" customHeight="1" x14ac:dyDescent="0.25">
      <c r="A1729" s="20" t="s">
        <v>151</v>
      </c>
      <c r="B1729" s="47" t="s">
        <v>154</v>
      </c>
      <c r="C1729" s="49"/>
      <c r="D1729" s="19" t="s">
        <v>11</v>
      </c>
      <c r="E1729" s="23">
        <v>105</v>
      </c>
      <c r="F1729" s="18">
        <f>E1729* 0.080360592401803</f>
        <v>8.437862202189315</v>
      </c>
      <c r="G1729" s="18">
        <f>E1729* 0.917192530585963</f>
        <v>96.305215711526117</v>
      </c>
      <c r="H1729" s="18">
        <f>E1729* 0.00218931101094656</f>
        <v>0.22987765614938879</v>
      </c>
    </row>
    <row r="1730" spans="1:8" ht="15.75" hidden="1" customHeight="1" x14ac:dyDescent="0.25">
      <c r="A1730" s="20" t="s">
        <v>151</v>
      </c>
      <c r="B1730" s="47" t="s">
        <v>154</v>
      </c>
      <c r="C1730" s="49"/>
      <c r="D1730" s="19" t="s">
        <v>17</v>
      </c>
      <c r="E1730" s="23">
        <v>90</v>
      </c>
      <c r="F1730" s="18">
        <f>E1730* 0.836035451794207</f>
        <v>75.243190661478636</v>
      </c>
      <c r="G1730" s="18">
        <f>E1730* 0.0583657587548638</f>
        <v>5.2529182879377423</v>
      </c>
      <c r="H1730" s="18">
        <f>E1730* 0.10559878945093</f>
        <v>9.5038910505837002</v>
      </c>
    </row>
    <row r="1731" spans="1:8" ht="15.75" hidden="1" customHeight="1" x14ac:dyDescent="0.25">
      <c r="A1731" s="20" t="s">
        <v>151</v>
      </c>
      <c r="B1731" s="47" t="s">
        <v>154</v>
      </c>
      <c r="C1731" s="49"/>
      <c r="D1731" s="19" t="s">
        <v>31</v>
      </c>
      <c r="E1731" s="23">
        <v>9</v>
      </c>
      <c r="F1731" s="18">
        <f>E1731* 0.872611464968153</f>
        <v>7.8535031847133769</v>
      </c>
      <c r="G1731" s="18">
        <f>E1731* 0.0764331210191083</f>
        <v>0.6878980891719747</v>
      </c>
      <c r="H1731" s="18">
        <f>E1731* 0.0509554140127389</f>
        <v>0.45859872611465008</v>
      </c>
    </row>
    <row r="1732" spans="1:8" ht="15.75" hidden="1" customHeight="1" x14ac:dyDescent="0.25">
      <c r="A1732" s="20" t="s">
        <v>151</v>
      </c>
      <c r="B1732" s="47" t="s">
        <v>154</v>
      </c>
      <c r="C1732" s="49"/>
      <c r="D1732" s="19" t="s">
        <v>18</v>
      </c>
      <c r="E1732" s="23">
        <v>18</v>
      </c>
      <c r="F1732" s="18">
        <f>E1732* 0.920270974465868</f>
        <v>16.564877540385623</v>
      </c>
      <c r="G1732" s="18">
        <f>E1732* 0.0703491401771756</f>
        <v>1.2662845231891608</v>
      </c>
      <c r="H1732" s="18">
        <f>E1732* 0.00937988535695675</f>
        <v>0.16883793642522149</v>
      </c>
    </row>
    <row r="1733" spans="1:8" ht="15.75" hidden="1" customHeight="1" x14ac:dyDescent="0.25">
      <c r="A1733" s="20" t="s">
        <v>151</v>
      </c>
      <c r="B1733" s="47" t="s">
        <v>154</v>
      </c>
      <c r="C1733" s="49"/>
      <c r="D1733" s="19" t="s">
        <v>19</v>
      </c>
      <c r="E1733" s="23">
        <v>6</v>
      </c>
      <c r="F1733" s="18">
        <f>E1733* 0.223420647149461</f>
        <v>1.3405238828967661</v>
      </c>
      <c r="G1733" s="18">
        <f>E1733* 0.773497688751926</f>
        <v>4.6409861325115562</v>
      </c>
      <c r="H1733" s="18">
        <f>E1733* 0.00308166409861325</f>
        <v>1.8489984591679498E-2</v>
      </c>
    </row>
    <row r="1734" spans="1:8" ht="15.75" hidden="1" customHeight="1" x14ac:dyDescent="0.25">
      <c r="A1734" s="20" t="s">
        <v>151</v>
      </c>
      <c r="B1734" s="47" t="s">
        <v>154</v>
      </c>
      <c r="C1734" s="49"/>
      <c r="D1734" s="19" t="s">
        <v>20</v>
      </c>
      <c r="E1734" s="23">
        <v>129</v>
      </c>
      <c r="F1734" s="18">
        <f>E1734* 0.61531089014017</f>
        <v>79.37510482808193</v>
      </c>
      <c r="G1734" s="18">
        <f>E1734* 0.298190966814424</f>
        <v>38.466634719060693</v>
      </c>
      <c r="H1734" s="18">
        <f>E1734* 0.086378339523182</f>
        <v>11.142805798490478</v>
      </c>
    </row>
    <row r="1735" spans="1:8" ht="15.75" hidden="1" customHeight="1" x14ac:dyDescent="0.25">
      <c r="A1735" s="20" t="s">
        <v>151</v>
      </c>
      <c r="B1735" s="47" t="s">
        <v>154</v>
      </c>
      <c r="C1735" s="49"/>
      <c r="D1735" s="19" t="s">
        <v>21</v>
      </c>
      <c r="E1735" s="23">
        <v>138</v>
      </c>
      <c r="F1735" s="18">
        <f>E1735* 0.999801370543252</f>
        <v>137.97258913496879</v>
      </c>
      <c r="G1735" s="18">
        <f>E1735* 0.0000993147283742179</f>
        <v>1.3705432515642071E-2</v>
      </c>
      <c r="H1735" s="18">
        <f>E1735* 0.0000993147283742179</f>
        <v>1.3705432515642071E-2</v>
      </c>
    </row>
    <row r="1736" spans="1:8" ht="15.75" hidden="1" customHeight="1" x14ac:dyDescent="0.25">
      <c r="A1736" s="20" t="s">
        <v>151</v>
      </c>
      <c r="B1736" s="47" t="s">
        <v>154</v>
      </c>
      <c r="C1736" s="49"/>
      <c r="D1736" s="19" t="s">
        <v>36</v>
      </c>
      <c r="E1736" s="23">
        <v>1</v>
      </c>
      <c r="F1736" s="24">
        <f>E1736</f>
        <v>1</v>
      </c>
      <c r="G1736" s="20">
        <v>0</v>
      </c>
      <c r="H1736" s="20">
        <v>0</v>
      </c>
    </row>
    <row r="1737" spans="1:8" ht="15.75" hidden="1" customHeight="1" x14ac:dyDescent="0.25">
      <c r="A1737" s="20" t="s">
        <v>151</v>
      </c>
      <c r="B1737" s="47" t="s">
        <v>154</v>
      </c>
      <c r="C1737" s="49"/>
      <c r="D1737" s="19" t="s">
        <v>28</v>
      </c>
      <c r="E1737" s="23">
        <v>17</v>
      </c>
      <c r="F1737" s="20">
        <v>0</v>
      </c>
      <c r="G1737" s="18">
        <f>E1737* 0.99904671115348</f>
        <v>16.983794089609159</v>
      </c>
      <c r="H1737" s="18">
        <f>E1737* 0.000953288846520496</f>
        <v>1.620591039084843E-2</v>
      </c>
    </row>
    <row r="1738" spans="1:8" ht="15.75" hidden="1" customHeight="1" x14ac:dyDescent="0.25">
      <c r="A1738" s="20" t="s">
        <v>151</v>
      </c>
      <c r="B1738" s="47" t="s">
        <v>154</v>
      </c>
      <c r="C1738" s="49"/>
      <c r="D1738" s="19" t="s">
        <v>12</v>
      </c>
      <c r="E1738" s="23">
        <v>393</v>
      </c>
      <c r="F1738" s="18">
        <f>E1738* 0.849400404921352</f>
        <v>333.81435913409138</v>
      </c>
      <c r="G1738" s="18">
        <f>E1738* 0.0654726678087525</f>
        <v>25.73075844883973</v>
      </c>
      <c r="H1738" s="18">
        <f>E1738* 0.0851269272698957</f>
        <v>33.454882417069008</v>
      </c>
    </row>
    <row r="1739" spans="1:8" ht="15.75" hidden="1" customHeight="1" x14ac:dyDescent="0.25">
      <c r="A1739" s="20" t="s">
        <v>151</v>
      </c>
      <c r="B1739" s="20"/>
      <c r="C1739" s="20"/>
      <c r="D1739" s="46"/>
      <c r="E1739" s="35"/>
    </row>
    <row r="1740" spans="1:8" ht="15.75" customHeight="1" x14ac:dyDescent="0.25">
      <c r="A1740" s="20" t="s">
        <v>151</v>
      </c>
      <c r="B1740" s="47" t="s">
        <v>155</v>
      </c>
      <c r="C1740" s="12" t="str">
        <f>B1740&amp;"_"&amp;A1740</f>
        <v>Carangas_Oruro</v>
      </c>
      <c r="D1740" s="20"/>
      <c r="E1740" s="48">
        <v>2130</v>
      </c>
      <c r="F1740" s="14">
        <f t="shared" ref="F1740:H1740" si="146">SUM(F1741:F1753)</f>
        <v>1654.8794577369968</v>
      </c>
      <c r="G1740" s="14">
        <f t="shared" si="146"/>
        <v>374.0578481948566</v>
      </c>
      <c r="H1740" s="14">
        <f t="shared" si="146"/>
        <v>100.96448148512879</v>
      </c>
    </row>
    <row r="1741" spans="1:8" ht="15.75" hidden="1" customHeight="1" x14ac:dyDescent="0.25">
      <c r="A1741" s="20" t="s">
        <v>151</v>
      </c>
      <c r="B1741" s="47" t="s">
        <v>155</v>
      </c>
      <c r="C1741" s="49"/>
      <c r="D1741" s="29" t="s">
        <v>485</v>
      </c>
      <c r="E1741" s="23">
        <v>3</v>
      </c>
      <c r="F1741" s="20">
        <v>0</v>
      </c>
      <c r="G1741" s="24">
        <f>E1741</f>
        <v>3</v>
      </c>
      <c r="H1741" s="20">
        <v>0</v>
      </c>
    </row>
    <row r="1742" spans="1:8" ht="15.75" hidden="1" customHeight="1" x14ac:dyDescent="0.25">
      <c r="A1742" s="20" t="s">
        <v>151</v>
      </c>
      <c r="B1742" s="47" t="s">
        <v>155</v>
      </c>
      <c r="C1742" s="49"/>
      <c r="D1742" s="19" t="s">
        <v>15</v>
      </c>
      <c r="E1742" s="23">
        <v>145</v>
      </c>
      <c r="F1742" s="18">
        <f>E1742* 0.929012779104059</f>
        <v>134.70685297008856</v>
      </c>
      <c r="G1742" s="18">
        <f>E1742* 0.00947900575761831</f>
        <v>1.3744558348546549</v>
      </c>
      <c r="H1742" s="18">
        <f>E1742* 0.0614380002808594</f>
        <v>8.9085100407246127</v>
      </c>
    </row>
    <row r="1743" spans="1:8" ht="15.75" hidden="1" customHeight="1" x14ac:dyDescent="0.25">
      <c r="A1743" s="20" t="s">
        <v>151</v>
      </c>
      <c r="B1743" s="47" t="s">
        <v>155</v>
      </c>
      <c r="C1743" s="49"/>
      <c r="D1743" s="29" t="s">
        <v>486</v>
      </c>
      <c r="E1743" s="23">
        <v>5</v>
      </c>
      <c r="F1743" s="18">
        <f>E1743* 0.0624390243902439</f>
        <v>0.31219512195121951</v>
      </c>
      <c r="G1743" s="18">
        <f>E1743* 0.936585365853659</f>
        <v>4.6829268292682951</v>
      </c>
      <c r="H1743" s="20">
        <v>0</v>
      </c>
    </row>
    <row r="1744" spans="1:8" ht="15.75" hidden="1" customHeight="1" x14ac:dyDescent="0.25">
      <c r="A1744" s="20" t="s">
        <v>151</v>
      </c>
      <c r="B1744" s="47" t="s">
        <v>155</v>
      </c>
      <c r="C1744" s="49"/>
      <c r="D1744" s="19" t="s">
        <v>11</v>
      </c>
      <c r="E1744" s="23">
        <v>194</v>
      </c>
      <c r="F1744" s="18">
        <f>E1744* 0.080360592401803</f>
        <v>15.589954925949783</v>
      </c>
      <c r="G1744" s="18">
        <f>E1744* 0.917192530585963</f>
        <v>177.9353509336768</v>
      </c>
      <c r="H1744" s="18">
        <f>E1744* 0.00218931101094656</f>
        <v>0.42472633612363259</v>
      </c>
    </row>
    <row r="1745" spans="1:8" ht="15.75" hidden="1" customHeight="1" x14ac:dyDescent="0.25">
      <c r="A1745" s="20" t="s">
        <v>151</v>
      </c>
      <c r="B1745" s="47" t="s">
        <v>155</v>
      </c>
      <c r="C1745" s="49"/>
      <c r="D1745" s="19" t="s">
        <v>17</v>
      </c>
      <c r="E1745" s="23">
        <v>169</v>
      </c>
      <c r="F1745" s="18">
        <f>E1745* 0.836035451794207</f>
        <v>141.28999135322098</v>
      </c>
      <c r="G1745" s="18">
        <f>E1745* 0.0583657587548638</f>
        <v>9.8638132295719814</v>
      </c>
      <c r="H1745" s="18">
        <f>E1745* 0.10559878945093</f>
        <v>17.84619541720717</v>
      </c>
    </row>
    <row r="1746" spans="1:8" ht="15.75" hidden="1" customHeight="1" x14ac:dyDescent="0.25">
      <c r="A1746" s="20" t="s">
        <v>151</v>
      </c>
      <c r="B1746" s="47" t="s">
        <v>155</v>
      </c>
      <c r="C1746" s="49"/>
      <c r="D1746" s="19" t="s">
        <v>31</v>
      </c>
      <c r="E1746" s="23">
        <v>37</v>
      </c>
      <c r="F1746" s="18">
        <f>E1746* 0.872611464968153</f>
        <v>32.28662420382166</v>
      </c>
      <c r="G1746" s="18">
        <f>E1746* 0.0764331210191083</f>
        <v>2.8280254777070071</v>
      </c>
      <c r="H1746" s="18">
        <f>E1746* 0.0509554140127389</f>
        <v>1.8853503184713392</v>
      </c>
    </row>
    <row r="1747" spans="1:8" ht="15.75" hidden="1" customHeight="1" x14ac:dyDescent="0.25">
      <c r="A1747" s="20" t="s">
        <v>151</v>
      </c>
      <c r="B1747" s="47" t="s">
        <v>155</v>
      </c>
      <c r="C1747" s="49"/>
      <c r="D1747" s="19" t="s">
        <v>18</v>
      </c>
      <c r="E1747" s="23">
        <v>10</v>
      </c>
      <c r="F1747" s="18">
        <f>E1747* 0.920270974465868</f>
        <v>9.2027097446586801</v>
      </c>
      <c r="G1747" s="18">
        <f>E1747* 0.0703491401771756</f>
        <v>0.70349140177175595</v>
      </c>
      <c r="H1747" s="18">
        <f>E1747* 0.00937988535695675</f>
        <v>9.3798853569567492E-2</v>
      </c>
    </row>
    <row r="1748" spans="1:8" ht="15.75" hidden="1" customHeight="1" x14ac:dyDescent="0.25">
      <c r="A1748" s="20" t="s">
        <v>151</v>
      </c>
      <c r="B1748" s="47" t="s">
        <v>155</v>
      </c>
      <c r="C1748" s="49"/>
      <c r="D1748" s="29" t="s">
        <v>487</v>
      </c>
      <c r="E1748" s="23">
        <v>3</v>
      </c>
      <c r="F1748" s="20">
        <v>0</v>
      </c>
      <c r="G1748" s="24">
        <f>E1748</f>
        <v>3</v>
      </c>
      <c r="H1748" s="20">
        <v>0</v>
      </c>
    </row>
    <row r="1749" spans="1:8" ht="15.75" hidden="1" customHeight="1" x14ac:dyDescent="0.25">
      <c r="A1749" s="20" t="s">
        <v>151</v>
      </c>
      <c r="B1749" s="47" t="s">
        <v>155</v>
      </c>
      <c r="C1749" s="49"/>
      <c r="D1749" s="19" t="s">
        <v>19</v>
      </c>
      <c r="E1749" s="23">
        <v>3</v>
      </c>
      <c r="F1749" s="18">
        <f>E1749* 0.223420647149461</f>
        <v>0.67026194144838303</v>
      </c>
      <c r="G1749" s="18">
        <f>E1749* 0.773497688751926</f>
        <v>2.3204930662557781</v>
      </c>
      <c r="H1749" s="18">
        <f>E1749* 0.00308166409861325</f>
        <v>9.244992295839749E-3</v>
      </c>
    </row>
    <row r="1750" spans="1:8" ht="15.75" hidden="1" customHeight="1" x14ac:dyDescent="0.25">
      <c r="A1750" s="20" t="s">
        <v>151</v>
      </c>
      <c r="B1750" s="47" t="s">
        <v>155</v>
      </c>
      <c r="C1750" s="49"/>
      <c r="D1750" s="19" t="s">
        <v>20</v>
      </c>
      <c r="E1750" s="23">
        <v>277</v>
      </c>
      <c r="F1750" s="18">
        <f>E1750* 0.61531089014017</f>
        <v>170.44111656882711</v>
      </c>
      <c r="G1750" s="18">
        <f>E1750* 0.298190966814424</f>
        <v>82.598897807595435</v>
      </c>
      <c r="H1750" s="18">
        <f>E1750* 0.086378339523182</f>
        <v>23.926800047921414</v>
      </c>
    </row>
    <row r="1751" spans="1:8" ht="15.75" hidden="1" customHeight="1" x14ac:dyDescent="0.25">
      <c r="A1751" s="20" t="s">
        <v>151</v>
      </c>
      <c r="B1751" s="47" t="s">
        <v>155</v>
      </c>
      <c r="C1751" s="49"/>
      <c r="D1751" s="19" t="s">
        <v>21</v>
      </c>
      <c r="E1751" s="23">
        <v>674</v>
      </c>
      <c r="F1751" s="18">
        <f>E1751* 0.999801370543252</f>
        <v>673.86612374615186</v>
      </c>
      <c r="G1751" s="18">
        <f>E1751* 0.0000993147283742179</f>
        <v>6.6938126924222865E-2</v>
      </c>
      <c r="H1751" s="18">
        <f>E1751* 0.0000993147283742179</f>
        <v>6.6938126924222865E-2</v>
      </c>
    </row>
    <row r="1752" spans="1:8" ht="15.75" hidden="1" customHeight="1" x14ac:dyDescent="0.25">
      <c r="A1752" s="20" t="s">
        <v>151</v>
      </c>
      <c r="B1752" s="47" t="s">
        <v>155</v>
      </c>
      <c r="C1752" s="49"/>
      <c r="D1752" s="19" t="s">
        <v>28</v>
      </c>
      <c r="E1752" s="23">
        <v>49</v>
      </c>
      <c r="F1752" s="20">
        <v>0</v>
      </c>
      <c r="G1752" s="18">
        <f>E1752* 0.99904671115348</f>
        <v>48.953288846520522</v>
      </c>
      <c r="H1752" s="18">
        <f>E1752* 0.000953288846520496</f>
        <v>4.6711153479504303E-2</v>
      </c>
    </row>
    <row r="1753" spans="1:8" ht="15.75" hidden="1" customHeight="1" x14ac:dyDescent="0.25">
      <c r="A1753" s="20" t="s">
        <v>151</v>
      </c>
      <c r="B1753" s="47" t="s">
        <v>155</v>
      </c>
      <c r="C1753" s="49"/>
      <c r="D1753" s="19" t="s">
        <v>12</v>
      </c>
      <c r="E1753" s="23">
        <v>561</v>
      </c>
      <c r="F1753" s="18">
        <f>E1753* 0.849400404921352</f>
        <v>476.51362716087851</v>
      </c>
      <c r="G1753" s="18">
        <f>E1753* 0.0654726678087525</f>
        <v>36.730166640710152</v>
      </c>
      <c r="H1753" s="18">
        <f>E1753* 0.0851269272698957</f>
        <v>47.756206198411483</v>
      </c>
    </row>
    <row r="1754" spans="1:8" ht="15.75" hidden="1" customHeight="1" x14ac:dyDescent="0.25">
      <c r="A1754" s="20" t="s">
        <v>151</v>
      </c>
      <c r="B1754" s="20"/>
      <c r="C1754" s="20"/>
      <c r="D1754" s="46"/>
      <c r="E1754" s="35"/>
    </row>
    <row r="1755" spans="1:8" ht="15.75" customHeight="1" x14ac:dyDescent="0.25">
      <c r="A1755" s="20" t="s">
        <v>151</v>
      </c>
      <c r="B1755" s="47" t="s">
        <v>156</v>
      </c>
      <c r="C1755" s="12" t="str">
        <f>B1755&amp;"_"&amp;A1755</f>
        <v>Challapata_Oruro</v>
      </c>
      <c r="D1755" s="20"/>
      <c r="E1755" s="48">
        <v>2499</v>
      </c>
      <c r="F1755" s="14">
        <f t="shared" ref="F1755:H1755" si="147">SUM(F1756:F1769)</f>
        <v>1762.5077559469701</v>
      </c>
      <c r="G1755" s="14">
        <f t="shared" si="147"/>
        <v>592.11628731481574</v>
      </c>
      <c r="H1755" s="14">
        <f t="shared" si="147"/>
        <v>144.20778447526678</v>
      </c>
    </row>
    <row r="1756" spans="1:8" ht="15.75" hidden="1" customHeight="1" x14ac:dyDescent="0.25">
      <c r="A1756" s="20" t="s">
        <v>151</v>
      </c>
      <c r="B1756" s="47" t="s">
        <v>156</v>
      </c>
      <c r="C1756" s="49"/>
      <c r="D1756" s="29" t="s">
        <v>488</v>
      </c>
      <c r="E1756" s="23">
        <v>4</v>
      </c>
      <c r="F1756" s="20">
        <v>0</v>
      </c>
      <c r="G1756" s="24">
        <f>E1756</f>
        <v>4</v>
      </c>
      <c r="H1756" s="20">
        <v>0</v>
      </c>
    </row>
    <row r="1757" spans="1:8" ht="15.75" hidden="1" customHeight="1" x14ac:dyDescent="0.25">
      <c r="A1757" s="20" t="s">
        <v>151</v>
      </c>
      <c r="B1757" s="47" t="s">
        <v>156</v>
      </c>
      <c r="C1757" s="49"/>
      <c r="D1757" s="19" t="s">
        <v>15</v>
      </c>
      <c r="E1757" s="23">
        <v>119</v>
      </c>
      <c r="F1757" s="18">
        <f>E1757* 0.929012779104059</f>
        <v>110.55252071338302</v>
      </c>
      <c r="G1757" s="18">
        <f>E1757* 0.00947900575761831</f>
        <v>1.1280016851565791</v>
      </c>
      <c r="H1757" s="18">
        <f>E1757* 0.0614380002808594</f>
        <v>7.3111220334222686</v>
      </c>
    </row>
    <row r="1758" spans="1:8" ht="15.75" hidden="1" customHeight="1" x14ac:dyDescent="0.25">
      <c r="A1758" s="20" t="s">
        <v>151</v>
      </c>
      <c r="B1758" s="47" t="s">
        <v>156</v>
      </c>
      <c r="C1758" s="49"/>
      <c r="D1758" s="29" t="s">
        <v>489</v>
      </c>
      <c r="E1758" s="23">
        <v>26</v>
      </c>
      <c r="F1758" s="18">
        <f>E1758* 0.0624390243902439</f>
        <v>1.6234146341463416</v>
      </c>
      <c r="G1758" s="18">
        <f>E1758* 0.936585365853659</f>
        <v>24.351219512195136</v>
      </c>
      <c r="H1758" s="20">
        <v>0</v>
      </c>
    </row>
    <row r="1759" spans="1:8" ht="15.75" hidden="1" customHeight="1" x14ac:dyDescent="0.25">
      <c r="A1759" s="20" t="s">
        <v>151</v>
      </c>
      <c r="B1759" s="47" t="s">
        <v>156</v>
      </c>
      <c r="C1759" s="49"/>
      <c r="D1759" s="19" t="s">
        <v>11</v>
      </c>
      <c r="E1759" s="23">
        <v>402</v>
      </c>
      <c r="F1759" s="18">
        <f>E1759* 0.080360592401803</f>
        <v>32.304958145524807</v>
      </c>
      <c r="G1759" s="18">
        <f>E1759* 0.917192530585963</f>
        <v>368.71139729555711</v>
      </c>
      <c r="H1759" s="18">
        <f>E1759* 0.00218931101094656</f>
        <v>0.88010302640051707</v>
      </c>
    </row>
    <row r="1760" spans="1:8" ht="15.75" hidden="1" customHeight="1" x14ac:dyDescent="0.25">
      <c r="A1760" s="20" t="s">
        <v>151</v>
      </c>
      <c r="B1760" s="47" t="s">
        <v>156</v>
      </c>
      <c r="C1760" s="49"/>
      <c r="D1760" s="19" t="s">
        <v>17</v>
      </c>
      <c r="E1760" s="23">
        <v>334</v>
      </c>
      <c r="F1760" s="18">
        <f>E1760* 0.836035451794207</f>
        <v>279.23584089926516</v>
      </c>
      <c r="G1760" s="18">
        <f>E1760* 0.0583657587548638</f>
        <v>19.494163424124508</v>
      </c>
      <c r="H1760" s="18">
        <f>E1760* 0.10559878945093</f>
        <v>35.26999567661062</v>
      </c>
    </row>
    <row r="1761" spans="1:8" ht="15.75" hidden="1" customHeight="1" x14ac:dyDescent="0.25">
      <c r="A1761" s="20" t="s">
        <v>151</v>
      </c>
      <c r="B1761" s="47" t="s">
        <v>156</v>
      </c>
      <c r="C1761" s="49"/>
      <c r="D1761" s="19" t="s">
        <v>31</v>
      </c>
      <c r="E1761" s="23">
        <v>9</v>
      </c>
      <c r="F1761" s="18">
        <f>E1761* 0.872611464968153</f>
        <v>7.8535031847133769</v>
      </c>
      <c r="G1761" s="18">
        <f>E1761* 0.0764331210191083</f>
        <v>0.6878980891719747</v>
      </c>
      <c r="H1761" s="18">
        <f>E1761* 0.0509554140127389</f>
        <v>0.45859872611465008</v>
      </c>
    </row>
    <row r="1762" spans="1:8" ht="15.75" hidden="1" customHeight="1" x14ac:dyDescent="0.25">
      <c r="A1762" s="20" t="s">
        <v>151</v>
      </c>
      <c r="B1762" s="47" t="s">
        <v>156</v>
      </c>
      <c r="C1762" s="49"/>
      <c r="D1762" s="19" t="s">
        <v>18</v>
      </c>
      <c r="E1762" s="23">
        <v>67</v>
      </c>
      <c r="F1762" s="18">
        <f>E1762* 0.920270974465868</f>
        <v>61.658155289213155</v>
      </c>
      <c r="G1762" s="18">
        <f>E1762* 0.0703491401771756</f>
        <v>4.713392391870765</v>
      </c>
      <c r="H1762" s="18">
        <f>E1762* 0.00937988535695675</f>
        <v>0.6284523189161022</v>
      </c>
    </row>
    <row r="1763" spans="1:8" ht="15.75" hidden="1" customHeight="1" x14ac:dyDescent="0.25">
      <c r="A1763" s="20" t="s">
        <v>151</v>
      </c>
      <c r="B1763" s="47" t="s">
        <v>156</v>
      </c>
      <c r="C1763" s="49"/>
      <c r="D1763" s="19" t="s">
        <v>19</v>
      </c>
      <c r="E1763" s="23">
        <v>6</v>
      </c>
      <c r="F1763" s="18">
        <f>E1763* 0.223420647149461</f>
        <v>1.3405238828967661</v>
      </c>
      <c r="G1763" s="18">
        <f>E1763* 0.773497688751926</f>
        <v>4.6409861325115562</v>
      </c>
      <c r="H1763" s="18">
        <f>E1763* 0.00308166409861325</f>
        <v>1.8489984591679498E-2</v>
      </c>
    </row>
    <row r="1764" spans="1:8" ht="15.75" hidden="1" customHeight="1" x14ac:dyDescent="0.25">
      <c r="A1764" s="20" t="s">
        <v>151</v>
      </c>
      <c r="B1764" s="47" t="s">
        <v>156</v>
      </c>
      <c r="C1764" s="49"/>
      <c r="D1764" s="19" t="s">
        <v>20</v>
      </c>
      <c r="E1764" s="23">
        <v>258</v>
      </c>
      <c r="F1764" s="18">
        <f>E1764* 0.61531089014017</f>
        <v>158.75020965616386</v>
      </c>
      <c r="G1764" s="18">
        <f>E1764* 0.298190966814424</f>
        <v>76.933269438121386</v>
      </c>
      <c r="H1764" s="18">
        <f>E1764* 0.086378339523182</f>
        <v>22.285611596980957</v>
      </c>
    </row>
    <row r="1765" spans="1:8" ht="15.75" hidden="1" customHeight="1" x14ac:dyDescent="0.25">
      <c r="A1765" s="20" t="s">
        <v>151</v>
      </c>
      <c r="B1765" s="47" t="s">
        <v>156</v>
      </c>
      <c r="C1765" s="49"/>
      <c r="D1765" s="19" t="s">
        <v>21</v>
      </c>
      <c r="E1765" s="23">
        <v>337</v>
      </c>
      <c r="F1765" s="18">
        <f>E1765* 0.999801370543252</f>
        <v>336.93306187307593</v>
      </c>
      <c r="G1765" s="18">
        <f>E1765* 0.0000993147283742179</f>
        <v>3.3469063462111433E-2</v>
      </c>
      <c r="H1765" s="18">
        <f>E1765* 0.0000993147283742179</f>
        <v>3.3469063462111433E-2</v>
      </c>
    </row>
    <row r="1766" spans="1:8" ht="15.75" hidden="1" customHeight="1" x14ac:dyDescent="0.25">
      <c r="A1766" s="20" t="s">
        <v>151</v>
      </c>
      <c r="B1766" s="47" t="s">
        <v>156</v>
      </c>
      <c r="C1766" s="49"/>
      <c r="D1766" s="19" t="s">
        <v>36</v>
      </c>
      <c r="E1766" s="23">
        <v>1</v>
      </c>
      <c r="F1766" s="24">
        <f>E1766</f>
        <v>1</v>
      </c>
      <c r="G1766" s="20">
        <v>0</v>
      </c>
      <c r="H1766" s="20">
        <v>0</v>
      </c>
    </row>
    <row r="1767" spans="1:8" ht="15.75" hidden="1" customHeight="1" x14ac:dyDescent="0.25">
      <c r="A1767" s="20" t="s">
        <v>151</v>
      </c>
      <c r="B1767" s="47" t="s">
        <v>156</v>
      </c>
      <c r="C1767" s="49"/>
      <c r="D1767" s="19" t="s">
        <v>37</v>
      </c>
      <c r="E1767" s="23">
        <v>0</v>
      </c>
      <c r="F1767" s="20">
        <v>0</v>
      </c>
      <c r="G1767" s="24">
        <f>E1767</f>
        <v>0</v>
      </c>
      <c r="H1767" s="20">
        <v>0</v>
      </c>
    </row>
    <row r="1768" spans="1:8" ht="15.75" hidden="1" customHeight="1" x14ac:dyDescent="0.25">
      <c r="A1768" s="20" t="s">
        <v>151</v>
      </c>
      <c r="B1768" s="47" t="s">
        <v>156</v>
      </c>
      <c r="C1768" s="49"/>
      <c r="D1768" s="19" t="s">
        <v>28</v>
      </c>
      <c r="E1768" s="23">
        <v>28</v>
      </c>
      <c r="F1768" s="20">
        <v>0</v>
      </c>
      <c r="G1768" s="18">
        <f>E1768* 0.99904671115348</f>
        <v>27.97330791229744</v>
      </c>
      <c r="H1768" s="18">
        <f>E1768* 0.000953288846520496</f>
        <v>2.6692087702573888E-2</v>
      </c>
    </row>
    <row r="1769" spans="1:8" ht="15.75" hidden="1" customHeight="1" x14ac:dyDescent="0.25">
      <c r="A1769" s="20" t="s">
        <v>151</v>
      </c>
      <c r="B1769" s="47" t="s">
        <v>156</v>
      </c>
      <c r="C1769" s="49"/>
      <c r="D1769" s="19" t="s">
        <v>12</v>
      </c>
      <c r="E1769" s="23">
        <v>908</v>
      </c>
      <c r="F1769" s="18">
        <f>E1769* 0.849400404921352</f>
        <v>771.25556766858767</v>
      </c>
      <c r="G1769" s="18">
        <f>E1769* 0.0654726678087525</f>
        <v>59.449182370347266</v>
      </c>
      <c r="H1769" s="18">
        <f>E1769* 0.0851269272698957</f>
        <v>77.295249961065295</v>
      </c>
    </row>
    <row r="1770" spans="1:8" ht="15.75" hidden="1" customHeight="1" x14ac:dyDescent="0.25">
      <c r="A1770" s="20" t="s">
        <v>151</v>
      </c>
      <c r="B1770" s="20"/>
      <c r="C1770" s="20"/>
      <c r="D1770" s="46"/>
      <c r="E1770" s="35"/>
    </row>
    <row r="1771" spans="1:8" ht="15.75" customHeight="1" x14ac:dyDescent="0.25">
      <c r="A1771" s="20" t="s">
        <v>151</v>
      </c>
      <c r="B1771" s="47" t="s">
        <v>157</v>
      </c>
      <c r="C1771" s="12" t="str">
        <f>B1771&amp;"_"&amp;A1771</f>
        <v>Chipaya_Oruro</v>
      </c>
      <c r="D1771" s="20"/>
      <c r="E1771" s="48">
        <v>1</v>
      </c>
      <c r="F1771" s="14">
        <f t="shared" ref="F1771:H1771" si="148">F1772</f>
        <v>8.0360592401803002E-2</v>
      </c>
      <c r="G1771" s="14">
        <f t="shared" si="148"/>
        <v>0.91719253058596295</v>
      </c>
      <c r="H1771" s="14">
        <f t="shared" si="148"/>
        <v>2.1893110109465598E-3</v>
      </c>
    </row>
    <row r="1772" spans="1:8" ht="15.75" hidden="1" customHeight="1" x14ac:dyDescent="0.25">
      <c r="A1772" s="20" t="s">
        <v>151</v>
      </c>
      <c r="B1772" s="47" t="s">
        <v>157</v>
      </c>
      <c r="C1772" s="49"/>
      <c r="D1772" s="19" t="s">
        <v>11</v>
      </c>
      <c r="E1772" s="23">
        <v>1</v>
      </c>
      <c r="F1772" s="18">
        <f>E1772* 0.080360592401803</f>
        <v>8.0360592401803002E-2</v>
      </c>
      <c r="G1772" s="18">
        <f>E1772* 0.917192530585963</f>
        <v>0.91719253058596295</v>
      </c>
      <c r="H1772" s="18">
        <f>E1772* 0.00218931101094656</f>
        <v>2.1893110109465598E-3</v>
      </c>
    </row>
    <row r="1773" spans="1:8" ht="15.75" hidden="1" customHeight="1" x14ac:dyDescent="0.25">
      <c r="A1773" s="20" t="s">
        <v>151</v>
      </c>
      <c r="B1773" s="20"/>
      <c r="C1773" s="20"/>
      <c r="D1773" s="46"/>
      <c r="E1773" s="35"/>
    </row>
    <row r="1774" spans="1:8" ht="15.75" customHeight="1" x14ac:dyDescent="0.25">
      <c r="A1774" s="20" t="s">
        <v>151</v>
      </c>
      <c r="B1774" s="47" t="s">
        <v>490</v>
      </c>
      <c r="C1774" s="12" t="str">
        <f>B1774&amp;"_"&amp;A1774</f>
        <v>Choqueota_Oruro</v>
      </c>
      <c r="D1774" s="20"/>
      <c r="E1774" s="48">
        <v>186</v>
      </c>
      <c r="F1774" s="14">
        <f t="shared" ref="F1774:H1774" si="149">SUM(F1775:F1785)</f>
        <v>133.1974619820233</v>
      </c>
      <c r="G1774" s="14">
        <f t="shared" si="149"/>
        <v>41.371811509717375</v>
      </c>
      <c r="H1774" s="14">
        <f t="shared" si="149"/>
        <v>11.420258118216765</v>
      </c>
    </row>
    <row r="1775" spans="1:8" ht="15.75" hidden="1" customHeight="1" x14ac:dyDescent="0.25">
      <c r="A1775" s="20" t="s">
        <v>151</v>
      </c>
      <c r="B1775" s="47" t="s">
        <v>490</v>
      </c>
      <c r="C1775" s="49"/>
      <c r="D1775" s="19" t="s">
        <v>15</v>
      </c>
      <c r="E1775" s="23">
        <v>26</v>
      </c>
      <c r="F1775" s="18">
        <f>E1775* 0.929012779104059</f>
        <v>24.154332256705533</v>
      </c>
      <c r="G1775" s="18">
        <f>E1775* 0.00947900575761831</f>
        <v>0.24645414969807608</v>
      </c>
      <c r="H1775" s="18">
        <f>E1775* 0.0614380002808594</f>
        <v>1.5973880073023443</v>
      </c>
    </row>
    <row r="1776" spans="1:8" ht="15.75" hidden="1" customHeight="1" x14ac:dyDescent="0.25">
      <c r="A1776" s="20" t="s">
        <v>151</v>
      </c>
      <c r="B1776" s="47" t="s">
        <v>490</v>
      </c>
      <c r="C1776" s="49"/>
      <c r="D1776" s="29" t="s">
        <v>491</v>
      </c>
      <c r="E1776" s="23">
        <v>1</v>
      </c>
      <c r="F1776" s="18">
        <f>E1776* 0.0624390243902439</f>
        <v>6.2439024390243902E-2</v>
      </c>
      <c r="G1776" s="18">
        <f>E1776* 0.936585365853659</f>
        <v>0.93658536585365904</v>
      </c>
      <c r="H1776" s="20">
        <v>0</v>
      </c>
    </row>
    <row r="1777" spans="1:8" ht="15.75" hidden="1" customHeight="1" x14ac:dyDescent="0.25">
      <c r="A1777" s="20" t="s">
        <v>151</v>
      </c>
      <c r="B1777" s="47" t="s">
        <v>490</v>
      </c>
      <c r="C1777" s="49"/>
      <c r="D1777" s="19" t="s">
        <v>11</v>
      </c>
      <c r="E1777" s="23">
        <v>20</v>
      </c>
      <c r="F1777" s="18">
        <f>E1777* 0.080360592401803</f>
        <v>1.60721184803606</v>
      </c>
      <c r="G1777" s="18">
        <f>E1777* 0.917192530585963</f>
        <v>18.343850611719258</v>
      </c>
      <c r="H1777" s="18">
        <f>E1777* 0.00218931101094656</f>
        <v>4.3786220218931193E-2</v>
      </c>
    </row>
    <row r="1778" spans="1:8" ht="15.75" hidden="1" customHeight="1" x14ac:dyDescent="0.25">
      <c r="A1778" s="20" t="s">
        <v>151</v>
      </c>
      <c r="B1778" s="47" t="s">
        <v>490</v>
      </c>
      <c r="C1778" s="49"/>
      <c r="D1778" s="19" t="s">
        <v>17</v>
      </c>
      <c r="E1778" s="23">
        <v>23</v>
      </c>
      <c r="F1778" s="18">
        <f>E1778* 0.836035451794207</f>
        <v>19.22881539126676</v>
      </c>
      <c r="G1778" s="18">
        <f>E1778* 0.0583657587548638</f>
        <v>1.3424124513618674</v>
      </c>
      <c r="H1778" s="18">
        <f>E1778* 0.10559878945093</f>
        <v>2.4287721573713901</v>
      </c>
    </row>
    <row r="1779" spans="1:8" ht="15.75" hidden="1" customHeight="1" x14ac:dyDescent="0.25">
      <c r="A1779" s="20" t="s">
        <v>151</v>
      </c>
      <c r="B1779" s="47" t="s">
        <v>490</v>
      </c>
      <c r="C1779" s="49"/>
      <c r="D1779" s="19" t="s">
        <v>31</v>
      </c>
      <c r="E1779" s="23">
        <v>2</v>
      </c>
      <c r="F1779" s="18">
        <f>E1779* 0.872611464968153</f>
        <v>1.745222929936306</v>
      </c>
      <c r="G1779" s="18">
        <f>E1779* 0.0764331210191083</f>
        <v>0.15286624203821661</v>
      </c>
      <c r="H1779" s="18">
        <f>E1779* 0.0509554140127389</f>
        <v>0.1019108280254778</v>
      </c>
    </row>
    <row r="1780" spans="1:8" ht="15.75" hidden="1" customHeight="1" x14ac:dyDescent="0.25">
      <c r="A1780" s="20" t="s">
        <v>151</v>
      </c>
      <c r="B1780" s="47" t="s">
        <v>490</v>
      </c>
      <c r="C1780" s="49"/>
      <c r="D1780" s="19" t="s">
        <v>18</v>
      </c>
      <c r="E1780" s="23">
        <v>6</v>
      </c>
      <c r="F1780" s="18">
        <f>E1780* 0.920270974465868</f>
        <v>5.5216258467952084</v>
      </c>
      <c r="G1780" s="18">
        <f>E1780* 0.0703491401771756</f>
        <v>0.42209484106305362</v>
      </c>
      <c r="H1780" s="18">
        <f>E1780* 0.00937988535695675</f>
        <v>5.6279312141740499E-2</v>
      </c>
    </row>
    <row r="1781" spans="1:8" ht="15.75" hidden="1" customHeight="1" x14ac:dyDescent="0.25">
      <c r="A1781" s="20" t="s">
        <v>151</v>
      </c>
      <c r="B1781" s="47" t="s">
        <v>490</v>
      </c>
      <c r="C1781" s="49"/>
      <c r="D1781" s="19" t="s">
        <v>19</v>
      </c>
      <c r="E1781" s="23">
        <v>2</v>
      </c>
      <c r="F1781" s="18">
        <f>E1781* 0.223420647149461</f>
        <v>0.446841294298922</v>
      </c>
      <c r="G1781" s="18">
        <f>E1781* 0.773497688751926</f>
        <v>1.5469953775038521</v>
      </c>
      <c r="H1781" s="18">
        <f>E1781* 0.00308166409861325</f>
        <v>6.1633281972264999E-3</v>
      </c>
    </row>
    <row r="1782" spans="1:8" ht="15.75" hidden="1" customHeight="1" x14ac:dyDescent="0.25">
      <c r="A1782" s="20" t="s">
        <v>151</v>
      </c>
      <c r="B1782" s="47" t="s">
        <v>490</v>
      </c>
      <c r="C1782" s="49"/>
      <c r="D1782" s="19" t="s">
        <v>20</v>
      </c>
      <c r="E1782" s="23">
        <v>21</v>
      </c>
      <c r="F1782" s="18">
        <f>E1782* 0.61531089014017</f>
        <v>12.921528692943571</v>
      </c>
      <c r="G1782" s="18">
        <f>E1782* 0.298190966814424</f>
        <v>6.2620103031029037</v>
      </c>
      <c r="H1782" s="18">
        <f>E1782* 0.086378339523182</f>
        <v>1.8139451299868219</v>
      </c>
    </row>
    <row r="1783" spans="1:8" ht="15.75" hidden="1" customHeight="1" x14ac:dyDescent="0.25">
      <c r="A1783" s="20" t="s">
        <v>151</v>
      </c>
      <c r="B1783" s="47" t="s">
        <v>490</v>
      </c>
      <c r="C1783" s="49"/>
      <c r="D1783" s="19" t="s">
        <v>21</v>
      </c>
      <c r="E1783" s="23">
        <v>14</v>
      </c>
      <c r="F1783" s="18">
        <f>E1783* 0.999801370543252</f>
        <v>13.997219187605529</v>
      </c>
      <c r="G1783" s="18">
        <f>E1783* 0.0000993147283742179</f>
        <v>1.3904061972390507E-3</v>
      </c>
      <c r="H1783" s="18">
        <f>E1783* 0.0000993147283742179</f>
        <v>1.3904061972390507E-3</v>
      </c>
    </row>
    <row r="1784" spans="1:8" ht="15.75" hidden="1" customHeight="1" x14ac:dyDescent="0.25">
      <c r="A1784" s="20" t="s">
        <v>151</v>
      </c>
      <c r="B1784" s="47" t="s">
        <v>490</v>
      </c>
      <c r="C1784" s="49"/>
      <c r="D1784" s="19" t="s">
        <v>28</v>
      </c>
      <c r="E1784" s="23">
        <v>8</v>
      </c>
      <c r="F1784" s="20">
        <v>0</v>
      </c>
      <c r="G1784" s="18">
        <f>E1784* 0.99904671115348</f>
        <v>7.9923736892278399</v>
      </c>
      <c r="H1784" s="18">
        <f>E1784* 0.000953288846520496</f>
        <v>7.626310772163968E-3</v>
      </c>
    </row>
    <row r="1785" spans="1:8" ht="15.75" hidden="1" customHeight="1" x14ac:dyDescent="0.25">
      <c r="A1785" s="20" t="s">
        <v>151</v>
      </c>
      <c r="B1785" s="47" t="s">
        <v>490</v>
      </c>
      <c r="C1785" s="49"/>
      <c r="D1785" s="19" t="s">
        <v>12</v>
      </c>
      <c r="E1785" s="23">
        <v>63</v>
      </c>
      <c r="F1785" s="18">
        <f>E1785* 0.849400404921352</f>
        <v>53.512225510045177</v>
      </c>
      <c r="G1785" s="18">
        <f>E1785* 0.0654726678087525</f>
        <v>4.1247780719514076</v>
      </c>
      <c r="H1785" s="18">
        <f>E1785* 0.0851269272698957</f>
        <v>5.3629964180034291</v>
      </c>
    </row>
    <row r="1786" spans="1:8" ht="15.75" hidden="1" customHeight="1" x14ac:dyDescent="0.25">
      <c r="A1786" s="20" t="s">
        <v>151</v>
      </c>
      <c r="B1786" s="20"/>
      <c r="C1786" s="20"/>
      <c r="D1786" s="46"/>
      <c r="E1786" s="35"/>
    </row>
    <row r="1787" spans="1:8" ht="15.75" customHeight="1" x14ac:dyDescent="0.25">
      <c r="A1787" s="20" t="s">
        <v>151</v>
      </c>
      <c r="B1787" s="47" t="s">
        <v>158</v>
      </c>
      <c r="C1787" s="12" t="str">
        <f>B1787&amp;"_"&amp;A1787</f>
        <v>Coipasa_Oruro</v>
      </c>
      <c r="D1787" s="20"/>
      <c r="E1787" s="48">
        <v>2488</v>
      </c>
      <c r="F1787" s="14">
        <f t="shared" ref="F1787:H1787" si="150">SUM(F1788:F1800)</f>
        <v>1891.2750080737665</v>
      </c>
      <c r="G1787" s="14">
        <f t="shared" si="150"/>
        <v>477.60961789850433</v>
      </c>
      <c r="H1787" s="14">
        <f t="shared" si="150"/>
        <v>118.97431380832438</v>
      </c>
    </row>
    <row r="1788" spans="1:8" ht="15.75" hidden="1" customHeight="1" x14ac:dyDescent="0.25">
      <c r="A1788" s="20" t="s">
        <v>151</v>
      </c>
      <c r="B1788" s="47" t="s">
        <v>158</v>
      </c>
      <c r="C1788" s="49"/>
      <c r="D1788" s="29" t="s">
        <v>492</v>
      </c>
      <c r="E1788" s="23">
        <v>2</v>
      </c>
      <c r="F1788" s="20">
        <v>0</v>
      </c>
      <c r="G1788" s="24">
        <f>E1788</f>
        <v>2</v>
      </c>
      <c r="H1788" s="20">
        <v>0</v>
      </c>
    </row>
    <row r="1789" spans="1:8" ht="15.75" hidden="1" customHeight="1" x14ac:dyDescent="0.25">
      <c r="A1789" s="20" t="s">
        <v>151</v>
      </c>
      <c r="B1789" s="47" t="s">
        <v>158</v>
      </c>
      <c r="C1789" s="49"/>
      <c r="D1789" s="19" t="s">
        <v>15</v>
      </c>
      <c r="E1789" s="23">
        <v>154</v>
      </c>
      <c r="F1789" s="18">
        <f>E1789* 0.929012779104059</f>
        <v>143.0679679820251</v>
      </c>
      <c r="G1789" s="18">
        <f>E1789* 0.00947900575761831</f>
        <v>1.4597668866732199</v>
      </c>
      <c r="H1789" s="18">
        <f>E1789* 0.0614380002808594</f>
        <v>9.461452043252347</v>
      </c>
    </row>
    <row r="1790" spans="1:8" ht="15.75" hidden="1" customHeight="1" x14ac:dyDescent="0.25">
      <c r="A1790" s="20" t="s">
        <v>151</v>
      </c>
      <c r="B1790" s="47" t="s">
        <v>158</v>
      </c>
      <c r="C1790" s="49"/>
      <c r="D1790" s="29" t="s">
        <v>493</v>
      </c>
      <c r="E1790" s="23">
        <v>16</v>
      </c>
      <c r="F1790" s="18">
        <f>E1790* 0.0624390243902439</f>
        <v>0.99902439024390244</v>
      </c>
      <c r="G1790" s="18">
        <f>E1790* 0.936585365853659</f>
        <v>14.985365853658545</v>
      </c>
      <c r="H1790" s="20">
        <v>0</v>
      </c>
    </row>
    <row r="1791" spans="1:8" ht="15.75" hidden="1" customHeight="1" x14ac:dyDescent="0.25">
      <c r="A1791" s="20" t="s">
        <v>151</v>
      </c>
      <c r="B1791" s="47" t="s">
        <v>158</v>
      </c>
      <c r="C1791" s="49"/>
      <c r="D1791" s="19" t="s">
        <v>11</v>
      </c>
      <c r="E1791" s="23">
        <v>226</v>
      </c>
      <c r="F1791" s="18">
        <f>E1791* 0.080360592401803</f>
        <v>18.161493882807477</v>
      </c>
      <c r="G1791" s="18">
        <f>E1791* 0.917192530585963</f>
        <v>207.28551191242764</v>
      </c>
      <c r="H1791" s="18">
        <f>E1791* 0.00218931101094656</f>
        <v>0.49478428847392253</v>
      </c>
    </row>
    <row r="1792" spans="1:8" ht="15.75" hidden="1" customHeight="1" x14ac:dyDescent="0.25">
      <c r="A1792" s="20" t="s">
        <v>151</v>
      </c>
      <c r="B1792" s="47" t="s">
        <v>158</v>
      </c>
      <c r="C1792" s="49"/>
      <c r="D1792" s="19" t="s">
        <v>17</v>
      </c>
      <c r="E1792" s="23">
        <v>186</v>
      </c>
      <c r="F1792" s="18">
        <f>E1792* 0.836035451794207</f>
        <v>155.50259403372252</v>
      </c>
      <c r="G1792" s="18">
        <f>E1792* 0.0583657587548638</f>
        <v>10.856031128404666</v>
      </c>
      <c r="H1792" s="18">
        <f>E1792* 0.10559878945093</f>
        <v>19.641374837872981</v>
      </c>
    </row>
    <row r="1793" spans="1:8" ht="15.75" hidden="1" customHeight="1" x14ac:dyDescent="0.25">
      <c r="A1793" s="20" t="s">
        <v>151</v>
      </c>
      <c r="B1793" s="47" t="s">
        <v>158</v>
      </c>
      <c r="C1793" s="49"/>
      <c r="D1793" s="19" t="s">
        <v>31</v>
      </c>
      <c r="E1793" s="23">
        <v>32</v>
      </c>
      <c r="F1793" s="18">
        <f>E1793* 0.872611464968153</f>
        <v>27.923566878980896</v>
      </c>
      <c r="G1793" s="18">
        <f>E1793* 0.0764331210191083</f>
        <v>2.4458598726114658</v>
      </c>
      <c r="H1793" s="18">
        <f>E1793* 0.0509554140127389</f>
        <v>1.6305732484076447</v>
      </c>
    </row>
    <row r="1794" spans="1:8" ht="15.75" hidden="1" customHeight="1" x14ac:dyDescent="0.25">
      <c r="A1794" s="20" t="s">
        <v>151</v>
      </c>
      <c r="B1794" s="47" t="s">
        <v>158</v>
      </c>
      <c r="C1794" s="49"/>
      <c r="D1794" s="19" t="s">
        <v>18</v>
      </c>
      <c r="E1794" s="23">
        <v>11</v>
      </c>
      <c r="F1794" s="18">
        <f>E1794* 0.920270974465868</f>
        <v>10.122980719124548</v>
      </c>
      <c r="G1794" s="18">
        <f>E1794* 0.0703491401771756</f>
        <v>0.77384054194893159</v>
      </c>
      <c r="H1794" s="18">
        <f>E1794* 0.00937988535695675</f>
        <v>0.10317873892652425</v>
      </c>
    </row>
    <row r="1795" spans="1:8" ht="15.75" hidden="1" customHeight="1" x14ac:dyDescent="0.25">
      <c r="A1795" s="20" t="s">
        <v>151</v>
      </c>
      <c r="B1795" s="47" t="s">
        <v>158</v>
      </c>
      <c r="C1795" s="49"/>
      <c r="D1795" s="29" t="s">
        <v>494</v>
      </c>
      <c r="E1795" s="23">
        <v>4</v>
      </c>
      <c r="F1795" s="20">
        <v>0</v>
      </c>
      <c r="G1795" s="24">
        <f>E1795</f>
        <v>4</v>
      </c>
      <c r="H1795" s="20">
        <v>0</v>
      </c>
    </row>
    <row r="1796" spans="1:8" ht="15.75" hidden="1" customHeight="1" x14ac:dyDescent="0.25">
      <c r="A1796" s="20" t="s">
        <v>151</v>
      </c>
      <c r="B1796" s="47" t="s">
        <v>158</v>
      </c>
      <c r="C1796" s="49"/>
      <c r="D1796" s="19" t="s">
        <v>19</v>
      </c>
      <c r="E1796" s="23">
        <v>3</v>
      </c>
      <c r="F1796" s="18">
        <f>E1796* 0.223420647149461</f>
        <v>0.67026194144838303</v>
      </c>
      <c r="G1796" s="18">
        <f>E1796* 0.773497688751926</f>
        <v>2.3204930662557781</v>
      </c>
      <c r="H1796" s="18">
        <f>E1796* 0.00308166409861325</f>
        <v>9.244992295839749E-3</v>
      </c>
    </row>
    <row r="1797" spans="1:8" ht="15.75" hidden="1" customHeight="1" x14ac:dyDescent="0.25">
      <c r="A1797" s="20" t="s">
        <v>151</v>
      </c>
      <c r="B1797" s="47" t="s">
        <v>158</v>
      </c>
      <c r="C1797" s="49"/>
      <c r="D1797" s="19" t="s">
        <v>20</v>
      </c>
      <c r="E1797" s="23">
        <v>471</v>
      </c>
      <c r="F1797" s="18">
        <f>E1797* 0.61531089014017</f>
        <v>289.81142925602006</v>
      </c>
      <c r="G1797" s="18">
        <f>E1797* 0.298190966814424</f>
        <v>140.4479453695937</v>
      </c>
      <c r="H1797" s="18">
        <f>E1797* 0.086378339523182</f>
        <v>40.684197915418721</v>
      </c>
    </row>
    <row r="1798" spans="1:8" ht="15.75" hidden="1" customHeight="1" x14ac:dyDescent="0.25">
      <c r="A1798" s="20" t="s">
        <v>151</v>
      </c>
      <c r="B1798" s="47" t="s">
        <v>158</v>
      </c>
      <c r="C1798" s="49"/>
      <c r="D1798" s="19" t="s">
        <v>21</v>
      </c>
      <c r="E1798" s="23">
        <v>778</v>
      </c>
      <c r="F1798" s="18">
        <f>E1798* 0.999801370543252</f>
        <v>777.84546628265002</v>
      </c>
      <c r="G1798" s="18">
        <f>E1798* 0.0000993147283742179</f>
        <v>7.7266858675141534E-2</v>
      </c>
      <c r="H1798" s="18">
        <f>E1798* 0.0000993147283742179</f>
        <v>7.7266858675141534E-2</v>
      </c>
    </row>
    <row r="1799" spans="1:8" ht="15.75" hidden="1" customHeight="1" x14ac:dyDescent="0.25">
      <c r="A1799" s="20" t="s">
        <v>151</v>
      </c>
      <c r="B1799" s="47" t="s">
        <v>158</v>
      </c>
      <c r="C1799" s="49"/>
      <c r="D1799" s="19" t="s">
        <v>28</v>
      </c>
      <c r="E1799" s="23">
        <v>55</v>
      </c>
      <c r="F1799" s="20">
        <v>0</v>
      </c>
      <c r="G1799" s="18">
        <f>E1799* 0.99904671115348</f>
        <v>54.947569113441396</v>
      </c>
      <c r="H1799" s="18">
        <f>E1799* 0.000953288846520496</f>
        <v>5.2430886558627279E-2</v>
      </c>
    </row>
    <row r="1800" spans="1:8" ht="15.75" hidden="1" customHeight="1" x14ac:dyDescent="0.25">
      <c r="A1800" s="20" t="s">
        <v>151</v>
      </c>
      <c r="B1800" s="47" t="s">
        <v>158</v>
      </c>
      <c r="C1800" s="49"/>
      <c r="D1800" s="19" t="s">
        <v>12</v>
      </c>
      <c r="E1800" s="23">
        <v>550</v>
      </c>
      <c r="F1800" s="18">
        <f>E1800* 0.849400404921352</f>
        <v>467.17022270674363</v>
      </c>
      <c r="G1800" s="18">
        <f>E1800* 0.0654726678087525</f>
        <v>36.009967294813869</v>
      </c>
      <c r="H1800" s="18">
        <f>E1800* 0.0851269272698957</f>
        <v>46.819809998442629</v>
      </c>
    </row>
    <row r="1801" spans="1:8" ht="15.75" hidden="1" customHeight="1" x14ac:dyDescent="0.25">
      <c r="A1801" s="20" t="s">
        <v>151</v>
      </c>
      <c r="B1801" s="20"/>
      <c r="C1801" s="20"/>
      <c r="D1801" s="46"/>
      <c r="E1801" s="35"/>
    </row>
    <row r="1802" spans="1:8" ht="15.75" customHeight="1" x14ac:dyDescent="0.25">
      <c r="A1802" s="20" t="s">
        <v>151</v>
      </c>
      <c r="B1802" s="47" t="s">
        <v>159</v>
      </c>
      <c r="C1802" s="12" t="str">
        <f>B1802&amp;"_"&amp;A1802</f>
        <v>Corque_Oruro</v>
      </c>
      <c r="D1802" s="20"/>
      <c r="E1802" s="48">
        <v>416</v>
      </c>
      <c r="F1802" s="14">
        <f t="shared" ref="F1802:H1802" si="151">SUM(F1803:F1815)</f>
        <v>328.31055395881344</v>
      </c>
      <c r="G1802" s="14">
        <f t="shared" si="151"/>
        <v>70.520019795922735</v>
      </c>
      <c r="H1802" s="14">
        <f t="shared" si="151"/>
        <v>17.152688577640504</v>
      </c>
    </row>
    <row r="1803" spans="1:8" ht="15.75" hidden="1" customHeight="1" x14ac:dyDescent="0.25">
      <c r="A1803" s="20" t="s">
        <v>151</v>
      </c>
      <c r="B1803" s="47" t="s">
        <v>159</v>
      </c>
      <c r="C1803" s="49"/>
      <c r="D1803" s="29" t="s">
        <v>495</v>
      </c>
      <c r="E1803" s="23">
        <v>0</v>
      </c>
      <c r="F1803" s="20">
        <v>0</v>
      </c>
      <c r="G1803" s="24">
        <f>E1803</f>
        <v>0</v>
      </c>
      <c r="H1803" s="20">
        <v>0</v>
      </c>
    </row>
    <row r="1804" spans="1:8" ht="15.75" hidden="1" customHeight="1" x14ac:dyDescent="0.25">
      <c r="A1804" s="20" t="s">
        <v>151</v>
      </c>
      <c r="B1804" s="47" t="s">
        <v>159</v>
      </c>
      <c r="C1804" s="49"/>
      <c r="D1804" s="19" t="s">
        <v>15</v>
      </c>
      <c r="E1804" s="23">
        <v>13</v>
      </c>
      <c r="F1804" s="18">
        <f>E1804* 0.929012779104059</f>
        <v>12.077166128352767</v>
      </c>
      <c r="G1804" s="18">
        <f>E1804* 0.00947900575761831</f>
        <v>0.12322707484903804</v>
      </c>
      <c r="H1804" s="18">
        <f>E1804* 0.0614380002808594</f>
        <v>0.79869400365117216</v>
      </c>
    </row>
    <row r="1805" spans="1:8" ht="15.75" hidden="1" customHeight="1" x14ac:dyDescent="0.25">
      <c r="A1805" s="20" t="s">
        <v>151</v>
      </c>
      <c r="B1805" s="47" t="s">
        <v>159</v>
      </c>
      <c r="C1805" s="49"/>
      <c r="D1805" s="29" t="s">
        <v>496</v>
      </c>
      <c r="E1805" s="23">
        <v>1</v>
      </c>
      <c r="F1805" s="18">
        <f>E1805* 0.0624390243902439</f>
        <v>6.2439024390243902E-2</v>
      </c>
      <c r="G1805" s="18">
        <f>E1805* 0.936585365853659</f>
        <v>0.93658536585365904</v>
      </c>
      <c r="H1805" s="20">
        <v>0</v>
      </c>
    </row>
    <row r="1806" spans="1:8" ht="15.75" hidden="1" customHeight="1" x14ac:dyDescent="0.25">
      <c r="A1806" s="20" t="s">
        <v>151</v>
      </c>
      <c r="B1806" s="47" t="s">
        <v>159</v>
      </c>
      <c r="C1806" s="49"/>
      <c r="D1806" s="19" t="s">
        <v>11</v>
      </c>
      <c r="E1806" s="23">
        <v>33</v>
      </c>
      <c r="F1806" s="18">
        <f>E1806* 0.080360592401803</f>
        <v>2.651899549259499</v>
      </c>
      <c r="G1806" s="18">
        <f>E1806* 0.917192530585963</f>
        <v>30.267353509336779</v>
      </c>
      <c r="H1806" s="18">
        <f>E1806* 0.00218931101094656</f>
        <v>7.2247263361236477E-2</v>
      </c>
    </row>
    <row r="1807" spans="1:8" ht="15.75" hidden="1" customHeight="1" x14ac:dyDescent="0.25">
      <c r="A1807" s="20" t="s">
        <v>151</v>
      </c>
      <c r="B1807" s="47" t="s">
        <v>159</v>
      </c>
      <c r="C1807" s="49"/>
      <c r="D1807" s="19" t="s">
        <v>17</v>
      </c>
      <c r="E1807" s="23">
        <v>34</v>
      </c>
      <c r="F1807" s="18">
        <f>E1807* 0.836035451794207</f>
        <v>28.425205361003037</v>
      </c>
      <c r="G1807" s="18">
        <f>E1807* 0.0583657587548638</f>
        <v>1.9844357976653693</v>
      </c>
      <c r="H1807" s="18">
        <f>E1807* 0.10559878945093</f>
        <v>3.5903588413316201</v>
      </c>
    </row>
    <row r="1808" spans="1:8" ht="15.75" hidden="1" customHeight="1" x14ac:dyDescent="0.25">
      <c r="A1808" s="20" t="s">
        <v>151</v>
      </c>
      <c r="B1808" s="47" t="s">
        <v>159</v>
      </c>
      <c r="C1808" s="49"/>
      <c r="D1808" s="19" t="s">
        <v>31</v>
      </c>
      <c r="E1808" s="23">
        <v>6</v>
      </c>
      <c r="F1808" s="18">
        <f>E1808* 0.872611464968153</f>
        <v>5.2356687898089183</v>
      </c>
      <c r="G1808" s="18">
        <f>E1808* 0.0764331210191083</f>
        <v>0.4585987261146498</v>
      </c>
      <c r="H1808" s="18">
        <f>E1808* 0.0509554140127389</f>
        <v>0.30573248407643339</v>
      </c>
    </row>
    <row r="1809" spans="1:8" ht="15.75" hidden="1" customHeight="1" x14ac:dyDescent="0.25">
      <c r="A1809" s="20" t="s">
        <v>151</v>
      </c>
      <c r="B1809" s="47" t="s">
        <v>159</v>
      </c>
      <c r="C1809" s="49"/>
      <c r="D1809" s="19" t="s">
        <v>18</v>
      </c>
      <c r="E1809" s="23">
        <v>3</v>
      </c>
      <c r="F1809" s="18">
        <f>E1809* 0.920270974465868</f>
        <v>2.7608129233976042</v>
      </c>
      <c r="G1809" s="18">
        <f>E1809* 0.0703491401771756</f>
        <v>0.21104742053152681</v>
      </c>
      <c r="H1809" s="18">
        <f>E1809* 0.00937988535695675</f>
        <v>2.813965607087025E-2</v>
      </c>
    </row>
    <row r="1810" spans="1:8" ht="15.75" hidden="1" customHeight="1" x14ac:dyDescent="0.25">
      <c r="A1810" s="20" t="s">
        <v>151</v>
      </c>
      <c r="B1810" s="47" t="s">
        <v>159</v>
      </c>
      <c r="C1810" s="49"/>
      <c r="D1810" s="19" t="s">
        <v>19</v>
      </c>
      <c r="E1810" s="23">
        <v>1</v>
      </c>
      <c r="F1810" s="18">
        <f>E1810* 0.223420647149461</f>
        <v>0.223420647149461</v>
      </c>
      <c r="G1810" s="18">
        <f>E1810* 0.773497688751926</f>
        <v>0.77349768875192604</v>
      </c>
      <c r="H1810" s="18">
        <f>E1810* 0.00308166409861325</f>
        <v>3.08166409861325E-3</v>
      </c>
    </row>
    <row r="1811" spans="1:8" ht="15.75" hidden="1" customHeight="1" x14ac:dyDescent="0.25">
      <c r="A1811" s="20" t="s">
        <v>151</v>
      </c>
      <c r="B1811" s="47" t="s">
        <v>159</v>
      </c>
      <c r="C1811" s="49"/>
      <c r="D1811" s="19" t="s">
        <v>20</v>
      </c>
      <c r="E1811" s="23">
        <v>53</v>
      </c>
      <c r="F1811" s="18">
        <f>E1811* 0.61531089014017</f>
        <v>32.611477177429009</v>
      </c>
      <c r="G1811" s="18">
        <f>E1811* 0.298190966814424</f>
        <v>15.80412124116447</v>
      </c>
      <c r="H1811" s="18">
        <f>E1811* 0.086378339523182</f>
        <v>4.5780519947286455</v>
      </c>
    </row>
    <row r="1812" spans="1:8" ht="15.75" hidden="1" customHeight="1" x14ac:dyDescent="0.25">
      <c r="A1812" s="20" t="s">
        <v>151</v>
      </c>
      <c r="B1812" s="47" t="s">
        <v>159</v>
      </c>
      <c r="C1812" s="49"/>
      <c r="D1812" s="19" t="s">
        <v>21</v>
      </c>
      <c r="E1812" s="23">
        <v>166</v>
      </c>
      <c r="F1812" s="18">
        <f>E1812* 0.999801370543252</f>
        <v>165.96702751017983</v>
      </c>
      <c r="G1812" s="18">
        <f>E1812* 0.0000993147283742179</f>
        <v>1.6486244910120171E-2</v>
      </c>
      <c r="H1812" s="18">
        <f>E1812* 0.0000993147283742179</f>
        <v>1.6486244910120171E-2</v>
      </c>
    </row>
    <row r="1813" spans="1:8" ht="15.75" hidden="1" customHeight="1" x14ac:dyDescent="0.25">
      <c r="A1813" s="20" t="s">
        <v>151</v>
      </c>
      <c r="B1813" s="47" t="s">
        <v>159</v>
      </c>
      <c r="C1813" s="49"/>
      <c r="D1813" s="19" t="s">
        <v>36</v>
      </c>
      <c r="E1813" s="23">
        <v>1</v>
      </c>
      <c r="F1813" s="24">
        <f>E1813</f>
        <v>1</v>
      </c>
      <c r="G1813" s="20">
        <v>0</v>
      </c>
      <c r="H1813" s="20">
        <v>0</v>
      </c>
    </row>
    <row r="1814" spans="1:8" ht="15.75" hidden="1" customHeight="1" x14ac:dyDescent="0.25">
      <c r="A1814" s="20" t="s">
        <v>151</v>
      </c>
      <c r="B1814" s="47" t="s">
        <v>159</v>
      </c>
      <c r="C1814" s="49"/>
      <c r="D1814" s="19" t="s">
        <v>28</v>
      </c>
      <c r="E1814" s="23">
        <v>14</v>
      </c>
      <c r="F1814" s="20">
        <v>0</v>
      </c>
      <c r="G1814" s="18">
        <f>E1814* 0.99904671115348</f>
        <v>13.98665395614872</v>
      </c>
      <c r="H1814" s="18">
        <f>E1814* 0.000953288846520496</f>
        <v>1.3346043851286944E-2</v>
      </c>
    </row>
    <row r="1815" spans="1:8" ht="15.75" hidden="1" customHeight="1" x14ac:dyDescent="0.25">
      <c r="A1815" s="20" t="s">
        <v>151</v>
      </c>
      <c r="B1815" s="47" t="s">
        <v>159</v>
      </c>
      <c r="C1815" s="49"/>
      <c r="D1815" s="19" t="s">
        <v>12</v>
      </c>
      <c r="E1815" s="23">
        <v>91</v>
      </c>
      <c r="F1815" s="18">
        <f>E1815* 0.849400404921352</f>
        <v>77.295436847843035</v>
      </c>
      <c r="G1815" s="18">
        <f>E1815* 0.0654726678087525</f>
        <v>5.9580127705964774</v>
      </c>
      <c r="H1815" s="18">
        <f>E1815* 0.0851269272698957</f>
        <v>7.7465503815605086</v>
      </c>
    </row>
    <row r="1816" spans="1:8" ht="15.75" hidden="1" customHeight="1" x14ac:dyDescent="0.25">
      <c r="A1816" s="20" t="s">
        <v>151</v>
      </c>
      <c r="B1816" s="20"/>
      <c r="C1816" s="20"/>
      <c r="D1816" s="46"/>
      <c r="E1816" s="35"/>
    </row>
    <row r="1817" spans="1:8" ht="15.75" customHeight="1" x14ac:dyDescent="0.25">
      <c r="A1817" s="20" t="s">
        <v>151</v>
      </c>
      <c r="B1817" s="47" t="s">
        <v>160</v>
      </c>
      <c r="C1817" s="12" t="str">
        <f>B1817&amp;"_"&amp;A1817</f>
        <v>Cruz de Machamarca_Oruro</v>
      </c>
      <c r="D1817" s="20"/>
      <c r="E1817" s="48">
        <v>1190</v>
      </c>
      <c r="F1817" s="14">
        <f t="shared" ref="F1817:H1817" si="152">SUM(F1818:F1829)</f>
        <v>834.10501226084625</v>
      </c>
      <c r="G1817" s="14">
        <f t="shared" si="152"/>
        <v>303.5584115458114</v>
      </c>
      <c r="H1817" s="14">
        <f t="shared" si="152"/>
        <v>52.25217927157928</v>
      </c>
    </row>
    <row r="1818" spans="1:8" ht="15.75" hidden="1" customHeight="1" x14ac:dyDescent="0.25">
      <c r="A1818" s="20" t="s">
        <v>151</v>
      </c>
      <c r="B1818" s="47" t="s">
        <v>160</v>
      </c>
      <c r="C1818" s="49"/>
      <c r="D1818" s="29" t="s">
        <v>497</v>
      </c>
      <c r="E1818" s="23">
        <v>3</v>
      </c>
      <c r="F1818" s="20">
        <v>0</v>
      </c>
      <c r="G1818" s="24">
        <f>E1818</f>
        <v>3</v>
      </c>
      <c r="H1818" s="20">
        <v>0</v>
      </c>
    </row>
    <row r="1819" spans="1:8" ht="15.75" hidden="1" customHeight="1" x14ac:dyDescent="0.25">
      <c r="A1819" s="20" t="s">
        <v>151</v>
      </c>
      <c r="B1819" s="47" t="s">
        <v>160</v>
      </c>
      <c r="C1819" s="49"/>
      <c r="D1819" s="19" t="s">
        <v>15</v>
      </c>
      <c r="E1819" s="23">
        <v>86</v>
      </c>
      <c r="F1819" s="18">
        <f>E1819* 0.929012779104059</f>
        <v>79.895099002949067</v>
      </c>
      <c r="G1819" s="18">
        <f>E1819* 0.00947900575761831</f>
        <v>0.81519449515517473</v>
      </c>
      <c r="H1819" s="18">
        <f>E1819* 0.0614380002808594</f>
        <v>5.2836680241539078</v>
      </c>
    </row>
    <row r="1820" spans="1:8" ht="15.75" hidden="1" customHeight="1" x14ac:dyDescent="0.25">
      <c r="A1820" s="20" t="s">
        <v>151</v>
      </c>
      <c r="B1820" s="47" t="s">
        <v>160</v>
      </c>
      <c r="C1820" s="49"/>
      <c r="D1820" s="29" t="s">
        <v>498</v>
      </c>
      <c r="E1820" s="23">
        <v>3</v>
      </c>
      <c r="F1820" s="18">
        <f>E1820* 0.0624390243902439</f>
        <v>0.18731707317073171</v>
      </c>
      <c r="G1820" s="18">
        <f>E1820* 0.936585365853659</f>
        <v>2.8097560975609772</v>
      </c>
      <c r="H1820" s="20">
        <v>0</v>
      </c>
    </row>
    <row r="1821" spans="1:8" ht="15.75" hidden="1" customHeight="1" x14ac:dyDescent="0.25">
      <c r="A1821" s="20" t="s">
        <v>151</v>
      </c>
      <c r="B1821" s="47" t="s">
        <v>160</v>
      </c>
      <c r="C1821" s="49"/>
      <c r="D1821" s="19" t="s">
        <v>11</v>
      </c>
      <c r="E1821" s="23">
        <v>231</v>
      </c>
      <c r="F1821" s="18">
        <f>E1821* 0.080360592401803</f>
        <v>18.563296844816495</v>
      </c>
      <c r="G1821" s="18">
        <f>E1821* 0.917192530585963</f>
        <v>211.87147456535743</v>
      </c>
      <c r="H1821" s="18">
        <f>E1821* 0.00218931101094656</f>
        <v>0.50573084352865527</v>
      </c>
    </row>
    <row r="1822" spans="1:8" ht="15.75" hidden="1" customHeight="1" x14ac:dyDescent="0.25">
      <c r="A1822" s="20" t="s">
        <v>151</v>
      </c>
      <c r="B1822" s="47" t="s">
        <v>160</v>
      </c>
      <c r="C1822" s="49"/>
      <c r="D1822" s="19" t="s">
        <v>17</v>
      </c>
      <c r="E1822" s="23">
        <v>112</v>
      </c>
      <c r="F1822" s="18">
        <f>E1822* 0.836035451794207</f>
        <v>93.635970600951183</v>
      </c>
      <c r="G1822" s="18">
        <f>E1822* 0.0583657587548638</f>
        <v>6.5369649805447452</v>
      </c>
      <c r="H1822" s="18">
        <f>E1822* 0.10559878945093</f>
        <v>11.827064418504159</v>
      </c>
    </row>
    <row r="1823" spans="1:8" ht="15.75" hidden="1" customHeight="1" x14ac:dyDescent="0.25">
      <c r="A1823" s="20" t="s">
        <v>151</v>
      </c>
      <c r="B1823" s="47" t="s">
        <v>160</v>
      </c>
      <c r="C1823" s="49"/>
      <c r="D1823" s="19" t="s">
        <v>31</v>
      </c>
      <c r="E1823" s="23">
        <v>15</v>
      </c>
      <c r="F1823" s="18">
        <f>E1823* 0.872611464968153</f>
        <v>13.089171974522294</v>
      </c>
      <c r="G1823" s="18">
        <f>E1823* 0.0764331210191083</f>
        <v>1.1464968152866246</v>
      </c>
      <c r="H1823" s="18">
        <f>E1823* 0.0509554140127389</f>
        <v>0.76433121019108352</v>
      </c>
    </row>
    <row r="1824" spans="1:8" ht="15.75" hidden="1" customHeight="1" x14ac:dyDescent="0.25">
      <c r="A1824" s="20" t="s">
        <v>151</v>
      </c>
      <c r="B1824" s="47" t="s">
        <v>160</v>
      </c>
      <c r="C1824" s="49"/>
      <c r="D1824" s="19" t="s">
        <v>18</v>
      </c>
      <c r="E1824" s="23">
        <v>12</v>
      </c>
      <c r="F1824" s="18">
        <f>E1824* 0.920270974465868</f>
        <v>11.043251693590417</v>
      </c>
      <c r="G1824" s="18">
        <f>E1824* 0.0703491401771756</f>
        <v>0.84418968212610723</v>
      </c>
      <c r="H1824" s="18">
        <f>E1824* 0.00937988535695675</f>
        <v>0.112558624283481</v>
      </c>
    </row>
    <row r="1825" spans="1:8" ht="15.75" hidden="1" customHeight="1" x14ac:dyDescent="0.25">
      <c r="A1825" s="20" t="s">
        <v>151</v>
      </c>
      <c r="B1825" s="47" t="s">
        <v>160</v>
      </c>
      <c r="C1825" s="49"/>
      <c r="D1825" s="19" t="s">
        <v>19</v>
      </c>
      <c r="E1825" s="23">
        <v>1</v>
      </c>
      <c r="F1825" s="18">
        <f>E1825* 0.223420647149461</f>
        <v>0.223420647149461</v>
      </c>
      <c r="G1825" s="18">
        <f>E1825* 0.773497688751926</f>
        <v>0.77349768875192604</v>
      </c>
      <c r="H1825" s="18">
        <f>E1825* 0.00308166409861325</f>
        <v>3.08166409861325E-3</v>
      </c>
    </row>
    <row r="1826" spans="1:8" ht="15.75" hidden="1" customHeight="1" x14ac:dyDescent="0.25">
      <c r="A1826" s="20" t="s">
        <v>151</v>
      </c>
      <c r="B1826" s="47" t="s">
        <v>160</v>
      </c>
      <c r="C1826" s="49"/>
      <c r="D1826" s="19" t="s">
        <v>20</v>
      </c>
      <c r="E1826" s="23">
        <v>133</v>
      </c>
      <c r="F1826" s="18">
        <f>E1826* 0.61531089014017</f>
        <v>81.83634838864262</v>
      </c>
      <c r="G1826" s="18">
        <f>E1826* 0.298190966814424</f>
        <v>39.659398586318389</v>
      </c>
      <c r="H1826" s="18">
        <f>E1826* 0.086378339523182</f>
        <v>11.488319156583206</v>
      </c>
    </row>
    <row r="1827" spans="1:8" ht="15.75" hidden="1" customHeight="1" x14ac:dyDescent="0.25">
      <c r="A1827" s="20" t="s">
        <v>151</v>
      </c>
      <c r="B1827" s="47" t="s">
        <v>160</v>
      </c>
      <c r="C1827" s="49"/>
      <c r="D1827" s="19" t="s">
        <v>21</v>
      </c>
      <c r="E1827" s="23">
        <v>314</v>
      </c>
      <c r="F1827" s="18">
        <f>E1827* 0.999801370543252</f>
        <v>313.93763035058112</v>
      </c>
      <c r="G1827" s="18">
        <f>E1827* 0.0000993147283742179</f>
        <v>3.1184824709504424E-2</v>
      </c>
      <c r="H1827" s="18">
        <f>E1827* 0.0000993147283742179</f>
        <v>3.1184824709504424E-2</v>
      </c>
    </row>
    <row r="1828" spans="1:8" ht="15.75" hidden="1" customHeight="1" x14ac:dyDescent="0.25">
      <c r="A1828" s="20" t="s">
        <v>151</v>
      </c>
      <c r="B1828" s="47" t="s">
        <v>160</v>
      </c>
      <c r="C1828" s="49"/>
      <c r="D1828" s="19" t="s">
        <v>28</v>
      </c>
      <c r="E1828" s="23">
        <v>19</v>
      </c>
      <c r="F1828" s="20">
        <v>0</v>
      </c>
      <c r="G1828" s="18">
        <f>E1828* 0.99904671115348</f>
        <v>18.981887511916121</v>
      </c>
      <c r="H1828" s="18">
        <f>E1828* 0.000953288846520496</f>
        <v>1.8112488083889423E-2</v>
      </c>
    </row>
    <row r="1829" spans="1:8" ht="15.75" hidden="1" customHeight="1" x14ac:dyDescent="0.25">
      <c r="A1829" s="20" t="s">
        <v>151</v>
      </c>
      <c r="B1829" s="47" t="s">
        <v>160</v>
      </c>
      <c r="C1829" s="49"/>
      <c r="D1829" s="19" t="s">
        <v>12</v>
      </c>
      <c r="E1829" s="23">
        <v>261</v>
      </c>
      <c r="F1829" s="18">
        <f>E1829* 0.849400404921352</f>
        <v>221.69350568447288</v>
      </c>
      <c r="G1829" s="18">
        <f>E1829* 0.0654726678087525</f>
        <v>17.088366298084402</v>
      </c>
      <c r="H1829" s="18">
        <f>E1829* 0.0851269272698957</f>
        <v>22.218128017442776</v>
      </c>
    </row>
    <row r="1830" spans="1:8" ht="15.75" hidden="1" customHeight="1" x14ac:dyDescent="0.25">
      <c r="A1830" s="20" t="s">
        <v>151</v>
      </c>
      <c r="B1830" s="20"/>
      <c r="C1830" s="20"/>
      <c r="D1830" s="46"/>
      <c r="E1830" s="35"/>
    </row>
    <row r="1831" spans="1:8" ht="15.75" customHeight="1" x14ac:dyDescent="0.25">
      <c r="A1831" s="20" t="s">
        <v>151</v>
      </c>
      <c r="B1831" s="47" t="s">
        <v>161</v>
      </c>
      <c r="C1831" s="12" t="str">
        <f>B1831&amp;"_"&amp;A1831</f>
        <v>Curahuara de Carangas_Oruro</v>
      </c>
      <c r="D1831" s="20"/>
      <c r="E1831" s="48">
        <v>28</v>
      </c>
      <c r="F1831" s="14">
        <f t="shared" ref="F1831:H1831" si="153">SUM(F1832:F1836)</f>
        <v>18.23532772736824</v>
      </c>
      <c r="G1831" s="14">
        <f t="shared" si="153"/>
        <v>7.4995585784071155</v>
      </c>
      <c r="H1831" s="14">
        <f t="shared" si="153"/>
        <v>2.2623402542566557</v>
      </c>
    </row>
    <row r="1832" spans="1:8" ht="15.75" hidden="1" customHeight="1" x14ac:dyDescent="0.25">
      <c r="A1832" s="20" t="s">
        <v>151</v>
      </c>
      <c r="B1832" s="47" t="s">
        <v>161</v>
      </c>
      <c r="C1832" s="49"/>
      <c r="D1832" s="19" t="s">
        <v>11</v>
      </c>
      <c r="E1832" s="23">
        <v>1</v>
      </c>
      <c r="F1832" s="18">
        <f>E1832* 0.080360592401803</f>
        <v>8.0360592401803002E-2</v>
      </c>
      <c r="G1832" s="18">
        <f>E1832* 0.917192530585963</f>
        <v>0.91719253058596295</v>
      </c>
      <c r="H1832" s="18">
        <f>E1832* 0.00218931101094656</f>
        <v>2.1893110109465598E-3</v>
      </c>
    </row>
    <row r="1833" spans="1:8" ht="15.75" hidden="1" customHeight="1" x14ac:dyDescent="0.25">
      <c r="A1833" s="20" t="s">
        <v>151</v>
      </c>
      <c r="B1833" s="47" t="s">
        <v>161</v>
      </c>
      <c r="C1833" s="49"/>
      <c r="D1833" s="19" t="s">
        <v>17</v>
      </c>
      <c r="E1833" s="23">
        <v>1</v>
      </c>
      <c r="F1833" s="18">
        <f>E1833* 0.836035451794207</f>
        <v>0.83603545179420702</v>
      </c>
      <c r="G1833" s="18">
        <f>E1833* 0.0583657587548638</f>
        <v>5.83657587548638E-2</v>
      </c>
      <c r="H1833" s="18">
        <f>E1833* 0.10559878945093</f>
        <v>0.10559878945093</v>
      </c>
    </row>
    <row r="1834" spans="1:8" ht="15.75" hidden="1" customHeight="1" x14ac:dyDescent="0.25">
      <c r="A1834" s="20" t="s">
        <v>151</v>
      </c>
      <c r="B1834" s="47" t="s">
        <v>161</v>
      </c>
      <c r="C1834" s="49"/>
      <c r="D1834" s="19" t="s">
        <v>20</v>
      </c>
      <c r="E1834" s="23">
        <v>21</v>
      </c>
      <c r="F1834" s="18">
        <f>E1834* 0.61531089014017</f>
        <v>12.921528692943571</v>
      </c>
      <c r="G1834" s="18">
        <f>E1834* 0.298190966814424</f>
        <v>6.2620103031029037</v>
      </c>
      <c r="H1834" s="18">
        <f>E1834* 0.086378339523182</f>
        <v>1.8139451299868219</v>
      </c>
    </row>
    <row r="1835" spans="1:8" ht="15.75" hidden="1" customHeight="1" x14ac:dyDescent="0.25">
      <c r="A1835" s="20" t="s">
        <v>151</v>
      </c>
      <c r="B1835" s="47" t="s">
        <v>161</v>
      </c>
      <c r="C1835" s="49"/>
      <c r="D1835" s="19" t="s">
        <v>21</v>
      </c>
      <c r="E1835" s="23">
        <v>1</v>
      </c>
      <c r="F1835" s="18">
        <f>E1835* 0.999801370543252</f>
        <v>0.99980137054325202</v>
      </c>
      <c r="G1835" s="18">
        <f>E1835* 0.0000993147283742179</f>
        <v>9.9314728374217905E-5</v>
      </c>
      <c r="H1835" s="18">
        <f>E1835* 0.0000993147283742179</f>
        <v>9.9314728374217905E-5</v>
      </c>
    </row>
    <row r="1836" spans="1:8" ht="15.75" hidden="1" customHeight="1" x14ac:dyDescent="0.25">
      <c r="A1836" s="20" t="s">
        <v>151</v>
      </c>
      <c r="B1836" s="47" t="s">
        <v>161</v>
      </c>
      <c r="C1836" s="49"/>
      <c r="D1836" s="19" t="s">
        <v>12</v>
      </c>
      <c r="E1836" s="23">
        <v>4</v>
      </c>
      <c r="F1836" s="18">
        <f>E1836* 0.849400404921352</f>
        <v>3.3976016196854082</v>
      </c>
      <c r="G1836" s="18">
        <f>E1836* 0.0654726678087525</f>
        <v>0.26189067123500998</v>
      </c>
      <c r="H1836" s="18">
        <f>E1836* 0.0851269272698957</f>
        <v>0.34050770907958278</v>
      </c>
    </row>
    <row r="1837" spans="1:8" ht="15.75" hidden="1" customHeight="1" x14ac:dyDescent="0.25">
      <c r="A1837" s="20" t="s">
        <v>151</v>
      </c>
      <c r="B1837" s="20"/>
      <c r="C1837" s="20"/>
      <c r="D1837" s="46"/>
      <c r="E1837" s="35"/>
    </row>
    <row r="1838" spans="1:8" ht="15.75" customHeight="1" x14ac:dyDescent="0.25">
      <c r="A1838" s="20" t="s">
        <v>151</v>
      </c>
      <c r="B1838" s="47" t="s">
        <v>499</v>
      </c>
      <c r="C1838" s="12" t="str">
        <f>B1838&amp;"_"&amp;A1838</f>
        <v>El Choro_Oruro</v>
      </c>
      <c r="D1838" s="20"/>
      <c r="E1838" s="48">
        <v>1154</v>
      </c>
      <c r="F1838" s="14">
        <f t="shared" ref="F1838:H1838" si="154">SUM(F1839:F1849)</f>
        <v>863.30135504170426</v>
      </c>
      <c r="G1838" s="14">
        <f t="shared" si="154"/>
        <v>211.32705696048558</v>
      </c>
      <c r="H1838" s="14">
        <f t="shared" si="154"/>
        <v>79.312434521791644</v>
      </c>
    </row>
    <row r="1839" spans="1:8" ht="15.75" hidden="1" customHeight="1" x14ac:dyDescent="0.25">
      <c r="A1839" s="20" t="s">
        <v>151</v>
      </c>
      <c r="B1839" s="47" t="s">
        <v>499</v>
      </c>
      <c r="C1839" s="49"/>
      <c r="D1839" s="19" t="s">
        <v>15</v>
      </c>
      <c r="E1839" s="23">
        <v>174</v>
      </c>
      <c r="F1839" s="18">
        <f>E1839* 0.929012779104059</f>
        <v>161.64822356410627</v>
      </c>
      <c r="G1839" s="18">
        <f>E1839* 0.00947900575761831</f>
        <v>1.649347001825586</v>
      </c>
      <c r="H1839" s="18">
        <f>E1839* 0.0614380002808594</f>
        <v>10.690212048869535</v>
      </c>
    </row>
    <row r="1840" spans="1:8" ht="15.75" hidden="1" customHeight="1" x14ac:dyDescent="0.25">
      <c r="A1840" s="20" t="s">
        <v>151</v>
      </c>
      <c r="B1840" s="47" t="s">
        <v>499</v>
      </c>
      <c r="C1840" s="49"/>
      <c r="D1840" s="29" t="s">
        <v>500</v>
      </c>
      <c r="E1840" s="23">
        <v>10</v>
      </c>
      <c r="F1840" s="18">
        <f>E1840* 0.0624390243902439</f>
        <v>0.62439024390243902</v>
      </c>
      <c r="G1840" s="18">
        <f>E1840* 0.936585365853659</f>
        <v>9.3658536585365901</v>
      </c>
      <c r="H1840" s="20">
        <v>0</v>
      </c>
    </row>
    <row r="1841" spans="1:8" ht="15.75" hidden="1" customHeight="1" x14ac:dyDescent="0.25">
      <c r="A1841" s="20" t="s">
        <v>151</v>
      </c>
      <c r="B1841" s="47" t="s">
        <v>499</v>
      </c>
      <c r="C1841" s="49"/>
      <c r="D1841" s="19" t="s">
        <v>11</v>
      </c>
      <c r="E1841" s="23">
        <v>89</v>
      </c>
      <c r="F1841" s="18">
        <f>E1841* 0.080360592401803</f>
        <v>7.1520927237604672</v>
      </c>
      <c r="G1841" s="18">
        <f>E1841* 0.917192530585963</f>
        <v>81.630135222150699</v>
      </c>
      <c r="H1841" s="18">
        <f>E1841* 0.00218931101094656</f>
        <v>0.19484867997424382</v>
      </c>
    </row>
    <row r="1842" spans="1:8" ht="15.75" hidden="1" customHeight="1" x14ac:dyDescent="0.25">
      <c r="A1842" s="20" t="s">
        <v>151</v>
      </c>
      <c r="B1842" s="47" t="s">
        <v>499</v>
      </c>
      <c r="C1842" s="49"/>
      <c r="D1842" s="19" t="s">
        <v>17</v>
      </c>
      <c r="E1842" s="23">
        <v>136</v>
      </c>
      <c r="F1842" s="18">
        <f>E1842* 0.836035451794207</f>
        <v>113.70082144401215</v>
      </c>
      <c r="G1842" s="18">
        <f>E1842* 0.0583657587548638</f>
        <v>7.937743190661477</v>
      </c>
      <c r="H1842" s="18">
        <f>E1842* 0.10559878945093</f>
        <v>14.36143536532648</v>
      </c>
    </row>
    <row r="1843" spans="1:8" ht="15.75" hidden="1" customHeight="1" x14ac:dyDescent="0.25">
      <c r="A1843" s="20" t="s">
        <v>151</v>
      </c>
      <c r="B1843" s="47" t="s">
        <v>499</v>
      </c>
      <c r="C1843" s="49"/>
      <c r="D1843" s="19" t="s">
        <v>31</v>
      </c>
      <c r="E1843" s="23">
        <v>11</v>
      </c>
      <c r="F1843" s="18">
        <f>E1843* 0.872611464968153</f>
        <v>9.5987261146496827</v>
      </c>
      <c r="G1843" s="18">
        <f>E1843* 0.0764331210191083</f>
        <v>0.84076433121019134</v>
      </c>
      <c r="H1843" s="18">
        <f>E1843* 0.0509554140127389</f>
        <v>0.56050955414012793</v>
      </c>
    </row>
    <row r="1844" spans="1:8" ht="15.75" hidden="1" customHeight="1" x14ac:dyDescent="0.25">
      <c r="A1844" s="20" t="s">
        <v>151</v>
      </c>
      <c r="B1844" s="47" t="s">
        <v>499</v>
      </c>
      <c r="C1844" s="49"/>
      <c r="D1844" s="19" t="s">
        <v>18</v>
      </c>
      <c r="E1844" s="23">
        <v>11</v>
      </c>
      <c r="F1844" s="18">
        <f>E1844* 0.920270974465868</f>
        <v>10.122980719124548</v>
      </c>
      <c r="G1844" s="18">
        <f>E1844* 0.0703491401771756</f>
        <v>0.77384054194893159</v>
      </c>
      <c r="H1844" s="18">
        <f>E1844* 0.00937988535695675</f>
        <v>0.10317873892652425</v>
      </c>
    </row>
    <row r="1845" spans="1:8" ht="15.75" hidden="1" customHeight="1" x14ac:dyDescent="0.25">
      <c r="A1845" s="20" t="s">
        <v>151</v>
      </c>
      <c r="B1845" s="47" t="s">
        <v>499</v>
      </c>
      <c r="C1845" s="49"/>
      <c r="D1845" s="19" t="s">
        <v>19</v>
      </c>
      <c r="E1845" s="23">
        <v>2</v>
      </c>
      <c r="F1845" s="18">
        <f>E1845* 0.223420647149461</f>
        <v>0.446841294298922</v>
      </c>
      <c r="G1845" s="18">
        <f>E1845* 0.773497688751926</f>
        <v>1.5469953775038521</v>
      </c>
      <c r="H1845" s="18">
        <f>E1845* 0.00308166409861325</f>
        <v>6.1633281972264999E-3</v>
      </c>
    </row>
    <row r="1846" spans="1:8" ht="15.75" hidden="1" customHeight="1" x14ac:dyDescent="0.25">
      <c r="A1846" s="20" t="s">
        <v>151</v>
      </c>
      <c r="B1846" s="47" t="s">
        <v>499</v>
      </c>
      <c r="C1846" s="49"/>
      <c r="D1846" s="19" t="s">
        <v>20</v>
      </c>
      <c r="E1846" s="23">
        <v>119</v>
      </c>
      <c r="F1846" s="18">
        <f>E1846* 0.61531089014017</f>
        <v>73.221995926680236</v>
      </c>
      <c r="G1846" s="18">
        <f>E1846* 0.298190966814424</f>
        <v>35.484725050916452</v>
      </c>
      <c r="H1846" s="18">
        <f>E1846* 0.086378339523182</f>
        <v>10.279022403258658</v>
      </c>
    </row>
    <row r="1847" spans="1:8" ht="15.75" hidden="1" customHeight="1" x14ac:dyDescent="0.25">
      <c r="A1847" s="20" t="s">
        <v>151</v>
      </c>
      <c r="B1847" s="47" t="s">
        <v>499</v>
      </c>
      <c r="C1847" s="49"/>
      <c r="D1847" s="19" t="s">
        <v>21</v>
      </c>
      <c r="E1847" s="23">
        <v>57</v>
      </c>
      <c r="F1847" s="18">
        <f>E1847* 0.999801370543252</f>
        <v>56.988678120965368</v>
      </c>
      <c r="G1847" s="18">
        <f>E1847* 0.0000993147283742179</f>
        <v>5.6609395173304209E-3</v>
      </c>
      <c r="H1847" s="18">
        <f>E1847* 0.0000993147283742179</f>
        <v>5.6609395173304209E-3</v>
      </c>
    </row>
    <row r="1848" spans="1:8" ht="15.75" hidden="1" customHeight="1" x14ac:dyDescent="0.25">
      <c r="A1848" s="20" t="s">
        <v>151</v>
      </c>
      <c r="B1848" s="47" t="s">
        <v>499</v>
      </c>
      <c r="C1848" s="49"/>
      <c r="D1848" s="19" t="s">
        <v>28</v>
      </c>
      <c r="E1848" s="23">
        <v>39</v>
      </c>
      <c r="F1848" s="20">
        <v>0</v>
      </c>
      <c r="G1848" s="18">
        <f>E1848* 0.99904671115348</f>
        <v>38.962821734985717</v>
      </c>
      <c r="H1848" s="18">
        <f>E1848* 0.000953288846520496</f>
        <v>3.7178265014299341E-2</v>
      </c>
    </row>
    <row r="1849" spans="1:8" ht="15.75" hidden="1" customHeight="1" x14ac:dyDescent="0.25">
      <c r="A1849" s="20" t="s">
        <v>151</v>
      </c>
      <c r="B1849" s="47" t="s">
        <v>499</v>
      </c>
      <c r="C1849" s="49"/>
      <c r="D1849" s="19" t="s">
        <v>12</v>
      </c>
      <c r="E1849" s="23">
        <v>506</v>
      </c>
      <c r="F1849" s="18">
        <f>E1849* 0.849400404921352</f>
        <v>429.79660489020415</v>
      </c>
      <c r="G1849" s="18">
        <f>E1849* 0.0654726678087525</f>
        <v>33.129169911228765</v>
      </c>
      <c r="H1849" s="18">
        <f>E1849* 0.0851269272698957</f>
        <v>43.07422519856722</v>
      </c>
    </row>
    <row r="1850" spans="1:8" ht="15.75" hidden="1" customHeight="1" x14ac:dyDescent="0.25">
      <c r="A1850" s="20" t="s">
        <v>151</v>
      </c>
      <c r="B1850" s="20"/>
      <c r="C1850" s="20"/>
      <c r="D1850" s="46"/>
      <c r="E1850" s="35"/>
    </row>
    <row r="1851" spans="1:8" ht="15.75" customHeight="1" x14ac:dyDescent="0.25">
      <c r="A1851" s="20" t="s">
        <v>151</v>
      </c>
      <c r="B1851" s="47" t="s">
        <v>162</v>
      </c>
      <c r="C1851" s="12" t="str">
        <f>B1851&amp;"_"&amp;A1851</f>
        <v>Escara_Oruro</v>
      </c>
      <c r="D1851" s="20"/>
      <c r="E1851" s="48">
        <v>3259</v>
      </c>
      <c r="F1851" s="14">
        <f t="shared" ref="F1851:H1851" si="155">SUM(F1852:F1864)</f>
        <v>2587.3502255339254</v>
      </c>
      <c r="G1851" s="14">
        <f t="shared" si="155"/>
        <v>468.94819414389133</v>
      </c>
      <c r="H1851" s="14">
        <f t="shared" si="155"/>
        <v>202.55527385203661</v>
      </c>
    </row>
    <row r="1852" spans="1:8" ht="15.75" hidden="1" customHeight="1" x14ac:dyDescent="0.25">
      <c r="A1852" s="20" t="s">
        <v>151</v>
      </c>
      <c r="B1852" s="47" t="s">
        <v>162</v>
      </c>
      <c r="C1852" s="49"/>
      <c r="D1852" s="29" t="s">
        <v>501</v>
      </c>
      <c r="E1852" s="23">
        <v>8</v>
      </c>
      <c r="F1852" s="20">
        <v>0</v>
      </c>
      <c r="G1852" s="24">
        <f>E1852</f>
        <v>8</v>
      </c>
      <c r="H1852" s="20">
        <v>0</v>
      </c>
    </row>
    <row r="1853" spans="1:8" ht="15.75" hidden="1" customHeight="1" x14ac:dyDescent="0.25">
      <c r="A1853" s="20" t="s">
        <v>151</v>
      </c>
      <c r="B1853" s="47" t="s">
        <v>162</v>
      </c>
      <c r="C1853" s="49"/>
      <c r="D1853" s="19" t="s">
        <v>15</v>
      </c>
      <c r="E1853" s="23">
        <v>614</v>
      </c>
      <c r="F1853" s="18">
        <f>E1853* 0.929012779104059</f>
        <v>570.41384636989221</v>
      </c>
      <c r="G1853" s="18">
        <f>E1853* 0.00947900575761831</f>
        <v>5.8201095351776431</v>
      </c>
      <c r="H1853" s="18">
        <f>E1853* 0.0614380002808594</f>
        <v>37.72293217244767</v>
      </c>
    </row>
    <row r="1854" spans="1:8" ht="15.75" hidden="1" customHeight="1" x14ac:dyDescent="0.25">
      <c r="A1854" s="20" t="s">
        <v>151</v>
      </c>
      <c r="B1854" s="47" t="s">
        <v>162</v>
      </c>
      <c r="C1854" s="49"/>
      <c r="D1854" s="29" t="s">
        <v>502</v>
      </c>
      <c r="E1854" s="23">
        <v>25</v>
      </c>
      <c r="F1854" s="18">
        <f>E1854* 0.0624390243902439</f>
        <v>1.5609756097560976</v>
      </c>
      <c r="G1854" s="18">
        <f>E1854* 0.936585365853659</f>
        <v>23.414634146341477</v>
      </c>
      <c r="H1854" s="20">
        <v>0</v>
      </c>
    </row>
    <row r="1855" spans="1:8" ht="15.75" hidden="1" customHeight="1" x14ac:dyDescent="0.25">
      <c r="A1855" s="20" t="s">
        <v>151</v>
      </c>
      <c r="B1855" s="47" t="s">
        <v>162</v>
      </c>
      <c r="C1855" s="49"/>
      <c r="D1855" s="19" t="s">
        <v>11</v>
      </c>
      <c r="E1855" s="23">
        <v>212</v>
      </c>
      <c r="F1855" s="18">
        <f>E1855* 0.080360592401803</f>
        <v>17.036445589182236</v>
      </c>
      <c r="G1855" s="18">
        <f>E1855* 0.917192530585963</f>
        <v>194.44481648422413</v>
      </c>
      <c r="H1855" s="18">
        <f>E1855* 0.00218931101094656</f>
        <v>0.46413393432067068</v>
      </c>
    </row>
    <row r="1856" spans="1:8" ht="15.75" hidden="1" customHeight="1" x14ac:dyDescent="0.25">
      <c r="A1856" s="20" t="s">
        <v>151</v>
      </c>
      <c r="B1856" s="47" t="s">
        <v>162</v>
      </c>
      <c r="C1856" s="49"/>
      <c r="D1856" s="19" t="s">
        <v>17</v>
      </c>
      <c r="E1856" s="23">
        <v>282</v>
      </c>
      <c r="F1856" s="18">
        <f>E1856* 0.836035451794207</f>
        <v>235.76199740596638</v>
      </c>
      <c r="G1856" s="18">
        <f>E1856* 0.0583657587548638</f>
        <v>16.45914396887159</v>
      </c>
      <c r="H1856" s="18">
        <f>E1856* 0.10559878945093</f>
        <v>29.778858625162261</v>
      </c>
    </row>
    <row r="1857" spans="1:8" ht="15.75" hidden="1" customHeight="1" x14ac:dyDescent="0.25">
      <c r="A1857" s="20" t="s">
        <v>151</v>
      </c>
      <c r="B1857" s="47" t="s">
        <v>162</v>
      </c>
      <c r="C1857" s="49"/>
      <c r="D1857" s="19" t="s">
        <v>31</v>
      </c>
      <c r="E1857" s="23">
        <v>14</v>
      </c>
      <c r="F1857" s="18">
        <f>E1857* 0.872611464968153</f>
        <v>12.216560509554142</v>
      </c>
      <c r="G1857" s="18">
        <f>E1857* 0.0764331210191083</f>
        <v>1.0700636942675164</v>
      </c>
      <c r="H1857" s="18">
        <f>E1857* 0.0509554140127389</f>
        <v>0.71337579617834457</v>
      </c>
    </row>
    <row r="1858" spans="1:8" ht="15.75" hidden="1" customHeight="1" x14ac:dyDescent="0.25">
      <c r="A1858" s="20" t="s">
        <v>151</v>
      </c>
      <c r="B1858" s="47" t="s">
        <v>162</v>
      </c>
      <c r="C1858" s="49"/>
      <c r="D1858" s="19" t="s">
        <v>18</v>
      </c>
      <c r="E1858" s="23">
        <v>27</v>
      </c>
      <c r="F1858" s="18">
        <f>E1858* 0.920270974465868</f>
        <v>24.847316310578435</v>
      </c>
      <c r="G1858" s="18">
        <f>E1858* 0.0703491401771756</f>
        <v>1.8994267847837412</v>
      </c>
      <c r="H1858" s="18">
        <f>E1858* 0.00937988535695675</f>
        <v>0.25325690463783224</v>
      </c>
    </row>
    <row r="1859" spans="1:8" ht="15.75" hidden="1" customHeight="1" x14ac:dyDescent="0.25">
      <c r="A1859" s="20" t="s">
        <v>151</v>
      </c>
      <c r="B1859" s="47" t="s">
        <v>162</v>
      </c>
      <c r="C1859" s="49"/>
      <c r="D1859" s="19" t="s">
        <v>19</v>
      </c>
      <c r="E1859" s="23">
        <v>16</v>
      </c>
      <c r="F1859" s="18">
        <f>E1859* 0.223420647149461</f>
        <v>3.574730354391376</v>
      </c>
      <c r="G1859" s="18">
        <f>E1859* 0.773497688751926</f>
        <v>12.375963020030817</v>
      </c>
      <c r="H1859" s="18">
        <f>E1859* 0.00308166409861325</f>
        <v>4.9306625577811999E-2</v>
      </c>
    </row>
    <row r="1860" spans="1:8" ht="15.75" hidden="1" customHeight="1" x14ac:dyDescent="0.25">
      <c r="A1860" s="20" t="s">
        <v>151</v>
      </c>
      <c r="B1860" s="47" t="s">
        <v>162</v>
      </c>
      <c r="C1860" s="49"/>
      <c r="D1860" s="19" t="s">
        <v>20</v>
      </c>
      <c r="E1860" s="23">
        <v>202</v>
      </c>
      <c r="F1860" s="18">
        <f>E1860* 0.61531089014017</f>
        <v>124.29279980831434</v>
      </c>
      <c r="G1860" s="18">
        <f>E1860* 0.298190966814424</f>
        <v>60.23457529651364</v>
      </c>
      <c r="H1860" s="18">
        <f>E1860* 0.086378339523182</f>
        <v>17.448424583682762</v>
      </c>
    </row>
    <row r="1861" spans="1:8" ht="15.75" hidden="1" customHeight="1" x14ac:dyDescent="0.25">
      <c r="A1861" s="20" t="s">
        <v>151</v>
      </c>
      <c r="B1861" s="47" t="s">
        <v>162</v>
      </c>
      <c r="C1861" s="49"/>
      <c r="D1861" s="19" t="s">
        <v>21</v>
      </c>
      <c r="E1861" s="23">
        <v>439</v>
      </c>
      <c r="F1861" s="18">
        <f>E1861* 0.999801370543252</f>
        <v>438.91280166848765</v>
      </c>
      <c r="G1861" s="18">
        <f>E1861* 0.0000993147283742179</f>
        <v>4.3599165756281658E-2</v>
      </c>
      <c r="H1861" s="18">
        <f>E1861* 0.0000993147283742179</f>
        <v>4.3599165756281658E-2</v>
      </c>
    </row>
    <row r="1862" spans="1:8" ht="15.75" hidden="1" customHeight="1" x14ac:dyDescent="0.25">
      <c r="A1862" s="20" t="s">
        <v>151</v>
      </c>
      <c r="B1862" s="47" t="s">
        <v>162</v>
      </c>
      <c r="C1862" s="49"/>
      <c r="D1862" s="19" t="s">
        <v>36</v>
      </c>
      <c r="E1862" s="23">
        <v>1</v>
      </c>
      <c r="F1862" s="24">
        <f>E1862</f>
        <v>1</v>
      </c>
      <c r="G1862" s="20">
        <v>0</v>
      </c>
      <c r="H1862" s="20">
        <v>0</v>
      </c>
    </row>
    <row r="1863" spans="1:8" ht="15.75" hidden="1" customHeight="1" x14ac:dyDescent="0.25">
      <c r="A1863" s="20" t="s">
        <v>151</v>
      </c>
      <c r="B1863" s="47" t="s">
        <v>162</v>
      </c>
      <c r="C1863" s="49"/>
      <c r="D1863" s="19" t="s">
        <v>28</v>
      </c>
      <c r="E1863" s="23">
        <v>56</v>
      </c>
      <c r="F1863" s="20">
        <v>0</v>
      </c>
      <c r="G1863" s="18">
        <f>E1863* 0.99904671115348</f>
        <v>55.946615824594879</v>
      </c>
      <c r="H1863" s="18">
        <f>E1863* 0.000953288846520496</f>
        <v>5.3384175405147775E-2</v>
      </c>
    </row>
    <row r="1864" spans="1:8" ht="15.75" hidden="1" customHeight="1" x14ac:dyDescent="0.25">
      <c r="A1864" s="20" t="s">
        <v>151</v>
      </c>
      <c r="B1864" s="47" t="s">
        <v>162</v>
      </c>
      <c r="C1864" s="49"/>
      <c r="D1864" s="19" t="s">
        <v>12</v>
      </c>
      <c r="E1864" s="23">
        <v>1363</v>
      </c>
      <c r="F1864" s="18">
        <f>E1864* 0.849400404921352</f>
        <v>1157.7327519078028</v>
      </c>
      <c r="G1864" s="18">
        <f>E1864* 0.0654726678087525</f>
        <v>89.239246223329644</v>
      </c>
      <c r="H1864" s="18">
        <f>E1864* 0.0851269272698957</f>
        <v>116.02800186886783</v>
      </c>
    </row>
    <row r="1865" spans="1:8" ht="15.75" hidden="1" customHeight="1" x14ac:dyDescent="0.25">
      <c r="A1865" s="20" t="s">
        <v>151</v>
      </c>
      <c r="B1865" s="20"/>
      <c r="C1865" s="20"/>
      <c r="D1865" s="46"/>
      <c r="E1865" s="35"/>
    </row>
    <row r="1866" spans="1:8" ht="15.75" customHeight="1" x14ac:dyDescent="0.25">
      <c r="A1866" s="20" t="s">
        <v>151</v>
      </c>
      <c r="B1866" s="47" t="s">
        <v>163</v>
      </c>
      <c r="C1866" s="12" t="str">
        <f>B1866&amp;"_"&amp;A1866</f>
        <v>Esmeralda_Oruro</v>
      </c>
      <c r="D1866" s="20"/>
      <c r="E1866" s="48">
        <v>1365</v>
      </c>
      <c r="F1866" s="14">
        <f t="shared" ref="F1866:H1866" si="156">SUM(F1867:F1880)</f>
        <v>940.51404176665199</v>
      </c>
      <c r="G1866" s="14">
        <f t="shared" si="156"/>
        <v>350.8001338016735</v>
      </c>
      <c r="H1866" s="14">
        <f t="shared" si="156"/>
        <v>73.596679902199057</v>
      </c>
    </row>
    <row r="1867" spans="1:8" ht="15.75" hidden="1" customHeight="1" x14ac:dyDescent="0.25">
      <c r="A1867" s="20" t="s">
        <v>151</v>
      </c>
      <c r="B1867" s="47" t="s">
        <v>163</v>
      </c>
      <c r="C1867" s="49"/>
      <c r="D1867" s="29" t="s">
        <v>503</v>
      </c>
      <c r="E1867" s="23">
        <v>7</v>
      </c>
      <c r="F1867" s="20">
        <v>0</v>
      </c>
      <c r="G1867" s="24">
        <f>E1867</f>
        <v>7</v>
      </c>
      <c r="H1867" s="20">
        <v>0</v>
      </c>
    </row>
    <row r="1868" spans="1:8" ht="15.75" hidden="1" customHeight="1" x14ac:dyDescent="0.25">
      <c r="A1868" s="20" t="s">
        <v>151</v>
      </c>
      <c r="B1868" s="47" t="s">
        <v>163</v>
      </c>
      <c r="C1868" s="49"/>
      <c r="D1868" s="19" t="s">
        <v>15</v>
      </c>
      <c r="E1868" s="23">
        <v>139</v>
      </c>
      <c r="F1868" s="18">
        <f>E1868* 0.929012779104059</f>
        <v>129.1327762954642</v>
      </c>
      <c r="G1868" s="18">
        <f>E1868* 0.00947900575761831</f>
        <v>1.3175818003089452</v>
      </c>
      <c r="H1868" s="18">
        <f>E1868* 0.0614380002808594</f>
        <v>8.5398820390394565</v>
      </c>
    </row>
    <row r="1869" spans="1:8" ht="15.75" hidden="1" customHeight="1" x14ac:dyDescent="0.25">
      <c r="A1869" s="20" t="s">
        <v>151</v>
      </c>
      <c r="B1869" s="47" t="s">
        <v>163</v>
      </c>
      <c r="C1869" s="49"/>
      <c r="D1869" s="29" t="s">
        <v>504</v>
      </c>
      <c r="E1869" s="23">
        <v>24</v>
      </c>
      <c r="F1869" s="18">
        <f>E1869* 0.0624390243902439</f>
        <v>1.4985365853658537</v>
      </c>
      <c r="G1869" s="18">
        <f>E1869* 0.936585365853659</f>
        <v>22.478048780487818</v>
      </c>
      <c r="H1869" s="20">
        <v>0</v>
      </c>
    </row>
    <row r="1870" spans="1:8" ht="15.75" hidden="1" customHeight="1" x14ac:dyDescent="0.25">
      <c r="A1870" s="20" t="s">
        <v>151</v>
      </c>
      <c r="B1870" s="47" t="s">
        <v>163</v>
      </c>
      <c r="C1870" s="49"/>
      <c r="D1870" s="19" t="s">
        <v>11</v>
      </c>
      <c r="E1870" s="23">
        <v>188</v>
      </c>
      <c r="F1870" s="18">
        <f>E1870* 0.080360592401803</f>
        <v>15.107791371538964</v>
      </c>
      <c r="G1870" s="18">
        <f>E1870* 0.917192530585963</f>
        <v>172.43219575016104</v>
      </c>
      <c r="H1870" s="18">
        <f>E1870* 0.00218931101094656</f>
        <v>0.41159047005795324</v>
      </c>
    </row>
    <row r="1871" spans="1:8" ht="15.75" hidden="1" customHeight="1" x14ac:dyDescent="0.25">
      <c r="A1871" s="20" t="s">
        <v>151</v>
      </c>
      <c r="B1871" s="47" t="s">
        <v>163</v>
      </c>
      <c r="C1871" s="49"/>
      <c r="D1871" s="19" t="s">
        <v>17</v>
      </c>
      <c r="E1871" s="23">
        <v>219</v>
      </c>
      <c r="F1871" s="18">
        <f>E1871* 0.836035451794207</f>
        <v>183.09176394293135</v>
      </c>
      <c r="G1871" s="18">
        <f>E1871* 0.0583657587548638</f>
        <v>12.782101167315172</v>
      </c>
      <c r="H1871" s="18">
        <f>E1871* 0.10559878945093</f>
        <v>23.126134889753668</v>
      </c>
    </row>
    <row r="1872" spans="1:8" ht="15.75" hidden="1" customHeight="1" x14ac:dyDescent="0.25">
      <c r="A1872" s="20" t="s">
        <v>151</v>
      </c>
      <c r="B1872" s="47" t="s">
        <v>163</v>
      </c>
      <c r="C1872" s="49"/>
      <c r="D1872" s="19" t="s">
        <v>31</v>
      </c>
      <c r="E1872" s="23">
        <v>9</v>
      </c>
      <c r="F1872" s="18">
        <f>E1872* 0.872611464968153</f>
        <v>7.8535031847133769</v>
      </c>
      <c r="G1872" s="18">
        <f>E1872* 0.0764331210191083</f>
        <v>0.6878980891719747</v>
      </c>
      <c r="H1872" s="18">
        <f>E1872* 0.0509554140127389</f>
        <v>0.45859872611465008</v>
      </c>
    </row>
    <row r="1873" spans="1:8" ht="15.75" hidden="1" customHeight="1" x14ac:dyDescent="0.25">
      <c r="A1873" s="20" t="s">
        <v>151</v>
      </c>
      <c r="B1873" s="47" t="s">
        <v>163</v>
      </c>
      <c r="C1873" s="49"/>
      <c r="D1873" s="19" t="s">
        <v>18</v>
      </c>
      <c r="E1873" s="23">
        <v>19</v>
      </c>
      <c r="F1873" s="18">
        <f>E1873* 0.920270974465868</f>
        <v>17.485148514851492</v>
      </c>
      <c r="G1873" s="18">
        <f>E1873* 0.0703491401771756</f>
        <v>1.3366336633663363</v>
      </c>
      <c r="H1873" s="18">
        <f>E1873* 0.00937988535695675</f>
        <v>0.17821782178217824</v>
      </c>
    </row>
    <row r="1874" spans="1:8" ht="15.75" hidden="1" customHeight="1" x14ac:dyDescent="0.25">
      <c r="A1874" s="20" t="s">
        <v>151</v>
      </c>
      <c r="B1874" s="47" t="s">
        <v>163</v>
      </c>
      <c r="C1874" s="49"/>
      <c r="D1874" s="29" t="s">
        <v>505</v>
      </c>
      <c r="E1874" s="23">
        <v>1</v>
      </c>
      <c r="F1874" s="20">
        <v>0</v>
      </c>
      <c r="G1874" s="24">
        <f>E1874</f>
        <v>1</v>
      </c>
      <c r="H1874" s="20">
        <v>0</v>
      </c>
    </row>
    <row r="1875" spans="1:8" ht="15.75" hidden="1" customHeight="1" x14ac:dyDescent="0.25">
      <c r="A1875" s="20" t="s">
        <v>151</v>
      </c>
      <c r="B1875" s="47" t="s">
        <v>163</v>
      </c>
      <c r="C1875" s="49"/>
      <c r="D1875" s="19" t="s">
        <v>19</v>
      </c>
      <c r="E1875" s="23">
        <v>5</v>
      </c>
      <c r="F1875" s="18">
        <f>E1875* 0.223420647149461</f>
        <v>1.117103235747305</v>
      </c>
      <c r="G1875" s="18">
        <f>E1875* 0.773497688751926</f>
        <v>3.8674884437596302</v>
      </c>
      <c r="H1875" s="18">
        <f>E1875* 0.00308166409861325</f>
        <v>1.5408320493066251E-2</v>
      </c>
    </row>
    <row r="1876" spans="1:8" ht="15.75" hidden="1" customHeight="1" x14ac:dyDescent="0.25">
      <c r="A1876" s="20" t="s">
        <v>151</v>
      </c>
      <c r="B1876" s="47" t="s">
        <v>163</v>
      </c>
      <c r="C1876" s="49"/>
      <c r="D1876" s="19" t="s">
        <v>20</v>
      </c>
      <c r="E1876" s="23">
        <v>63</v>
      </c>
      <c r="F1876" s="18">
        <f>E1876* 0.61531089014017</f>
        <v>38.76458607883071</v>
      </c>
      <c r="G1876" s="18">
        <f>E1876* 0.298190966814424</f>
        <v>18.78603090930871</v>
      </c>
      <c r="H1876" s="18">
        <f>E1876* 0.086378339523182</f>
        <v>5.4418353899604659</v>
      </c>
    </row>
    <row r="1877" spans="1:8" ht="15.75" hidden="1" customHeight="1" x14ac:dyDescent="0.25">
      <c r="A1877" s="20" t="s">
        <v>151</v>
      </c>
      <c r="B1877" s="47" t="s">
        <v>163</v>
      </c>
      <c r="C1877" s="49"/>
      <c r="D1877" s="19" t="s">
        <v>21</v>
      </c>
      <c r="E1877" s="23">
        <v>193</v>
      </c>
      <c r="F1877" s="18">
        <f>E1877* 0.999801370543252</f>
        <v>192.96166451484763</v>
      </c>
      <c r="G1877" s="18">
        <f>E1877* 0.0000993147283742179</f>
        <v>1.9167742576224056E-2</v>
      </c>
      <c r="H1877" s="18">
        <f>E1877* 0.0000993147283742179</f>
        <v>1.9167742576224056E-2</v>
      </c>
    </row>
    <row r="1878" spans="1:8" ht="15.75" hidden="1" customHeight="1" x14ac:dyDescent="0.25">
      <c r="A1878" s="20" t="s">
        <v>151</v>
      </c>
      <c r="B1878" s="47" t="s">
        <v>163</v>
      </c>
      <c r="C1878" s="49"/>
      <c r="D1878" s="19" t="s">
        <v>36</v>
      </c>
      <c r="E1878" s="23">
        <v>1</v>
      </c>
      <c r="F1878" s="24">
        <f>E1878</f>
        <v>1</v>
      </c>
      <c r="G1878" s="20">
        <v>0</v>
      </c>
      <c r="H1878" s="20">
        <v>0</v>
      </c>
    </row>
    <row r="1879" spans="1:8" ht="15.75" hidden="1" customHeight="1" x14ac:dyDescent="0.25">
      <c r="A1879" s="20" t="s">
        <v>151</v>
      </c>
      <c r="B1879" s="47" t="s">
        <v>163</v>
      </c>
      <c r="C1879" s="49"/>
      <c r="D1879" s="19" t="s">
        <v>28</v>
      </c>
      <c r="E1879" s="23">
        <v>82</v>
      </c>
      <c r="F1879" s="20">
        <v>0</v>
      </c>
      <c r="G1879" s="18">
        <f>E1879* 0.99904671115348</f>
        <v>81.921830314585364</v>
      </c>
      <c r="H1879" s="18">
        <f>E1879* 0.000953288846520496</f>
        <v>7.8169685414680667E-2</v>
      </c>
    </row>
    <row r="1880" spans="1:8" ht="15.75" hidden="1" customHeight="1" x14ac:dyDescent="0.25">
      <c r="A1880" s="20" t="s">
        <v>151</v>
      </c>
      <c r="B1880" s="47" t="s">
        <v>163</v>
      </c>
      <c r="C1880" s="49"/>
      <c r="D1880" s="19" t="s">
        <v>12</v>
      </c>
      <c r="E1880" s="23">
        <v>415</v>
      </c>
      <c r="F1880" s="18">
        <f>E1880* 0.849400404921352</f>
        <v>352.50116804236109</v>
      </c>
      <c r="G1880" s="18">
        <f>E1880* 0.0654726678087525</f>
        <v>27.171157140632285</v>
      </c>
      <c r="H1880" s="18">
        <f>E1880* 0.0851269272698957</f>
        <v>35.327674817006717</v>
      </c>
    </row>
    <row r="1881" spans="1:8" ht="15.75" hidden="1" customHeight="1" x14ac:dyDescent="0.25">
      <c r="A1881" s="20" t="s">
        <v>151</v>
      </c>
      <c r="B1881" s="20"/>
      <c r="C1881" s="20"/>
      <c r="D1881" s="46"/>
      <c r="E1881" s="35"/>
    </row>
    <row r="1882" spans="1:8" ht="15.75" customHeight="1" x14ac:dyDescent="0.25">
      <c r="A1882" s="20" t="s">
        <v>151</v>
      </c>
      <c r="B1882" s="47" t="s">
        <v>164</v>
      </c>
      <c r="C1882" s="12" t="str">
        <f>B1882&amp;"_"&amp;A1882</f>
        <v>Eucaliptus_Oruro</v>
      </c>
      <c r="D1882" s="20"/>
      <c r="E1882" s="48">
        <v>150</v>
      </c>
      <c r="F1882" s="14">
        <f t="shared" ref="F1882:H1882" si="157">SUM(F1883:F1892)</f>
        <v>108.68514352946526</v>
      </c>
      <c r="G1882" s="14">
        <f t="shared" si="157"/>
        <v>31.786910723574714</v>
      </c>
      <c r="H1882" s="14">
        <f t="shared" si="157"/>
        <v>9.5154464737896518</v>
      </c>
    </row>
    <row r="1883" spans="1:8" ht="15.75" hidden="1" customHeight="1" x14ac:dyDescent="0.25">
      <c r="A1883" s="20" t="s">
        <v>151</v>
      </c>
      <c r="B1883" s="47" t="s">
        <v>164</v>
      </c>
      <c r="C1883" s="49"/>
      <c r="D1883" s="19" t="s">
        <v>15</v>
      </c>
      <c r="E1883" s="23">
        <v>24</v>
      </c>
      <c r="F1883" s="18">
        <f>E1883* 0.929012779104059</f>
        <v>22.296306698497418</v>
      </c>
      <c r="G1883" s="18">
        <f>E1883* 0.00947900575761831</f>
        <v>0.22749613818283945</v>
      </c>
      <c r="H1883" s="18">
        <f>E1883* 0.0614380002808594</f>
        <v>1.4745120067406257</v>
      </c>
    </row>
    <row r="1884" spans="1:8" ht="15.75" hidden="1" customHeight="1" x14ac:dyDescent="0.25">
      <c r="A1884" s="20" t="s">
        <v>151</v>
      </c>
      <c r="B1884" s="47" t="s">
        <v>164</v>
      </c>
      <c r="C1884" s="49"/>
      <c r="D1884" s="29" t="s">
        <v>506</v>
      </c>
      <c r="E1884" s="23">
        <v>5</v>
      </c>
      <c r="F1884" s="18">
        <f>E1884* 0.0624390243902439</f>
        <v>0.31219512195121951</v>
      </c>
      <c r="G1884" s="18">
        <f>E1884* 0.936585365853659</f>
        <v>4.6829268292682951</v>
      </c>
      <c r="H1884" s="20">
        <v>0</v>
      </c>
    </row>
    <row r="1885" spans="1:8" ht="15.75" hidden="1" customHeight="1" x14ac:dyDescent="0.25">
      <c r="A1885" s="20" t="s">
        <v>151</v>
      </c>
      <c r="B1885" s="47" t="s">
        <v>164</v>
      </c>
      <c r="C1885" s="49"/>
      <c r="D1885" s="19" t="s">
        <v>11</v>
      </c>
      <c r="E1885" s="23">
        <v>17</v>
      </c>
      <c r="F1885" s="18">
        <f>E1885* 0.080360592401803</f>
        <v>1.366130070830651</v>
      </c>
      <c r="G1885" s="18">
        <f>E1885* 0.917192530585963</f>
        <v>15.59227301996137</v>
      </c>
      <c r="H1885" s="18">
        <f>E1885* 0.00218931101094656</f>
        <v>3.721828718609152E-2</v>
      </c>
    </row>
    <row r="1886" spans="1:8" ht="15.75" hidden="1" customHeight="1" x14ac:dyDescent="0.25">
      <c r="A1886" s="20" t="s">
        <v>151</v>
      </c>
      <c r="B1886" s="47" t="s">
        <v>164</v>
      </c>
      <c r="C1886" s="49"/>
      <c r="D1886" s="19" t="s">
        <v>17</v>
      </c>
      <c r="E1886" s="23">
        <v>14</v>
      </c>
      <c r="F1886" s="18">
        <f>E1886* 0.836035451794207</f>
        <v>11.704496325118898</v>
      </c>
      <c r="G1886" s="18">
        <f>E1886* 0.0583657587548638</f>
        <v>0.81712062256809315</v>
      </c>
      <c r="H1886" s="18">
        <f>E1886* 0.10559878945093</f>
        <v>1.4783830523130199</v>
      </c>
    </row>
    <row r="1887" spans="1:8" ht="15.75" hidden="1" customHeight="1" x14ac:dyDescent="0.25">
      <c r="A1887" s="20" t="s">
        <v>151</v>
      </c>
      <c r="B1887" s="47" t="s">
        <v>164</v>
      </c>
      <c r="C1887" s="49"/>
      <c r="D1887" s="19" t="s">
        <v>31</v>
      </c>
      <c r="E1887" s="23">
        <v>5</v>
      </c>
      <c r="F1887" s="18">
        <f>E1887* 0.872611464968153</f>
        <v>4.3630573248407654</v>
      </c>
      <c r="G1887" s="18">
        <f>E1887* 0.0764331210191083</f>
        <v>0.38216560509554154</v>
      </c>
      <c r="H1887" s="18">
        <f>E1887* 0.0509554140127389</f>
        <v>0.25477707006369449</v>
      </c>
    </row>
    <row r="1888" spans="1:8" ht="15.75" hidden="1" customHeight="1" x14ac:dyDescent="0.25">
      <c r="A1888" s="20" t="s">
        <v>151</v>
      </c>
      <c r="B1888" s="47" t="s">
        <v>164</v>
      </c>
      <c r="C1888" s="49"/>
      <c r="D1888" s="19" t="s">
        <v>18</v>
      </c>
      <c r="E1888" s="23">
        <v>4</v>
      </c>
      <c r="F1888" s="18">
        <f>E1888* 0.920270974465868</f>
        <v>3.6810838978634721</v>
      </c>
      <c r="G1888" s="18">
        <f>E1888* 0.0703491401771756</f>
        <v>0.28139656070870239</v>
      </c>
      <c r="H1888" s="18">
        <f>E1888* 0.00937988535695675</f>
        <v>3.7519541427827E-2</v>
      </c>
    </row>
    <row r="1889" spans="1:8" ht="15.75" hidden="1" customHeight="1" x14ac:dyDescent="0.25">
      <c r="A1889" s="20" t="s">
        <v>151</v>
      </c>
      <c r="B1889" s="47" t="s">
        <v>164</v>
      </c>
      <c r="C1889" s="49"/>
      <c r="D1889" s="19" t="s">
        <v>20</v>
      </c>
      <c r="E1889" s="23">
        <v>13</v>
      </c>
      <c r="F1889" s="18">
        <f>E1889* 0.61531089014017</f>
        <v>7.999041571822211</v>
      </c>
      <c r="G1889" s="18">
        <f>E1889* 0.298190966814424</f>
        <v>3.8764825685875115</v>
      </c>
      <c r="H1889" s="18">
        <f>E1889* 0.086378339523182</f>
        <v>1.1229184138013659</v>
      </c>
    </row>
    <row r="1890" spans="1:8" ht="15.75" hidden="1" customHeight="1" x14ac:dyDescent="0.25">
      <c r="A1890" s="20" t="s">
        <v>151</v>
      </c>
      <c r="B1890" s="47" t="s">
        <v>164</v>
      </c>
      <c r="C1890" s="49"/>
      <c r="D1890" s="19" t="s">
        <v>21</v>
      </c>
      <c r="E1890" s="23">
        <v>6</v>
      </c>
      <c r="F1890" s="18">
        <f>E1890* 0.999801370543252</f>
        <v>5.9988082232595126</v>
      </c>
      <c r="G1890" s="18">
        <f>E1890* 0.0000993147283742179</f>
        <v>5.9588837024530743E-4</v>
      </c>
      <c r="H1890" s="18">
        <f>E1890* 0.0000993147283742179</f>
        <v>5.9588837024530743E-4</v>
      </c>
    </row>
    <row r="1891" spans="1:8" ht="15.75" hidden="1" customHeight="1" x14ac:dyDescent="0.25">
      <c r="A1891" s="20" t="s">
        <v>151</v>
      </c>
      <c r="B1891" s="47" t="s">
        <v>164</v>
      </c>
      <c r="C1891" s="49"/>
      <c r="D1891" s="19" t="s">
        <v>28</v>
      </c>
      <c r="E1891" s="23">
        <v>2</v>
      </c>
      <c r="F1891" s="20">
        <v>0</v>
      </c>
      <c r="G1891" s="18">
        <f>E1891* 0.99904671115348</f>
        <v>1.99809342230696</v>
      </c>
      <c r="H1891" s="18">
        <f>E1891* 0.000953288846520496</f>
        <v>1.906577693040992E-3</v>
      </c>
    </row>
    <row r="1892" spans="1:8" ht="15.75" hidden="1" customHeight="1" x14ac:dyDescent="0.25">
      <c r="A1892" s="20" t="s">
        <v>151</v>
      </c>
      <c r="B1892" s="47" t="s">
        <v>164</v>
      </c>
      <c r="C1892" s="49"/>
      <c r="D1892" s="19" t="s">
        <v>12</v>
      </c>
      <c r="E1892" s="23">
        <v>60</v>
      </c>
      <c r="F1892" s="18">
        <f>E1892* 0.849400404921352</f>
        <v>50.964024295281121</v>
      </c>
      <c r="G1892" s="18">
        <f>E1892* 0.0654726678087525</f>
        <v>3.9283600685251496</v>
      </c>
      <c r="H1892" s="18">
        <f>E1892* 0.0851269272698957</f>
        <v>5.1076156361937413</v>
      </c>
    </row>
    <row r="1893" spans="1:8" ht="15.75" hidden="1" customHeight="1" x14ac:dyDescent="0.25">
      <c r="A1893" s="20" t="s">
        <v>151</v>
      </c>
      <c r="B1893" s="20"/>
      <c r="C1893" s="20"/>
      <c r="D1893" s="46"/>
      <c r="E1893" s="35"/>
    </row>
    <row r="1894" spans="1:8" ht="15.75" customHeight="1" x14ac:dyDescent="0.25">
      <c r="A1894" s="20" t="s">
        <v>151</v>
      </c>
      <c r="B1894" s="47" t="s">
        <v>166</v>
      </c>
      <c r="C1894" s="12" t="str">
        <f>B1894&amp;"_"&amp;A1894</f>
        <v>Huachacalla_Oruro</v>
      </c>
      <c r="D1894" s="20"/>
      <c r="E1894" s="48">
        <v>457</v>
      </c>
      <c r="F1894" s="14">
        <f t="shared" ref="F1894:H1894" si="158">SUM(F1895:F1905)</f>
        <v>328.5298657384343</v>
      </c>
      <c r="G1894" s="14">
        <f t="shared" si="158"/>
        <v>100.07002272059498</v>
      </c>
      <c r="H1894" s="14">
        <f t="shared" si="158"/>
        <v>28.37350537273408</v>
      </c>
    </row>
    <row r="1895" spans="1:8" ht="15.75" hidden="1" customHeight="1" x14ac:dyDescent="0.25">
      <c r="A1895" s="20" t="s">
        <v>151</v>
      </c>
      <c r="B1895" s="47" t="s">
        <v>166</v>
      </c>
      <c r="C1895" s="49"/>
      <c r="D1895" s="19" t="s">
        <v>15</v>
      </c>
      <c r="E1895" s="23">
        <v>57</v>
      </c>
      <c r="F1895" s="18">
        <f>E1895* 0.929012779104059</f>
        <v>52.953728408931362</v>
      </c>
      <c r="G1895" s="18">
        <f>E1895* 0.00947900575761831</f>
        <v>0.54030332818424365</v>
      </c>
      <c r="H1895" s="18">
        <f>E1895* 0.0614380002808594</f>
        <v>3.5019660160089856</v>
      </c>
    </row>
    <row r="1896" spans="1:8" ht="15.75" hidden="1" customHeight="1" x14ac:dyDescent="0.25">
      <c r="A1896" s="20" t="s">
        <v>151</v>
      </c>
      <c r="B1896" s="47" t="s">
        <v>166</v>
      </c>
      <c r="C1896" s="49"/>
      <c r="D1896" s="29" t="s">
        <v>507</v>
      </c>
      <c r="E1896" s="23">
        <v>3</v>
      </c>
      <c r="F1896" s="18">
        <f>E1896* 0.0624390243902439</f>
        <v>0.18731707317073171</v>
      </c>
      <c r="G1896" s="18">
        <f>E1896* 0.936585365853659</f>
        <v>2.8097560975609772</v>
      </c>
      <c r="H1896" s="20">
        <v>0</v>
      </c>
    </row>
    <row r="1897" spans="1:8" ht="15.75" hidden="1" customHeight="1" x14ac:dyDescent="0.25">
      <c r="A1897" s="20" t="s">
        <v>151</v>
      </c>
      <c r="B1897" s="47" t="s">
        <v>166</v>
      </c>
      <c r="C1897" s="49"/>
      <c r="D1897" s="19" t="s">
        <v>11</v>
      </c>
      <c r="E1897" s="23">
        <v>55</v>
      </c>
      <c r="F1897" s="18">
        <f>E1897* 0.080360592401803</f>
        <v>4.4198325820991649</v>
      </c>
      <c r="G1897" s="18">
        <f>E1897* 0.917192530585963</f>
        <v>50.445589182227963</v>
      </c>
      <c r="H1897" s="18">
        <f>E1897* 0.00218931101094656</f>
        <v>0.1204121056020608</v>
      </c>
    </row>
    <row r="1898" spans="1:8" ht="15.75" hidden="1" customHeight="1" x14ac:dyDescent="0.25">
      <c r="A1898" s="20" t="s">
        <v>151</v>
      </c>
      <c r="B1898" s="47" t="s">
        <v>166</v>
      </c>
      <c r="C1898" s="49"/>
      <c r="D1898" s="19" t="s">
        <v>17</v>
      </c>
      <c r="E1898" s="23">
        <v>79</v>
      </c>
      <c r="F1898" s="18">
        <f>E1898* 0.836035451794207</f>
        <v>66.046800691742348</v>
      </c>
      <c r="G1898" s="18">
        <f>E1898* 0.0583657587548638</f>
        <v>4.61089494163424</v>
      </c>
      <c r="H1898" s="18">
        <f>E1898* 0.10559878945093</f>
        <v>8.3423043666234697</v>
      </c>
    </row>
    <row r="1899" spans="1:8" ht="15.75" hidden="1" customHeight="1" x14ac:dyDescent="0.25">
      <c r="A1899" s="20" t="s">
        <v>151</v>
      </c>
      <c r="B1899" s="47" t="s">
        <v>166</v>
      </c>
      <c r="C1899" s="49"/>
      <c r="D1899" s="19" t="s">
        <v>31</v>
      </c>
      <c r="E1899" s="23">
        <v>8</v>
      </c>
      <c r="F1899" s="18">
        <f>E1899* 0.872611464968153</f>
        <v>6.980891719745224</v>
      </c>
      <c r="G1899" s="18">
        <f>E1899* 0.0764331210191083</f>
        <v>0.61146496815286644</v>
      </c>
      <c r="H1899" s="18">
        <f>E1899* 0.0509554140127389</f>
        <v>0.40764331210191118</v>
      </c>
    </row>
    <row r="1900" spans="1:8" ht="15.75" hidden="1" customHeight="1" x14ac:dyDescent="0.25">
      <c r="A1900" s="20" t="s">
        <v>151</v>
      </c>
      <c r="B1900" s="47" t="s">
        <v>166</v>
      </c>
      <c r="C1900" s="49"/>
      <c r="D1900" s="19" t="s">
        <v>18</v>
      </c>
      <c r="E1900" s="23">
        <v>9</v>
      </c>
      <c r="F1900" s="18">
        <f>E1900* 0.920270974465868</f>
        <v>8.2824387701928117</v>
      </c>
      <c r="G1900" s="18">
        <f>E1900* 0.0703491401771756</f>
        <v>0.63314226159458042</v>
      </c>
      <c r="H1900" s="18">
        <f>E1900* 0.00937988535695675</f>
        <v>8.4418968212610745E-2</v>
      </c>
    </row>
    <row r="1901" spans="1:8" ht="15.75" hidden="1" customHeight="1" x14ac:dyDescent="0.25">
      <c r="A1901" s="20" t="s">
        <v>151</v>
      </c>
      <c r="B1901" s="47" t="s">
        <v>166</v>
      </c>
      <c r="C1901" s="49"/>
      <c r="D1901" s="19" t="s">
        <v>19</v>
      </c>
      <c r="E1901" s="23">
        <v>2</v>
      </c>
      <c r="F1901" s="18">
        <f>E1901* 0.223420647149461</f>
        <v>0.446841294298922</v>
      </c>
      <c r="G1901" s="18">
        <f>E1901* 0.773497688751926</f>
        <v>1.5469953775038521</v>
      </c>
      <c r="H1901" s="18">
        <f>E1901* 0.00308166409861325</f>
        <v>6.1633281972264999E-3</v>
      </c>
    </row>
    <row r="1902" spans="1:8" ht="15.75" hidden="1" customHeight="1" x14ac:dyDescent="0.25">
      <c r="A1902" s="20" t="s">
        <v>151</v>
      </c>
      <c r="B1902" s="47" t="s">
        <v>166</v>
      </c>
      <c r="C1902" s="49"/>
      <c r="D1902" s="19" t="s">
        <v>20</v>
      </c>
      <c r="E1902" s="23">
        <v>46</v>
      </c>
      <c r="F1902" s="18">
        <f>E1902* 0.61531089014017</f>
        <v>28.304300946447821</v>
      </c>
      <c r="G1902" s="18">
        <f>E1902* 0.298190966814424</f>
        <v>13.716784473463504</v>
      </c>
      <c r="H1902" s="18">
        <f>E1902* 0.086378339523182</f>
        <v>3.9734036180663717</v>
      </c>
    </row>
    <row r="1903" spans="1:8" ht="15.75" hidden="1" customHeight="1" x14ac:dyDescent="0.25">
      <c r="A1903" s="20" t="s">
        <v>151</v>
      </c>
      <c r="B1903" s="47" t="s">
        <v>166</v>
      </c>
      <c r="C1903" s="49"/>
      <c r="D1903" s="19" t="s">
        <v>21</v>
      </c>
      <c r="E1903" s="23">
        <v>42</v>
      </c>
      <c r="F1903" s="18">
        <f>E1903* 0.999801370543252</f>
        <v>41.991657562816584</v>
      </c>
      <c r="G1903" s="18">
        <f>E1903* 0.0000993147283742179</f>
        <v>4.1712185917171518E-3</v>
      </c>
      <c r="H1903" s="18">
        <f>E1903* 0.0000993147283742179</f>
        <v>4.1712185917171518E-3</v>
      </c>
    </row>
    <row r="1904" spans="1:8" ht="15.75" hidden="1" customHeight="1" x14ac:dyDescent="0.25">
      <c r="A1904" s="20" t="s">
        <v>151</v>
      </c>
      <c r="B1904" s="47" t="s">
        <v>166</v>
      </c>
      <c r="C1904" s="49"/>
      <c r="D1904" s="19" t="s">
        <v>28</v>
      </c>
      <c r="E1904" s="23">
        <v>16</v>
      </c>
      <c r="F1904" s="20">
        <v>0</v>
      </c>
      <c r="G1904" s="18">
        <f>E1904* 0.99904671115348</f>
        <v>15.98474737845568</v>
      </c>
      <c r="H1904" s="18">
        <f>E1904* 0.000953288846520496</f>
        <v>1.5252621544327936E-2</v>
      </c>
    </row>
    <row r="1905" spans="1:8" ht="15.75" hidden="1" customHeight="1" x14ac:dyDescent="0.25">
      <c r="A1905" s="20" t="s">
        <v>151</v>
      </c>
      <c r="B1905" s="47" t="s">
        <v>166</v>
      </c>
      <c r="C1905" s="49"/>
      <c r="D1905" s="19" t="s">
        <v>12</v>
      </c>
      <c r="E1905" s="23">
        <v>140</v>
      </c>
      <c r="F1905" s="18">
        <f>E1905* 0.849400404921352</f>
        <v>118.91605668898929</v>
      </c>
      <c r="G1905" s="18">
        <f>E1905* 0.0654726678087525</f>
        <v>9.1661734932253491</v>
      </c>
      <c r="H1905" s="18">
        <f>E1905* 0.0851269272698957</f>
        <v>11.917769817785397</v>
      </c>
    </row>
    <row r="1906" spans="1:8" ht="15.75" hidden="1" customHeight="1" x14ac:dyDescent="0.25">
      <c r="A1906" s="20" t="s">
        <v>151</v>
      </c>
      <c r="B1906" s="20"/>
      <c r="C1906" s="20"/>
      <c r="D1906" s="46"/>
      <c r="E1906" s="35"/>
    </row>
    <row r="1907" spans="1:8" ht="15.75" customHeight="1" x14ac:dyDescent="0.25">
      <c r="A1907" s="20" t="s">
        <v>151</v>
      </c>
      <c r="B1907" s="47" t="s">
        <v>167</v>
      </c>
      <c r="C1907" s="12" t="str">
        <f>B1907&amp;"_"&amp;A1907</f>
        <v>La Riviera_Oruro</v>
      </c>
      <c r="D1907" s="20"/>
      <c r="E1907" s="48">
        <v>1942</v>
      </c>
      <c r="F1907" s="14">
        <f t="shared" ref="F1907:H1907" si="159">SUM(F1908:F1920)</f>
        <v>1424.1207647889678</v>
      </c>
      <c r="G1907" s="14">
        <f t="shared" si="159"/>
        <v>427.95428828874674</v>
      </c>
      <c r="H1907" s="14">
        <f t="shared" si="159"/>
        <v>89.798161364497901</v>
      </c>
    </row>
    <row r="1908" spans="1:8" ht="15.75" hidden="1" customHeight="1" x14ac:dyDescent="0.25">
      <c r="A1908" s="20" t="s">
        <v>151</v>
      </c>
      <c r="B1908" s="47" t="s">
        <v>167</v>
      </c>
      <c r="C1908" s="49"/>
      <c r="D1908" s="29" t="s">
        <v>508</v>
      </c>
      <c r="E1908" s="23">
        <v>1</v>
      </c>
      <c r="F1908" s="20">
        <v>0</v>
      </c>
      <c r="G1908" s="24">
        <f>E1908</f>
        <v>1</v>
      </c>
      <c r="H1908" s="20">
        <v>0</v>
      </c>
    </row>
    <row r="1909" spans="1:8" ht="15.75" hidden="1" customHeight="1" x14ac:dyDescent="0.25">
      <c r="A1909" s="20" t="s">
        <v>151</v>
      </c>
      <c r="B1909" s="47" t="s">
        <v>167</v>
      </c>
      <c r="C1909" s="49"/>
      <c r="D1909" s="19" t="s">
        <v>15</v>
      </c>
      <c r="E1909" s="23">
        <v>121</v>
      </c>
      <c r="F1909" s="18">
        <f>E1909* 0.929012779104059</f>
        <v>112.41054627159114</v>
      </c>
      <c r="G1909" s="18">
        <f>E1909* 0.00947900575761831</f>
        <v>1.1469596966718156</v>
      </c>
      <c r="H1909" s="18">
        <f>E1909* 0.0614380002808594</f>
        <v>7.4339980339839871</v>
      </c>
    </row>
    <row r="1910" spans="1:8" ht="15.75" hidden="1" customHeight="1" x14ac:dyDescent="0.25">
      <c r="A1910" s="20" t="s">
        <v>151</v>
      </c>
      <c r="B1910" s="47" t="s">
        <v>167</v>
      </c>
      <c r="C1910" s="49"/>
      <c r="D1910" s="29" t="s">
        <v>509</v>
      </c>
      <c r="E1910" s="23">
        <v>25</v>
      </c>
      <c r="F1910" s="18">
        <f>E1910* 0.0624390243902439</f>
        <v>1.5609756097560976</v>
      </c>
      <c r="G1910" s="18">
        <f>E1910* 0.936585365853659</f>
        <v>23.414634146341477</v>
      </c>
      <c r="H1910" s="20">
        <v>0</v>
      </c>
    </row>
    <row r="1911" spans="1:8" ht="15.75" hidden="1" customHeight="1" x14ac:dyDescent="0.25">
      <c r="A1911" s="20" t="s">
        <v>151</v>
      </c>
      <c r="B1911" s="47" t="s">
        <v>167</v>
      </c>
      <c r="C1911" s="49"/>
      <c r="D1911" s="19" t="s">
        <v>11</v>
      </c>
      <c r="E1911" s="23">
        <v>232</v>
      </c>
      <c r="F1911" s="18">
        <f>E1911* 0.080360592401803</f>
        <v>18.643657437218298</v>
      </c>
      <c r="G1911" s="18">
        <f>E1911* 0.917192530585963</f>
        <v>212.7886670959434</v>
      </c>
      <c r="H1911" s="18">
        <f>E1911* 0.00218931101094656</f>
        <v>0.50792015453960193</v>
      </c>
    </row>
    <row r="1912" spans="1:8" ht="15.75" hidden="1" customHeight="1" x14ac:dyDescent="0.25">
      <c r="A1912" s="20" t="s">
        <v>151</v>
      </c>
      <c r="B1912" s="47" t="s">
        <v>167</v>
      </c>
      <c r="C1912" s="49"/>
      <c r="D1912" s="19" t="s">
        <v>17</v>
      </c>
      <c r="E1912" s="23">
        <v>156</v>
      </c>
      <c r="F1912" s="18">
        <f>E1912* 0.836035451794207</f>
        <v>130.42153047989629</v>
      </c>
      <c r="G1912" s="18">
        <f>E1912* 0.0583657587548638</f>
        <v>9.1050583657587527</v>
      </c>
      <c r="H1912" s="18">
        <f>E1912* 0.10559878945093</f>
        <v>16.473411154345079</v>
      </c>
    </row>
    <row r="1913" spans="1:8" ht="15.75" hidden="1" customHeight="1" x14ac:dyDescent="0.25">
      <c r="A1913" s="20" t="s">
        <v>151</v>
      </c>
      <c r="B1913" s="47" t="s">
        <v>167</v>
      </c>
      <c r="C1913" s="49"/>
      <c r="D1913" s="19" t="s">
        <v>31</v>
      </c>
      <c r="E1913" s="23">
        <v>36</v>
      </c>
      <c r="F1913" s="18">
        <f>E1913* 0.872611464968153</f>
        <v>31.414012738853508</v>
      </c>
      <c r="G1913" s="18">
        <f>E1913* 0.0764331210191083</f>
        <v>2.7515923566878988</v>
      </c>
      <c r="H1913" s="18">
        <f>E1913* 0.0509554140127389</f>
        <v>1.8343949044586003</v>
      </c>
    </row>
    <row r="1914" spans="1:8" ht="15.75" hidden="1" customHeight="1" x14ac:dyDescent="0.25">
      <c r="A1914" s="20" t="s">
        <v>151</v>
      </c>
      <c r="B1914" s="47" t="s">
        <v>167</v>
      </c>
      <c r="C1914" s="49"/>
      <c r="D1914" s="19" t="s">
        <v>18</v>
      </c>
      <c r="E1914" s="23">
        <v>18</v>
      </c>
      <c r="F1914" s="18">
        <f>E1914* 0.920270974465868</f>
        <v>16.564877540385623</v>
      </c>
      <c r="G1914" s="18">
        <f>E1914* 0.0703491401771756</f>
        <v>1.2662845231891608</v>
      </c>
      <c r="H1914" s="18">
        <f>E1914* 0.00937988535695675</f>
        <v>0.16883793642522149</v>
      </c>
    </row>
    <row r="1915" spans="1:8" ht="15.75" hidden="1" customHeight="1" x14ac:dyDescent="0.25">
      <c r="A1915" s="20" t="s">
        <v>151</v>
      </c>
      <c r="B1915" s="47" t="s">
        <v>167</v>
      </c>
      <c r="C1915" s="49"/>
      <c r="D1915" s="29" t="s">
        <v>510</v>
      </c>
      <c r="E1915" s="23">
        <v>2</v>
      </c>
      <c r="F1915" s="20">
        <v>0</v>
      </c>
      <c r="G1915" s="24">
        <f>E1915</f>
        <v>2</v>
      </c>
      <c r="H1915" s="20">
        <v>0</v>
      </c>
    </row>
    <row r="1916" spans="1:8" ht="15.75" hidden="1" customHeight="1" x14ac:dyDescent="0.25">
      <c r="A1916" s="20" t="s">
        <v>151</v>
      </c>
      <c r="B1916" s="47" t="s">
        <v>167</v>
      </c>
      <c r="C1916" s="49"/>
      <c r="D1916" s="19" t="s">
        <v>19</v>
      </c>
      <c r="E1916" s="23">
        <v>1</v>
      </c>
      <c r="F1916" s="18">
        <f>E1916* 0.223420647149461</f>
        <v>0.223420647149461</v>
      </c>
      <c r="G1916" s="18">
        <f>E1916* 0.773497688751926</f>
        <v>0.77349768875192604</v>
      </c>
      <c r="H1916" s="18">
        <f>E1916* 0.00308166409861325</f>
        <v>3.08166409861325E-3</v>
      </c>
    </row>
    <row r="1917" spans="1:8" ht="15.75" hidden="1" customHeight="1" x14ac:dyDescent="0.25">
      <c r="A1917" s="20" t="s">
        <v>151</v>
      </c>
      <c r="B1917" s="47" t="s">
        <v>167</v>
      </c>
      <c r="C1917" s="49"/>
      <c r="D1917" s="19" t="s">
        <v>20</v>
      </c>
      <c r="E1917" s="23">
        <v>285</v>
      </c>
      <c r="F1917" s="18">
        <f>E1917* 0.61531089014017</f>
        <v>175.36360368994846</v>
      </c>
      <c r="G1917" s="18">
        <f>E1917* 0.298190966814424</f>
        <v>84.984425542110827</v>
      </c>
      <c r="H1917" s="18">
        <f>E1917* 0.086378339523182</f>
        <v>24.617826764106869</v>
      </c>
    </row>
    <row r="1918" spans="1:8" ht="15.75" hidden="1" customHeight="1" x14ac:dyDescent="0.25">
      <c r="A1918" s="20" t="s">
        <v>151</v>
      </c>
      <c r="B1918" s="47" t="s">
        <v>167</v>
      </c>
      <c r="C1918" s="49"/>
      <c r="D1918" s="19" t="s">
        <v>21</v>
      </c>
      <c r="E1918" s="23">
        <v>552</v>
      </c>
      <c r="F1918" s="18">
        <f>E1918* 0.999801370543252</f>
        <v>551.89035653987514</v>
      </c>
      <c r="G1918" s="18">
        <f>E1918* 0.0000993147283742179</f>
        <v>5.4821730062568283E-2</v>
      </c>
      <c r="H1918" s="18">
        <f>E1918* 0.0000993147283742179</f>
        <v>5.4821730062568283E-2</v>
      </c>
    </row>
    <row r="1919" spans="1:8" ht="15.75" hidden="1" customHeight="1" x14ac:dyDescent="0.25">
      <c r="A1919" s="20" t="s">
        <v>151</v>
      </c>
      <c r="B1919" s="47" t="s">
        <v>167</v>
      </c>
      <c r="C1919" s="49"/>
      <c r="D1919" s="19" t="s">
        <v>28</v>
      </c>
      <c r="E1919" s="23">
        <v>59</v>
      </c>
      <c r="F1919" s="20">
        <v>0</v>
      </c>
      <c r="G1919" s="18">
        <f>E1919* 0.99904671115348</f>
        <v>58.94375595805532</v>
      </c>
      <c r="H1919" s="18">
        <f>E1919* 0.000953288846520496</f>
        <v>5.6244041944709264E-2</v>
      </c>
    </row>
    <row r="1920" spans="1:8" ht="15.75" hidden="1" customHeight="1" x14ac:dyDescent="0.25">
      <c r="A1920" s="20" t="s">
        <v>151</v>
      </c>
      <c r="B1920" s="47" t="s">
        <v>167</v>
      </c>
      <c r="C1920" s="49"/>
      <c r="D1920" s="19" t="s">
        <v>12</v>
      </c>
      <c r="E1920" s="23">
        <v>454</v>
      </c>
      <c r="F1920" s="18">
        <f>E1920* 0.849400404921352</f>
        <v>385.62778383429384</v>
      </c>
      <c r="G1920" s="18">
        <f>E1920* 0.0654726678087525</f>
        <v>29.724591185173633</v>
      </c>
      <c r="H1920" s="18">
        <f>E1920* 0.0851269272698957</f>
        <v>38.647624980532647</v>
      </c>
    </row>
    <row r="1921" spans="1:8" ht="15.75" hidden="1" customHeight="1" x14ac:dyDescent="0.25">
      <c r="A1921" s="20" t="s">
        <v>151</v>
      </c>
      <c r="B1921" s="20"/>
      <c r="C1921" s="20"/>
      <c r="D1921" s="46"/>
      <c r="E1921" s="35"/>
    </row>
    <row r="1922" spans="1:8" ht="15.75" customHeight="1" x14ac:dyDescent="0.25">
      <c r="A1922" s="20" t="s">
        <v>151</v>
      </c>
      <c r="B1922" s="47" t="s">
        <v>168</v>
      </c>
      <c r="C1922" s="12" t="str">
        <f>B1922&amp;"_"&amp;A1922</f>
        <v>Machacamarca_Oruro</v>
      </c>
      <c r="D1922" s="20"/>
      <c r="E1922" s="48">
        <v>107</v>
      </c>
      <c r="F1922" s="14">
        <f t="shared" ref="F1922:H1922" si="160">SUM(F1923:F1932)</f>
        <v>79.152197269881228</v>
      </c>
      <c r="G1922" s="14">
        <f t="shared" si="160"/>
        <v>20.598200221728003</v>
      </c>
      <c r="H1922" s="14">
        <f t="shared" si="160"/>
        <v>7.2430937838894067</v>
      </c>
    </row>
    <row r="1923" spans="1:8" ht="15.75" hidden="1" customHeight="1" x14ac:dyDescent="0.25">
      <c r="A1923" s="20" t="s">
        <v>151</v>
      </c>
      <c r="B1923" s="47" t="s">
        <v>168</v>
      </c>
      <c r="C1923" s="49"/>
      <c r="D1923" s="19" t="s">
        <v>15</v>
      </c>
      <c r="E1923" s="23">
        <v>19</v>
      </c>
      <c r="F1923" s="18">
        <f>E1923* 0.929012779104059</f>
        <v>17.651242802977119</v>
      </c>
      <c r="G1923" s="18">
        <f>E1923* 0.00947900575761831</f>
        <v>0.18010110939474791</v>
      </c>
      <c r="H1923" s="18">
        <f>E1923* 0.0614380002808594</f>
        <v>1.1673220053363285</v>
      </c>
    </row>
    <row r="1924" spans="1:8" ht="15.75" hidden="1" customHeight="1" x14ac:dyDescent="0.25">
      <c r="A1924" s="20" t="s">
        <v>151</v>
      </c>
      <c r="B1924" s="47" t="s">
        <v>168</v>
      </c>
      <c r="C1924" s="49"/>
      <c r="D1924" s="29" t="s">
        <v>511</v>
      </c>
      <c r="E1924" s="23">
        <v>1</v>
      </c>
      <c r="F1924" s="18">
        <f>E1924* 0.0624390243902439</f>
        <v>6.2439024390243902E-2</v>
      </c>
      <c r="G1924" s="18">
        <f>E1924* 0.936585365853659</f>
        <v>0.93658536585365904</v>
      </c>
      <c r="H1924" s="20">
        <v>0</v>
      </c>
    </row>
    <row r="1925" spans="1:8" ht="15.75" hidden="1" customHeight="1" x14ac:dyDescent="0.25">
      <c r="A1925" s="20" t="s">
        <v>151</v>
      </c>
      <c r="B1925" s="47" t="s">
        <v>168</v>
      </c>
      <c r="C1925" s="49"/>
      <c r="D1925" s="19" t="s">
        <v>11</v>
      </c>
      <c r="E1925" s="23">
        <v>7</v>
      </c>
      <c r="F1925" s="18">
        <f>E1925* 0.080360592401803</f>
        <v>0.56252414681262097</v>
      </c>
      <c r="G1925" s="18">
        <f>E1925* 0.917192530585963</f>
        <v>6.4203477141017409</v>
      </c>
      <c r="H1925" s="18">
        <f>E1925* 0.00218931101094656</f>
        <v>1.532517707662592E-2</v>
      </c>
    </row>
    <row r="1926" spans="1:8" ht="15.75" hidden="1" customHeight="1" x14ac:dyDescent="0.25">
      <c r="A1926" s="20" t="s">
        <v>151</v>
      </c>
      <c r="B1926" s="47" t="s">
        <v>168</v>
      </c>
      <c r="C1926" s="49"/>
      <c r="D1926" s="19" t="s">
        <v>17</v>
      </c>
      <c r="E1926" s="23">
        <v>10</v>
      </c>
      <c r="F1926" s="18">
        <f>E1926* 0.836035451794207</f>
        <v>8.3603545179420706</v>
      </c>
      <c r="G1926" s="18">
        <f>E1926* 0.0583657587548638</f>
        <v>0.58365758754863806</v>
      </c>
      <c r="H1926" s="18">
        <f>E1926* 0.10559878945093</f>
        <v>1.0559878945093</v>
      </c>
    </row>
    <row r="1927" spans="1:8" ht="15.75" hidden="1" customHeight="1" x14ac:dyDescent="0.25">
      <c r="A1927" s="20" t="s">
        <v>151</v>
      </c>
      <c r="B1927" s="47" t="s">
        <v>168</v>
      </c>
      <c r="C1927" s="49"/>
      <c r="D1927" s="19" t="s">
        <v>31</v>
      </c>
      <c r="E1927" s="23">
        <v>2</v>
      </c>
      <c r="F1927" s="18">
        <f>E1927* 0.872611464968153</f>
        <v>1.745222929936306</v>
      </c>
      <c r="G1927" s="18">
        <f>E1927* 0.0764331210191083</f>
        <v>0.15286624203821661</v>
      </c>
      <c r="H1927" s="18">
        <f>E1927* 0.0509554140127389</f>
        <v>0.1019108280254778</v>
      </c>
    </row>
    <row r="1928" spans="1:8" ht="15.75" hidden="1" customHeight="1" x14ac:dyDescent="0.25">
      <c r="A1928" s="20" t="s">
        <v>151</v>
      </c>
      <c r="B1928" s="47" t="s">
        <v>168</v>
      </c>
      <c r="C1928" s="49"/>
      <c r="D1928" s="19" t="s">
        <v>18</v>
      </c>
      <c r="E1928" s="23">
        <v>1</v>
      </c>
      <c r="F1928" s="18">
        <f>E1928* 0.920270974465868</f>
        <v>0.92027097446586803</v>
      </c>
      <c r="G1928" s="18">
        <f>E1928* 0.0703491401771756</f>
        <v>7.0349140177175598E-2</v>
      </c>
      <c r="H1928" s="18">
        <f>E1928* 0.00937988535695675</f>
        <v>9.3798853569567499E-3</v>
      </c>
    </row>
    <row r="1929" spans="1:8" ht="15.75" hidden="1" customHeight="1" x14ac:dyDescent="0.25">
      <c r="A1929" s="20" t="s">
        <v>151</v>
      </c>
      <c r="B1929" s="47" t="s">
        <v>168</v>
      </c>
      <c r="C1929" s="49"/>
      <c r="D1929" s="19" t="s">
        <v>19</v>
      </c>
      <c r="E1929" s="23">
        <v>5</v>
      </c>
      <c r="F1929" s="18">
        <f>E1929* 0.223420647149461</f>
        <v>1.117103235747305</v>
      </c>
      <c r="G1929" s="18">
        <f>E1929* 0.773497688751926</f>
        <v>3.8674884437596302</v>
      </c>
      <c r="H1929" s="18">
        <f>E1929* 0.00308166409861325</f>
        <v>1.5408320493066251E-2</v>
      </c>
    </row>
    <row r="1930" spans="1:8" ht="15.75" hidden="1" customHeight="1" x14ac:dyDescent="0.25">
      <c r="A1930" s="20" t="s">
        <v>151</v>
      </c>
      <c r="B1930" s="47" t="s">
        <v>168</v>
      </c>
      <c r="C1930" s="49"/>
      <c r="D1930" s="19" t="s">
        <v>20</v>
      </c>
      <c r="E1930" s="23">
        <v>20</v>
      </c>
      <c r="F1930" s="18">
        <f>E1930* 0.61531089014017</f>
        <v>12.306217802803401</v>
      </c>
      <c r="G1930" s="18">
        <f>E1930* 0.298190966814424</f>
        <v>5.9638193362884797</v>
      </c>
      <c r="H1930" s="18">
        <f>E1930* 0.086378339523182</f>
        <v>1.7275667904636398</v>
      </c>
    </row>
    <row r="1931" spans="1:8" ht="15.75" hidden="1" customHeight="1" x14ac:dyDescent="0.25">
      <c r="A1931" s="20" t="s">
        <v>151</v>
      </c>
      <c r="B1931" s="47" t="s">
        <v>168</v>
      </c>
      <c r="C1931" s="49"/>
      <c r="D1931" s="19" t="s">
        <v>21</v>
      </c>
      <c r="E1931" s="23">
        <v>5</v>
      </c>
      <c r="F1931" s="18">
        <f>E1931* 0.999801370543252</f>
        <v>4.9990068527162599</v>
      </c>
      <c r="G1931" s="18">
        <f>E1931* 0.0000993147283742179</f>
        <v>4.9657364187108953E-4</v>
      </c>
      <c r="H1931" s="18">
        <f>E1931* 0.0000993147283742179</f>
        <v>4.9657364187108953E-4</v>
      </c>
    </row>
    <row r="1932" spans="1:8" ht="15.75" hidden="1" customHeight="1" x14ac:dyDescent="0.25">
      <c r="A1932" s="20" t="s">
        <v>151</v>
      </c>
      <c r="B1932" s="47" t="s">
        <v>168</v>
      </c>
      <c r="C1932" s="49"/>
      <c r="D1932" s="19" t="s">
        <v>12</v>
      </c>
      <c r="E1932" s="23">
        <v>37</v>
      </c>
      <c r="F1932" s="18">
        <f>E1932* 0.849400404921352</f>
        <v>31.427814982090027</v>
      </c>
      <c r="G1932" s="18">
        <f>E1932* 0.0654726678087525</f>
        <v>2.4224887089238423</v>
      </c>
      <c r="H1932" s="18">
        <f>E1932* 0.0851269272698957</f>
        <v>3.1496963089861407</v>
      </c>
    </row>
    <row r="1933" spans="1:8" ht="15.75" hidden="1" customHeight="1" x14ac:dyDescent="0.25">
      <c r="A1933" s="20" t="s">
        <v>151</v>
      </c>
      <c r="B1933" s="20"/>
      <c r="C1933" s="20"/>
      <c r="D1933" s="46"/>
      <c r="E1933" s="35"/>
    </row>
    <row r="1934" spans="1:8" ht="15.75" customHeight="1" x14ac:dyDescent="0.25">
      <c r="A1934" s="20" t="s">
        <v>151</v>
      </c>
      <c r="B1934" s="47" t="s">
        <v>151</v>
      </c>
      <c r="C1934" s="12" t="str">
        <f>B1934&amp;"_"&amp;A1934</f>
        <v>Oruro_Oruro</v>
      </c>
      <c r="D1934" s="20"/>
      <c r="E1934" s="48">
        <f t="shared" ref="E1934:H1934" si="161">SUM(E1935:E1949)</f>
        <v>96008</v>
      </c>
      <c r="F1934" s="14">
        <f t="shared" si="161"/>
        <v>76450.428336379162</v>
      </c>
      <c r="G1934" s="14">
        <f t="shared" si="161"/>
        <v>13731.500281004242</v>
      </c>
      <c r="H1934" s="14">
        <f t="shared" si="161"/>
        <v>5821.347286983364</v>
      </c>
    </row>
    <row r="1935" spans="1:8" ht="15.75" hidden="1" customHeight="1" x14ac:dyDescent="0.25">
      <c r="A1935" s="20" t="s">
        <v>151</v>
      </c>
      <c r="B1935" s="47" t="s">
        <v>151</v>
      </c>
      <c r="C1935" s="49"/>
      <c r="D1935" s="29" t="s">
        <v>512</v>
      </c>
      <c r="E1935" s="23">
        <v>70</v>
      </c>
      <c r="F1935" s="20">
        <v>0</v>
      </c>
      <c r="G1935" s="24">
        <f>E1935</f>
        <v>70</v>
      </c>
      <c r="H1935" s="20">
        <v>0</v>
      </c>
    </row>
    <row r="1936" spans="1:8" ht="15.75" hidden="1" customHeight="1" x14ac:dyDescent="0.25">
      <c r="A1936" s="20" t="s">
        <v>151</v>
      </c>
      <c r="B1936" s="47" t="s">
        <v>151</v>
      </c>
      <c r="C1936" s="49"/>
      <c r="D1936" s="19" t="s">
        <v>15</v>
      </c>
      <c r="E1936" s="23">
        <v>17209</v>
      </c>
      <c r="F1936" s="18">
        <f>E1936* 0.929012779104059</f>
        <v>15987.380915601751</v>
      </c>
      <c r="G1936" s="18">
        <f>E1936* 0.00947900575761831</f>
        <v>163.12421008285349</v>
      </c>
      <c r="H1936" s="18">
        <f>E1936* 0.0614380002808594</f>
        <v>1057.2865468333093</v>
      </c>
    </row>
    <row r="1937" spans="1:8" ht="15.75" hidden="1" customHeight="1" x14ac:dyDescent="0.25">
      <c r="A1937" s="20" t="s">
        <v>151</v>
      </c>
      <c r="B1937" s="47" t="s">
        <v>151</v>
      </c>
      <c r="C1937" s="49"/>
      <c r="D1937" s="29" t="s">
        <v>513</v>
      </c>
      <c r="E1937" s="23">
        <v>808</v>
      </c>
      <c r="F1937" s="18">
        <f>E1937* 0.0624390243902439</f>
        <v>50.450731707317075</v>
      </c>
      <c r="G1937" s="18">
        <f>E1937* 0.936585365853659</f>
        <v>756.76097560975654</v>
      </c>
      <c r="H1937" s="20">
        <v>0</v>
      </c>
    </row>
    <row r="1938" spans="1:8" ht="15.75" hidden="1" customHeight="1" x14ac:dyDescent="0.25">
      <c r="A1938" s="20" t="s">
        <v>151</v>
      </c>
      <c r="B1938" s="47" t="s">
        <v>151</v>
      </c>
      <c r="C1938" s="49"/>
      <c r="D1938" s="19" t="s">
        <v>11</v>
      </c>
      <c r="E1938" s="23">
        <v>6339</v>
      </c>
      <c r="F1938" s="18">
        <f>E1938* 0.080360592401803</f>
        <v>509.40579523502925</v>
      </c>
      <c r="G1938" s="18">
        <f>E1938* 0.917192530585963</f>
        <v>5814.0834513844193</v>
      </c>
      <c r="H1938" s="18">
        <f>E1938* 0.00218931101094656</f>
        <v>13.878042498390244</v>
      </c>
    </row>
    <row r="1939" spans="1:8" ht="15.75" hidden="1" customHeight="1" x14ac:dyDescent="0.25">
      <c r="A1939" s="20" t="s">
        <v>151</v>
      </c>
      <c r="B1939" s="47" t="s">
        <v>151</v>
      </c>
      <c r="C1939" s="49"/>
      <c r="D1939" s="19" t="s">
        <v>17</v>
      </c>
      <c r="E1939" s="23">
        <v>9611</v>
      </c>
      <c r="F1939" s="18">
        <f>E1939* 0.836035451794207</f>
        <v>8035.1367271941235</v>
      </c>
      <c r="G1939" s="18">
        <f>E1939* 0.0583657587548638</f>
        <v>560.95330739299595</v>
      </c>
      <c r="H1939" s="18">
        <f>E1939* 0.10559878945093</f>
        <v>1014.9099654128883</v>
      </c>
    </row>
    <row r="1940" spans="1:8" ht="15.75" hidden="1" customHeight="1" x14ac:dyDescent="0.25">
      <c r="A1940" s="20" t="s">
        <v>151</v>
      </c>
      <c r="B1940" s="47" t="s">
        <v>151</v>
      </c>
      <c r="C1940" s="49"/>
      <c r="D1940" s="19" t="s">
        <v>31</v>
      </c>
      <c r="E1940" s="23">
        <v>513</v>
      </c>
      <c r="F1940" s="18">
        <f>E1940* 0.872611464968153</f>
        <v>447.64968152866248</v>
      </c>
      <c r="G1940" s="18">
        <f>E1940* 0.0764331210191083</f>
        <v>39.210191082802559</v>
      </c>
      <c r="H1940" s="18">
        <f>E1940* 0.0509554140127389</f>
        <v>26.140127388535056</v>
      </c>
    </row>
    <row r="1941" spans="1:8" ht="15.75" hidden="1" customHeight="1" x14ac:dyDescent="0.25">
      <c r="A1941" s="20" t="s">
        <v>151</v>
      </c>
      <c r="B1941" s="47" t="s">
        <v>151</v>
      </c>
      <c r="C1941" s="49"/>
      <c r="D1941" s="19" t="s">
        <v>18</v>
      </c>
      <c r="E1941" s="23">
        <v>1827</v>
      </c>
      <c r="F1941" s="18">
        <f>E1941* 0.920270974465868</f>
        <v>1681.3350703491408</v>
      </c>
      <c r="G1941" s="18">
        <f>E1941* 0.0703491401771756</f>
        <v>128.52787910369983</v>
      </c>
      <c r="H1941" s="18">
        <f>E1941* 0.00937988535695675</f>
        <v>17.137050547159983</v>
      </c>
    </row>
    <row r="1942" spans="1:8" ht="15.75" hidden="1" customHeight="1" x14ac:dyDescent="0.25">
      <c r="A1942" s="20" t="s">
        <v>151</v>
      </c>
      <c r="B1942" s="47" t="s">
        <v>151</v>
      </c>
      <c r="C1942" s="49"/>
      <c r="D1942" s="29" t="s">
        <v>514</v>
      </c>
      <c r="E1942" s="23">
        <v>3</v>
      </c>
      <c r="F1942" s="20">
        <v>0</v>
      </c>
      <c r="G1942" s="24">
        <f>E1942</f>
        <v>3</v>
      </c>
      <c r="H1942" s="20">
        <v>0</v>
      </c>
    </row>
    <row r="1943" spans="1:8" ht="15.75" hidden="1" customHeight="1" x14ac:dyDescent="0.25">
      <c r="A1943" s="20" t="s">
        <v>151</v>
      </c>
      <c r="B1943" s="47" t="s">
        <v>151</v>
      </c>
      <c r="C1943" s="49"/>
      <c r="D1943" s="19" t="s">
        <v>19</v>
      </c>
      <c r="E1943" s="23">
        <v>500</v>
      </c>
      <c r="F1943" s="18">
        <f>E1943* 0.223420647149461</f>
        <v>111.7103235747305</v>
      </c>
      <c r="G1943" s="18">
        <f>E1943* 0.773497688751926</f>
        <v>386.74884437596302</v>
      </c>
      <c r="H1943" s="18">
        <f>E1943* 0.00308166409861325</f>
        <v>1.540832049306625</v>
      </c>
    </row>
    <row r="1944" spans="1:8" ht="15.75" hidden="1" customHeight="1" x14ac:dyDescent="0.25">
      <c r="A1944" s="20" t="s">
        <v>151</v>
      </c>
      <c r="B1944" s="47" t="s">
        <v>151</v>
      </c>
      <c r="C1944" s="49"/>
      <c r="D1944" s="19" t="s">
        <v>20</v>
      </c>
      <c r="E1944" s="23">
        <v>9138</v>
      </c>
      <c r="F1944" s="18">
        <f>E1944* 0.61531089014017</f>
        <v>5622.7109141008741</v>
      </c>
      <c r="G1944" s="18">
        <f>E1944* 0.298190966814424</f>
        <v>2724.8690547502065</v>
      </c>
      <c r="H1944" s="18">
        <f>E1944* 0.086378339523182</f>
        <v>789.3252665628371</v>
      </c>
    </row>
    <row r="1945" spans="1:8" ht="15.75" hidden="1" customHeight="1" x14ac:dyDescent="0.25">
      <c r="A1945" s="20" t="s">
        <v>151</v>
      </c>
      <c r="B1945" s="47" t="s">
        <v>151</v>
      </c>
      <c r="C1945" s="49"/>
      <c r="D1945" s="19" t="s">
        <v>21</v>
      </c>
      <c r="E1945" s="23">
        <v>15022</v>
      </c>
      <c r="F1945" s="18">
        <f>E1945* 0.999801370543252</f>
        <v>15019.016188300731</v>
      </c>
      <c r="G1945" s="18">
        <f>E1945* 0.0000993147283742179</f>
        <v>1.4919058496375013</v>
      </c>
      <c r="H1945" s="18">
        <f>E1945* 0.0000993147283742179</f>
        <v>1.4919058496375013</v>
      </c>
    </row>
    <row r="1946" spans="1:8" ht="15.75" hidden="1" customHeight="1" x14ac:dyDescent="0.25">
      <c r="A1946" s="20" t="s">
        <v>151</v>
      </c>
      <c r="B1946" s="47" t="s">
        <v>151</v>
      </c>
      <c r="C1946" s="49"/>
      <c r="D1946" s="19" t="s">
        <v>36</v>
      </c>
      <c r="E1946" s="23">
        <v>61</v>
      </c>
      <c r="F1946" s="24">
        <f>E1946</f>
        <v>61</v>
      </c>
      <c r="G1946" s="20">
        <v>0</v>
      </c>
      <c r="H1946" s="20">
        <v>0</v>
      </c>
    </row>
    <row r="1947" spans="1:8" ht="15.75" hidden="1" customHeight="1" x14ac:dyDescent="0.25">
      <c r="A1947" s="20" t="s">
        <v>151</v>
      </c>
      <c r="B1947" s="47" t="s">
        <v>151</v>
      </c>
      <c r="C1947" s="49"/>
      <c r="D1947" s="19" t="s">
        <v>37</v>
      </c>
      <c r="E1947" s="23">
        <v>4</v>
      </c>
      <c r="F1947" s="20">
        <v>0</v>
      </c>
      <c r="G1947" s="24">
        <f>E1947</f>
        <v>4</v>
      </c>
      <c r="H1947" s="20">
        <v>0</v>
      </c>
    </row>
    <row r="1948" spans="1:8" ht="15.75" hidden="1" customHeight="1" x14ac:dyDescent="0.25">
      <c r="A1948" s="20" t="s">
        <v>151</v>
      </c>
      <c r="B1948" s="47" t="s">
        <v>151</v>
      </c>
      <c r="C1948" s="49"/>
      <c r="D1948" s="19" t="s">
        <v>28</v>
      </c>
      <c r="E1948" s="23">
        <v>850</v>
      </c>
      <c r="F1948" s="20">
        <v>0</v>
      </c>
      <c r="G1948" s="18">
        <f>E1948* 0.99904671115348</f>
        <v>849.18970448045798</v>
      </c>
      <c r="H1948" s="18">
        <f>E1948* 0.000953288846520496</f>
        <v>0.81029551954242163</v>
      </c>
    </row>
    <row r="1949" spans="1:8" ht="15.75" hidden="1" customHeight="1" x14ac:dyDescent="0.25">
      <c r="A1949" s="20" t="s">
        <v>151</v>
      </c>
      <c r="B1949" s="47" t="s">
        <v>151</v>
      </c>
      <c r="C1949" s="49"/>
      <c r="D1949" s="19" t="s">
        <v>12</v>
      </c>
      <c r="E1949" s="23">
        <v>34053</v>
      </c>
      <c r="F1949" s="18">
        <f>E1949* 0.849400404921352</f>
        <v>28924.631988786801</v>
      </c>
      <c r="G1949" s="18">
        <f>E1949* 0.0654726678087525</f>
        <v>2229.5407568914488</v>
      </c>
      <c r="H1949" s="18">
        <f>E1949* 0.0851269272698957</f>
        <v>2898.8272543217581</v>
      </c>
    </row>
    <row r="1950" spans="1:8" ht="15.75" hidden="1" customHeight="1" x14ac:dyDescent="0.25">
      <c r="A1950" s="20" t="s">
        <v>151</v>
      </c>
      <c r="B1950" s="20"/>
      <c r="C1950" s="20"/>
      <c r="D1950" s="46"/>
      <c r="E1950" s="35"/>
    </row>
    <row r="1951" spans="1:8" ht="15.75" customHeight="1" x14ac:dyDescent="0.25">
      <c r="A1951" s="20" t="s">
        <v>151</v>
      </c>
      <c r="B1951" s="47" t="s">
        <v>169</v>
      </c>
      <c r="C1951" s="12" t="str">
        <f>B1951&amp;"_"&amp;A1951</f>
        <v>Pampa Aullagas_Oruro</v>
      </c>
      <c r="D1951" s="20"/>
      <c r="E1951" s="48">
        <v>70</v>
      </c>
      <c r="F1951" s="14">
        <f t="shared" ref="F1951:H1951" si="162">SUM(F1952:F1961)</f>
        <v>43.377367189841479</v>
      </c>
      <c r="G1951" s="14">
        <f t="shared" si="162"/>
        <v>22.429772091916178</v>
      </c>
      <c r="H1951" s="14">
        <f t="shared" si="162"/>
        <v>4.186712116001841</v>
      </c>
    </row>
    <row r="1952" spans="1:8" ht="15.75" hidden="1" customHeight="1" x14ac:dyDescent="0.25">
      <c r="A1952" s="20" t="s">
        <v>151</v>
      </c>
      <c r="B1952" s="47" t="s">
        <v>169</v>
      </c>
      <c r="C1952" s="49"/>
      <c r="D1952" s="19" t="s">
        <v>15</v>
      </c>
      <c r="E1952" s="23">
        <v>5</v>
      </c>
      <c r="F1952" s="18">
        <f>E1952* 0.929012779104059</f>
        <v>4.6450638955202947</v>
      </c>
      <c r="G1952" s="18">
        <f>E1952* 0.00947900575761831</f>
        <v>4.7395028788091556E-2</v>
      </c>
      <c r="H1952" s="18">
        <f>E1952* 0.0614380002808594</f>
        <v>0.30719000140429698</v>
      </c>
    </row>
    <row r="1953" spans="1:8" ht="15.75" hidden="1" customHeight="1" x14ac:dyDescent="0.25">
      <c r="A1953" s="20" t="s">
        <v>151</v>
      </c>
      <c r="B1953" s="47" t="s">
        <v>169</v>
      </c>
      <c r="C1953" s="49"/>
      <c r="D1953" s="29" t="s">
        <v>413</v>
      </c>
      <c r="E1953" s="23">
        <v>1</v>
      </c>
      <c r="F1953" s="18">
        <f>E1953* 0.0624390243902439</f>
        <v>6.2439024390243902E-2</v>
      </c>
      <c r="G1953" s="18">
        <f>E1953* 0.936585365853659</f>
        <v>0.93658536585365904</v>
      </c>
      <c r="H1953" s="20">
        <v>0</v>
      </c>
    </row>
    <row r="1954" spans="1:8" ht="15.75" hidden="1" customHeight="1" x14ac:dyDescent="0.25">
      <c r="A1954" s="20" t="s">
        <v>151</v>
      </c>
      <c r="B1954" s="47" t="s">
        <v>169</v>
      </c>
      <c r="C1954" s="49"/>
      <c r="D1954" s="19" t="s">
        <v>11</v>
      </c>
      <c r="E1954" s="23">
        <v>15</v>
      </c>
      <c r="F1954" s="18">
        <f>E1954* 0.080360592401803</f>
        <v>1.2054088860270451</v>
      </c>
      <c r="G1954" s="18">
        <f>E1954* 0.917192530585963</f>
        <v>13.757887958789444</v>
      </c>
      <c r="H1954" s="18">
        <f>E1954* 0.00218931101094656</f>
        <v>3.2839665164198395E-2</v>
      </c>
    </row>
    <row r="1955" spans="1:8" ht="15.75" hidden="1" customHeight="1" x14ac:dyDescent="0.25">
      <c r="A1955" s="20" t="s">
        <v>151</v>
      </c>
      <c r="B1955" s="47" t="s">
        <v>169</v>
      </c>
      <c r="C1955" s="49"/>
      <c r="D1955" s="19" t="s">
        <v>17</v>
      </c>
      <c r="E1955" s="23">
        <v>8</v>
      </c>
      <c r="F1955" s="18">
        <f>E1955* 0.836035451794207</f>
        <v>6.6882836143536561</v>
      </c>
      <c r="G1955" s="18">
        <f>E1955* 0.0583657587548638</f>
        <v>0.4669260700389104</v>
      </c>
      <c r="H1955" s="18">
        <f>E1955* 0.10559878945093</f>
        <v>0.84479031560744</v>
      </c>
    </row>
    <row r="1956" spans="1:8" ht="15.75" hidden="1" customHeight="1" x14ac:dyDescent="0.25">
      <c r="A1956" s="20" t="s">
        <v>151</v>
      </c>
      <c r="B1956" s="47" t="s">
        <v>169</v>
      </c>
      <c r="C1956" s="49"/>
      <c r="D1956" s="19" t="s">
        <v>18</v>
      </c>
      <c r="E1956" s="23">
        <v>1</v>
      </c>
      <c r="F1956" s="18">
        <f>E1956* 0.920270974465868</f>
        <v>0.92027097446586803</v>
      </c>
      <c r="G1956" s="18">
        <f>E1956* 0.0703491401771756</f>
        <v>7.0349140177175598E-2</v>
      </c>
      <c r="H1956" s="18">
        <f>E1956* 0.00937988535695675</f>
        <v>9.3798853569567499E-3</v>
      </c>
    </row>
    <row r="1957" spans="1:8" ht="15.75" hidden="1" customHeight="1" x14ac:dyDescent="0.25">
      <c r="A1957" s="20" t="s">
        <v>151</v>
      </c>
      <c r="B1957" s="47" t="s">
        <v>169</v>
      </c>
      <c r="C1957" s="49"/>
      <c r="D1957" s="19" t="s">
        <v>19</v>
      </c>
      <c r="E1957" s="23">
        <v>0</v>
      </c>
      <c r="F1957" s="18">
        <f>E1957* 0.223420647149461</f>
        <v>0</v>
      </c>
      <c r="G1957" s="18">
        <f>E1957* 0.773497688751926</f>
        <v>0</v>
      </c>
      <c r="H1957" s="18">
        <f>E1957* 0.00308166409861325</f>
        <v>0</v>
      </c>
    </row>
    <row r="1958" spans="1:8" ht="15.75" hidden="1" customHeight="1" x14ac:dyDescent="0.25">
      <c r="A1958" s="20" t="s">
        <v>151</v>
      </c>
      <c r="B1958" s="47" t="s">
        <v>169</v>
      </c>
      <c r="C1958" s="49"/>
      <c r="D1958" s="19" t="s">
        <v>20</v>
      </c>
      <c r="E1958" s="23">
        <v>8</v>
      </c>
      <c r="F1958" s="18">
        <f>E1958* 0.61531089014017</f>
        <v>4.9224871211213603</v>
      </c>
      <c r="G1958" s="18">
        <f>E1958* 0.298190966814424</f>
        <v>2.3855277345153918</v>
      </c>
      <c r="H1958" s="18">
        <f>E1958* 0.086378339523182</f>
        <v>0.69102671618545597</v>
      </c>
    </row>
    <row r="1959" spans="1:8" ht="15.75" hidden="1" customHeight="1" x14ac:dyDescent="0.25">
      <c r="A1959" s="20" t="s">
        <v>151</v>
      </c>
      <c r="B1959" s="47" t="s">
        <v>169</v>
      </c>
      <c r="C1959" s="49"/>
      <c r="D1959" s="19" t="s">
        <v>21</v>
      </c>
      <c r="E1959" s="23">
        <v>2</v>
      </c>
      <c r="F1959" s="18">
        <f>E1959* 0.999801370543252</f>
        <v>1.999602741086504</v>
      </c>
      <c r="G1959" s="18">
        <f>E1959* 0.0000993147283742179</f>
        <v>1.9862945674843581E-4</v>
      </c>
      <c r="H1959" s="18">
        <f>E1959* 0.0000993147283742179</f>
        <v>1.9862945674843581E-4</v>
      </c>
    </row>
    <row r="1960" spans="1:8" ht="15.75" hidden="1" customHeight="1" x14ac:dyDescent="0.25">
      <c r="A1960" s="20" t="s">
        <v>151</v>
      </c>
      <c r="B1960" s="47" t="s">
        <v>169</v>
      </c>
      <c r="C1960" s="49"/>
      <c r="D1960" s="19" t="s">
        <v>28</v>
      </c>
      <c r="E1960" s="23">
        <v>3</v>
      </c>
      <c r="F1960" s="20">
        <v>0</v>
      </c>
      <c r="G1960" s="18">
        <f>E1960* 0.99904671115348</f>
        <v>2.9971401334604399</v>
      </c>
      <c r="H1960" s="18">
        <f>E1960* 0.000953288846520496</f>
        <v>2.8598665395614879E-3</v>
      </c>
    </row>
    <row r="1961" spans="1:8" ht="15.75" hidden="1" customHeight="1" x14ac:dyDescent="0.25">
      <c r="A1961" s="20" t="s">
        <v>151</v>
      </c>
      <c r="B1961" s="47" t="s">
        <v>169</v>
      </c>
      <c r="C1961" s="49"/>
      <c r="D1961" s="19" t="s">
        <v>12</v>
      </c>
      <c r="E1961" s="23">
        <v>27</v>
      </c>
      <c r="F1961" s="18">
        <f>E1961* 0.849400404921352</f>
        <v>22.933810932876504</v>
      </c>
      <c r="G1961" s="18">
        <f>E1961* 0.0654726678087525</f>
        <v>1.7677620308363173</v>
      </c>
      <c r="H1961" s="18">
        <f>E1961* 0.0851269272698957</f>
        <v>2.2984270362871837</v>
      </c>
    </row>
    <row r="1962" spans="1:8" ht="15.75" hidden="1" customHeight="1" x14ac:dyDescent="0.25">
      <c r="A1962" s="20" t="s">
        <v>151</v>
      </c>
      <c r="B1962" s="20"/>
      <c r="C1962" s="20"/>
      <c r="D1962" s="46"/>
      <c r="E1962" s="35"/>
    </row>
    <row r="1963" spans="1:8" ht="15.75" customHeight="1" x14ac:dyDescent="0.25">
      <c r="A1963" s="20" t="s">
        <v>151</v>
      </c>
      <c r="B1963" s="47" t="s">
        <v>170</v>
      </c>
      <c r="C1963" s="12" t="str">
        <f>B1963&amp;"_"&amp;A1963</f>
        <v>Pazña_Oruro</v>
      </c>
      <c r="D1963" s="20"/>
      <c r="E1963" s="53">
        <v>71</v>
      </c>
      <c r="F1963" s="14">
        <f t="shared" ref="F1963:H1963" si="163">SUM(F1964:F1971)</f>
        <v>55.424332108599998</v>
      </c>
      <c r="G1963" s="14">
        <f t="shared" si="163"/>
        <v>10.180184443223673</v>
      </c>
      <c r="H1963" s="14">
        <f t="shared" si="163"/>
        <v>5.3935610172168724</v>
      </c>
    </row>
    <row r="1964" spans="1:8" ht="15.75" hidden="1" customHeight="1" x14ac:dyDescent="0.25">
      <c r="A1964" s="20" t="s">
        <v>151</v>
      </c>
      <c r="B1964" s="47" t="s">
        <v>170</v>
      </c>
      <c r="C1964" s="49"/>
      <c r="D1964" s="19" t="s">
        <v>15</v>
      </c>
      <c r="E1964" s="54">
        <v>11</v>
      </c>
      <c r="F1964" s="18">
        <f>E1964* 0.929012779104059</f>
        <v>10.219140570144649</v>
      </c>
      <c r="G1964" s="18">
        <f>E1964* 0.00947900575761831</f>
        <v>0.10426906333380141</v>
      </c>
      <c r="H1964" s="18">
        <f>E1964* 0.0614380002808594</f>
        <v>0.67581800308945339</v>
      </c>
    </row>
    <row r="1965" spans="1:8" ht="15.75" hidden="1" customHeight="1" x14ac:dyDescent="0.25">
      <c r="A1965" s="20" t="s">
        <v>151</v>
      </c>
      <c r="B1965" s="47" t="s">
        <v>170</v>
      </c>
      <c r="C1965" s="49"/>
      <c r="D1965" s="19" t="s">
        <v>11</v>
      </c>
      <c r="E1965" s="54">
        <v>4</v>
      </c>
      <c r="F1965" s="18">
        <f>E1965* 0.080360592401803</f>
        <v>0.32144236960721201</v>
      </c>
      <c r="G1965" s="18">
        <f>E1965* 0.917192530585963</f>
        <v>3.6687701223438518</v>
      </c>
      <c r="H1965" s="18">
        <f>E1965* 0.00218931101094656</f>
        <v>8.7572440437862394E-3</v>
      </c>
    </row>
    <row r="1966" spans="1:8" ht="15.75" hidden="1" customHeight="1" x14ac:dyDescent="0.25">
      <c r="A1966" s="20" t="s">
        <v>151</v>
      </c>
      <c r="B1966" s="47" t="s">
        <v>170</v>
      </c>
      <c r="C1966" s="49"/>
      <c r="D1966" s="19" t="s">
        <v>17</v>
      </c>
      <c r="E1966" s="55">
        <v>11</v>
      </c>
      <c r="F1966" s="18">
        <f>E1966* 0.836035451794207</f>
        <v>9.196389969736277</v>
      </c>
      <c r="G1966" s="18">
        <f>E1966* 0.0583657587548638</f>
        <v>0.64202334630350177</v>
      </c>
      <c r="H1966" s="18">
        <f>E1966* 0.10559878945093</f>
        <v>1.16158668396023</v>
      </c>
    </row>
    <row r="1967" spans="1:8" ht="15.75" hidden="1" customHeight="1" x14ac:dyDescent="0.25">
      <c r="A1967" s="20" t="s">
        <v>151</v>
      </c>
      <c r="B1967" s="47" t="s">
        <v>170</v>
      </c>
      <c r="C1967" s="49"/>
      <c r="D1967" s="19" t="s">
        <v>31</v>
      </c>
      <c r="E1967" s="55">
        <v>1</v>
      </c>
      <c r="F1967" s="18">
        <f>E1967* 0.872611464968153</f>
        <v>0.87261146496815301</v>
      </c>
      <c r="G1967" s="18">
        <f>E1967* 0.0764331210191083</f>
        <v>7.6433121019108305E-2</v>
      </c>
      <c r="H1967" s="18">
        <f>E1967* 0.0509554140127389</f>
        <v>5.0955414012738898E-2</v>
      </c>
    </row>
    <row r="1968" spans="1:8" ht="15.75" hidden="1" customHeight="1" x14ac:dyDescent="0.25">
      <c r="A1968" s="20" t="s">
        <v>151</v>
      </c>
      <c r="B1968" s="47" t="s">
        <v>170</v>
      </c>
      <c r="C1968" s="49"/>
      <c r="D1968" s="19" t="s">
        <v>19</v>
      </c>
      <c r="E1968" s="54">
        <v>1</v>
      </c>
      <c r="F1968" s="18">
        <f>E1968* 0.223420647149461</f>
        <v>0.223420647149461</v>
      </c>
      <c r="G1968" s="18">
        <f>E1968* 0.773497688751926</f>
        <v>0.77349768875192604</v>
      </c>
      <c r="H1968" s="18">
        <f>E1968* 0.00308166409861325</f>
        <v>3.08166409861325E-3</v>
      </c>
    </row>
    <row r="1969" spans="1:8" ht="15.75" hidden="1" customHeight="1" x14ac:dyDescent="0.25">
      <c r="A1969" s="20" t="s">
        <v>151</v>
      </c>
      <c r="B1969" s="47" t="s">
        <v>170</v>
      </c>
      <c r="C1969" s="49"/>
      <c r="D1969" s="19" t="s">
        <v>20</v>
      </c>
      <c r="E1969" s="55">
        <v>1</v>
      </c>
      <c r="F1969" s="18">
        <f>E1969* 0.61531089014017</f>
        <v>0.61531089014017004</v>
      </c>
      <c r="G1969" s="18">
        <f>E1969* 0.298190966814424</f>
        <v>0.29819096681442397</v>
      </c>
      <c r="H1969" s="18">
        <f>E1969* 0.086378339523182</f>
        <v>8.6378339523181996E-2</v>
      </c>
    </row>
    <row r="1970" spans="1:8" ht="15.75" hidden="1" customHeight="1" x14ac:dyDescent="0.25">
      <c r="A1970" s="20" t="s">
        <v>151</v>
      </c>
      <c r="B1970" s="47" t="s">
        <v>170</v>
      </c>
      <c r="C1970" s="49"/>
      <c r="D1970" s="19" t="s">
        <v>28</v>
      </c>
      <c r="E1970" s="55">
        <v>2</v>
      </c>
      <c r="F1970" s="20">
        <v>0</v>
      </c>
      <c r="G1970" s="18">
        <f>E1970* 0.99904671115348</f>
        <v>1.99809342230696</v>
      </c>
      <c r="H1970" s="18">
        <f>E1970* 0.000953288846520496</f>
        <v>1.906577693040992E-3</v>
      </c>
    </row>
    <row r="1971" spans="1:8" ht="15.75" hidden="1" customHeight="1" x14ac:dyDescent="0.25">
      <c r="A1971" s="20" t="s">
        <v>151</v>
      </c>
      <c r="B1971" s="47" t="s">
        <v>170</v>
      </c>
      <c r="C1971" s="49"/>
      <c r="D1971" s="19" t="s">
        <v>12</v>
      </c>
      <c r="E1971" s="55">
        <v>40</v>
      </c>
      <c r="F1971" s="18">
        <f>E1971* 0.849400404921352</f>
        <v>33.976016196854083</v>
      </c>
      <c r="G1971" s="18">
        <f>E1971* 0.0654726678087525</f>
        <v>2.6189067123500998</v>
      </c>
      <c r="H1971" s="18">
        <f>E1971* 0.0851269272698957</f>
        <v>3.4050770907958277</v>
      </c>
    </row>
    <row r="1972" spans="1:8" ht="15.75" hidden="1" customHeight="1" x14ac:dyDescent="0.25">
      <c r="A1972" s="20" t="s">
        <v>151</v>
      </c>
      <c r="B1972" s="20"/>
      <c r="C1972" s="20"/>
      <c r="D1972" s="46"/>
      <c r="E1972" s="56"/>
    </row>
    <row r="1973" spans="1:8" ht="15.75" customHeight="1" x14ac:dyDescent="0.25">
      <c r="A1973" s="20" t="s">
        <v>151</v>
      </c>
      <c r="B1973" s="47" t="s">
        <v>171</v>
      </c>
      <c r="C1973" s="12" t="str">
        <f>B1973&amp;"_"&amp;A1973</f>
        <v>Poopo_Oruro</v>
      </c>
      <c r="D1973" s="20"/>
      <c r="E1973" s="48">
        <v>729</v>
      </c>
      <c r="F1973" s="14">
        <f t="shared" ref="F1973:H1973" si="164">SUM(F1974:F1985)</f>
        <v>543.25775801810721</v>
      </c>
      <c r="G1973" s="14">
        <f t="shared" si="164"/>
        <v>138.58106461974606</v>
      </c>
      <c r="H1973" s="14">
        <f t="shared" si="164"/>
        <v>47.119820526193749</v>
      </c>
    </row>
    <row r="1974" spans="1:8" ht="15.75" hidden="1" customHeight="1" x14ac:dyDescent="0.25">
      <c r="A1974" s="20" t="s">
        <v>151</v>
      </c>
      <c r="B1974" s="47" t="s">
        <v>171</v>
      </c>
      <c r="C1974" s="49"/>
      <c r="D1974" s="19" t="s">
        <v>15</v>
      </c>
      <c r="E1974" s="23">
        <v>101</v>
      </c>
      <c r="F1974" s="18">
        <f>E1974* 0.929012779104059</f>
        <v>93.830290689509965</v>
      </c>
      <c r="G1974" s="18">
        <f>E1974* 0.00947900575761831</f>
        <v>0.95737958151944935</v>
      </c>
      <c r="H1974" s="18">
        <f>E1974* 0.0614380002808594</f>
        <v>6.2052380283667992</v>
      </c>
    </row>
    <row r="1975" spans="1:8" ht="15.75" hidden="1" customHeight="1" x14ac:dyDescent="0.25">
      <c r="A1975" s="20" t="s">
        <v>151</v>
      </c>
      <c r="B1975" s="47" t="s">
        <v>171</v>
      </c>
      <c r="C1975" s="49"/>
      <c r="D1975" s="29" t="s">
        <v>515</v>
      </c>
      <c r="E1975" s="23">
        <v>5</v>
      </c>
      <c r="F1975" s="18">
        <f>E1975* 0.0624390243902439</f>
        <v>0.31219512195121951</v>
      </c>
      <c r="G1975" s="18">
        <f>E1975* 0.936585365853659</f>
        <v>4.6829268292682951</v>
      </c>
      <c r="H1975" s="20">
        <v>0</v>
      </c>
    </row>
    <row r="1976" spans="1:8" ht="15.75" hidden="1" customHeight="1" x14ac:dyDescent="0.25">
      <c r="A1976" s="20" t="s">
        <v>151</v>
      </c>
      <c r="B1976" s="47" t="s">
        <v>171</v>
      </c>
      <c r="C1976" s="49"/>
      <c r="D1976" s="19" t="s">
        <v>11</v>
      </c>
      <c r="E1976" s="23">
        <v>62</v>
      </c>
      <c r="F1976" s="18">
        <f>E1976* 0.080360592401803</f>
        <v>4.9823567289117863</v>
      </c>
      <c r="G1976" s="18">
        <f>E1976* 0.917192530585963</f>
        <v>56.8659368963297</v>
      </c>
      <c r="H1976" s="18">
        <f>E1976* 0.00218931101094656</f>
        <v>0.1357372826786867</v>
      </c>
    </row>
    <row r="1977" spans="1:8" ht="15.75" hidden="1" customHeight="1" x14ac:dyDescent="0.25">
      <c r="A1977" s="20" t="s">
        <v>151</v>
      </c>
      <c r="B1977" s="47" t="s">
        <v>171</v>
      </c>
      <c r="C1977" s="49"/>
      <c r="D1977" s="19" t="s">
        <v>17</v>
      </c>
      <c r="E1977" s="23">
        <v>92</v>
      </c>
      <c r="F1977" s="18">
        <f>E1977* 0.836035451794207</f>
        <v>76.915261565067041</v>
      </c>
      <c r="G1977" s="18">
        <f>E1977* 0.0583657587548638</f>
        <v>5.3696498054474695</v>
      </c>
      <c r="H1977" s="18">
        <f>E1977* 0.10559878945093</f>
        <v>9.7150886294855603</v>
      </c>
    </row>
    <row r="1978" spans="1:8" ht="15.75" hidden="1" customHeight="1" x14ac:dyDescent="0.25">
      <c r="A1978" s="20" t="s">
        <v>151</v>
      </c>
      <c r="B1978" s="47" t="s">
        <v>171</v>
      </c>
      <c r="C1978" s="49"/>
      <c r="D1978" s="19" t="s">
        <v>31</v>
      </c>
      <c r="E1978" s="23">
        <v>12</v>
      </c>
      <c r="F1978" s="18">
        <f>E1978* 0.872611464968153</f>
        <v>10.471337579617837</v>
      </c>
      <c r="G1978" s="18">
        <f>E1978* 0.0764331210191083</f>
        <v>0.9171974522292996</v>
      </c>
      <c r="H1978" s="18">
        <f>E1978* 0.0509554140127389</f>
        <v>0.61146496815286677</v>
      </c>
    </row>
    <row r="1979" spans="1:8" ht="15.75" hidden="1" customHeight="1" x14ac:dyDescent="0.25">
      <c r="A1979" s="20" t="s">
        <v>151</v>
      </c>
      <c r="B1979" s="47" t="s">
        <v>171</v>
      </c>
      <c r="C1979" s="49"/>
      <c r="D1979" s="19" t="s">
        <v>18</v>
      </c>
      <c r="E1979" s="23">
        <v>7</v>
      </c>
      <c r="F1979" s="18">
        <f>E1979* 0.920270974465868</f>
        <v>6.4418968212610759</v>
      </c>
      <c r="G1979" s="18">
        <f>E1979* 0.0703491401771756</f>
        <v>0.4924439812402292</v>
      </c>
      <c r="H1979" s="18">
        <f>E1979* 0.00937988535695675</f>
        <v>6.5659197498697253E-2</v>
      </c>
    </row>
    <row r="1980" spans="1:8" ht="15.75" hidden="1" customHeight="1" x14ac:dyDescent="0.25">
      <c r="A1980" s="20" t="s">
        <v>151</v>
      </c>
      <c r="B1980" s="47" t="s">
        <v>171</v>
      </c>
      <c r="C1980" s="49"/>
      <c r="D1980" s="19" t="s">
        <v>19</v>
      </c>
      <c r="E1980" s="23">
        <v>0</v>
      </c>
      <c r="F1980" s="18">
        <f>E1980* 0.223420647149461</f>
        <v>0</v>
      </c>
      <c r="G1980" s="18">
        <f>E1980* 0.773497688751926</f>
        <v>0</v>
      </c>
      <c r="H1980" s="18">
        <f>E1980* 0.00308166409861325</f>
        <v>0</v>
      </c>
    </row>
    <row r="1981" spans="1:8" ht="15.75" hidden="1" customHeight="1" x14ac:dyDescent="0.25">
      <c r="A1981" s="20" t="s">
        <v>151</v>
      </c>
      <c r="B1981" s="47" t="s">
        <v>171</v>
      </c>
      <c r="C1981" s="49"/>
      <c r="D1981" s="19" t="s">
        <v>20</v>
      </c>
      <c r="E1981" s="23">
        <v>112</v>
      </c>
      <c r="F1981" s="18">
        <f>E1981* 0.61531089014017</f>
        <v>68.914819695699038</v>
      </c>
      <c r="G1981" s="18">
        <f>E1981* 0.298190966814424</f>
        <v>33.397388283215484</v>
      </c>
      <c r="H1981" s="18">
        <f>E1981* 0.086378339523182</f>
        <v>9.674374026596384</v>
      </c>
    </row>
    <row r="1982" spans="1:8" ht="15.75" hidden="1" customHeight="1" x14ac:dyDescent="0.25">
      <c r="A1982" s="20" t="s">
        <v>151</v>
      </c>
      <c r="B1982" s="47" t="s">
        <v>171</v>
      </c>
      <c r="C1982" s="49"/>
      <c r="D1982" s="19" t="s">
        <v>21</v>
      </c>
      <c r="E1982" s="23">
        <v>74</v>
      </c>
      <c r="F1982" s="18">
        <f>E1982* 0.999801370543252</f>
        <v>73.985301420200656</v>
      </c>
      <c r="G1982" s="18">
        <f>E1982* 0.0000993147283742179</f>
        <v>7.3492898996921248E-3</v>
      </c>
      <c r="H1982" s="18">
        <f>E1982* 0.0000993147283742179</f>
        <v>7.3492898996921248E-3</v>
      </c>
    </row>
    <row r="1983" spans="1:8" ht="15.75" hidden="1" customHeight="1" x14ac:dyDescent="0.25">
      <c r="A1983" s="20" t="s">
        <v>151</v>
      </c>
      <c r="B1983" s="47" t="s">
        <v>171</v>
      </c>
      <c r="C1983" s="49"/>
      <c r="D1983" s="19" t="s">
        <v>36</v>
      </c>
      <c r="E1983" s="23">
        <v>1</v>
      </c>
      <c r="F1983" s="24">
        <f>E1983</f>
        <v>1</v>
      </c>
      <c r="G1983" s="20">
        <v>0</v>
      </c>
      <c r="H1983" s="20">
        <v>0</v>
      </c>
    </row>
    <row r="1984" spans="1:8" ht="15.75" hidden="1" customHeight="1" x14ac:dyDescent="0.25">
      <c r="A1984" s="20" t="s">
        <v>151</v>
      </c>
      <c r="B1984" s="47" t="s">
        <v>171</v>
      </c>
      <c r="C1984" s="49"/>
      <c r="D1984" s="19" t="s">
        <v>28</v>
      </c>
      <c r="E1984" s="23">
        <v>20</v>
      </c>
      <c r="F1984" s="20">
        <v>0</v>
      </c>
      <c r="G1984" s="18">
        <f>E1984* 0.99904671115348</f>
        <v>19.9809342230696</v>
      </c>
      <c r="H1984" s="18">
        <f>E1984* 0.000953288846520496</f>
        <v>1.9065776930409919E-2</v>
      </c>
    </row>
    <row r="1985" spans="1:8" ht="15.75" hidden="1" customHeight="1" x14ac:dyDescent="0.25">
      <c r="A1985" s="20" t="s">
        <v>151</v>
      </c>
      <c r="B1985" s="47" t="s">
        <v>171</v>
      </c>
      <c r="C1985" s="49"/>
      <c r="D1985" s="19" t="s">
        <v>12</v>
      </c>
      <c r="E1985" s="23">
        <v>243</v>
      </c>
      <c r="F1985" s="18">
        <f>E1985* 0.849400404921352</f>
        <v>206.40429839588856</v>
      </c>
      <c r="G1985" s="18">
        <f>E1985* 0.0654726678087525</f>
        <v>15.909858277526856</v>
      </c>
      <c r="H1985" s="18">
        <f>E1985* 0.0851269272698957</f>
        <v>20.685843326584653</v>
      </c>
    </row>
    <row r="1986" spans="1:8" ht="15.75" hidden="1" customHeight="1" x14ac:dyDescent="0.25">
      <c r="A1986" s="20" t="s">
        <v>151</v>
      </c>
      <c r="B1986" s="20"/>
      <c r="C1986" s="20"/>
      <c r="D1986" s="46"/>
      <c r="E1986" s="35"/>
    </row>
    <row r="1987" spans="1:8" ht="15.75" customHeight="1" x14ac:dyDescent="0.25">
      <c r="A1987" s="20" t="s">
        <v>151</v>
      </c>
      <c r="B1987" s="47" t="s">
        <v>172</v>
      </c>
      <c r="C1987" s="12" t="str">
        <f>B1987&amp;"_"&amp;A1987</f>
        <v>Quillacas_Oruro</v>
      </c>
      <c r="D1987" s="20"/>
      <c r="E1987" s="48">
        <v>0</v>
      </c>
      <c r="F1987" s="14">
        <f t="shared" ref="F1987:H1987" si="165">F1988</f>
        <v>0</v>
      </c>
      <c r="G1987" s="14">
        <f t="shared" si="165"/>
        <v>0</v>
      </c>
      <c r="H1987" s="14">
        <f t="shared" si="165"/>
        <v>0</v>
      </c>
    </row>
    <row r="1988" spans="1:8" ht="15.75" hidden="1" customHeight="1" x14ac:dyDescent="0.25">
      <c r="A1988" s="20" t="s">
        <v>151</v>
      </c>
      <c r="B1988" s="47" t="s">
        <v>172</v>
      </c>
      <c r="C1988" s="49"/>
      <c r="D1988" s="19" t="s">
        <v>20</v>
      </c>
      <c r="E1988" s="23">
        <v>0</v>
      </c>
      <c r="F1988" s="18">
        <f>E1988* 0.61531089014017</f>
        <v>0</v>
      </c>
      <c r="G1988" s="18">
        <f>E1988* 0.298190966814424</f>
        <v>0</v>
      </c>
      <c r="H1988" s="18">
        <f>E1988* 0.086378339523182</f>
        <v>0</v>
      </c>
    </row>
    <row r="1989" spans="1:8" ht="15.75" hidden="1" customHeight="1" x14ac:dyDescent="0.25">
      <c r="A1989" s="20" t="s">
        <v>151</v>
      </c>
      <c r="B1989" s="20"/>
      <c r="C1989" s="20"/>
      <c r="D1989" s="46"/>
      <c r="E1989" s="35"/>
    </row>
    <row r="1990" spans="1:8" ht="15.75" customHeight="1" x14ac:dyDescent="0.25">
      <c r="A1990" s="20" t="s">
        <v>151</v>
      </c>
      <c r="B1990" s="47" t="s">
        <v>173</v>
      </c>
      <c r="C1990" s="12" t="str">
        <f>B1990&amp;"_"&amp;A1990</f>
        <v>Sabaya_Oruro</v>
      </c>
      <c r="D1990" s="20"/>
      <c r="E1990" s="48">
        <v>772</v>
      </c>
      <c r="F1990" s="14">
        <f t="shared" ref="F1990:H1990" si="166">SUM(F1991:F2002)</f>
        <v>474.09164415480711</v>
      </c>
      <c r="G1990" s="14">
        <f t="shared" si="166"/>
        <v>249.53418748440026</v>
      </c>
      <c r="H1990" s="14">
        <f t="shared" si="166"/>
        <v>48.305943543253484</v>
      </c>
    </row>
    <row r="1991" spans="1:8" ht="15.75" hidden="1" customHeight="1" x14ac:dyDescent="0.25">
      <c r="A1991" s="20" t="s">
        <v>151</v>
      </c>
      <c r="B1991" s="47" t="s">
        <v>173</v>
      </c>
      <c r="C1991" s="49"/>
      <c r="D1991" s="29" t="s">
        <v>516</v>
      </c>
      <c r="E1991" s="23">
        <v>6</v>
      </c>
      <c r="F1991" s="20">
        <v>0</v>
      </c>
      <c r="G1991" s="24">
        <f>E1991</f>
        <v>6</v>
      </c>
      <c r="H1991" s="20">
        <v>0</v>
      </c>
    </row>
    <row r="1992" spans="1:8" ht="15.75" hidden="1" customHeight="1" x14ac:dyDescent="0.25">
      <c r="A1992" s="20" t="s">
        <v>151</v>
      </c>
      <c r="B1992" s="47" t="s">
        <v>173</v>
      </c>
      <c r="C1992" s="49"/>
      <c r="D1992" s="19" t="s">
        <v>15</v>
      </c>
      <c r="E1992" s="23">
        <v>52</v>
      </c>
      <c r="F1992" s="18">
        <f>E1992* 0.929012779104059</f>
        <v>48.308664513411067</v>
      </c>
      <c r="G1992" s="18">
        <f>E1992* 0.00947900575761831</f>
        <v>0.49290829939615216</v>
      </c>
      <c r="H1992" s="18">
        <f>E1992* 0.0614380002808594</f>
        <v>3.1947760146046886</v>
      </c>
    </row>
    <row r="1993" spans="1:8" ht="15.75" hidden="1" customHeight="1" x14ac:dyDescent="0.25">
      <c r="A1993" s="20" t="s">
        <v>151</v>
      </c>
      <c r="B1993" s="47" t="s">
        <v>173</v>
      </c>
      <c r="C1993" s="49"/>
      <c r="D1993" s="29" t="s">
        <v>517</v>
      </c>
      <c r="E1993" s="23">
        <v>14</v>
      </c>
      <c r="F1993" s="18">
        <f>E1993* 0.0624390243902439</f>
        <v>0.87414634146341463</v>
      </c>
      <c r="G1993" s="18">
        <f>E1993* 0.936585365853659</f>
        <v>13.112195121951226</v>
      </c>
      <c r="H1993" s="20">
        <v>0</v>
      </c>
    </row>
    <row r="1994" spans="1:8" ht="15.75" hidden="1" customHeight="1" x14ac:dyDescent="0.25">
      <c r="A1994" s="20" t="s">
        <v>151</v>
      </c>
      <c r="B1994" s="47" t="s">
        <v>173</v>
      </c>
      <c r="C1994" s="49"/>
      <c r="D1994" s="19" t="s">
        <v>11</v>
      </c>
      <c r="E1994" s="23">
        <v>120</v>
      </c>
      <c r="F1994" s="18">
        <f>E1994* 0.080360592401803</f>
        <v>9.6432710882163608</v>
      </c>
      <c r="G1994" s="18">
        <f>E1994* 0.917192530585963</f>
        <v>110.06310367031556</v>
      </c>
      <c r="H1994" s="18">
        <f>E1994* 0.00218931101094656</f>
        <v>0.26271732131358716</v>
      </c>
    </row>
    <row r="1995" spans="1:8" ht="15.75" hidden="1" customHeight="1" x14ac:dyDescent="0.25">
      <c r="A1995" s="20" t="s">
        <v>151</v>
      </c>
      <c r="B1995" s="47" t="s">
        <v>173</v>
      </c>
      <c r="C1995" s="49"/>
      <c r="D1995" s="19" t="s">
        <v>17</v>
      </c>
      <c r="E1995" s="23">
        <v>132</v>
      </c>
      <c r="F1995" s="18">
        <f>E1995* 0.836035451794207</f>
        <v>110.35667963683532</v>
      </c>
      <c r="G1995" s="18">
        <f>E1995* 0.0583657587548638</f>
        <v>7.7042801556420217</v>
      </c>
      <c r="H1995" s="18">
        <f>E1995* 0.10559878945093</f>
        <v>13.93904020752276</v>
      </c>
    </row>
    <row r="1996" spans="1:8" ht="15.75" hidden="1" customHeight="1" x14ac:dyDescent="0.25">
      <c r="A1996" s="20" t="s">
        <v>151</v>
      </c>
      <c r="B1996" s="47" t="s">
        <v>173</v>
      </c>
      <c r="C1996" s="49"/>
      <c r="D1996" s="19" t="s">
        <v>31</v>
      </c>
      <c r="E1996" s="23">
        <v>7</v>
      </c>
      <c r="F1996" s="18">
        <f>E1996* 0.872611464968153</f>
        <v>6.1082802547770711</v>
      </c>
      <c r="G1996" s="18">
        <f>E1996* 0.0764331210191083</f>
        <v>0.53503184713375818</v>
      </c>
      <c r="H1996" s="18">
        <f>E1996* 0.0509554140127389</f>
        <v>0.35668789808917228</v>
      </c>
    </row>
    <row r="1997" spans="1:8" ht="15.75" hidden="1" customHeight="1" x14ac:dyDescent="0.25">
      <c r="A1997" s="20" t="s">
        <v>151</v>
      </c>
      <c r="B1997" s="47" t="s">
        <v>173</v>
      </c>
      <c r="C1997" s="49"/>
      <c r="D1997" s="19" t="s">
        <v>18</v>
      </c>
      <c r="E1997" s="23">
        <v>8</v>
      </c>
      <c r="F1997" s="18">
        <f>E1997* 0.920270974465868</f>
        <v>7.3621677957269442</v>
      </c>
      <c r="G1997" s="18">
        <f>E1997* 0.0703491401771756</f>
        <v>0.56279312141740478</v>
      </c>
      <c r="H1997" s="18">
        <f>E1997* 0.00937988535695675</f>
        <v>7.5039082855653999E-2</v>
      </c>
    </row>
    <row r="1998" spans="1:8" ht="15.75" hidden="1" customHeight="1" x14ac:dyDescent="0.25">
      <c r="A1998" s="20" t="s">
        <v>151</v>
      </c>
      <c r="B1998" s="47" t="s">
        <v>173</v>
      </c>
      <c r="C1998" s="49"/>
      <c r="D1998" s="29" t="s">
        <v>518</v>
      </c>
      <c r="E1998" s="23">
        <v>1</v>
      </c>
      <c r="F1998" s="20">
        <v>0</v>
      </c>
      <c r="G1998" s="24">
        <f>E1998</f>
        <v>1</v>
      </c>
      <c r="H1998" s="20">
        <v>0</v>
      </c>
    </row>
    <row r="1999" spans="1:8" ht="15.75" hidden="1" customHeight="1" x14ac:dyDescent="0.25">
      <c r="A1999" s="20" t="s">
        <v>151</v>
      </c>
      <c r="B1999" s="47" t="s">
        <v>173</v>
      </c>
      <c r="C1999" s="49"/>
      <c r="D1999" s="19" t="s">
        <v>20</v>
      </c>
      <c r="E1999" s="23">
        <v>167</v>
      </c>
      <c r="F1999" s="18">
        <f>E1999* 0.61531089014017</f>
        <v>102.75691865340839</v>
      </c>
      <c r="G1999" s="18">
        <f>E1999* 0.298190966814424</f>
        <v>49.797891458008806</v>
      </c>
      <c r="H1999" s="18">
        <f>E1999* 0.086378339523182</f>
        <v>14.425182700371394</v>
      </c>
    </row>
    <row r="2000" spans="1:8" ht="15.75" hidden="1" customHeight="1" x14ac:dyDescent="0.25">
      <c r="A2000" s="20" t="s">
        <v>151</v>
      </c>
      <c r="B2000" s="47" t="s">
        <v>173</v>
      </c>
      <c r="C2000" s="49"/>
      <c r="D2000" s="19" t="s">
        <v>21</v>
      </c>
      <c r="E2000" s="23">
        <v>29</v>
      </c>
      <c r="F2000" s="18">
        <f>E2000* 0.999801370543252</f>
        <v>28.99423974575431</v>
      </c>
      <c r="G2000" s="18">
        <f>E2000* 0.0000993147283742179</f>
        <v>2.8801271228523192E-3</v>
      </c>
      <c r="H2000" s="18">
        <f>E2000* 0.0000993147283742179</f>
        <v>2.8801271228523192E-3</v>
      </c>
    </row>
    <row r="2001" spans="1:8" ht="15.75" hidden="1" customHeight="1" x14ac:dyDescent="0.25">
      <c r="A2001" s="20" t="s">
        <v>151</v>
      </c>
      <c r="B2001" s="47" t="s">
        <v>173</v>
      </c>
      <c r="C2001" s="49"/>
      <c r="D2001" s="19" t="s">
        <v>28</v>
      </c>
      <c r="E2001" s="23">
        <v>48</v>
      </c>
      <c r="F2001" s="20">
        <v>0</v>
      </c>
      <c r="G2001" s="18">
        <f>E2001* 0.99904671115348</f>
        <v>47.954242135367039</v>
      </c>
      <c r="H2001" s="18">
        <f>E2001* 0.000953288846520496</f>
        <v>4.5757864632983807E-2</v>
      </c>
    </row>
    <row r="2002" spans="1:8" ht="15.75" hidden="1" customHeight="1" x14ac:dyDescent="0.25">
      <c r="A2002" s="20" t="s">
        <v>151</v>
      </c>
      <c r="B2002" s="47" t="s">
        <v>173</v>
      </c>
      <c r="C2002" s="49"/>
      <c r="D2002" s="19" t="s">
        <v>12</v>
      </c>
      <c r="E2002" s="23">
        <v>188</v>
      </c>
      <c r="F2002" s="18">
        <f>E2002* 0.849400404921352</f>
        <v>159.6872761252142</v>
      </c>
      <c r="G2002" s="18">
        <f>E2002* 0.0654726678087525</f>
        <v>12.308861548045469</v>
      </c>
      <c r="H2002" s="18">
        <f>E2002* 0.0851269272698957</f>
        <v>16.003862326740389</v>
      </c>
    </row>
    <row r="2003" spans="1:8" ht="15.75" hidden="1" customHeight="1" x14ac:dyDescent="0.25">
      <c r="A2003" s="20" t="s">
        <v>151</v>
      </c>
      <c r="B2003" s="20"/>
      <c r="C2003" s="20"/>
      <c r="D2003" s="46"/>
      <c r="E2003" s="35"/>
    </row>
    <row r="2004" spans="1:8" ht="15.75" customHeight="1" x14ac:dyDescent="0.25">
      <c r="A2004" s="20" t="s">
        <v>151</v>
      </c>
      <c r="B2004" s="47" t="s">
        <v>174</v>
      </c>
      <c r="C2004" s="12" t="str">
        <f>B2004&amp;"_"&amp;A2004</f>
        <v>Salinas de Garci Mendoza_Oruro</v>
      </c>
      <c r="D2004" s="20"/>
      <c r="E2004" s="48">
        <v>856</v>
      </c>
      <c r="F2004" s="14">
        <f t="shared" ref="F2004:H2004" si="167">SUM(F2005:F2017)</f>
        <v>757.34367820404259</v>
      </c>
      <c r="G2004" s="14">
        <f t="shared" si="167"/>
        <v>78.381156762778801</v>
      </c>
      <c r="H2004" s="14">
        <f t="shared" si="167"/>
        <v>20.251613243819662</v>
      </c>
    </row>
    <row r="2005" spans="1:8" ht="15.75" hidden="1" customHeight="1" x14ac:dyDescent="0.25">
      <c r="A2005" s="20" t="s">
        <v>151</v>
      </c>
      <c r="B2005" s="47" t="s">
        <v>174</v>
      </c>
      <c r="C2005" s="49"/>
      <c r="D2005" s="29" t="s">
        <v>519</v>
      </c>
      <c r="E2005" s="23">
        <v>1</v>
      </c>
      <c r="F2005" s="20">
        <v>0</v>
      </c>
      <c r="G2005" s="24">
        <f>E2005</f>
        <v>1</v>
      </c>
      <c r="H2005" s="20">
        <v>0</v>
      </c>
    </row>
    <row r="2006" spans="1:8" ht="15.75" hidden="1" customHeight="1" x14ac:dyDescent="0.25">
      <c r="A2006" s="20" t="s">
        <v>151</v>
      </c>
      <c r="B2006" s="47" t="s">
        <v>174</v>
      </c>
      <c r="C2006" s="49"/>
      <c r="D2006" s="19" t="s">
        <v>15</v>
      </c>
      <c r="E2006" s="23">
        <v>27</v>
      </c>
      <c r="F2006" s="18">
        <f>E2006* 0.929012779104059</f>
        <v>25.083345035809593</v>
      </c>
      <c r="G2006" s="18">
        <f>E2006* 0.00947900575761831</f>
        <v>0.25593315545569439</v>
      </c>
      <c r="H2006" s="18">
        <f>E2006* 0.0614380002808594</f>
        <v>1.6588260075832038</v>
      </c>
    </row>
    <row r="2007" spans="1:8" ht="15.75" hidden="1" customHeight="1" x14ac:dyDescent="0.25">
      <c r="A2007" s="20" t="s">
        <v>151</v>
      </c>
      <c r="B2007" s="47" t="s">
        <v>174</v>
      </c>
      <c r="C2007" s="49"/>
      <c r="D2007" s="29" t="s">
        <v>520</v>
      </c>
      <c r="E2007" s="23">
        <v>5</v>
      </c>
      <c r="F2007" s="18">
        <f>E2007* 0.0624390243902439</f>
        <v>0.31219512195121951</v>
      </c>
      <c r="G2007" s="18">
        <f>E2007* 0.936585365853659</f>
        <v>4.6829268292682951</v>
      </c>
      <c r="H2007" s="20">
        <v>0</v>
      </c>
    </row>
    <row r="2008" spans="1:8" ht="15.75" hidden="1" customHeight="1" x14ac:dyDescent="0.25">
      <c r="A2008" s="20" t="s">
        <v>151</v>
      </c>
      <c r="B2008" s="47" t="s">
        <v>174</v>
      </c>
      <c r="C2008" s="49"/>
      <c r="D2008" s="19" t="s">
        <v>11</v>
      </c>
      <c r="E2008" s="23">
        <v>47</v>
      </c>
      <c r="F2008" s="18">
        <f>E2008* 0.080360592401803</f>
        <v>3.7769478428847409</v>
      </c>
      <c r="G2008" s="18">
        <f>E2008* 0.917192530585963</f>
        <v>43.108048937540261</v>
      </c>
      <c r="H2008" s="18">
        <f>E2008* 0.00218931101094656</f>
        <v>0.10289761751448831</v>
      </c>
    </row>
    <row r="2009" spans="1:8" ht="15.75" hidden="1" customHeight="1" x14ac:dyDescent="0.25">
      <c r="A2009" s="20" t="s">
        <v>151</v>
      </c>
      <c r="B2009" s="47" t="s">
        <v>174</v>
      </c>
      <c r="C2009" s="49"/>
      <c r="D2009" s="19" t="s">
        <v>17</v>
      </c>
      <c r="E2009" s="23">
        <v>41</v>
      </c>
      <c r="F2009" s="18">
        <f>E2009* 0.836035451794207</f>
        <v>34.277453523562485</v>
      </c>
      <c r="G2009" s="18">
        <f>E2009* 0.0583657587548638</f>
        <v>2.3929961089494158</v>
      </c>
      <c r="H2009" s="18">
        <f>E2009* 0.10559878945093</f>
        <v>4.3295503674881299</v>
      </c>
    </row>
    <row r="2010" spans="1:8" ht="15.75" hidden="1" customHeight="1" x14ac:dyDescent="0.25">
      <c r="A2010" s="20" t="s">
        <v>151</v>
      </c>
      <c r="B2010" s="47" t="s">
        <v>174</v>
      </c>
      <c r="C2010" s="49"/>
      <c r="D2010" s="19" t="s">
        <v>31</v>
      </c>
      <c r="E2010" s="23">
        <v>3</v>
      </c>
      <c r="F2010" s="18">
        <f>E2010* 0.872611464968153</f>
        <v>2.6178343949044591</v>
      </c>
      <c r="G2010" s="18">
        <f>E2010* 0.0764331210191083</f>
        <v>0.2292993630573249</v>
      </c>
      <c r="H2010" s="18">
        <f>E2010* 0.0509554140127389</f>
        <v>0.15286624203821669</v>
      </c>
    </row>
    <row r="2011" spans="1:8" ht="15.75" hidden="1" customHeight="1" x14ac:dyDescent="0.25">
      <c r="A2011" s="20" t="s">
        <v>151</v>
      </c>
      <c r="B2011" s="47" t="s">
        <v>174</v>
      </c>
      <c r="C2011" s="49"/>
      <c r="D2011" s="19" t="s">
        <v>18</v>
      </c>
      <c r="E2011" s="23">
        <v>2</v>
      </c>
      <c r="F2011" s="18">
        <f>E2011* 0.920270974465868</f>
        <v>1.8405419489317361</v>
      </c>
      <c r="G2011" s="18">
        <f>E2011* 0.0703491401771756</f>
        <v>0.1406982803543512</v>
      </c>
      <c r="H2011" s="18">
        <f>E2011* 0.00937988535695675</f>
        <v>1.87597707139135E-2</v>
      </c>
    </row>
    <row r="2012" spans="1:8" ht="15.75" hidden="1" customHeight="1" x14ac:dyDescent="0.25">
      <c r="A2012" s="20" t="s">
        <v>151</v>
      </c>
      <c r="B2012" s="47" t="s">
        <v>174</v>
      </c>
      <c r="C2012" s="49"/>
      <c r="D2012" s="19" t="s">
        <v>19</v>
      </c>
      <c r="E2012" s="23">
        <v>1</v>
      </c>
      <c r="F2012" s="18">
        <f>E2012* 0.223420647149461</f>
        <v>0.223420647149461</v>
      </c>
      <c r="G2012" s="18">
        <f>E2012* 0.773497688751926</f>
        <v>0.77349768875192604</v>
      </c>
      <c r="H2012" s="18">
        <f>E2012* 0.00308166409861325</f>
        <v>3.08166409861325E-3</v>
      </c>
    </row>
    <row r="2013" spans="1:8" ht="15.75" hidden="1" customHeight="1" x14ac:dyDescent="0.25">
      <c r="A2013" s="20" t="s">
        <v>151</v>
      </c>
      <c r="B2013" s="47" t="s">
        <v>174</v>
      </c>
      <c r="C2013" s="49"/>
      <c r="D2013" s="19" t="s">
        <v>20</v>
      </c>
      <c r="E2013" s="23">
        <v>39</v>
      </c>
      <c r="F2013" s="18">
        <f>E2013* 0.61531089014017</f>
        <v>23.997124715466633</v>
      </c>
      <c r="G2013" s="18">
        <f>E2013* 0.298190966814424</f>
        <v>11.629447705762535</v>
      </c>
      <c r="H2013" s="18">
        <f>E2013* 0.086378339523182</f>
        <v>3.3687552414040978</v>
      </c>
    </row>
    <row r="2014" spans="1:8" ht="15.75" hidden="1" customHeight="1" x14ac:dyDescent="0.25">
      <c r="A2014" s="20" t="s">
        <v>151</v>
      </c>
      <c r="B2014" s="47" t="s">
        <v>174</v>
      </c>
      <c r="C2014" s="49"/>
      <c r="D2014" s="19" t="s">
        <v>21</v>
      </c>
      <c r="E2014" s="23">
        <v>558</v>
      </c>
      <c r="F2014" s="18">
        <f>E2014* 0.999801370543252</f>
        <v>557.88916476313466</v>
      </c>
      <c r="G2014" s="18">
        <f>E2014* 0.0000993147283742179</f>
        <v>5.5417618432813592E-2</v>
      </c>
      <c r="H2014" s="18">
        <f>E2014* 0.0000993147283742179</f>
        <v>5.5417618432813592E-2</v>
      </c>
    </row>
    <row r="2015" spans="1:8" ht="15.75" hidden="1" customHeight="1" x14ac:dyDescent="0.25">
      <c r="A2015" s="20" t="s">
        <v>151</v>
      </c>
      <c r="B2015" s="47" t="s">
        <v>174</v>
      </c>
      <c r="C2015" s="49"/>
      <c r="D2015" s="19" t="s">
        <v>36</v>
      </c>
      <c r="E2015" s="23">
        <v>2</v>
      </c>
      <c r="F2015" s="24">
        <f>E2015</f>
        <v>2</v>
      </c>
      <c r="G2015" s="20">
        <v>0</v>
      </c>
      <c r="H2015" s="20">
        <v>0</v>
      </c>
    </row>
    <row r="2016" spans="1:8" ht="15.75" hidden="1" customHeight="1" x14ac:dyDescent="0.25">
      <c r="A2016" s="20" t="s">
        <v>151</v>
      </c>
      <c r="B2016" s="47" t="s">
        <v>174</v>
      </c>
      <c r="C2016" s="49"/>
      <c r="D2016" s="19" t="s">
        <v>28</v>
      </c>
      <c r="E2016" s="23">
        <v>6</v>
      </c>
      <c r="F2016" s="20">
        <v>0</v>
      </c>
      <c r="G2016" s="18">
        <f>E2016* 0.99904671115348</f>
        <v>5.9942802669208799</v>
      </c>
      <c r="H2016" s="18">
        <f>E2016* 0.000953288846520496</f>
        <v>5.7197330791229758E-3</v>
      </c>
    </row>
    <row r="2017" spans="1:8" ht="15.75" hidden="1" customHeight="1" x14ac:dyDescent="0.25">
      <c r="A2017" s="20" t="s">
        <v>151</v>
      </c>
      <c r="B2017" s="47" t="s">
        <v>174</v>
      </c>
      <c r="C2017" s="49"/>
      <c r="D2017" s="19" t="s">
        <v>12</v>
      </c>
      <c r="E2017" s="23">
        <v>124</v>
      </c>
      <c r="F2017" s="18">
        <f>E2017* 0.849400404921352</f>
        <v>105.32565021024766</v>
      </c>
      <c r="G2017" s="18">
        <f>E2017* 0.0654726678087525</f>
        <v>8.1186108082853092</v>
      </c>
      <c r="H2017" s="18">
        <f>E2017* 0.0851269272698957</f>
        <v>10.555738981467066</v>
      </c>
    </row>
    <row r="2018" spans="1:8" ht="15.75" hidden="1" customHeight="1" x14ac:dyDescent="0.25">
      <c r="A2018" s="20" t="s">
        <v>151</v>
      </c>
      <c r="B2018" s="20"/>
      <c r="C2018" s="20"/>
      <c r="D2018" s="46"/>
      <c r="E2018" s="35"/>
    </row>
    <row r="2019" spans="1:8" ht="15.75" customHeight="1" x14ac:dyDescent="0.25">
      <c r="A2019" s="20" t="s">
        <v>151</v>
      </c>
      <c r="B2019" s="47" t="s">
        <v>175</v>
      </c>
      <c r="C2019" s="12" t="str">
        <f>B2019&amp;"_"&amp;A2019</f>
        <v>San Pedro de Totora_Oruro</v>
      </c>
      <c r="D2019" s="20"/>
      <c r="E2019" s="48">
        <v>2</v>
      </c>
      <c r="F2019" s="14">
        <f t="shared" ref="F2019:H2019" si="168">SUM(F2020:F2021)</f>
        <v>0.91639604419601006</v>
      </c>
      <c r="G2019" s="14">
        <f t="shared" si="168"/>
        <v>0.97555828934082678</v>
      </c>
      <c r="H2019" s="14">
        <f t="shared" si="168"/>
        <v>0.10778810046187656</v>
      </c>
    </row>
    <row r="2020" spans="1:8" ht="15.75" hidden="1" customHeight="1" x14ac:dyDescent="0.25">
      <c r="A2020" s="20" t="s">
        <v>151</v>
      </c>
      <c r="B2020" s="47" t="s">
        <v>175</v>
      </c>
      <c r="C2020" s="49"/>
      <c r="D2020" s="19" t="s">
        <v>11</v>
      </c>
      <c r="E2020" s="23">
        <v>1</v>
      </c>
      <c r="F2020" s="18">
        <f>E2020* 0.080360592401803</f>
        <v>8.0360592401803002E-2</v>
      </c>
      <c r="G2020" s="18">
        <f>E2020* 0.917192530585963</f>
        <v>0.91719253058596295</v>
      </c>
      <c r="H2020" s="18">
        <f>E2020* 0.00218931101094656</f>
        <v>2.1893110109465598E-3</v>
      </c>
    </row>
    <row r="2021" spans="1:8" ht="15.75" hidden="1" customHeight="1" x14ac:dyDescent="0.25">
      <c r="A2021" s="20" t="s">
        <v>151</v>
      </c>
      <c r="B2021" s="47" t="s">
        <v>175</v>
      </c>
      <c r="C2021" s="49"/>
      <c r="D2021" s="19" t="s">
        <v>17</v>
      </c>
      <c r="E2021" s="23">
        <v>1</v>
      </c>
      <c r="F2021" s="18">
        <f>E2021* 0.836035451794207</f>
        <v>0.83603545179420702</v>
      </c>
      <c r="G2021" s="18">
        <f>E2021* 0.0583657587548638</f>
        <v>5.83657587548638E-2</v>
      </c>
      <c r="H2021" s="18">
        <f>E2021* 0.10559878945093</f>
        <v>0.10559878945093</v>
      </c>
    </row>
    <row r="2022" spans="1:8" ht="15.75" hidden="1" customHeight="1" x14ac:dyDescent="0.25">
      <c r="A2022" s="20" t="s">
        <v>151</v>
      </c>
      <c r="B2022" s="20"/>
      <c r="C2022" s="20"/>
      <c r="D2022" s="46"/>
      <c r="E2022" s="35"/>
    </row>
    <row r="2023" spans="1:8" ht="15.75" customHeight="1" x14ac:dyDescent="0.25">
      <c r="A2023" s="20" t="s">
        <v>151</v>
      </c>
      <c r="B2023" s="47" t="s">
        <v>176</v>
      </c>
      <c r="C2023" s="12" t="str">
        <f>B2023&amp;"_"&amp;A2023</f>
        <v>Santiago de Andamarca_Oruro</v>
      </c>
      <c r="D2023" s="20"/>
      <c r="E2023" s="48">
        <v>1069</v>
      </c>
      <c r="F2023" s="14">
        <f t="shared" ref="F2023:H2023" si="169">SUM(F2024:F2036)</f>
        <v>880.90417951513166</v>
      </c>
      <c r="G2023" s="14">
        <f t="shared" si="169"/>
        <v>136.12945261700159</v>
      </c>
      <c r="H2023" s="14">
        <f t="shared" si="169"/>
        <v>51.926018808095748</v>
      </c>
    </row>
    <row r="2024" spans="1:8" ht="15.75" hidden="1" customHeight="1" x14ac:dyDescent="0.25">
      <c r="A2024" s="20" t="s">
        <v>151</v>
      </c>
      <c r="B2024" s="47" t="s">
        <v>176</v>
      </c>
      <c r="C2024" s="49"/>
      <c r="D2024" s="29" t="s">
        <v>521</v>
      </c>
      <c r="E2024" s="23">
        <v>5</v>
      </c>
      <c r="F2024" s="20">
        <v>0</v>
      </c>
      <c r="G2024" s="24">
        <f>E2024</f>
        <v>5</v>
      </c>
      <c r="H2024" s="20">
        <v>0</v>
      </c>
    </row>
    <row r="2025" spans="1:8" ht="15.75" hidden="1" customHeight="1" x14ac:dyDescent="0.25">
      <c r="A2025" s="20" t="s">
        <v>151</v>
      </c>
      <c r="B2025" s="47" t="s">
        <v>176</v>
      </c>
      <c r="C2025" s="49"/>
      <c r="D2025" s="19" t="s">
        <v>15</v>
      </c>
      <c r="E2025" s="23">
        <v>122</v>
      </c>
      <c r="F2025" s="18">
        <f>E2025* 0.929012779104059</f>
        <v>113.3395590506952</v>
      </c>
      <c r="G2025" s="18">
        <f>E2025* 0.00947900575761831</f>
        <v>1.1564387024294338</v>
      </c>
      <c r="H2025" s="18">
        <f>E2025* 0.0614380002808594</f>
        <v>7.4954360342648467</v>
      </c>
    </row>
    <row r="2026" spans="1:8" ht="15.75" hidden="1" customHeight="1" x14ac:dyDescent="0.25">
      <c r="A2026" s="20" t="s">
        <v>151</v>
      </c>
      <c r="B2026" s="47" t="s">
        <v>176</v>
      </c>
      <c r="C2026" s="49"/>
      <c r="D2026" s="29" t="s">
        <v>522</v>
      </c>
      <c r="E2026" s="23">
        <v>8</v>
      </c>
      <c r="F2026" s="18">
        <f>E2026* 0.0624390243902439</f>
        <v>0.49951219512195122</v>
      </c>
      <c r="G2026" s="18">
        <f>E2026* 0.936585365853659</f>
        <v>7.4926829268292723</v>
      </c>
      <c r="H2026" s="20">
        <v>0</v>
      </c>
    </row>
    <row r="2027" spans="1:8" ht="15.75" hidden="1" customHeight="1" x14ac:dyDescent="0.25">
      <c r="A2027" s="20" t="s">
        <v>151</v>
      </c>
      <c r="B2027" s="47" t="s">
        <v>176</v>
      </c>
      <c r="C2027" s="49"/>
      <c r="D2027" s="19" t="s">
        <v>11</v>
      </c>
      <c r="E2027" s="23">
        <v>61</v>
      </c>
      <c r="F2027" s="18">
        <f>E2027* 0.080360592401803</f>
        <v>4.9019961365099833</v>
      </c>
      <c r="G2027" s="18">
        <f>E2027* 0.917192530585963</f>
        <v>55.948744365743742</v>
      </c>
      <c r="H2027" s="18">
        <f>E2027* 0.00218931101094656</f>
        <v>0.13354797166774016</v>
      </c>
    </row>
    <row r="2028" spans="1:8" ht="15.75" hidden="1" customHeight="1" x14ac:dyDescent="0.25">
      <c r="A2028" s="20" t="s">
        <v>151</v>
      </c>
      <c r="B2028" s="47" t="s">
        <v>176</v>
      </c>
      <c r="C2028" s="49"/>
      <c r="D2028" s="19" t="s">
        <v>17</v>
      </c>
      <c r="E2028" s="23">
        <v>71</v>
      </c>
      <c r="F2028" s="18">
        <f>E2028* 0.836035451794207</f>
        <v>59.358517077388697</v>
      </c>
      <c r="G2028" s="18">
        <f>E2028* 0.0583657587548638</f>
        <v>4.1439688715953302</v>
      </c>
      <c r="H2028" s="18">
        <f>E2028* 0.10559878945093</f>
        <v>7.4975140510160303</v>
      </c>
    </row>
    <row r="2029" spans="1:8" ht="15.75" hidden="1" customHeight="1" x14ac:dyDescent="0.25">
      <c r="A2029" s="20" t="s">
        <v>151</v>
      </c>
      <c r="B2029" s="47" t="s">
        <v>176</v>
      </c>
      <c r="C2029" s="49"/>
      <c r="D2029" s="19" t="s">
        <v>31</v>
      </c>
      <c r="E2029" s="23">
        <v>5</v>
      </c>
      <c r="F2029" s="18">
        <f>E2029* 0.872611464968153</f>
        <v>4.3630573248407654</v>
      </c>
      <c r="G2029" s="18">
        <f>E2029* 0.0764331210191083</f>
        <v>0.38216560509554154</v>
      </c>
      <c r="H2029" s="18">
        <f>E2029* 0.0509554140127389</f>
        <v>0.25477707006369449</v>
      </c>
    </row>
    <row r="2030" spans="1:8" ht="15.75" hidden="1" customHeight="1" x14ac:dyDescent="0.25">
      <c r="A2030" s="20" t="s">
        <v>151</v>
      </c>
      <c r="B2030" s="47" t="s">
        <v>176</v>
      </c>
      <c r="C2030" s="49"/>
      <c r="D2030" s="19" t="s">
        <v>18</v>
      </c>
      <c r="E2030" s="23">
        <v>6</v>
      </c>
      <c r="F2030" s="18">
        <f>E2030* 0.920270974465868</f>
        <v>5.5216258467952084</v>
      </c>
      <c r="G2030" s="18">
        <f>E2030* 0.0703491401771756</f>
        <v>0.42209484106305362</v>
      </c>
      <c r="H2030" s="18">
        <f>E2030* 0.00937988535695675</f>
        <v>5.6279312141740499E-2</v>
      </c>
    </row>
    <row r="2031" spans="1:8" ht="15.75" hidden="1" customHeight="1" x14ac:dyDescent="0.25">
      <c r="A2031" s="20" t="s">
        <v>151</v>
      </c>
      <c r="B2031" s="47" t="s">
        <v>176</v>
      </c>
      <c r="C2031" s="49"/>
      <c r="D2031" s="29" t="s">
        <v>523</v>
      </c>
      <c r="E2031" s="23">
        <v>3</v>
      </c>
      <c r="F2031" s="20">
        <v>0</v>
      </c>
      <c r="G2031" s="24">
        <f>E2031</f>
        <v>3</v>
      </c>
      <c r="H2031" s="20">
        <v>0</v>
      </c>
    </row>
    <row r="2032" spans="1:8" ht="15.75" hidden="1" customHeight="1" x14ac:dyDescent="0.25">
      <c r="A2032" s="20" t="s">
        <v>151</v>
      </c>
      <c r="B2032" s="47" t="s">
        <v>176</v>
      </c>
      <c r="C2032" s="49"/>
      <c r="D2032" s="19" t="s">
        <v>19</v>
      </c>
      <c r="E2032" s="23">
        <v>2</v>
      </c>
      <c r="F2032" s="18">
        <f>E2032* 0.223420647149461</f>
        <v>0.446841294298922</v>
      </c>
      <c r="G2032" s="18">
        <f>E2032* 0.773497688751926</f>
        <v>1.5469953775038521</v>
      </c>
      <c r="H2032" s="18">
        <f>E2032* 0.00308166409861325</f>
        <v>6.1633281972264999E-3</v>
      </c>
    </row>
    <row r="2033" spans="1:8" ht="15.75" hidden="1" customHeight="1" x14ac:dyDescent="0.25">
      <c r="A2033" s="20" t="s">
        <v>151</v>
      </c>
      <c r="B2033" s="47" t="s">
        <v>176</v>
      </c>
      <c r="C2033" s="49"/>
      <c r="D2033" s="19" t="s">
        <v>20</v>
      </c>
      <c r="E2033" s="23">
        <v>69</v>
      </c>
      <c r="F2033" s="18">
        <f>E2033* 0.61531089014017</f>
        <v>42.45645141967173</v>
      </c>
      <c r="G2033" s="18">
        <f>E2033* 0.298190966814424</f>
        <v>20.575176710195255</v>
      </c>
      <c r="H2033" s="18">
        <f>E2033* 0.086378339523182</f>
        <v>5.9601054270995579</v>
      </c>
    </row>
    <row r="2034" spans="1:8" ht="15.75" hidden="1" customHeight="1" x14ac:dyDescent="0.25">
      <c r="A2034" s="20" t="s">
        <v>151</v>
      </c>
      <c r="B2034" s="47" t="s">
        <v>176</v>
      </c>
      <c r="C2034" s="49"/>
      <c r="D2034" s="19" t="s">
        <v>21</v>
      </c>
      <c r="E2034" s="23">
        <v>346</v>
      </c>
      <c r="F2034" s="18">
        <f>E2034* 0.999801370543252</f>
        <v>345.9312742079652</v>
      </c>
      <c r="G2034" s="18">
        <f>E2034* 0.0000993147283742179</f>
        <v>3.4362896017479397E-2</v>
      </c>
      <c r="H2034" s="18">
        <f>E2034* 0.0000993147283742179</f>
        <v>3.4362896017479397E-2</v>
      </c>
    </row>
    <row r="2035" spans="1:8" ht="15.75" hidden="1" customHeight="1" x14ac:dyDescent="0.25">
      <c r="A2035" s="20" t="s">
        <v>151</v>
      </c>
      <c r="B2035" s="47" t="s">
        <v>176</v>
      </c>
      <c r="C2035" s="49"/>
      <c r="D2035" s="19" t="s">
        <v>28</v>
      </c>
      <c r="E2035" s="23">
        <v>13</v>
      </c>
      <c r="F2035" s="20">
        <v>0</v>
      </c>
      <c r="G2035" s="18">
        <f>E2035* 0.99904671115348</f>
        <v>12.987607244995239</v>
      </c>
      <c r="H2035" s="18">
        <f>E2035* 0.000953288846520496</f>
        <v>1.2392755004766448E-2</v>
      </c>
    </row>
    <row r="2036" spans="1:8" ht="15.75" hidden="1" customHeight="1" x14ac:dyDescent="0.25">
      <c r="A2036" s="20" t="s">
        <v>151</v>
      </c>
      <c r="B2036" s="47" t="s">
        <v>176</v>
      </c>
      <c r="C2036" s="49"/>
      <c r="D2036" s="19" t="s">
        <v>12</v>
      </c>
      <c r="E2036" s="23">
        <v>358</v>
      </c>
      <c r="F2036" s="18">
        <f>E2036* 0.849400404921352</f>
        <v>304.08534496184404</v>
      </c>
      <c r="G2036" s="18">
        <f>E2036* 0.0654726678087525</f>
        <v>23.439215075533394</v>
      </c>
      <c r="H2036" s="18">
        <f>E2036* 0.0851269272698957</f>
        <v>30.475439962622659</v>
      </c>
    </row>
    <row r="2037" spans="1:8" ht="15.75" hidden="1" customHeight="1" x14ac:dyDescent="0.25">
      <c r="A2037" s="20" t="s">
        <v>151</v>
      </c>
      <c r="B2037" s="20"/>
      <c r="C2037" s="20"/>
      <c r="D2037" s="46"/>
      <c r="E2037" s="35"/>
    </row>
    <row r="2038" spans="1:8" ht="15.75" customHeight="1" x14ac:dyDescent="0.25">
      <c r="A2038" s="20" t="s">
        <v>151</v>
      </c>
      <c r="B2038" s="47" t="s">
        <v>177</v>
      </c>
      <c r="C2038" s="12" t="str">
        <f>B2038&amp;"_"&amp;A2038</f>
        <v>Santiago de Huallamarca_Oruro</v>
      </c>
      <c r="D2038" s="20"/>
      <c r="E2038" s="48">
        <v>1</v>
      </c>
      <c r="F2038" s="14">
        <f t="shared" ref="F2038:H2038" si="170">F2039</f>
        <v>0.83603545179420702</v>
      </c>
      <c r="G2038" s="14">
        <f t="shared" si="170"/>
        <v>5.83657587548638E-2</v>
      </c>
      <c r="H2038" s="14">
        <f t="shared" si="170"/>
        <v>0.10559878945093</v>
      </c>
    </row>
    <row r="2039" spans="1:8" ht="15.75" hidden="1" customHeight="1" x14ac:dyDescent="0.25">
      <c r="A2039" s="20" t="s">
        <v>151</v>
      </c>
      <c r="B2039" s="47" t="s">
        <v>177</v>
      </c>
      <c r="C2039" s="49"/>
      <c r="D2039" s="19" t="s">
        <v>17</v>
      </c>
      <c r="E2039" s="23">
        <v>1</v>
      </c>
      <c r="F2039" s="18">
        <f>E2039* 0.836035451794207</f>
        <v>0.83603545179420702</v>
      </c>
      <c r="G2039" s="18">
        <f>E2039* 0.0583657587548638</f>
        <v>5.83657587548638E-2</v>
      </c>
      <c r="H2039" s="18">
        <f>E2039* 0.10559878945093</f>
        <v>0.10559878945093</v>
      </c>
    </row>
    <row r="2040" spans="1:8" ht="15.75" hidden="1" customHeight="1" x14ac:dyDescent="0.25">
      <c r="A2040" s="20" t="s">
        <v>151</v>
      </c>
      <c r="B2040" s="20"/>
      <c r="C2040" s="20"/>
      <c r="D2040" s="46"/>
      <c r="E2040" s="35"/>
    </row>
    <row r="2041" spans="1:8" ht="15.75" customHeight="1" x14ac:dyDescent="0.25">
      <c r="A2041" s="20" t="s">
        <v>151</v>
      </c>
      <c r="B2041" s="47" t="s">
        <v>524</v>
      </c>
      <c r="C2041" s="12" t="str">
        <f>B2041&amp;"_"&amp;A2041</f>
        <v>Santiago de Quillacas_Oruro</v>
      </c>
      <c r="D2041" s="20"/>
      <c r="E2041" s="48">
        <v>145</v>
      </c>
      <c r="F2041" s="14">
        <f t="shared" ref="F2041:H2041" si="171">SUM(F2042:F2052)</f>
        <v>110.60021098110123</v>
      </c>
      <c r="G2041" s="14">
        <f t="shared" si="171"/>
        <v>24.315161376164067</v>
      </c>
      <c r="H2041" s="14">
        <f t="shared" si="171"/>
        <v>10.076694103126384</v>
      </c>
    </row>
    <row r="2042" spans="1:8" ht="15.75" hidden="1" customHeight="1" x14ac:dyDescent="0.25">
      <c r="A2042" s="20" t="s">
        <v>151</v>
      </c>
      <c r="B2042" s="47" t="s">
        <v>524</v>
      </c>
      <c r="C2042" s="49"/>
      <c r="D2042" s="19" t="s">
        <v>15</v>
      </c>
      <c r="E2042" s="23">
        <v>19</v>
      </c>
      <c r="F2042" s="18">
        <f>E2042* 0.929012779104059</f>
        <v>17.651242802977119</v>
      </c>
      <c r="G2042" s="18">
        <f>E2042* 0.00947900575761831</f>
        <v>0.18010110939474791</v>
      </c>
      <c r="H2042" s="18">
        <f>E2042* 0.0614380002808594</f>
        <v>1.1673220053363285</v>
      </c>
    </row>
    <row r="2043" spans="1:8" ht="15.75" hidden="1" customHeight="1" x14ac:dyDescent="0.25">
      <c r="A2043" s="20" t="s">
        <v>151</v>
      </c>
      <c r="B2043" s="47" t="s">
        <v>524</v>
      </c>
      <c r="C2043" s="49"/>
      <c r="D2043" s="29" t="s">
        <v>525</v>
      </c>
      <c r="E2043" s="23">
        <v>2</v>
      </c>
      <c r="F2043" s="18">
        <f>E2043* 0.0624390243902439</f>
        <v>0.1248780487804878</v>
      </c>
      <c r="G2043" s="18">
        <f>E2043* 0.936585365853659</f>
        <v>1.8731707317073181</v>
      </c>
      <c r="H2043" s="20">
        <v>0</v>
      </c>
    </row>
    <row r="2044" spans="1:8" ht="15.75" hidden="1" customHeight="1" x14ac:dyDescent="0.25">
      <c r="A2044" s="20" t="s">
        <v>151</v>
      </c>
      <c r="B2044" s="47" t="s">
        <v>524</v>
      </c>
      <c r="C2044" s="49"/>
      <c r="D2044" s="19" t="s">
        <v>11</v>
      </c>
      <c r="E2044" s="23">
        <v>12</v>
      </c>
      <c r="F2044" s="18">
        <f>E2044* 0.080360592401803</f>
        <v>0.96432710882163608</v>
      </c>
      <c r="G2044" s="18">
        <f>E2044* 0.917192530585963</f>
        <v>11.006310367031556</v>
      </c>
      <c r="H2044" s="18">
        <f>E2044* 0.00218931101094656</f>
        <v>2.6271732131358718E-2</v>
      </c>
    </row>
    <row r="2045" spans="1:8" ht="15.75" hidden="1" customHeight="1" x14ac:dyDescent="0.25">
      <c r="A2045" s="20" t="s">
        <v>151</v>
      </c>
      <c r="B2045" s="47" t="s">
        <v>524</v>
      </c>
      <c r="C2045" s="49"/>
      <c r="D2045" s="19" t="s">
        <v>17</v>
      </c>
      <c r="E2045" s="23">
        <v>24</v>
      </c>
      <c r="F2045" s="18">
        <f>E2045* 0.836035451794207</f>
        <v>20.064850843060967</v>
      </c>
      <c r="G2045" s="18">
        <f>E2045* 0.0583657587548638</f>
        <v>1.4007782101167312</v>
      </c>
      <c r="H2045" s="18">
        <f>E2045* 0.10559878945093</f>
        <v>2.5343709468223201</v>
      </c>
    </row>
    <row r="2046" spans="1:8" ht="15.75" hidden="1" customHeight="1" x14ac:dyDescent="0.25">
      <c r="A2046" s="20" t="s">
        <v>151</v>
      </c>
      <c r="B2046" s="47" t="s">
        <v>524</v>
      </c>
      <c r="C2046" s="49"/>
      <c r="D2046" s="19" t="s">
        <v>31</v>
      </c>
      <c r="E2046" s="23">
        <v>0</v>
      </c>
      <c r="F2046" s="18">
        <f>E2046* 0.872611464968153</f>
        <v>0</v>
      </c>
      <c r="G2046" s="18">
        <f>E2046* 0.0764331210191083</f>
        <v>0</v>
      </c>
      <c r="H2046" s="18">
        <f>E2046* 0.0509554140127389</f>
        <v>0</v>
      </c>
    </row>
    <row r="2047" spans="1:8" ht="15.75" hidden="1" customHeight="1" x14ac:dyDescent="0.25">
      <c r="A2047" s="20" t="s">
        <v>151</v>
      </c>
      <c r="B2047" s="47" t="s">
        <v>524</v>
      </c>
      <c r="C2047" s="49"/>
      <c r="D2047" s="19" t="s">
        <v>18</v>
      </c>
      <c r="E2047" s="23">
        <v>3</v>
      </c>
      <c r="F2047" s="18">
        <f>E2047* 0.920270974465868</f>
        <v>2.7608129233976042</v>
      </c>
      <c r="G2047" s="18">
        <f>E2047* 0.0703491401771756</f>
        <v>0.21104742053152681</v>
      </c>
      <c r="H2047" s="18">
        <f>E2047* 0.00937988535695675</f>
        <v>2.813965607087025E-2</v>
      </c>
    </row>
    <row r="2048" spans="1:8" ht="15.75" hidden="1" customHeight="1" x14ac:dyDescent="0.25">
      <c r="A2048" s="20" t="s">
        <v>151</v>
      </c>
      <c r="B2048" s="47" t="s">
        <v>524</v>
      </c>
      <c r="C2048" s="49"/>
      <c r="D2048" s="19" t="s">
        <v>19</v>
      </c>
      <c r="E2048" s="23">
        <v>1</v>
      </c>
      <c r="F2048" s="18">
        <f>E2048* 0.223420647149461</f>
        <v>0.223420647149461</v>
      </c>
      <c r="G2048" s="18">
        <f>E2048* 0.773497688751926</f>
        <v>0.77349768875192604</v>
      </c>
      <c r="H2048" s="18">
        <f>E2048* 0.00308166409861325</f>
        <v>3.08166409861325E-3</v>
      </c>
    </row>
    <row r="2049" spans="1:8" ht="15.75" hidden="1" customHeight="1" x14ac:dyDescent="0.25">
      <c r="A2049" s="20" t="s">
        <v>151</v>
      </c>
      <c r="B2049" s="47" t="s">
        <v>524</v>
      </c>
      <c r="C2049" s="49"/>
      <c r="D2049" s="19" t="s">
        <v>20</v>
      </c>
      <c r="E2049" s="23">
        <v>13</v>
      </c>
      <c r="F2049" s="18">
        <f>E2049* 0.61531089014017</f>
        <v>7.999041571822211</v>
      </c>
      <c r="G2049" s="18">
        <f>E2049* 0.298190966814424</f>
        <v>3.8764825685875115</v>
      </c>
      <c r="H2049" s="18">
        <f>E2049* 0.086378339523182</f>
        <v>1.1229184138013659</v>
      </c>
    </row>
    <row r="2050" spans="1:8" ht="15.75" hidden="1" customHeight="1" x14ac:dyDescent="0.25">
      <c r="A2050" s="20" t="s">
        <v>151</v>
      </c>
      <c r="B2050" s="47" t="s">
        <v>524</v>
      </c>
      <c r="C2050" s="49"/>
      <c r="D2050" s="19" t="s">
        <v>21</v>
      </c>
      <c r="E2050" s="23">
        <v>9</v>
      </c>
      <c r="F2050" s="18">
        <f>E2050* 0.999801370543252</f>
        <v>8.9982123348892689</v>
      </c>
      <c r="G2050" s="18">
        <f>E2050* 0.0000993147283742179</f>
        <v>8.9383255536796115E-4</v>
      </c>
      <c r="H2050" s="18">
        <f>E2050* 0.0000993147283742179</f>
        <v>8.9383255536796115E-4</v>
      </c>
    </row>
    <row r="2051" spans="1:8" ht="15.75" hidden="1" customHeight="1" x14ac:dyDescent="0.25">
      <c r="A2051" s="20" t="s">
        <v>151</v>
      </c>
      <c r="B2051" s="47" t="s">
        <v>524</v>
      </c>
      <c r="C2051" s="49"/>
      <c r="D2051" s="19" t="s">
        <v>28</v>
      </c>
      <c r="E2051" s="23">
        <v>1</v>
      </c>
      <c r="F2051" s="20">
        <v>0</v>
      </c>
      <c r="G2051" s="18">
        <f>E2051* 0.99904671115348</f>
        <v>0.99904671115347998</v>
      </c>
      <c r="H2051" s="18">
        <f>E2051* 0.000953288846520496</f>
        <v>9.5328884652049601E-4</v>
      </c>
    </row>
    <row r="2052" spans="1:8" ht="15.75" hidden="1" customHeight="1" x14ac:dyDescent="0.25">
      <c r="A2052" s="20" t="s">
        <v>151</v>
      </c>
      <c r="B2052" s="47" t="s">
        <v>524</v>
      </c>
      <c r="C2052" s="49"/>
      <c r="D2052" s="19" t="s">
        <v>12</v>
      </c>
      <c r="E2052" s="23">
        <v>61</v>
      </c>
      <c r="F2052" s="18">
        <f>E2052* 0.849400404921352</f>
        <v>51.813424700202475</v>
      </c>
      <c r="G2052" s="18">
        <f>E2052* 0.0654726678087525</f>
        <v>3.9938327363339021</v>
      </c>
      <c r="H2052" s="18">
        <f>E2052* 0.0851269272698957</f>
        <v>5.1927425634636375</v>
      </c>
    </row>
    <row r="2053" spans="1:8" ht="15.75" hidden="1" customHeight="1" x14ac:dyDescent="0.25">
      <c r="A2053" s="20" t="s">
        <v>151</v>
      </c>
      <c r="B2053" s="20"/>
      <c r="C2053" s="20"/>
      <c r="D2053" s="46"/>
      <c r="E2053" s="35"/>
    </row>
    <row r="2054" spans="1:8" ht="15.75" customHeight="1" x14ac:dyDescent="0.25">
      <c r="A2054" s="20" t="s">
        <v>151</v>
      </c>
      <c r="B2054" s="47" t="s">
        <v>178</v>
      </c>
      <c r="C2054" s="12" t="str">
        <f>B2054&amp;"_"&amp;A2054</f>
        <v>Santiago de Huari_Oruro</v>
      </c>
      <c r="D2054" s="20"/>
      <c r="E2054" s="48">
        <f t="shared" ref="E2054:H2054" si="172">SUM(E2055:E2065)</f>
        <v>131</v>
      </c>
      <c r="F2054" s="14">
        <f t="shared" si="172"/>
        <v>96.186911976354196</v>
      </c>
      <c r="G2054" s="14">
        <f t="shared" si="172"/>
        <v>25.923941151588849</v>
      </c>
      <c r="H2054" s="14">
        <f t="shared" si="172"/>
        <v>8.8839742141443327</v>
      </c>
    </row>
    <row r="2055" spans="1:8" ht="15.75" hidden="1" customHeight="1" x14ac:dyDescent="0.25">
      <c r="A2055" s="20" t="s">
        <v>151</v>
      </c>
      <c r="B2055" s="47" t="s">
        <v>178</v>
      </c>
      <c r="C2055" s="49"/>
      <c r="D2055" s="29" t="s">
        <v>526</v>
      </c>
      <c r="E2055" s="23">
        <v>5</v>
      </c>
      <c r="F2055" s="20">
        <v>0</v>
      </c>
      <c r="G2055" s="24">
        <f>E2055</f>
        <v>5</v>
      </c>
      <c r="H2055" s="20">
        <v>0</v>
      </c>
    </row>
    <row r="2056" spans="1:8" ht="15.75" hidden="1" customHeight="1" x14ac:dyDescent="0.25">
      <c r="A2056" s="20" t="s">
        <v>151</v>
      </c>
      <c r="B2056" s="47" t="s">
        <v>178</v>
      </c>
      <c r="C2056" s="49"/>
      <c r="D2056" s="19" t="s">
        <v>15</v>
      </c>
      <c r="E2056" s="23">
        <v>16</v>
      </c>
      <c r="F2056" s="18">
        <f>E2056* 0.929012779104059</f>
        <v>14.864204465664944</v>
      </c>
      <c r="G2056" s="18">
        <f>E2056* 0.00947900575761831</f>
        <v>0.15166409212189297</v>
      </c>
      <c r="H2056" s="18">
        <f>E2056* 0.0614380002808594</f>
        <v>0.98300800449375036</v>
      </c>
    </row>
    <row r="2057" spans="1:8" ht="15.75" hidden="1" customHeight="1" x14ac:dyDescent="0.25">
      <c r="A2057" s="20" t="s">
        <v>151</v>
      </c>
      <c r="B2057" s="47" t="s">
        <v>178</v>
      </c>
      <c r="C2057" s="49"/>
      <c r="D2057" s="29" t="s">
        <v>527</v>
      </c>
      <c r="E2057" s="23">
        <v>0</v>
      </c>
      <c r="F2057" s="18">
        <f>E2057* 0.0624390243902439</f>
        <v>0</v>
      </c>
      <c r="G2057" s="18">
        <f>E2057* 0.936585365853659</f>
        <v>0</v>
      </c>
      <c r="H2057" s="20">
        <v>0</v>
      </c>
    </row>
    <row r="2058" spans="1:8" ht="15.75" hidden="1" customHeight="1" x14ac:dyDescent="0.25">
      <c r="A2058" s="20" t="s">
        <v>151</v>
      </c>
      <c r="B2058" s="47" t="s">
        <v>178</v>
      </c>
      <c r="C2058" s="49"/>
      <c r="D2058" s="19" t="s">
        <v>11</v>
      </c>
      <c r="E2058" s="32">
        <v>12</v>
      </c>
      <c r="F2058" s="18">
        <f>E2058* 0.080360592401803</f>
        <v>0.96432710882163608</v>
      </c>
      <c r="G2058" s="18">
        <f>E2058* 0.917192530585963</f>
        <v>11.006310367031556</v>
      </c>
      <c r="H2058" s="18">
        <f>E2058* 0.00218931101094656</f>
        <v>2.6271732131358718E-2</v>
      </c>
    </row>
    <row r="2059" spans="1:8" ht="15.75" hidden="1" customHeight="1" x14ac:dyDescent="0.25">
      <c r="A2059" s="20" t="s">
        <v>151</v>
      </c>
      <c r="B2059" s="47" t="s">
        <v>178</v>
      </c>
      <c r="C2059" s="49"/>
      <c r="D2059" s="19" t="s">
        <v>17</v>
      </c>
      <c r="E2059" s="23">
        <v>20</v>
      </c>
      <c r="F2059" s="18">
        <f>E2059* 0.836035451794207</f>
        <v>16.720709035884141</v>
      </c>
      <c r="G2059" s="18">
        <f>E2059* 0.0583657587548638</f>
        <v>1.1673151750972761</v>
      </c>
      <c r="H2059" s="18">
        <f>E2059* 0.10559878945093</f>
        <v>2.1119757890185999</v>
      </c>
    </row>
    <row r="2060" spans="1:8" ht="15.75" hidden="1" customHeight="1" x14ac:dyDescent="0.25">
      <c r="A2060" s="20" t="s">
        <v>151</v>
      </c>
      <c r="B2060" s="47" t="s">
        <v>178</v>
      </c>
      <c r="C2060" s="49"/>
      <c r="D2060" s="19" t="s">
        <v>18</v>
      </c>
      <c r="E2060" s="23">
        <v>5</v>
      </c>
      <c r="F2060" s="18">
        <f>E2060* 0.920270974465868</f>
        <v>4.60135487232934</v>
      </c>
      <c r="G2060" s="18">
        <f>E2060* 0.0703491401771756</f>
        <v>0.35174570088587798</v>
      </c>
      <c r="H2060" s="18">
        <f>E2060* 0.00937988535695675</f>
        <v>4.6899426784783746E-2</v>
      </c>
    </row>
    <row r="2061" spans="1:8" ht="15.75" hidden="1" customHeight="1" x14ac:dyDescent="0.25">
      <c r="A2061" s="20" t="s">
        <v>151</v>
      </c>
      <c r="B2061" s="47" t="s">
        <v>178</v>
      </c>
      <c r="C2061" s="49"/>
      <c r="D2061" s="19" t="s">
        <v>19</v>
      </c>
      <c r="E2061" s="23">
        <v>0</v>
      </c>
      <c r="F2061" s="18">
        <f>E2061* 0.223420647149461</f>
        <v>0</v>
      </c>
      <c r="G2061" s="18">
        <f>E2061* 0.773497688751926</f>
        <v>0</v>
      </c>
      <c r="H2061" s="18">
        <f>E2061* 0.00308166409861325</f>
        <v>0</v>
      </c>
    </row>
    <row r="2062" spans="1:8" ht="15.75" hidden="1" customHeight="1" x14ac:dyDescent="0.25">
      <c r="A2062" s="20" t="s">
        <v>151</v>
      </c>
      <c r="B2062" s="47" t="s">
        <v>178</v>
      </c>
      <c r="C2062" s="49"/>
      <c r="D2062" s="19" t="s">
        <v>20</v>
      </c>
      <c r="E2062" s="23">
        <v>8</v>
      </c>
      <c r="F2062" s="18">
        <f>E2062* 0.61531089014017</f>
        <v>4.9224871211213603</v>
      </c>
      <c r="G2062" s="18">
        <f>E2062* 0.298190966814424</f>
        <v>2.3855277345153918</v>
      </c>
      <c r="H2062" s="18">
        <f>E2062* 0.086378339523182</f>
        <v>0.69102671618545597</v>
      </c>
    </row>
    <row r="2063" spans="1:8" ht="15.75" hidden="1" customHeight="1" x14ac:dyDescent="0.25">
      <c r="A2063" s="20" t="s">
        <v>151</v>
      </c>
      <c r="B2063" s="47" t="s">
        <v>178</v>
      </c>
      <c r="C2063" s="49"/>
      <c r="D2063" s="19" t="s">
        <v>21</v>
      </c>
      <c r="E2063" s="23">
        <v>4</v>
      </c>
      <c r="F2063" s="18">
        <f>E2063* 0.999801370543252</f>
        <v>3.9992054821730081</v>
      </c>
      <c r="G2063" s="18">
        <f>E2063* 0.0000993147283742179</f>
        <v>3.9725891349687162E-4</v>
      </c>
      <c r="H2063" s="18">
        <f>E2063* 0.0000993147283742179</f>
        <v>3.9725891349687162E-4</v>
      </c>
    </row>
    <row r="2064" spans="1:8" ht="15.75" hidden="1" customHeight="1" x14ac:dyDescent="0.25">
      <c r="A2064" s="20" t="s">
        <v>151</v>
      </c>
      <c r="B2064" s="47" t="s">
        <v>178</v>
      </c>
      <c r="C2064" s="49"/>
      <c r="D2064" s="19" t="s">
        <v>28</v>
      </c>
      <c r="E2064" s="23">
        <v>2</v>
      </c>
      <c r="F2064" s="20">
        <v>0</v>
      </c>
      <c r="G2064" s="18">
        <f>E2064* 0.99904671115348</f>
        <v>1.99809342230696</v>
      </c>
      <c r="H2064" s="18">
        <f>E2064* 0.000953288846520496</f>
        <v>1.906577693040992E-3</v>
      </c>
    </row>
    <row r="2065" spans="1:8" ht="15.75" hidden="1" customHeight="1" x14ac:dyDescent="0.25">
      <c r="A2065" s="20" t="s">
        <v>151</v>
      </c>
      <c r="B2065" s="47" t="s">
        <v>178</v>
      </c>
      <c r="C2065" s="49"/>
      <c r="D2065" s="19" t="s">
        <v>12</v>
      </c>
      <c r="E2065" s="23">
        <v>59</v>
      </c>
      <c r="F2065" s="18">
        <f>E2065* 0.849400404921352</f>
        <v>50.114623890359773</v>
      </c>
      <c r="G2065" s="18">
        <f>E2065* 0.0654726678087525</f>
        <v>3.8628874007163971</v>
      </c>
      <c r="H2065" s="18">
        <f>E2065* 0.0851269272698957</f>
        <v>5.0224887089238459</v>
      </c>
    </row>
    <row r="2066" spans="1:8" ht="15.75" hidden="1" customHeight="1" x14ac:dyDescent="0.25">
      <c r="A2066" s="20" t="s">
        <v>151</v>
      </c>
      <c r="B2066" s="20"/>
      <c r="C2066" s="20"/>
      <c r="D2066" s="46"/>
      <c r="E2066" s="35"/>
    </row>
    <row r="2067" spans="1:8" ht="15.75" customHeight="1" x14ac:dyDescent="0.25">
      <c r="A2067" s="20" t="s">
        <v>151</v>
      </c>
      <c r="B2067" s="47" t="s">
        <v>179</v>
      </c>
      <c r="C2067" s="12" t="str">
        <f>B2067&amp;"_"&amp;A2067</f>
        <v>Soracachi_Oruro</v>
      </c>
      <c r="D2067" s="20"/>
      <c r="E2067" s="48">
        <v>2377</v>
      </c>
      <c r="F2067" s="14">
        <f t="shared" ref="F2067:H2067" si="173">SUM(F2068:F2080)</f>
        <v>1846.4979241489177</v>
      </c>
      <c r="G2067" s="14">
        <f t="shared" si="173"/>
        <v>370.46172707238634</v>
      </c>
      <c r="H2067" s="14">
        <f t="shared" si="173"/>
        <v>159.92284174307719</v>
      </c>
    </row>
    <row r="2068" spans="1:8" ht="15.75" hidden="1" customHeight="1" x14ac:dyDescent="0.25">
      <c r="A2068" s="20" t="s">
        <v>151</v>
      </c>
      <c r="B2068" s="47" t="s">
        <v>179</v>
      </c>
      <c r="C2068" s="49"/>
      <c r="D2068" s="29" t="s">
        <v>528</v>
      </c>
      <c r="E2068" s="23">
        <v>11</v>
      </c>
      <c r="F2068" s="20">
        <v>0</v>
      </c>
      <c r="G2068" s="24">
        <f>E2068</f>
        <v>11</v>
      </c>
      <c r="H2068" s="20">
        <v>0</v>
      </c>
    </row>
    <row r="2069" spans="1:8" ht="15.75" hidden="1" customHeight="1" x14ac:dyDescent="0.25">
      <c r="A2069" s="20" t="s">
        <v>151</v>
      </c>
      <c r="B2069" s="47" t="s">
        <v>179</v>
      </c>
      <c r="C2069" s="49"/>
      <c r="D2069" s="19" t="s">
        <v>15</v>
      </c>
      <c r="E2069" s="23">
        <v>438</v>
      </c>
      <c r="F2069" s="18">
        <f>E2069* 0.929012779104059</f>
        <v>406.90759724757783</v>
      </c>
      <c r="G2069" s="18">
        <f>E2069* 0.00947900575761831</f>
        <v>4.1518045218368202</v>
      </c>
      <c r="H2069" s="18">
        <f>E2069* 0.0614380002808594</f>
        <v>26.909844123016416</v>
      </c>
    </row>
    <row r="2070" spans="1:8" ht="15.75" hidden="1" customHeight="1" x14ac:dyDescent="0.25">
      <c r="A2070" s="20" t="s">
        <v>151</v>
      </c>
      <c r="B2070" s="47" t="s">
        <v>179</v>
      </c>
      <c r="C2070" s="49"/>
      <c r="D2070" s="29" t="s">
        <v>529</v>
      </c>
      <c r="E2070" s="23">
        <v>24</v>
      </c>
      <c r="F2070" s="18">
        <f>E2070* 0.0624390243902439</f>
        <v>1.4985365853658537</v>
      </c>
      <c r="G2070" s="18">
        <f>E2070* 0.936585365853659</f>
        <v>22.478048780487818</v>
      </c>
      <c r="H2070" s="20">
        <v>0</v>
      </c>
    </row>
    <row r="2071" spans="1:8" ht="15.75" hidden="1" customHeight="1" x14ac:dyDescent="0.25">
      <c r="A2071" s="20" t="s">
        <v>151</v>
      </c>
      <c r="B2071" s="47" t="s">
        <v>179</v>
      </c>
      <c r="C2071" s="49"/>
      <c r="D2071" s="19" t="s">
        <v>11</v>
      </c>
      <c r="E2071" s="23">
        <v>158</v>
      </c>
      <c r="F2071" s="18">
        <f>E2071* 0.080360592401803</f>
        <v>12.696973599484874</v>
      </c>
      <c r="G2071" s="18">
        <f>E2071* 0.917192530585963</f>
        <v>144.91641983258214</v>
      </c>
      <c r="H2071" s="18">
        <f>E2071* 0.00218931101094656</f>
        <v>0.34591113972955645</v>
      </c>
    </row>
    <row r="2072" spans="1:8" ht="15.75" hidden="1" customHeight="1" x14ac:dyDescent="0.25">
      <c r="A2072" s="20" t="s">
        <v>151</v>
      </c>
      <c r="B2072" s="47" t="s">
        <v>179</v>
      </c>
      <c r="C2072" s="49"/>
      <c r="D2072" s="19" t="s">
        <v>17</v>
      </c>
      <c r="E2072" s="23">
        <v>178</v>
      </c>
      <c r="F2072" s="18">
        <f>E2072* 0.836035451794207</f>
        <v>148.81431041936884</v>
      </c>
      <c r="G2072" s="18">
        <f>E2072* 0.0583657587548638</f>
        <v>10.389105058365756</v>
      </c>
      <c r="H2072" s="18">
        <f>E2072* 0.10559878945093</f>
        <v>18.79658452226554</v>
      </c>
    </row>
    <row r="2073" spans="1:8" ht="15.75" hidden="1" customHeight="1" x14ac:dyDescent="0.25">
      <c r="A2073" s="20" t="s">
        <v>151</v>
      </c>
      <c r="B2073" s="47" t="s">
        <v>179</v>
      </c>
      <c r="C2073" s="49"/>
      <c r="D2073" s="19" t="s">
        <v>31</v>
      </c>
      <c r="E2073" s="23">
        <v>15</v>
      </c>
      <c r="F2073" s="18">
        <f>E2073* 0.872611464968153</f>
        <v>13.089171974522294</v>
      </c>
      <c r="G2073" s="18">
        <f>E2073* 0.0764331210191083</f>
        <v>1.1464968152866246</v>
      </c>
      <c r="H2073" s="18">
        <f>E2073* 0.0509554140127389</f>
        <v>0.76433121019108352</v>
      </c>
    </row>
    <row r="2074" spans="1:8" ht="15.75" hidden="1" customHeight="1" x14ac:dyDescent="0.25">
      <c r="A2074" s="20" t="s">
        <v>151</v>
      </c>
      <c r="B2074" s="47" t="s">
        <v>179</v>
      </c>
      <c r="C2074" s="49"/>
      <c r="D2074" s="19" t="s">
        <v>18</v>
      </c>
      <c r="E2074" s="23">
        <v>27</v>
      </c>
      <c r="F2074" s="18">
        <f>E2074* 0.920270974465868</f>
        <v>24.847316310578435</v>
      </c>
      <c r="G2074" s="18">
        <f>E2074* 0.0703491401771756</f>
        <v>1.8994267847837412</v>
      </c>
      <c r="H2074" s="18">
        <f>E2074* 0.00937988535695675</f>
        <v>0.25325690463783224</v>
      </c>
    </row>
    <row r="2075" spans="1:8" ht="15.75" hidden="1" customHeight="1" x14ac:dyDescent="0.25">
      <c r="A2075" s="20" t="s">
        <v>151</v>
      </c>
      <c r="B2075" s="47" t="s">
        <v>179</v>
      </c>
      <c r="C2075" s="49"/>
      <c r="D2075" s="19" t="s">
        <v>19</v>
      </c>
      <c r="E2075" s="23">
        <v>9</v>
      </c>
      <c r="F2075" s="18">
        <f>E2075* 0.223420647149461</f>
        <v>2.0107858243451489</v>
      </c>
      <c r="G2075" s="18">
        <f>E2075* 0.773497688751926</f>
        <v>6.9614791987673339</v>
      </c>
      <c r="H2075" s="18">
        <f>E2075* 0.00308166409861325</f>
        <v>2.7734976887519251E-2</v>
      </c>
    </row>
    <row r="2076" spans="1:8" ht="15.75" hidden="1" customHeight="1" x14ac:dyDescent="0.25">
      <c r="A2076" s="20" t="s">
        <v>151</v>
      </c>
      <c r="B2076" s="47" t="s">
        <v>179</v>
      </c>
      <c r="C2076" s="49"/>
      <c r="D2076" s="19" t="s">
        <v>20</v>
      </c>
      <c r="E2076" s="23">
        <v>189</v>
      </c>
      <c r="F2076" s="18">
        <f>E2076* 0.61531089014017</f>
        <v>116.29375823649214</v>
      </c>
      <c r="G2076" s="18">
        <f>E2076* 0.298190966814424</f>
        <v>56.358092727926135</v>
      </c>
      <c r="H2076" s="18">
        <f>E2076* 0.086378339523182</f>
        <v>16.325506169881397</v>
      </c>
    </row>
    <row r="2077" spans="1:8" ht="15.75" hidden="1" customHeight="1" x14ac:dyDescent="0.25">
      <c r="A2077" s="20" t="s">
        <v>151</v>
      </c>
      <c r="B2077" s="47" t="s">
        <v>179</v>
      </c>
      <c r="C2077" s="49"/>
      <c r="D2077" s="19" t="s">
        <v>21</v>
      </c>
      <c r="E2077" s="23">
        <v>157</v>
      </c>
      <c r="F2077" s="18">
        <f>E2077* 0.999801370543252</f>
        <v>156.96881517529056</v>
      </c>
      <c r="G2077" s="18">
        <f>E2077* 0.0000993147283742179</f>
        <v>1.5592412354752212E-2</v>
      </c>
      <c r="H2077" s="18">
        <f>E2077* 0.0000993147283742179</f>
        <v>1.5592412354752212E-2</v>
      </c>
    </row>
    <row r="2078" spans="1:8" ht="15.75" hidden="1" customHeight="1" x14ac:dyDescent="0.25">
      <c r="A2078" s="20" t="s">
        <v>151</v>
      </c>
      <c r="B2078" s="47" t="s">
        <v>179</v>
      </c>
      <c r="C2078" s="49"/>
      <c r="D2078" s="19" t="s">
        <v>36</v>
      </c>
      <c r="E2078" s="23">
        <v>1</v>
      </c>
      <c r="F2078" s="24">
        <f>E2078</f>
        <v>1</v>
      </c>
      <c r="G2078" s="20">
        <v>0</v>
      </c>
      <c r="H2078" s="20">
        <v>0</v>
      </c>
    </row>
    <row r="2079" spans="1:8" ht="15.75" hidden="1" customHeight="1" x14ac:dyDescent="0.25">
      <c r="A2079" s="20" t="s">
        <v>151</v>
      </c>
      <c r="B2079" s="47" t="s">
        <v>179</v>
      </c>
      <c r="C2079" s="49"/>
      <c r="D2079" s="19" t="s">
        <v>28</v>
      </c>
      <c r="E2079" s="23">
        <v>37</v>
      </c>
      <c r="F2079" s="20">
        <v>0</v>
      </c>
      <c r="G2079" s="18">
        <f>E2079* 0.99904671115348</f>
        <v>36.964728312678758</v>
      </c>
      <c r="H2079" s="18">
        <f>E2079* 0.000953288846520496</f>
        <v>3.5271687321258349E-2</v>
      </c>
    </row>
    <row r="2080" spans="1:8" ht="15.75" hidden="1" customHeight="1" x14ac:dyDescent="0.25">
      <c r="A2080" s="20" t="s">
        <v>151</v>
      </c>
      <c r="B2080" s="47" t="s">
        <v>179</v>
      </c>
      <c r="C2080" s="49"/>
      <c r="D2080" s="19" t="s">
        <v>12</v>
      </c>
      <c r="E2080" s="23">
        <v>1133</v>
      </c>
      <c r="F2080" s="18">
        <f>E2080* 0.849400404921352</f>
        <v>962.37065877589191</v>
      </c>
      <c r="G2080" s="18">
        <f>E2080* 0.0654726678087525</f>
        <v>74.18053262731658</v>
      </c>
      <c r="H2080" s="18">
        <f>E2080* 0.0851269272698957</f>
        <v>96.448808596791821</v>
      </c>
    </row>
    <row r="2081" spans="1:8" ht="15.75" hidden="1" customHeight="1" x14ac:dyDescent="0.25">
      <c r="A2081" s="20" t="s">
        <v>151</v>
      </c>
      <c r="B2081" s="20"/>
      <c r="C2081" s="20"/>
      <c r="D2081" s="46"/>
      <c r="E2081" s="35"/>
    </row>
    <row r="2082" spans="1:8" ht="15.75" customHeight="1" x14ac:dyDescent="0.25">
      <c r="A2082" s="20" t="s">
        <v>151</v>
      </c>
      <c r="B2082" s="47" t="s">
        <v>530</v>
      </c>
      <c r="C2082" s="12" t="str">
        <f>B2082&amp;"_"&amp;A2082</f>
        <v>Todos Santos_Oruro</v>
      </c>
      <c r="D2082" s="20"/>
      <c r="E2082" s="48">
        <v>572</v>
      </c>
      <c r="F2082" s="14">
        <f t="shared" ref="F2082:H2082" si="174">SUM(F2083:F2091)</f>
        <v>535.19135464479996</v>
      </c>
      <c r="G2082" s="14">
        <f t="shared" si="174"/>
        <v>27.815379552466005</v>
      </c>
      <c r="H2082" s="14">
        <f t="shared" si="174"/>
        <v>8.9839219623614408</v>
      </c>
    </row>
    <row r="2083" spans="1:8" ht="15.75" hidden="1" customHeight="1" x14ac:dyDescent="0.25">
      <c r="A2083" s="20" t="s">
        <v>151</v>
      </c>
      <c r="B2083" s="47" t="s">
        <v>530</v>
      </c>
      <c r="C2083" s="49"/>
      <c r="D2083" s="19" t="s">
        <v>15</v>
      </c>
      <c r="E2083" s="23">
        <v>21</v>
      </c>
      <c r="F2083" s="18">
        <f>E2083* 0.929012779104059</f>
        <v>19.509268361185239</v>
      </c>
      <c r="G2083" s="18">
        <f>E2083* 0.00947900575761831</f>
        <v>0.19905912090998451</v>
      </c>
      <c r="H2083" s="18">
        <f>E2083* 0.0614380002808594</f>
        <v>1.2901980058980473</v>
      </c>
    </row>
    <row r="2084" spans="1:8" ht="15.75" hidden="1" customHeight="1" x14ac:dyDescent="0.25">
      <c r="A2084" s="20" t="s">
        <v>151</v>
      </c>
      <c r="B2084" s="47" t="s">
        <v>530</v>
      </c>
      <c r="C2084" s="49"/>
      <c r="D2084" s="29" t="s">
        <v>531</v>
      </c>
      <c r="E2084" s="23">
        <v>2</v>
      </c>
      <c r="F2084" s="18">
        <f>E2084* 0.0624390243902439</f>
        <v>0.1248780487804878</v>
      </c>
      <c r="G2084" s="18">
        <f>E2084* 0.936585365853659</f>
        <v>1.8731707317073181</v>
      </c>
      <c r="H2084" s="20">
        <v>0</v>
      </c>
    </row>
    <row r="2085" spans="1:8" ht="15.75" hidden="1" customHeight="1" x14ac:dyDescent="0.25">
      <c r="A2085" s="20" t="s">
        <v>151</v>
      </c>
      <c r="B2085" s="47" t="s">
        <v>530</v>
      </c>
      <c r="C2085" s="49"/>
      <c r="D2085" s="19" t="s">
        <v>11</v>
      </c>
      <c r="E2085" s="23">
        <v>16</v>
      </c>
      <c r="F2085" s="18">
        <f>E2085* 0.080360592401803</f>
        <v>1.285769478428848</v>
      </c>
      <c r="G2085" s="18">
        <f>E2085* 0.917192530585963</f>
        <v>14.675080489375407</v>
      </c>
      <c r="H2085" s="18">
        <f>E2085* 0.00218931101094656</f>
        <v>3.5028976175144957E-2</v>
      </c>
    </row>
    <row r="2086" spans="1:8" ht="15.75" hidden="1" customHeight="1" x14ac:dyDescent="0.25">
      <c r="A2086" s="20" t="s">
        <v>151</v>
      </c>
      <c r="B2086" s="47" t="s">
        <v>530</v>
      </c>
      <c r="C2086" s="49"/>
      <c r="D2086" s="19" t="s">
        <v>17</v>
      </c>
      <c r="E2086" s="23">
        <v>15</v>
      </c>
      <c r="F2086" s="18">
        <f>E2086* 0.836035451794207</f>
        <v>12.540531776913106</v>
      </c>
      <c r="G2086" s="18">
        <f>E2086* 0.0583657587548638</f>
        <v>0.87548638132295697</v>
      </c>
      <c r="H2086" s="18">
        <f>E2086* 0.10559878945093</f>
        <v>1.58398184176395</v>
      </c>
    </row>
    <row r="2087" spans="1:8" ht="15.75" hidden="1" customHeight="1" x14ac:dyDescent="0.25">
      <c r="A2087" s="20" t="s">
        <v>151</v>
      </c>
      <c r="B2087" s="47" t="s">
        <v>530</v>
      </c>
      <c r="C2087" s="49"/>
      <c r="D2087" s="19" t="s">
        <v>31</v>
      </c>
      <c r="E2087" s="23">
        <v>1</v>
      </c>
      <c r="F2087" s="18">
        <f>E2087* 0.872611464968153</f>
        <v>0.87261146496815301</v>
      </c>
      <c r="G2087" s="18">
        <f>E2087* 0.0764331210191083</f>
        <v>7.6433121019108305E-2</v>
      </c>
      <c r="H2087" s="18">
        <f>E2087* 0.0509554140127389</f>
        <v>5.0955414012738898E-2</v>
      </c>
    </row>
    <row r="2088" spans="1:8" ht="15.75" hidden="1" customHeight="1" x14ac:dyDescent="0.25">
      <c r="A2088" s="20" t="s">
        <v>151</v>
      </c>
      <c r="B2088" s="47" t="s">
        <v>530</v>
      </c>
      <c r="C2088" s="49"/>
      <c r="D2088" s="19" t="s">
        <v>20</v>
      </c>
      <c r="E2088" s="23">
        <v>15</v>
      </c>
      <c r="F2088" s="18">
        <f>E2088* 0.61531089014017</f>
        <v>9.2296633521025502</v>
      </c>
      <c r="G2088" s="18">
        <f>E2088* 0.298190966814424</f>
        <v>4.4728645022163596</v>
      </c>
      <c r="H2088" s="18">
        <f>E2088* 0.086378339523182</f>
        <v>1.2956750928477299</v>
      </c>
    </row>
    <row r="2089" spans="1:8" ht="15.75" hidden="1" customHeight="1" x14ac:dyDescent="0.25">
      <c r="A2089" s="20" t="s">
        <v>151</v>
      </c>
      <c r="B2089" s="47" t="s">
        <v>530</v>
      </c>
      <c r="C2089" s="49"/>
      <c r="D2089" s="19" t="s">
        <v>21</v>
      </c>
      <c r="E2089" s="23">
        <v>445</v>
      </c>
      <c r="F2089" s="18">
        <f>E2089* 0.999801370543252</f>
        <v>444.91160989174716</v>
      </c>
      <c r="G2089" s="18">
        <f>E2089* 0.0000993147283742179</f>
        <v>4.4195054126526967E-2</v>
      </c>
      <c r="H2089" s="18">
        <f>E2089* 0.0000993147283742179</f>
        <v>4.4195054126526967E-2</v>
      </c>
    </row>
    <row r="2090" spans="1:8" ht="15.75" hidden="1" customHeight="1" x14ac:dyDescent="0.25">
      <c r="A2090" s="20" t="s">
        <v>151</v>
      </c>
      <c r="B2090" s="47" t="s">
        <v>530</v>
      </c>
      <c r="C2090" s="49"/>
      <c r="D2090" s="19" t="s">
        <v>28</v>
      </c>
      <c r="E2090" s="23">
        <v>2</v>
      </c>
      <c r="F2090" s="20">
        <v>0</v>
      </c>
      <c r="G2090" s="18">
        <f>E2090* 0.99904671115348</f>
        <v>1.99809342230696</v>
      </c>
      <c r="H2090" s="18">
        <f>E2090* 0.000953288846520496</f>
        <v>1.906577693040992E-3</v>
      </c>
    </row>
    <row r="2091" spans="1:8" ht="15.75" hidden="1" customHeight="1" x14ac:dyDescent="0.25">
      <c r="A2091" s="20" t="s">
        <v>151</v>
      </c>
      <c r="B2091" s="47" t="s">
        <v>530</v>
      </c>
      <c r="C2091" s="49"/>
      <c r="D2091" s="19" t="s">
        <v>12</v>
      </c>
      <c r="E2091" s="23">
        <v>55</v>
      </c>
      <c r="F2091" s="18">
        <f>E2091* 0.849400404921352</f>
        <v>46.717022270674363</v>
      </c>
      <c r="G2091" s="18">
        <f>E2091* 0.0654726678087525</f>
        <v>3.6009967294813872</v>
      </c>
      <c r="H2091" s="18">
        <f>E2091* 0.0851269272698957</f>
        <v>4.6819809998442627</v>
      </c>
    </row>
    <row r="2092" spans="1:8" ht="15.75" hidden="1" customHeight="1" x14ac:dyDescent="0.25">
      <c r="A2092" s="20" t="s">
        <v>151</v>
      </c>
      <c r="B2092" s="20"/>
      <c r="C2092" s="20"/>
      <c r="D2092" s="46"/>
      <c r="E2092" s="35"/>
    </row>
    <row r="2093" spans="1:8" ht="15.75" customHeight="1" x14ac:dyDescent="0.25">
      <c r="A2093" s="20" t="s">
        <v>151</v>
      </c>
      <c r="B2093" s="47" t="s">
        <v>180</v>
      </c>
      <c r="C2093" s="12" t="str">
        <f>B2093&amp;"_"&amp;A2093</f>
        <v>Toledo_Oruro</v>
      </c>
      <c r="D2093" s="20"/>
      <c r="E2093" s="48">
        <v>86</v>
      </c>
      <c r="F2093" s="14">
        <f t="shared" ref="F2093:H2093" si="175">SUM(F2094:F2102)</f>
        <v>69.043312844670766</v>
      </c>
      <c r="G2093" s="14">
        <f t="shared" si="175"/>
        <v>12.940909273311517</v>
      </c>
      <c r="H2093" s="14">
        <f t="shared" si="175"/>
        <v>4.01298519669478</v>
      </c>
    </row>
    <row r="2094" spans="1:8" ht="15.75" hidden="1" customHeight="1" x14ac:dyDescent="0.25">
      <c r="A2094" s="20" t="s">
        <v>151</v>
      </c>
      <c r="B2094" s="47" t="s">
        <v>180</v>
      </c>
      <c r="C2094" s="49"/>
      <c r="D2094" s="29" t="s">
        <v>532</v>
      </c>
      <c r="E2094" s="23">
        <v>4</v>
      </c>
      <c r="F2094" s="20">
        <v>0</v>
      </c>
      <c r="G2094" s="24">
        <f>E2094</f>
        <v>4</v>
      </c>
      <c r="H2094" s="20">
        <v>0</v>
      </c>
    </row>
    <row r="2095" spans="1:8" ht="15.75" hidden="1" customHeight="1" x14ac:dyDescent="0.25">
      <c r="A2095" s="20" t="s">
        <v>151</v>
      </c>
      <c r="B2095" s="47" t="s">
        <v>180</v>
      </c>
      <c r="C2095" s="49"/>
      <c r="D2095" s="19" t="s">
        <v>15</v>
      </c>
      <c r="E2095" s="23">
        <v>10</v>
      </c>
      <c r="F2095" s="18">
        <f>E2095* 0.929012779104059</f>
        <v>9.2901277910405895</v>
      </c>
      <c r="G2095" s="18">
        <f>E2095* 0.00947900575761831</f>
        <v>9.4790057576183112E-2</v>
      </c>
      <c r="H2095" s="18">
        <f>E2095* 0.0614380002808594</f>
        <v>0.61438000280859395</v>
      </c>
    </row>
    <row r="2096" spans="1:8" ht="15.75" hidden="1" customHeight="1" x14ac:dyDescent="0.25">
      <c r="A2096" s="20" t="s">
        <v>151</v>
      </c>
      <c r="B2096" s="47" t="s">
        <v>180</v>
      </c>
      <c r="C2096" s="49"/>
      <c r="D2096" s="19" t="s">
        <v>11</v>
      </c>
      <c r="E2096" s="23">
        <v>3</v>
      </c>
      <c r="F2096" s="18">
        <f>E2096* 0.080360592401803</f>
        <v>0.24108177720540902</v>
      </c>
      <c r="G2096" s="18">
        <f>E2096* 0.917192530585963</f>
        <v>2.7515775917578891</v>
      </c>
      <c r="H2096" s="18">
        <f>E2096* 0.00218931101094656</f>
        <v>6.5679330328396795E-3</v>
      </c>
    </row>
    <row r="2097" spans="1:8" ht="15.75" hidden="1" customHeight="1" x14ac:dyDescent="0.25">
      <c r="A2097" s="20" t="s">
        <v>151</v>
      </c>
      <c r="B2097" s="47" t="s">
        <v>180</v>
      </c>
      <c r="C2097" s="49"/>
      <c r="D2097" s="19" t="s">
        <v>17</v>
      </c>
      <c r="E2097" s="23">
        <v>6</v>
      </c>
      <c r="F2097" s="18">
        <f>E2097* 0.836035451794207</f>
        <v>5.0162127107652417</v>
      </c>
      <c r="G2097" s="18">
        <f>E2097* 0.0583657587548638</f>
        <v>0.3501945525291828</v>
      </c>
      <c r="H2097" s="18">
        <f>E2097* 0.10559878945093</f>
        <v>0.63359273670558003</v>
      </c>
    </row>
    <row r="2098" spans="1:8" ht="15.75" hidden="1" customHeight="1" x14ac:dyDescent="0.25">
      <c r="A2098" s="20" t="s">
        <v>151</v>
      </c>
      <c r="B2098" s="47" t="s">
        <v>180</v>
      </c>
      <c r="C2098" s="49"/>
      <c r="D2098" s="19" t="s">
        <v>31</v>
      </c>
      <c r="E2098" s="23">
        <v>2</v>
      </c>
      <c r="F2098" s="18">
        <f>E2098* 0.872611464968153</f>
        <v>1.745222929936306</v>
      </c>
      <c r="G2098" s="18">
        <f>E2098* 0.0764331210191083</f>
        <v>0.15286624203821661</v>
      </c>
      <c r="H2098" s="18">
        <f>E2098* 0.0509554140127389</f>
        <v>0.1019108280254778</v>
      </c>
    </row>
    <row r="2099" spans="1:8" ht="15.75" hidden="1" customHeight="1" x14ac:dyDescent="0.25">
      <c r="A2099" s="20" t="s">
        <v>151</v>
      </c>
      <c r="B2099" s="47" t="s">
        <v>180</v>
      </c>
      <c r="C2099" s="49"/>
      <c r="D2099" s="19" t="s">
        <v>20</v>
      </c>
      <c r="E2099" s="23">
        <v>11</v>
      </c>
      <c r="F2099" s="18">
        <f>E2099* 0.61531089014017</f>
        <v>6.76841979154187</v>
      </c>
      <c r="G2099" s="18">
        <f>E2099* 0.298190966814424</f>
        <v>3.2801006349586639</v>
      </c>
      <c r="H2099" s="18">
        <f>E2099* 0.086378339523182</f>
        <v>0.95016173475500199</v>
      </c>
    </row>
    <row r="2100" spans="1:8" ht="15.75" hidden="1" customHeight="1" x14ac:dyDescent="0.25">
      <c r="A2100" s="20" t="s">
        <v>151</v>
      </c>
      <c r="B2100" s="47" t="s">
        <v>180</v>
      </c>
      <c r="C2100" s="49"/>
      <c r="D2100" s="19" t="s">
        <v>21</v>
      </c>
      <c r="E2100" s="23">
        <v>29</v>
      </c>
      <c r="F2100" s="18">
        <f>E2100* 0.999801370543252</f>
        <v>28.99423974575431</v>
      </c>
      <c r="G2100" s="18">
        <f>E2100* 0.0000993147283742179</f>
        <v>2.8801271228523192E-3</v>
      </c>
      <c r="H2100" s="18">
        <f>E2100* 0.0000993147283742179</f>
        <v>2.8801271228523192E-3</v>
      </c>
    </row>
    <row r="2101" spans="1:8" ht="15.75" hidden="1" customHeight="1" x14ac:dyDescent="0.25">
      <c r="A2101" s="20" t="s">
        <v>151</v>
      </c>
      <c r="B2101" s="47" t="s">
        <v>180</v>
      </c>
      <c r="C2101" s="49"/>
      <c r="D2101" s="19" t="s">
        <v>28</v>
      </c>
      <c r="E2101" s="23">
        <v>1</v>
      </c>
      <c r="F2101" s="20">
        <v>0</v>
      </c>
      <c r="G2101" s="18">
        <f>E2101* 0.99904671115348</f>
        <v>0.99904671115347998</v>
      </c>
      <c r="H2101" s="18">
        <f>E2101* 0.000953288846520496</f>
        <v>9.5328884652049601E-4</v>
      </c>
    </row>
    <row r="2102" spans="1:8" ht="15.75" hidden="1" customHeight="1" x14ac:dyDescent="0.25">
      <c r="A2102" s="20" t="s">
        <v>151</v>
      </c>
      <c r="B2102" s="47" t="s">
        <v>180</v>
      </c>
      <c r="C2102" s="49"/>
      <c r="D2102" s="19" t="s">
        <v>12</v>
      </c>
      <c r="E2102" s="23">
        <v>20</v>
      </c>
      <c r="F2102" s="18">
        <f>E2102* 0.849400404921352</f>
        <v>16.988008098427041</v>
      </c>
      <c r="G2102" s="18">
        <f>E2102* 0.0654726678087525</f>
        <v>1.3094533561750499</v>
      </c>
      <c r="H2102" s="18">
        <f>E2102* 0.0851269272698957</f>
        <v>1.7025385453979138</v>
      </c>
    </row>
    <row r="2103" spans="1:8" ht="15.75" hidden="1" customHeight="1" x14ac:dyDescent="0.25">
      <c r="A2103" s="20" t="s">
        <v>151</v>
      </c>
      <c r="B2103" s="20"/>
      <c r="C2103" s="20"/>
      <c r="D2103" s="46"/>
      <c r="E2103" s="35"/>
    </row>
    <row r="2104" spans="1:8" ht="15.75" customHeight="1" x14ac:dyDescent="0.25">
      <c r="A2104" s="20" t="s">
        <v>151</v>
      </c>
      <c r="B2104" s="47" t="s">
        <v>181</v>
      </c>
      <c r="C2104" s="12" t="str">
        <f>B2104&amp;"_"&amp;A2104</f>
        <v>Turco_Oruro</v>
      </c>
      <c r="D2104" s="20"/>
      <c r="E2104" s="48">
        <v>400</v>
      </c>
      <c r="F2104" s="14">
        <f t="shared" ref="F2104:H2104" si="176">SUM(F2105:F2116)</f>
        <v>279.96124787458541</v>
      </c>
      <c r="G2104" s="14">
        <f t="shared" si="176"/>
        <v>94.331441760147982</v>
      </c>
      <c r="H2104" s="14">
        <f t="shared" si="176"/>
        <v>25.676553880366054</v>
      </c>
    </row>
    <row r="2105" spans="1:8" ht="15.75" hidden="1" customHeight="1" x14ac:dyDescent="0.25">
      <c r="A2105" s="20" t="s">
        <v>151</v>
      </c>
      <c r="B2105" s="47" t="s">
        <v>181</v>
      </c>
      <c r="C2105" s="49"/>
      <c r="D2105" s="29" t="s">
        <v>533</v>
      </c>
      <c r="E2105" s="23">
        <v>0</v>
      </c>
      <c r="F2105" s="20">
        <v>0</v>
      </c>
      <c r="G2105" s="24">
        <f>E2105</f>
        <v>0</v>
      </c>
      <c r="H2105" s="20">
        <v>0</v>
      </c>
    </row>
    <row r="2106" spans="1:8" ht="15.75" hidden="1" customHeight="1" x14ac:dyDescent="0.25">
      <c r="A2106" s="20" t="s">
        <v>151</v>
      </c>
      <c r="B2106" s="47" t="s">
        <v>181</v>
      </c>
      <c r="C2106" s="49"/>
      <c r="D2106" s="19" t="s">
        <v>15</v>
      </c>
      <c r="E2106" s="23">
        <v>66</v>
      </c>
      <c r="F2106" s="18">
        <f>E2106* 0.929012779104059</f>
        <v>61.314843420867895</v>
      </c>
      <c r="G2106" s="18">
        <f>E2106* 0.00947900575761831</f>
        <v>0.62561438000280845</v>
      </c>
      <c r="H2106" s="18">
        <f>E2106* 0.0614380002808594</f>
        <v>4.0549080185367199</v>
      </c>
    </row>
    <row r="2107" spans="1:8" ht="15.75" hidden="1" customHeight="1" x14ac:dyDescent="0.25">
      <c r="A2107" s="20" t="s">
        <v>151</v>
      </c>
      <c r="B2107" s="47" t="s">
        <v>181</v>
      </c>
      <c r="C2107" s="49"/>
      <c r="D2107" s="29" t="s">
        <v>534</v>
      </c>
      <c r="E2107" s="23">
        <v>8</v>
      </c>
      <c r="F2107" s="18">
        <f>E2107* 0.0624390243902439</f>
        <v>0.49951219512195122</v>
      </c>
      <c r="G2107" s="18">
        <f>E2107* 0.936585365853659</f>
        <v>7.4926829268292723</v>
      </c>
      <c r="H2107" s="20">
        <v>0</v>
      </c>
    </row>
    <row r="2108" spans="1:8" ht="15.75" hidden="1" customHeight="1" x14ac:dyDescent="0.25">
      <c r="A2108" s="20" t="s">
        <v>151</v>
      </c>
      <c r="B2108" s="47" t="s">
        <v>181</v>
      </c>
      <c r="C2108" s="49"/>
      <c r="D2108" s="19" t="s">
        <v>11</v>
      </c>
      <c r="E2108" s="23">
        <v>46</v>
      </c>
      <c r="F2108" s="18">
        <f>E2108* 0.080360592401803</f>
        <v>3.696587250482938</v>
      </c>
      <c r="G2108" s="18">
        <f>E2108* 0.917192530585963</f>
        <v>42.190856406954296</v>
      </c>
      <c r="H2108" s="18">
        <f>E2108* 0.00218931101094656</f>
        <v>0.10070830650354175</v>
      </c>
    </row>
    <row r="2109" spans="1:8" ht="15.75" hidden="1" customHeight="1" x14ac:dyDescent="0.25">
      <c r="A2109" s="20" t="s">
        <v>151</v>
      </c>
      <c r="B2109" s="47" t="s">
        <v>181</v>
      </c>
      <c r="C2109" s="49"/>
      <c r="D2109" s="19" t="s">
        <v>17</v>
      </c>
      <c r="E2109" s="23">
        <v>45</v>
      </c>
      <c r="F2109" s="18">
        <f>E2109* 0.836035451794207</f>
        <v>37.621595330739318</v>
      </c>
      <c r="G2109" s="18">
        <f>E2109* 0.0583657587548638</f>
        <v>2.6264591439688711</v>
      </c>
      <c r="H2109" s="18">
        <f>E2109* 0.10559878945093</f>
        <v>4.7519455252918501</v>
      </c>
    </row>
    <row r="2110" spans="1:8" ht="15.75" hidden="1" customHeight="1" x14ac:dyDescent="0.25">
      <c r="A2110" s="20" t="s">
        <v>151</v>
      </c>
      <c r="B2110" s="47" t="s">
        <v>181</v>
      </c>
      <c r="C2110" s="49"/>
      <c r="D2110" s="19" t="s">
        <v>31</v>
      </c>
      <c r="E2110" s="23">
        <v>4</v>
      </c>
      <c r="F2110" s="18">
        <f>E2110* 0.872611464968153</f>
        <v>3.490445859872612</v>
      </c>
      <c r="G2110" s="18">
        <f>E2110* 0.0764331210191083</f>
        <v>0.30573248407643322</v>
      </c>
      <c r="H2110" s="18">
        <f>E2110* 0.0509554140127389</f>
        <v>0.20382165605095559</v>
      </c>
    </row>
    <row r="2111" spans="1:8" ht="15.75" hidden="1" customHeight="1" x14ac:dyDescent="0.25">
      <c r="A2111" s="20" t="s">
        <v>151</v>
      </c>
      <c r="B2111" s="47" t="s">
        <v>181</v>
      </c>
      <c r="C2111" s="49"/>
      <c r="D2111" s="19" t="s">
        <v>18</v>
      </c>
      <c r="E2111" s="23">
        <v>5</v>
      </c>
      <c r="F2111" s="18">
        <f>E2111* 0.920270974465868</f>
        <v>4.60135487232934</v>
      </c>
      <c r="G2111" s="18">
        <f>E2111* 0.0703491401771756</f>
        <v>0.35174570088587798</v>
      </c>
      <c r="H2111" s="18">
        <f>E2111* 0.00937988535695675</f>
        <v>4.6899426784783746E-2</v>
      </c>
    </row>
    <row r="2112" spans="1:8" ht="15.75" hidden="1" customHeight="1" x14ac:dyDescent="0.25">
      <c r="A2112" s="20" t="s">
        <v>151</v>
      </c>
      <c r="B2112" s="47" t="s">
        <v>181</v>
      </c>
      <c r="C2112" s="49"/>
      <c r="D2112" s="19" t="s">
        <v>19</v>
      </c>
      <c r="E2112" s="23">
        <v>2</v>
      </c>
      <c r="F2112" s="18">
        <f>E2112* 0.223420647149461</f>
        <v>0.446841294298922</v>
      </c>
      <c r="G2112" s="18">
        <f>E2112* 0.773497688751926</f>
        <v>1.5469953775038521</v>
      </c>
      <c r="H2112" s="18">
        <f>E2112* 0.00308166409861325</f>
        <v>6.1633281972264999E-3</v>
      </c>
    </row>
    <row r="2113" spans="1:8" ht="15.75" hidden="1" customHeight="1" x14ac:dyDescent="0.25">
      <c r="A2113" s="20" t="s">
        <v>151</v>
      </c>
      <c r="B2113" s="47" t="s">
        <v>181</v>
      </c>
      <c r="C2113" s="49"/>
      <c r="D2113" s="19" t="s">
        <v>20</v>
      </c>
      <c r="E2113" s="23">
        <v>54</v>
      </c>
      <c r="F2113" s="18">
        <f>E2113* 0.61531089014017</f>
        <v>33.226788067569181</v>
      </c>
      <c r="G2113" s="18">
        <f>E2113* 0.298190966814424</f>
        <v>16.102312207978894</v>
      </c>
      <c r="H2113" s="18">
        <f>E2113* 0.086378339523182</f>
        <v>4.6644303342518274</v>
      </c>
    </row>
    <row r="2114" spans="1:8" ht="15.75" hidden="1" customHeight="1" x14ac:dyDescent="0.25">
      <c r="A2114" s="20" t="s">
        <v>151</v>
      </c>
      <c r="B2114" s="47" t="s">
        <v>181</v>
      </c>
      <c r="C2114" s="49"/>
      <c r="D2114" s="19" t="s">
        <v>21</v>
      </c>
      <c r="E2114" s="23">
        <v>17</v>
      </c>
      <c r="F2114" s="18">
        <f>E2114* 0.999801370543252</f>
        <v>16.996623299235285</v>
      </c>
      <c r="G2114" s="18">
        <f>E2114* 0.0000993147283742179</f>
        <v>1.6883503823617043E-3</v>
      </c>
      <c r="H2114" s="18">
        <f>E2114* 0.0000993147283742179</f>
        <v>1.6883503823617043E-3</v>
      </c>
    </row>
    <row r="2115" spans="1:8" ht="15.75" hidden="1" customHeight="1" x14ac:dyDescent="0.25">
      <c r="A2115" s="20" t="s">
        <v>151</v>
      </c>
      <c r="B2115" s="47" t="s">
        <v>181</v>
      </c>
      <c r="C2115" s="49"/>
      <c r="D2115" s="19" t="s">
        <v>28</v>
      </c>
      <c r="E2115" s="23">
        <v>14</v>
      </c>
      <c r="F2115" s="20">
        <v>0</v>
      </c>
      <c r="G2115" s="18">
        <f>E2115* 0.99904671115348</f>
        <v>13.98665395614872</v>
      </c>
      <c r="H2115" s="18">
        <f>E2115* 0.000953288846520496</f>
        <v>1.3346043851286944E-2</v>
      </c>
    </row>
    <row r="2116" spans="1:8" ht="15.75" hidden="1" customHeight="1" x14ac:dyDescent="0.25">
      <c r="A2116" s="20" t="s">
        <v>151</v>
      </c>
      <c r="B2116" s="47" t="s">
        <v>181</v>
      </c>
      <c r="C2116" s="49"/>
      <c r="D2116" s="19" t="s">
        <v>12</v>
      </c>
      <c r="E2116" s="23">
        <v>139</v>
      </c>
      <c r="F2116" s="18">
        <f>E2116* 0.849400404921352</f>
        <v>118.06665628406793</v>
      </c>
      <c r="G2116" s="18">
        <f>E2116* 0.0654726678087525</f>
        <v>9.1007008254165971</v>
      </c>
      <c r="H2116" s="18">
        <f>E2116* 0.0851269272698957</f>
        <v>11.832642890515501</v>
      </c>
    </row>
    <row r="2117" spans="1:8" ht="15.75" hidden="1" customHeight="1" x14ac:dyDescent="0.25">
      <c r="A2117" s="20" t="s">
        <v>151</v>
      </c>
      <c r="B2117" s="20"/>
      <c r="C2117" s="20"/>
      <c r="D2117" s="46"/>
      <c r="E2117" s="35"/>
    </row>
    <row r="2118" spans="1:8" ht="15.75" customHeight="1" x14ac:dyDescent="0.25">
      <c r="A2118" s="20" t="s">
        <v>151</v>
      </c>
      <c r="B2118" s="47" t="s">
        <v>182</v>
      </c>
      <c r="C2118" s="12" t="str">
        <f>B2118&amp;"_"&amp;A2118</f>
        <v>Villa Huanuni_Oruro</v>
      </c>
      <c r="D2118" s="20"/>
      <c r="E2118" s="48">
        <v>1158</v>
      </c>
      <c r="F2118" s="14">
        <f t="shared" ref="F2118:H2118" si="177">SUM(F2119:F2130)</f>
        <v>911.6537152800986</v>
      </c>
      <c r="G2118" s="14">
        <f t="shared" si="177"/>
        <v>177.18161844926246</v>
      </c>
      <c r="H2118" s="14">
        <f t="shared" si="177"/>
        <v>69.107257199470837</v>
      </c>
    </row>
    <row r="2119" spans="1:8" ht="15.75" hidden="1" customHeight="1" x14ac:dyDescent="0.25">
      <c r="A2119" s="20" t="s">
        <v>151</v>
      </c>
      <c r="B2119" s="47" t="s">
        <v>182</v>
      </c>
      <c r="C2119" s="49"/>
      <c r="D2119" s="29" t="s">
        <v>535</v>
      </c>
      <c r="E2119" s="23">
        <v>7</v>
      </c>
      <c r="F2119" s="20">
        <v>0</v>
      </c>
      <c r="G2119" s="24">
        <f>E2119</f>
        <v>7</v>
      </c>
      <c r="H2119" s="20">
        <v>0</v>
      </c>
    </row>
    <row r="2120" spans="1:8" ht="15.75" hidden="1" customHeight="1" x14ac:dyDescent="0.25">
      <c r="A2120" s="20" t="s">
        <v>151</v>
      </c>
      <c r="B2120" s="47" t="s">
        <v>182</v>
      </c>
      <c r="C2120" s="49"/>
      <c r="D2120" s="19" t="s">
        <v>15</v>
      </c>
      <c r="E2120" s="23">
        <v>156</v>
      </c>
      <c r="F2120" s="18">
        <f>E2120* 0.929012779104059</f>
        <v>144.92599354023321</v>
      </c>
      <c r="G2120" s="18">
        <f>E2120* 0.00947900575761831</f>
        <v>1.4787248981884564</v>
      </c>
      <c r="H2120" s="18">
        <f>E2120* 0.0614380002808594</f>
        <v>9.5843280438140663</v>
      </c>
    </row>
    <row r="2121" spans="1:8" ht="15.75" hidden="1" customHeight="1" x14ac:dyDescent="0.25">
      <c r="A2121" s="20" t="s">
        <v>151</v>
      </c>
      <c r="B2121" s="47" t="s">
        <v>182</v>
      </c>
      <c r="C2121" s="49"/>
      <c r="D2121" s="29" t="s">
        <v>536</v>
      </c>
      <c r="E2121" s="23">
        <v>12</v>
      </c>
      <c r="F2121" s="18">
        <f>E2121* 0.0624390243902439</f>
        <v>0.74926829268292683</v>
      </c>
      <c r="G2121" s="18">
        <f>E2121* 0.936585365853659</f>
        <v>11.239024390243909</v>
      </c>
      <c r="H2121" s="20">
        <v>0</v>
      </c>
    </row>
    <row r="2122" spans="1:8" ht="15.75" hidden="1" customHeight="1" x14ac:dyDescent="0.25">
      <c r="A2122" s="20" t="s">
        <v>151</v>
      </c>
      <c r="B2122" s="47" t="s">
        <v>182</v>
      </c>
      <c r="C2122" s="49"/>
      <c r="D2122" s="19" t="s">
        <v>11</v>
      </c>
      <c r="E2122" s="23">
        <v>67</v>
      </c>
      <c r="F2122" s="18">
        <f>E2122* 0.080360592401803</f>
        <v>5.3841596909208009</v>
      </c>
      <c r="G2122" s="18">
        <f>E2122* 0.917192530585963</f>
        <v>61.451899549259515</v>
      </c>
      <c r="H2122" s="18">
        <f>E2122* 0.00218931101094656</f>
        <v>0.1466838377334195</v>
      </c>
    </row>
    <row r="2123" spans="1:8" ht="15.75" hidden="1" customHeight="1" x14ac:dyDescent="0.25">
      <c r="A2123" s="20" t="s">
        <v>151</v>
      </c>
      <c r="B2123" s="47" t="s">
        <v>182</v>
      </c>
      <c r="C2123" s="49"/>
      <c r="D2123" s="19" t="s">
        <v>17</v>
      </c>
      <c r="E2123" s="23">
        <v>66</v>
      </c>
      <c r="F2123" s="18">
        <f>E2123* 0.836035451794207</f>
        <v>55.178339818417662</v>
      </c>
      <c r="G2123" s="18">
        <f>E2123* 0.0583657587548638</f>
        <v>3.8521400778210109</v>
      </c>
      <c r="H2123" s="18">
        <f>E2123* 0.10559878945093</f>
        <v>6.9695201037613801</v>
      </c>
    </row>
    <row r="2124" spans="1:8" ht="15.75" hidden="1" customHeight="1" x14ac:dyDescent="0.25">
      <c r="A2124" s="20" t="s">
        <v>151</v>
      </c>
      <c r="B2124" s="47" t="s">
        <v>182</v>
      </c>
      <c r="C2124" s="49"/>
      <c r="D2124" s="19" t="s">
        <v>31</v>
      </c>
      <c r="E2124" s="23">
        <v>50</v>
      </c>
      <c r="F2124" s="18">
        <f>E2124* 0.872611464968153</f>
        <v>43.63057324840765</v>
      </c>
      <c r="G2124" s="18">
        <f>E2124* 0.0764331210191083</f>
        <v>3.8216560509554154</v>
      </c>
      <c r="H2124" s="18">
        <f>E2124* 0.0509554140127389</f>
        <v>2.5477707006369448</v>
      </c>
    </row>
    <row r="2125" spans="1:8" ht="15.75" hidden="1" customHeight="1" x14ac:dyDescent="0.25">
      <c r="A2125" s="20" t="s">
        <v>151</v>
      </c>
      <c r="B2125" s="47" t="s">
        <v>182</v>
      </c>
      <c r="C2125" s="49"/>
      <c r="D2125" s="19" t="s">
        <v>18</v>
      </c>
      <c r="E2125" s="23">
        <v>10</v>
      </c>
      <c r="F2125" s="18">
        <f>E2125* 0.920270974465868</f>
        <v>9.2027097446586801</v>
      </c>
      <c r="G2125" s="18">
        <f>E2125* 0.0703491401771756</f>
        <v>0.70349140177175595</v>
      </c>
      <c r="H2125" s="18">
        <f>E2125* 0.00937988535695675</f>
        <v>9.3798853569567492E-2</v>
      </c>
    </row>
    <row r="2126" spans="1:8" ht="15.75" hidden="1" customHeight="1" x14ac:dyDescent="0.25">
      <c r="A2126" s="20" t="s">
        <v>151</v>
      </c>
      <c r="B2126" s="47" t="s">
        <v>182</v>
      </c>
      <c r="C2126" s="49"/>
      <c r="D2126" s="19" t="s">
        <v>19</v>
      </c>
      <c r="E2126" s="23">
        <v>2</v>
      </c>
      <c r="F2126" s="18">
        <f>E2126* 0.223420647149461</f>
        <v>0.446841294298922</v>
      </c>
      <c r="G2126" s="18">
        <f>E2126* 0.773497688751926</f>
        <v>1.5469953775038521</v>
      </c>
      <c r="H2126" s="18">
        <f>E2126* 0.00308166409861325</f>
        <v>6.1633281972264999E-3</v>
      </c>
    </row>
    <row r="2127" spans="1:8" ht="15.75" hidden="1" customHeight="1" x14ac:dyDescent="0.25">
      <c r="A2127" s="20" t="s">
        <v>151</v>
      </c>
      <c r="B2127" s="47" t="s">
        <v>182</v>
      </c>
      <c r="C2127" s="49"/>
      <c r="D2127" s="19" t="s">
        <v>20</v>
      </c>
      <c r="E2127" s="23">
        <v>146</v>
      </c>
      <c r="F2127" s="18">
        <f>E2127* 0.61531089014017</f>
        <v>89.835389960464823</v>
      </c>
      <c r="G2127" s="18">
        <f>E2127* 0.298190966814424</f>
        <v>43.535881154905901</v>
      </c>
      <c r="H2127" s="18">
        <f>E2127* 0.086378339523182</f>
        <v>12.611237570384571</v>
      </c>
    </row>
    <row r="2128" spans="1:8" ht="15.75" hidden="1" customHeight="1" x14ac:dyDescent="0.25">
      <c r="A2128" s="20" t="s">
        <v>151</v>
      </c>
      <c r="B2128" s="47" t="s">
        <v>182</v>
      </c>
      <c r="C2128" s="49"/>
      <c r="D2128" s="19" t="s">
        <v>21</v>
      </c>
      <c r="E2128" s="23">
        <v>192</v>
      </c>
      <c r="F2128" s="18">
        <f>E2128* 0.999801370543252</f>
        <v>191.9618631443044</v>
      </c>
      <c r="G2128" s="18">
        <f>E2128* 0.0000993147283742179</f>
        <v>1.9068427847849838E-2</v>
      </c>
      <c r="H2128" s="18">
        <f>E2128* 0.0000993147283742179</f>
        <v>1.9068427847849838E-2</v>
      </c>
    </row>
    <row r="2129" spans="1:8" ht="15.75" hidden="1" customHeight="1" x14ac:dyDescent="0.25">
      <c r="A2129" s="20" t="s">
        <v>151</v>
      </c>
      <c r="B2129" s="47" t="s">
        <v>182</v>
      </c>
      <c r="C2129" s="49"/>
      <c r="D2129" s="19" t="s">
        <v>28</v>
      </c>
      <c r="E2129" s="23">
        <v>14</v>
      </c>
      <c r="F2129" s="20">
        <v>0</v>
      </c>
      <c r="G2129" s="18">
        <f>E2129* 0.99904671115348</f>
        <v>13.98665395614872</v>
      </c>
      <c r="H2129" s="18">
        <f>E2129* 0.000953288846520496</f>
        <v>1.3346043851286944E-2</v>
      </c>
    </row>
    <row r="2130" spans="1:8" ht="15.75" hidden="1" customHeight="1" x14ac:dyDescent="0.25">
      <c r="A2130" s="20" t="s">
        <v>151</v>
      </c>
      <c r="B2130" s="47" t="s">
        <v>182</v>
      </c>
      <c r="C2130" s="49"/>
      <c r="D2130" s="19" t="s">
        <v>12</v>
      </c>
      <c r="E2130" s="23">
        <v>436</v>
      </c>
      <c r="F2130" s="18">
        <f>E2130* 0.849400404921352</f>
        <v>370.33857654570949</v>
      </c>
      <c r="G2130" s="18">
        <f>E2130* 0.0654726678087525</f>
        <v>28.546083164616086</v>
      </c>
      <c r="H2130" s="18">
        <f>E2130* 0.0851269272698957</f>
        <v>37.115340289674521</v>
      </c>
    </row>
    <row r="2131" spans="1:8" ht="15.75" hidden="1" customHeight="1" x14ac:dyDescent="0.25">
      <c r="A2131" s="20" t="s">
        <v>151</v>
      </c>
      <c r="B2131" s="20"/>
      <c r="C2131" s="20"/>
      <c r="D2131" s="46"/>
      <c r="E2131" s="35"/>
    </row>
    <row r="2132" spans="1:8" ht="15.75" customHeight="1" x14ac:dyDescent="0.25">
      <c r="A2132" s="20" t="s">
        <v>151</v>
      </c>
      <c r="B2132" s="47" t="s">
        <v>537</v>
      </c>
      <c r="C2132" s="12" t="str">
        <f>B2132&amp;"_"&amp;A2132</f>
        <v>Yunguyo de Litoral_Oruro</v>
      </c>
      <c r="D2132" s="20"/>
      <c r="E2132" s="48">
        <v>329</v>
      </c>
      <c r="F2132" s="14">
        <f t="shared" ref="F2132:H2132" si="178">SUM(F2133:F2143)</f>
        <v>247.13315100213492</v>
      </c>
      <c r="G2132" s="14">
        <f t="shared" si="178"/>
        <v>58.865640161515643</v>
      </c>
      <c r="H2132" s="14">
        <f t="shared" si="178"/>
        <v>22.986020707246972</v>
      </c>
    </row>
    <row r="2133" spans="1:8" ht="15.75" hidden="1" customHeight="1" x14ac:dyDescent="0.25">
      <c r="A2133" s="20" t="s">
        <v>151</v>
      </c>
      <c r="B2133" s="47" t="s">
        <v>537</v>
      </c>
      <c r="C2133" s="49"/>
      <c r="D2133" s="19" t="s">
        <v>15</v>
      </c>
      <c r="E2133" s="23">
        <v>37</v>
      </c>
      <c r="F2133" s="18">
        <f>E2133* 0.929012779104059</f>
        <v>34.373472826850183</v>
      </c>
      <c r="G2133" s="18">
        <f>E2133* 0.00947900575761831</f>
        <v>0.35072321303187748</v>
      </c>
      <c r="H2133" s="18">
        <f>E2133* 0.0614380002808594</f>
        <v>2.2732060103917977</v>
      </c>
    </row>
    <row r="2134" spans="1:8" ht="15.75" hidden="1" customHeight="1" x14ac:dyDescent="0.25">
      <c r="A2134" s="20" t="s">
        <v>151</v>
      </c>
      <c r="B2134" s="47" t="s">
        <v>537</v>
      </c>
      <c r="C2134" s="49"/>
      <c r="D2134" s="29" t="s">
        <v>413</v>
      </c>
      <c r="E2134" s="23">
        <v>1</v>
      </c>
      <c r="F2134" s="18">
        <f>E2134* 0.0624390243902439</f>
        <v>6.2439024390243902E-2</v>
      </c>
      <c r="G2134" s="18">
        <f>E2134* 0.936585365853659</f>
        <v>0.93658536585365904</v>
      </c>
      <c r="H2134" s="20">
        <v>0</v>
      </c>
    </row>
    <row r="2135" spans="1:8" ht="15.75" hidden="1" customHeight="1" x14ac:dyDescent="0.25">
      <c r="A2135" s="20" t="s">
        <v>151</v>
      </c>
      <c r="B2135" s="47" t="s">
        <v>537</v>
      </c>
      <c r="C2135" s="49"/>
      <c r="D2135" s="19" t="s">
        <v>11</v>
      </c>
      <c r="E2135" s="23">
        <v>33</v>
      </c>
      <c r="F2135" s="18">
        <f>E2135* 0.080360592401803</f>
        <v>2.651899549259499</v>
      </c>
      <c r="G2135" s="18">
        <f>E2135* 0.917192530585963</f>
        <v>30.267353509336779</v>
      </c>
      <c r="H2135" s="18">
        <f>E2135* 0.00218931101094656</f>
        <v>7.2247263361236477E-2</v>
      </c>
    </row>
    <row r="2136" spans="1:8" ht="15.75" hidden="1" customHeight="1" x14ac:dyDescent="0.25">
      <c r="A2136" s="20" t="s">
        <v>151</v>
      </c>
      <c r="B2136" s="47" t="s">
        <v>537</v>
      </c>
      <c r="C2136" s="49"/>
      <c r="D2136" s="19" t="s">
        <v>17</v>
      </c>
      <c r="E2136" s="23">
        <v>48</v>
      </c>
      <c r="F2136" s="18">
        <f>E2136* 0.836035451794207</f>
        <v>40.129701686121933</v>
      </c>
      <c r="G2136" s="18">
        <f>E2136* 0.0583657587548638</f>
        <v>2.8015564202334624</v>
      </c>
      <c r="H2136" s="18">
        <f>E2136* 0.10559878945093</f>
        <v>5.0687418936446402</v>
      </c>
    </row>
    <row r="2137" spans="1:8" ht="15.75" hidden="1" customHeight="1" x14ac:dyDescent="0.25">
      <c r="A2137" s="20" t="s">
        <v>151</v>
      </c>
      <c r="B2137" s="47" t="s">
        <v>537</v>
      </c>
      <c r="C2137" s="49"/>
      <c r="D2137" s="19" t="s">
        <v>31</v>
      </c>
      <c r="E2137" s="23">
        <v>3</v>
      </c>
      <c r="F2137" s="18">
        <f>E2137* 0.872611464968153</f>
        <v>2.6178343949044591</v>
      </c>
      <c r="G2137" s="18">
        <f>E2137* 0.0764331210191083</f>
        <v>0.2292993630573249</v>
      </c>
      <c r="H2137" s="18">
        <f>E2137* 0.0509554140127389</f>
        <v>0.15286624203821669</v>
      </c>
    </row>
    <row r="2138" spans="1:8" ht="15.75" hidden="1" customHeight="1" x14ac:dyDescent="0.25">
      <c r="A2138" s="20" t="s">
        <v>151</v>
      </c>
      <c r="B2138" s="47" t="s">
        <v>537</v>
      </c>
      <c r="C2138" s="49"/>
      <c r="D2138" s="19" t="s">
        <v>18</v>
      </c>
      <c r="E2138" s="23">
        <v>5</v>
      </c>
      <c r="F2138" s="18">
        <f>E2138* 0.920270974465868</f>
        <v>4.60135487232934</v>
      </c>
      <c r="G2138" s="18">
        <f>E2138* 0.0703491401771756</f>
        <v>0.35174570088587798</v>
      </c>
      <c r="H2138" s="18">
        <f>E2138* 0.00937988535695675</f>
        <v>4.6899426784783746E-2</v>
      </c>
    </row>
    <row r="2139" spans="1:8" ht="15.75" hidden="1" customHeight="1" x14ac:dyDescent="0.25">
      <c r="A2139" s="20" t="s">
        <v>151</v>
      </c>
      <c r="B2139" s="47" t="s">
        <v>537</v>
      </c>
      <c r="C2139" s="49"/>
      <c r="D2139" s="19" t="s">
        <v>19</v>
      </c>
      <c r="E2139" s="23">
        <v>4</v>
      </c>
      <c r="F2139" s="18">
        <f>E2139* 0.223420647149461</f>
        <v>0.893682588597844</v>
      </c>
      <c r="G2139" s="18">
        <f>E2139* 0.773497688751926</f>
        <v>3.0939907550077042</v>
      </c>
      <c r="H2139" s="18">
        <f>E2139* 0.00308166409861325</f>
        <v>1.2326656394453E-2</v>
      </c>
    </row>
    <row r="2140" spans="1:8" ht="15.75" hidden="1" customHeight="1" x14ac:dyDescent="0.25">
      <c r="A2140" s="20" t="s">
        <v>151</v>
      </c>
      <c r="B2140" s="47" t="s">
        <v>537</v>
      </c>
      <c r="C2140" s="49"/>
      <c r="D2140" s="19" t="s">
        <v>20</v>
      </c>
      <c r="E2140" s="23">
        <v>26</v>
      </c>
      <c r="F2140" s="18">
        <f>E2140* 0.61531089014017</f>
        <v>15.998083143644422</v>
      </c>
      <c r="G2140" s="18">
        <f>E2140* 0.298190966814424</f>
        <v>7.752965137175023</v>
      </c>
      <c r="H2140" s="18">
        <f>E2140* 0.086378339523182</f>
        <v>2.2458368276027318</v>
      </c>
    </row>
    <row r="2141" spans="1:8" ht="15.75" hidden="1" customHeight="1" x14ac:dyDescent="0.25">
      <c r="A2141" s="20" t="s">
        <v>151</v>
      </c>
      <c r="B2141" s="47" t="s">
        <v>537</v>
      </c>
      <c r="C2141" s="49"/>
      <c r="D2141" s="19" t="s">
        <v>21</v>
      </c>
      <c r="E2141" s="23">
        <v>15</v>
      </c>
      <c r="F2141" s="18">
        <f>E2141* 0.999801370543252</f>
        <v>14.99702055814878</v>
      </c>
      <c r="G2141" s="18">
        <f>E2141* 0.0000993147283742179</f>
        <v>1.4897209256132687E-3</v>
      </c>
      <c r="H2141" s="18">
        <f>E2141* 0.0000993147283742179</f>
        <v>1.4897209256132687E-3</v>
      </c>
    </row>
    <row r="2142" spans="1:8" ht="15.75" hidden="1" customHeight="1" x14ac:dyDescent="0.25">
      <c r="A2142" s="20" t="s">
        <v>151</v>
      </c>
      <c r="B2142" s="47" t="s">
        <v>537</v>
      </c>
      <c r="C2142" s="49"/>
      <c r="D2142" s="19" t="s">
        <v>28</v>
      </c>
      <c r="E2142" s="23">
        <v>3</v>
      </c>
      <c r="F2142" s="20">
        <v>0</v>
      </c>
      <c r="G2142" s="18">
        <f>E2142* 0.99904671115348</f>
        <v>2.9971401334604399</v>
      </c>
      <c r="H2142" s="18">
        <f>E2142* 0.000953288846520496</f>
        <v>2.8598665395614879E-3</v>
      </c>
    </row>
    <row r="2143" spans="1:8" ht="15.75" hidden="1" customHeight="1" x14ac:dyDescent="0.25">
      <c r="A2143" s="20" t="s">
        <v>151</v>
      </c>
      <c r="B2143" s="47" t="s">
        <v>537</v>
      </c>
      <c r="C2143" s="49"/>
      <c r="D2143" s="52" t="s">
        <v>12</v>
      </c>
      <c r="E2143" s="27">
        <v>154</v>
      </c>
      <c r="F2143" s="18">
        <f>E2143* 0.849400404921352</f>
        <v>130.8076623578882</v>
      </c>
      <c r="G2143" s="18">
        <f>E2143* 0.0654726678087525</f>
        <v>10.082790842547883</v>
      </c>
      <c r="H2143" s="18">
        <f>E2143* 0.0851269272698957</f>
        <v>13.109546799563937</v>
      </c>
    </row>
    <row r="2144" spans="1:8" ht="15.75" hidden="1" customHeight="1" x14ac:dyDescent="0.25">
      <c r="A2144" s="20" t="s">
        <v>183</v>
      </c>
      <c r="B2144" s="47" t="s">
        <v>184</v>
      </c>
      <c r="C2144" s="12" t="str">
        <f>B2144&amp;"_"&amp;A2144</f>
        <v>Acasio_Potosí</v>
      </c>
      <c r="D2144" s="20"/>
      <c r="E2144" s="48">
        <v>0</v>
      </c>
      <c r="F2144" s="14">
        <f t="shared" ref="F2144:H2144" si="179">F2145</f>
        <v>0</v>
      </c>
      <c r="G2144" s="14">
        <f t="shared" si="179"/>
        <v>0</v>
      </c>
      <c r="H2144" s="14">
        <f t="shared" si="179"/>
        <v>0</v>
      </c>
    </row>
    <row r="2145" spans="1:8" ht="15.75" hidden="1" customHeight="1" x14ac:dyDescent="0.25">
      <c r="A2145" s="20" t="s">
        <v>183</v>
      </c>
      <c r="B2145" s="47" t="s">
        <v>184</v>
      </c>
      <c r="C2145" s="49"/>
      <c r="D2145" s="46" t="s">
        <v>18</v>
      </c>
      <c r="E2145" s="32">
        <v>0</v>
      </c>
      <c r="F2145" s="18">
        <f>E2145* 0.941463414634146</f>
        <v>0</v>
      </c>
      <c r="G2145" s="18">
        <f>E2145* 0.0532833020637899</f>
        <v>0</v>
      </c>
      <c r="H2145" s="18">
        <f>E2145* 0.00487804878048781</f>
        <v>0</v>
      </c>
    </row>
    <row r="2146" spans="1:8" ht="15.75" hidden="1" customHeight="1" x14ac:dyDescent="0.25">
      <c r="A2146" s="20" t="s">
        <v>183</v>
      </c>
      <c r="B2146" s="20"/>
      <c r="C2146" s="20"/>
      <c r="D2146" s="46"/>
      <c r="E2146" s="35"/>
    </row>
    <row r="2147" spans="1:8" ht="15.75" hidden="1" customHeight="1" x14ac:dyDescent="0.25">
      <c r="A2147" s="20" t="s">
        <v>183</v>
      </c>
      <c r="B2147" s="47" t="s">
        <v>185</v>
      </c>
      <c r="C2147" s="12" t="str">
        <f>B2147&amp;"_"&amp;A2147</f>
        <v>Atocha_Potosí</v>
      </c>
      <c r="D2147" s="20"/>
      <c r="E2147" s="48">
        <v>200</v>
      </c>
      <c r="F2147" s="14">
        <f t="shared" ref="F2147:H2147" si="180">SUM(F2148:F2159)</f>
        <v>159.69777169300809</v>
      </c>
      <c r="G2147" s="14">
        <f t="shared" si="180"/>
        <v>36.035929228883305</v>
      </c>
      <c r="H2147" s="14">
        <f t="shared" si="180"/>
        <v>4.2507072116455884</v>
      </c>
    </row>
    <row r="2148" spans="1:8" ht="15.75" hidden="1" customHeight="1" x14ac:dyDescent="0.25">
      <c r="A2148" s="20" t="s">
        <v>183</v>
      </c>
      <c r="B2148" s="47" t="s">
        <v>185</v>
      </c>
      <c r="C2148" s="49"/>
      <c r="D2148" s="46" t="s">
        <v>519</v>
      </c>
      <c r="E2148" s="32">
        <v>1</v>
      </c>
      <c r="F2148" s="20">
        <v>0</v>
      </c>
      <c r="G2148" s="24">
        <f>E2148</f>
        <v>1</v>
      </c>
      <c r="H2148" s="20">
        <v>0</v>
      </c>
    </row>
    <row r="2149" spans="1:8" ht="15.75" hidden="1" customHeight="1" x14ac:dyDescent="0.25">
      <c r="A2149" s="20" t="s">
        <v>183</v>
      </c>
      <c r="B2149" s="47" t="s">
        <v>185</v>
      </c>
      <c r="C2149" s="49"/>
      <c r="D2149" s="46" t="s">
        <v>15</v>
      </c>
      <c r="E2149" s="32">
        <v>3</v>
      </c>
      <c r="F2149" s="18">
        <f>E2149* 0.975464549882735</f>
        <v>2.926393649648205</v>
      </c>
      <c r="G2149" s="18">
        <f>E2149* 0.00487100847916291</f>
        <v>1.4613025437488731E-2</v>
      </c>
      <c r="H2149" s="18">
        <f>E2149* 0.0195742377773769</f>
        <v>5.8722713332130701E-2</v>
      </c>
    </row>
    <row r="2150" spans="1:8" ht="15.75" hidden="1" customHeight="1" x14ac:dyDescent="0.25">
      <c r="A2150" s="20" t="s">
        <v>183</v>
      </c>
      <c r="B2150" s="47" t="s">
        <v>185</v>
      </c>
      <c r="C2150" s="49"/>
      <c r="D2150" s="35" t="s">
        <v>538</v>
      </c>
      <c r="E2150" s="32">
        <v>2</v>
      </c>
      <c r="F2150" s="18">
        <f>E2150* 0.0607843137254902</f>
        <v>0.1215686274509804</v>
      </c>
      <c r="G2150" s="18">
        <f>E2150* 0.93921568627451</f>
        <v>1.87843137254902</v>
      </c>
      <c r="H2150" s="20">
        <v>0</v>
      </c>
    </row>
    <row r="2151" spans="1:8" ht="15.75" hidden="1" customHeight="1" x14ac:dyDescent="0.25">
      <c r="A2151" s="20" t="s">
        <v>183</v>
      </c>
      <c r="B2151" s="47" t="s">
        <v>185</v>
      </c>
      <c r="C2151" s="49"/>
      <c r="D2151" s="46" t="s">
        <v>11</v>
      </c>
      <c r="E2151" s="32">
        <v>20</v>
      </c>
      <c r="F2151" s="18">
        <f>E2151* 0.175725756639901</f>
        <v>3.51451513279802</v>
      </c>
      <c r="G2151" s="18">
        <f>E2151* 0.823656578134651</f>
        <v>16.47313156269302</v>
      </c>
      <c r="H2151" s="18">
        <f>E2151* 0.000617665225447807</f>
        <v>1.235330450895614E-2</v>
      </c>
    </row>
    <row r="2152" spans="1:8" ht="15.75" hidden="1" customHeight="1" x14ac:dyDescent="0.25">
      <c r="A2152" s="20" t="s">
        <v>183</v>
      </c>
      <c r="B2152" s="47" t="s">
        <v>185</v>
      </c>
      <c r="C2152" s="49"/>
      <c r="D2152" s="46" t="s">
        <v>17</v>
      </c>
      <c r="E2152" s="32">
        <v>27</v>
      </c>
      <c r="F2152" s="18">
        <f>E2152* 0.869679539852095</f>
        <v>23.481347576006566</v>
      </c>
      <c r="G2152" s="18">
        <f>E2152* 0.0695152013147083</f>
        <v>1.876910435497124</v>
      </c>
      <c r="H2152" s="18">
        <f>E2152* 0.0608052588331964</f>
        <v>1.6417419884963029</v>
      </c>
    </row>
    <row r="2153" spans="1:8" ht="15.75" hidden="1" customHeight="1" x14ac:dyDescent="0.25">
      <c r="A2153" s="20" t="s">
        <v>183</v>
      </c>
      <c r="B2153" s="47" t="s">
        <v>185</v>
      </c>
      <c r="C2153" s="49"/>
      <c r="D2153" s="46" t="s">
        <v>18</v>
      </c>
      <c r="E2153" s="32">
        <v>12</v>
      </c>
      <c r="F2153" s="18">
        <f>E2153* 0.941463414634146</f>
        <v>11.297560975609752</v>
      </c>
      <c r="G2153" s="18">
        <f>E2153* 0.0532833020637899</f>
        <v>0.63939962476547885</v>
      </c>
      <c r="H2153" s="18">
        <f>E2153* 0.00487804878048781</f>
        <v>5.8536585365853724E-2</v>
      </c>
    </row>
    <row r="2154" spans="1:8" ht="15.75" hidden="1" customHeight="1" x14ac:dyDescent="0.25">
      <c r="A2154" s="20" t="s">
        <v>183</v>
      </c>
      <c r="B2154" s="47" t="s">
        <v>185</v>
      </c>
      <c r="C2154" s="49"/>
      <c r="D2154" s="46" t="s">
        <v>539</v>
      </c>
      <c r="E2154" s="32">
        <v>3</v>
      </c>
      <c r="F2154" s="20">
        <v>0</v>
      </c>
      <c r="G2154" s="24">
        <f>E2154</f>
        <v>3</v>
      </c>
      <c r="H2154" s="20">
        <v>0</v>
      </c>
    </row>
    <row r="2155" spans="1:8" ht="15.75" hidden="1" customHeight="1" x14ac:dyDescent="0.25">
      <c r="A2155" s="20" t="s">
        <v>183</v>
      </c>
      <c r="B2155" s="47" t="s">
        <v>185</v>
      </c>
      <c r="C2155" s="49"/>
      <c r="D2155" s="46" t="s">
        <v>19</v>
      </c>
      <c r="E2155" s="32">
        <v>6</v>
      </c>
      <c r="F2155" s="18">
        <f>E2155* 0.0748299319727891</f>
        <v>0.44897959183673464</v>
      </c>
      <c r="G2155" s="18">
        <f>E2155* 0.924036281179138</f>
        <v>5.5442176870748288</v>
      </c>
      <c r="H2155" s="18">
        <f>E2155* 0.00113378684807256</f>
        <v>6.80272108843536E-3</v>
      </c>
    </row>
    <row r="2156" spans="1:8" ht="15.75" hidden="1" customHeight="1" x14ac:dyDescent="0.25">
      <c r="A2156" s="20" t="s">
        <v>183</v>
      </c>
      <c r="B2156" s="47" t="s">
        <v>185</v>
      </c>
      <c r="C2156" s="49"/>
      <c r="D2156" s="46" t="s">
        <v>20</v>
      </c>
      <c r="E2156" s="32">
        <v>4</v>
      </c>
      <c r="F2156" s="18">
        <f>E2156* 0.799709724238026</f>
        <v>3.198838896952104</v>
      </c>
      <c r="G2156" s="18">
        <f>E2156* 0.150580551523948</f>
        <v>0.60232220609579201</v>
      </c>
      <c r="H2156" s="18">
        <f>E2156* 0.0493468795355588</f>
        <v>0.19738751814223521</v>
      </c>
    </row>
    <row r="2157" spans="1:8" ht="15.75" hidden="1" customHeight="1" x14ac:dyDescent="0.25">
      <c r="A2157" s="20" t="s">
        <v>183</v>
      </c>
      <c r="B2157" s="47" t="s">
        <v>185</v>
      </c>
      <c r="C2157" s="49"/>
      <c r="D2157" s="46" t="s">
        <v>21</v>
      </c>
      <c r="E2157" s="32">
        <v>62</v>
      </c>
      <c r="F2157" s="18">
        <f>E2157* 0.999328295549958</f>
        <v>61.958354324097392</v>
      </c>
      <c r="G2157" s="18">
        <f>E2157* 0.000335852225020991</f>
        <v>2.0822837951301444E-2</v>
      </c>
      <c r="H2157" s="18">
        <f>E2157* 0.000335852225020991</f>
        <v>2.0822837951301444E-2</v>
      </c>
    </row>
    <row r="2158" spans="1:8" ht="15.75" hidden="1" customHeight="1" x14ac:dyDescent="0.25">
      <c r="A2158" s="20" t="s">
        <v>183</v>
      </c>
      <c r="B2158" s="47" t="s">
        <v>185</v>
      </c>
      <c r="C2158" s="49"/>
      <c r="D2158" s="46" t="s">
        <v>28</v>
      </c>
      <c r="E2158" s="32">
        <v>1</v>
      </c>
      <c r="F2158" s="18">
        <f>E2158* 0.00116550116550117</f>
        <v>1.1655011655011701E-3</v>
      </c>
      <c r="G2158" s="18">
        <f>E2158* 0.998834498834499</f>
        <v>0.99883449883449904</v>
      </c>
      <c r="H2158" s="20">
        <v>0</v>
      </c>
    </row>
    <row r="2159" spans="1:8" ht="15.75" hidden="1" customHeight="1" x14ac:dyDescent="0.25">
      <c r="A2159" s="20" t="s">
        <v>183</v>
      </c>
      <c r="B2159" s="47" t="s">
        <v>185</v>
      </c>
      <c r="C2159" s="49"/>
      <c r="D2159" s="46" t="s">
        <v>12</v>
      </c>
      <c r="E2159" s="32">
        <v>59</v>
      </c>
      <c r="F2159" s="18">
        <f>E2159* 0.894051651143099</f>
        <v>52.749047417442846</v>
      </c>
      <c r="G2159" s="18">
        <f>E2159* 0.0675804403048264</f>
        <v>3.9872459779847578</v>
      </c>
      <c r="H2159" s="18">
        <f>E2159* 0.0382091447925487</f>
        <v>2.2543395427603734</v>
      </c>
    </row>
    <row r="2160" spans="1:8" ht="15.75" hidden="1" customHeight="1" x14ac:dyDescent="0.25">
      <c r="A2160" s="20" t="s">
        <v>183</v>
      </c>
      <c r="B2160" s="20"/>
      <c r="C2160" s="20"/>
      <c r="D2160" s="46"/>
      <c r="E2160" s="35"/>
    </row>
    <row r="2161" spans="1:8" ht="15.75" hidden="1" customHeight="1" x14ac:dyDescent="0.25">
      <c r="A2161" s="20" t="s">
        <v>183</v>
      </c>
      <c r="B2161" s="47" t="s">
        <v>186</v>
      </c>
      <c r="C2161" s="12" t="str">
        <f>B2161&amp;"_"&amp;A2161</f>
        <v>Belen de Urmiri_Potosí</v>
      </c>
      <c r="D2161" s="20"/>
      <c r="E2161" s="48">
        <v>0</v>
      </c>
      <c r="F2161" s="14">
        <f t="shared" ref="F2161:H2161" si="181">SUM(F2162:F2163)</f>
        <v>0</v>
      </c>
      <c r="G2161" s="14">
        <f t="shared" si="181"/>
        <v>0</v>
      </c>
      <c r="H2161" s="14">
        <f t="shared" si="181"/>
        <v>0</v>
      </c>
    </row>
    <row r="2162" spans="1:8" ht="15.75" hidden="1" customHeight="1" x14ac:dyDescent="0.25">
      <c r="A2162" s="20" t="s">
        <v>183</v>
      </c>
      <c r="B2162" s="47" t="s">
        <v>186</v>
      </c>
      <c r="C2162" s="49"/>
      <c r="D2162" s="46" t="s">
        <v>17</v>
      </c>
      <c r="E2162" s="32">
        <v>0</v>
      </c>
      <c r="F2162" s="18">
        <f>E2162* 0.869679539852095</f>
        <v>0</v>
      </c>
      <c r="G2162" s="18">
        <f>E2162* 0.0695152013147083</f>
        <v>0</v>
      </c>
      <c r="H2162" s="18">
        <f>E2162* 0.0608052588331964</f>
        <v>0</v>
      </c>
    </row>
    <row r="2163" spans="1:8" ht="15.75" hidden="1" customHeight="1" x14ac:dyDescent="0.25">
      <c r="A2163" s="20" t="s">
        <v>183</v>
      </c>
      <c r="B2163" s="47" t="s">
        <v>186</v>
      </c>
      <c r="C2163" s="49"/>
      <c r="D2163" s="46" t="s">
        <v>18</v>
      </c>
      <c r="E2163" s="32">
        <v>0</v>
      </c>
      <c r="F2163" s="18">
        <f>E2163* 0.941463414634146</f>
        <v>0</v>
      </c>
      <c r="G2163" s="18">
        <f>E2163* 0.0532833020637899</f>
        <v>0</v>
      </c>
      <c r="H2163" s="18">
        <f>E2163* 0.00487804878048781</f>
        <v>0</v>
      </c>
    </row>
    <row r="2164" spans="1:8" ht="15.75" hidden="1" customHeight="1" x14ac:dyDescent="0.25">
      <c r="A2164" s="20" t="s">
        <v>183</v>
      </c>
      <c r="B2164" s="20"/>
      <c r="C2164" s="20"/>
      <c r="D2164" s="46"/>
      <c r="E2164" s="35"/>
    </row>
    <row r="2165" spans="1:8" ht="15.75" hidden="1" customHeight="1" x14ac:dyDescent="0.25">
      <c r="A2165" s="20" t="s">
        <v>183</v>
      </c>
      <c r="B2165" s="47" t="s">
        <v>187</v>
      </c>
      <c r="C2165" s="12" t="str">
        <f>B2165&amp;"_"&amp;A2165</f>
        <v>Betanzos_Potosí</v>
      </c>
      <c r="D2165" s="20"/>
      <c r="E2165" s="48">
        <v>305</v>
      </c>
      <c r="F2165" s="14">
        <f t="shared" ref="F2165:H2165" si="182">SUM(F2166:F2176)</f>
        <v>234.83929784448671</v>
      </c>
      <c r="G2165" s="14">
        <f t="shared" si="182"/>
        <v>63.810594631222656</v>
      </c>
      <c r="H2165" s="14">
        <f t="shared" si="182"/>
        <v>6.3329426540277085</v>
      </c>
    </row>
    <row r="2166" spans="1:8" ht="15.75" hidden="1" customHeight="1" x14ac:dyDescent="0.25">
      <c r="A2166" s="20" t="s">
        <v>183</v>
      </c>
      <c r="B2166" s="47" t="s">
        <v>187</v>
      </c>
      <c r="C2166" s="49"/>
      <c r="D2166" s="46" t="s">
        <v>540</v>
      </c>
      <c r="E2166" s="32">
        <v>0</v>
      </c>
      <c r="F2166" s="20">
        <v>0</v>
      </c>
      <c r="G2166" s="24">
        <f>E2166</f>
        <v>0</v>
      </c>
      <c r="H2166" s="20">
        <v>0</v>
      </c>
    </row>
    <row r="2167" spans="1:8" ht="15.75" hidden="1" customHeight="1" x14ac:dyDescent="0.25">
      <c r="A2167" s="20" t="s">
        <v>183</v>
      </c>
      <c r="B2167" s="47" t="s">
        <v>187</v>
      </c>
      <c r="C2167" s="49"/>
      <c r="D2167" s="46" t="s">
        <v>15</v>
      </c>
      <c r="E2167" s="32">
        <v>19</v>
      </c>
      <c r="F2167" s="18">
        <f>E2167* 0.975464549882735</f>
        <v>18.533826447771965</v>
      </c>
      <c r="G2167" s="18">
        <f>E2167* 0.00487100847916291</f>
        <v>9.2549161104095293E-2</v>
      </c>
      <c r="H2167" s="18">
        <f>E2167* 0.0195742377773769</f>
        <v>0.3719105177701611</v>
      </c>
    </row>
    <row r="2168" spans="1:8" ht="15.75" hidden="1" customHeight="1" x14ac:dyDescent="0.25">
      <c r="A2168" s="20" t="s">
        <v>183</v>
      </c>
      <c r="B2168" s="47" t="s">
        <v>187</v>
      </c>
      <c r="C2168" s="49"/>
      <c r="D2168" s="35" t="s">
        <v>541</v>
      </c>
      <c r="E2168" s="32">
        <v>2</v>
      </c>
      <c r="F2168" s="18">
        <f>E2168* 0.0607843137254902</f>
        <v>0.1215686274509804</v>
      </c>
      <c r="G2168" s="18">
        <f>E2168* 0.93921568627451</f>
        <v>1.87843137254902</v>
      </c>
      <c r="H2168" s="20">
        <v>0</v>
      </c>
    </row>
    <row r="2169" spans="1:8" ht="15.75" hidden="1" customHeight="1" x14ac:dyDescent="0.25">
      <c r="A2169" s="20" t="s">
        <v>183</v>
      </c>
      <c r="B2169" s="47" t="s">
        <v>187</v>
      </c>
      <c r="C2169" s="49"/>
      <c r="D2169" s="46" t="s">
        <v>11</v>
      </c>
      <c r="E2169" s="32">
        <v>59</v>
      </c>
      <c r="F2169" s="18">
        <f>E2169* 0.175725756639901</f>
        <v>10.36781964175416</v>
      </c>
      <c r="G2169" s="18">
        <f>E2169* 0.823656578134651</f>
        <v>48.595738109944406</v>
      </c>
      <c r="H2169" s="18">
        <f>E2169* 0.000617665225447807</f>
        <v>3.6442248301420614E-2</v>
      </c>
    </row>
    <row r="2170" spans="1:8" ht="15.75" hidden="1" customHeight="1" x14ac:dyDescent="0.25">
      <c r="A2170" s="20" t="s">
        <v>183</v>
      </c>
      <c r="B2170" s="47" t="s">
        <v>187</v>
      </c>
      <c r="C2170" s="49"/>
      <c r="D2170" s="46" t="s">
        <v>17</v>
      </c>
      <c r="E2170" s="32">
        <v>51</v>
      </c>
      <c r="F2170" s="18">
        <f>E2170* 0.869679539852095</f>
        <v>44.353656532456846</v>
      </c>
      <c r="G2170" s="18">
        <f>E2170* 0.0695152013147083</f>
        <v>3.5452752670501231</v>
      </c>
      <c r="H2170" s="18">
        <f>E2170* 0.0608052588331964</f>
        <v>3.1010682004930166</v>
      </c>
    </row>
    <row r="2171" spans="1:8" ht="15.75" hidden="1" customHeight="1" x14ac:dyDescent="0.25">
      <c r="A2171" s="20" t="s">
        <v>183</v>
      </c>
      <c r="B2171" s="47" t="s">
        <v>187</v>
      </c>
      <c r="C2171" s="49"/>
      <c r="D2171" s="46" t="s">
        <v>18</v>
      </c>
      <c r="E2171" s="32">
        <v>6</v>
      </c>
      <c r="F2171" s="18">
        <f>E2171* 0.941463414634146</f>
        <v>5.648780487804876</v>
      </c>
      <c r="G2171" s="18">
        <f>E2171* 0.0532833020637899</f>
        <v>0.31969981238273942</v>
      </c>
      <c r="H2171" s="18">
        <f>E2171* 0.00487804878048781</f>
        <v>2.9268292682926862E-2</v>
      </c>
    </row>
    <row r="2172" spans="1:8" ht="15.75" hidden="1" customHeight="1" x14ac:dyDescent="0.25">
      <c r="A2172" s="20" t="s">
        <v>183</v>
      </c>
      <c r="B2172" s="47" t="s">
        <v>187</v>
      </c>
      <c r="C2172" s="49"/>
      <c r="D2172" s="46" t="s">
        <v>19</v>
      </c>
      <c r="E2172" s="32">
        <v>3</v>
      </c>
      <c r="F2172" s="18">
        <f>E2172* 0.0748299319727891</f>
        <v>0.22448979591836732</v>
      </c>
      <c r="G2172" s="18">
        <f>E2172* 0.924036281179138</f>
        <v>2.7721088435374144</v>
      </c>
      <c r="H2172" s="18">
        <f>E2172* 0.00113378684807256</f>
        <v>3.40136054421768E-3</v>
      </c>
    </row>
    <row r="2173" spans="1:8" ht="15.75" hidden="1" customHeight="1" x14ac:dyDescent="0.25">
      <c r="A2173" s="20" t="s">
        <v>183</v>
      </c>
      <c r="B2173" s="47" t="s">
        <v>187</v>
      </c>
      <c r="C2173" s="49"/>
      <c r="D2173" s="46" t="s">
        <v>20</v>
      </c>
      <c r="E2173" s="32">
        <v>11</v>
      </c>
      <c r="F2173" s="18">
        <f>E2173* 0.799709724238026</f>
        <v>8.796806966618286</v>
      </c>
      <c r="G2173" s="18">
        <f>E2173* 0.150580551523948</f>
        <v>1.656386066763428</v>
      </c>
      <c r="H2173" s="18">
        <f>E2173* 0.0493468795355588</f>
        <v>0.54281567489114679</v>
      </c>
    </row>
    <row r="2174" spans="1:8" ht="15.75" hidden="1" customHeight="1" x14ac:dyDescent="0.25">
      <c r="A2174" s="20" t="s">
        <v>183</v>
      </c>
      <c r="B2174" s="47" t="s">
        <v>187</v>
      </c>
      <c r="C2174" s="49"/>
      <c r="D2174" s="46" t="s">
        <v>21</v>
      </c>
      <c r="E2174" s="32">
        <v>95</v>
      </c>
      <c r="F2174" s="18">
        <f>E2174* 0.999328295549958</f>
        <v>94.936188077246001</v>
      </c>
      <c r="G2174" s="18">
        <f>E2174* 0.000335852225020991</f>
        <v>3.1905961376994148E-2</v>
      </c>
      <c r="H2174" s="18">
        <f>E2174* 0.000335852225020991</f>
        <v>3.1905961376994148E-2</v>
      </c>
    </row>
    <row r="2175" spans="1:8" ht="15.75" hidden="1" customHeight="1" x14ac:dyDescent="0.25">
      <c r="A2175" s="20" t="s">
        <v>183</v>
      </c>
      <c r="B2175" s="47" t="s">
        <v>187</v>
      </c>
      <c r="C2175" s="49"/>
      <c r="D2175" s="46" t="s">
        <v>28</v>
      </c>
      <c r="E2175" s="32">
        <v>1</v>
      </c>
      <c r="F2175" s="18">
        <f>E2175* 0.00116550116550117</f>
        <v>1.1655011655011701E-3</v>
      </c>
      <c r="G2175" s="18">
        <f>E2175* 0.998834498834499</f>
        <v>0.99883449883449904</v>
      </c>
      <c r="H2175" s="20">
        <v>0</v>
      </c>
    </row>
    <row r="2176" spans="1:8" ht="15.75" hidden="1" customHeight="1" x14ac:dyDescent="0.25">
      <c r="A2176" s="20" t="s">
        <v>183</v>
      </c>
      <c r="B2176" s="47" t="s">
        <v>187</v>
      </c>
      <c r="C2176" s="49"/>
      <c r="D2176" s="46" t="s">
        <v>12</v>
      </c>
      <c r="E2176" s="32">
        <v>58</v>
      </c>
      <c r="F2176" s="18">
        <f>E2176* 0.894051651143099</f>
        <v>51.854995766299744</v>
      </c>
      <c r="G2176" s="18">
        <f>E2176* 0.0675804403048264</f>
        <v>3.9196655376799314</v>
      </c>
      <c r="H2176" s="18">
        <f>E2176* 0.0382091447925487</f>
        <v>2.2161303979678246</v>
      </c>
    </row>
    <row r="2177" spans="1:8" ht="15.75" hidden="1" customHeight="1" x14ac:dyDescent="0.25">
      <c r="A2177" s="20" t="s">
        <v>183</v>
      </c>
      <c r="B2177" s="20"/>
      <c r="C2177" s="20"/>
      <c r="D2177" s="46"/>
      <c r="E2177" s="35"/>
    </row>
    <row r="2178" spans="1:8" ht="15.75" hidden="1" customHeight="1" x14ac:dyDescent="0.25">
      <c r="A2178" s="20" t="s">
        <v>183</v>
      </c>
      <c r="B2178" s="47" t="s">
        <v>188</v>
      </c>
      <c r="C2178" s="12" t="str">
        <f>B2178&amp;"_"&amp;A2178</f>
        <v>Caiza_Potosí</v>
      </c>
      <c r="D2178" s="20"/>
      <c r="E2178" s="48">
        <v>15</v>
      </c>
      <c r="F2178" s="14">
        <f t="shared" ref="F2178:H2178" si="183">SUM(F2179:F2187)</f>
        <v>11.909947051105211</v>
      </c>
      <c r="G2178" s="14">
        <f t="shared" si="183"/>
        <v>2.583464888933781</v>
      </c>
      <c r="H2178" s="14">
        <f t="shared" si="183"/>
        <v>0.5047742669547749</v>
      </c>
    </row>
    <row r="2179" spans="1:8" ht="15.75" hidden="1" customHeight="1" x14ac:dyDescent="0.25">
      <c r="A2179" s="20" t="s">
        <v>183</v>
      </c>
      <c r="B2179" s="47" t="s">
        <v>188</v>
      </c>
      <c r="C2179" s="49"/>
      <c r="D2179" s="46" t="s">
        <v>15</v>
      </c>
      <c r="E2179" s="32">
        <v>1</v>
      </c>
      <c r="F2179" s="18">
        <f>E2179* 0.975464549882735</f>
        <v>0.97546454988273501</v>
      </c>
      <c r="G2179" s="18">
        <f>E2179* 0.00487100847916291</f>
        <v>4.8710084791629103E-3</v>
      </c>
      <c r="H2179" s="18">
        <f>E2179* 0.0195742377773769</f>
        <v>1.95742377773769E-2</v>
      </c>
    </row>
    <row r="2180" spans="1:8" ht="15.75" hidden="1" customHeight="1" x14ac:dyDescent="0.25">
      <c r="A2180" s="20" t="s">
        <v>183</v>
      </c>
      <c r="B2180" s="47" t="s">
        <v>188</v>
      </c>
      <c r="C2180" s="49"/>
      <c r="D2180" s="35" t="s">
        <v>542</v>
      </c>
      <c r="E2180" s="32">
        <v>0</v>
      </c>
      <c r="F2180" s="18">
        <f>E2180* 0.0607843137254902</f>
        <v>0</v>
      </c>
      <c r="G2180" s="18">
        <f>E2180* 0.93921568627451</f>
        <v>0</v>
      </c>
      <c r="H2180" s="20">
        <v>0</v>
      </c>
    </row>
    <row r="2181" spans="1:8" ht="15.75" hidden="1" customHeight="1" x14ac:dyDescent="0.25">
      <c r="A2181" s="20" t="s">
        <v>183</v>
      </c>
      <c r="B2181" s="47" t="s">
        <v>188</v>
      </c>
      <c r="C2181" s="49"/>
      <c r="D2181" s="46" t="s">
        <v>11</v>
      </c>
      <c r="E2181" s="32">
        <v>2</v>
      </c>
      <c r="F2181" s="18">
        <f>E2181* 0.175725756639901</f>
        <v>0.35145151327980201</v>
      </c>
      <c r="G2181" s="18">
        <f>E2181* 0.823656578134651</f>
        <v>1.647313156269302</v>
      </c>
      <c r="H2181" s="18">
        <f>E2181* 0.000617665225447807</f>
        <v>1.235330450895614E-3</v>
      </c>
    </row>
    <row r="2182" spans="1:8" ht="15.75" hidden="1" customHeight="1" x14ac:dyDescent="0.25">
      <c r="A2182" s="20" t="s">
        <v>183</v>
      </c>
      <c r="B2182" s="47" t="s">
        <v>188</v>
      </c>
      <c r="C2182" s="49"/>
      <c r="D2182" s="46" t="s">
        <v>17</v>
      </c>
      <c r="E2182" s="32">
        <v>3</v>
      </c>
      <c r="F2182" s="18">
        <f>E2182* 0.869679539852095</f>
        <v>2.6090386195562849</v>
      </c>
      <c r="G2182" s="18">
        <f>E2182* 0.0695152013147083</f>
        <v>0.20854560394412491</v>
      </c>
      <c r="H2182" s="18">
        <f>E2182* 0.0608052588331964</f>
        <v>0.18241577649958921</v>
      </c>
    </row>
    <row r="2183" spans="1:8" ht="15.75" hidden="1" customHeight="1" x14ac:dyDescent="0.25">
      <c r="A2183" s="20" t="s">
        <v>183</v>
      </c>
      <c r="B2183" s="47" t="s">
        <v>188</v>
      </c>
      <c r="C2183" s="49"/>
      <c r="D2183" s="46" t="s">
        <v>18</v>
      </c>
      <c r="E2183" s="32">
        <v>0</v>
      </c>
      <c r="F2183" s="18">
        <f>E2183* 0.941463414634146</f>
        <v>0</v>
      </c>
      <c r="G2183" s="18">
        <f>E2183* 0.0532833020637899</f>
        <v>0</v>
      </c>
      <c r="H2183" s="18">
        <f>E2183* 0.00487804878048781</f>
        <v>0</v>
      </c>
    </row>
    <row r="2184" spans="1:8" ht="15.75" hidden="1" customHeight="1" x14ac:dyDescent="0.25">
      <c r="A2184" s="20" t="s">
        <v>183</v>
      </c>
      <c r="B2184" s="47" t="s">
        <v>188</v>
      </c>
      <c r="C2184" s="49"/>
      <c r="D2184" s="46" t="s">
        <v>19</v>
      </c>
      <c r="E2184" s="32">
        <v>0</v>
      </c>
      <c r="F2184" s="18">
        <f>E2184* 0.0748299319727891</f>
        <v>0</v>
      </c>
      <c r="G2184" s="18">
        <f>E2184* 0.924036281179138</f>
        <v>0</v>
      </c>
      <c r="H2184" s="18">
        <f>E2184* 0.00113378684807256</f>
        <v>0</v>
      </c>
    </row>
    <row r="2185" spans="1:8" ht="15.75" hidden="1" customHeight="1" x14ac:dyDescent="0.25">
      <c r="A2185" s="20" t="s">
        <v>183</v>
      </c>
      <c r="B2185" s="47" t="s">
        <v>188</v>
      </c>
      <c r="C2185" s="49"/>
      <c r="D2185" s="46" t="s">
        <v>20</v>
      </c>
      <c r="E2185" s="32">
        <v>3</v>
      </c>
      <c r="F2185" s="18">
        <f>E2185* 0.799709724238026</f>
        <v>2.399129172714078</v>
      </c>
      <c r="G2185" s="18">
        <f>E2185* 0.150580551523948</f>
        <v>0.45174165457184401</v>
      </c>
      <c r="H2185" s="18">
        <f>E2185* 0.0493468795355588</f>
        <v>0.14804063860667641</v>
      </c>
    </row>
    <row r="2186" spans="1:8" ht="15.75" hidden="1" customHeight="1" x14ac:dyDescent="0.25">
      <c r="A2186" s="20" t="s">
        <v>183</v>
      </c>
      <c r="B2186" s="47" t="s">
        <v>188</v>
      </c>
      <c r="C2186" s="49"/>
      <c r="D2186" s="46" t="s">
        <v>21</v>
      </c>
      <c r="E2186" s="32">
        <v>2</v>
      </c>
      <c r="F2186" s="18">
        <f>E2186* 0.999328295549958</f>
        <v>1.9986565910999159</v>
      </c>
      <c r="G2186" s="18">
        <f>E2186* 0.000335852225020991</f>
        <v>6.7170445004198205E-4</v>
      </c>
      <c r="H2186" s="18">
        <f>E2186* 0.000335852225020991</f>
        <v>6.7170445004198205E-4</v>
      </c>
    </row>
    <row r="2187" spans="1:8" ht="15.75" hidden="1" customHeight="1" x14ac:dyDescent="0.25">
      <c r="A2187" s="20" t="s">
        <v>183</v>
      </c>
      <c r="B2187" s="47" t="s">
        <v>188</v>
      </c>
      <c r="C2187" s="49"/>
      <c r="D2187" s="46" t="s">
        <v>12</v>
      </c>
      <c r="E2187" s="32">
        <v>4</v>
      </c>
      <c r="F2187" s="18">
        <f>E2187* 0.894051651143099</f>
        <v>3.5762066045723961</v>
      </c>
      <c r="G2187" s="18">
        <f>E2187* 0.0675804403048264</f>
        <v>0.27032176121930562</v>
      </c>
      <c r="H2187" s="18">
        <f>E2187* 0.0382091447925487</f>
        <v>0.1528365791701948</v>
      </c>
    </row>
    <row r="2188" spans="1:8" ht="15.75" hidden="1" customHeight="1" x14ac:dyDescent="0.25">
      <c r="A2188" s="20" t="s">
        <v>183</v>
      </c>
      <c r="B2188" s="20"/>
      <c r="C2188" s="20"/>
      <c r="D2188" s="46"/>
      <c r="E2188" s="35"/>
    </row>
    <row r="2189" spans="1:8" ht="15.75" hidden="1" customHeight="1" x14ac:dyDescent="0.25">
      <c r="A2189" s="20" t="s">
        <v>183</v>
      </c>
      <c r="B2189" s="47" t="s">
        <v>189</v>
      </c>
      <c r="C2189" s="12" t="str">
        <f>B2189&amp;"_"&amp;A2189</f>
        <v>Caripuyo_Potosí</v>
      </c>
      <c r="D2189" s="20"/>
      <c r="E2189" s="48">
        <v>2</v>
      </c>
      <c r="F2189" s="14">
        <f t="shared" ref="F2189:H2189" si="184">SUM(F2190:F2191)</f>
        <v>1.869007835402053</v>
      </c>
      <c r="G2189" s="14">
        <f t="shared" si="184"/>
        <v>6.9851053539729285E-2</v>
      </c>
      <c r="H2189" s="14">
        <f t="shared" si="184"/>
        <v>6.1141111058217394E-2</v>
      </c>
    </row>
    <row r="2190" spans="1:8" ht="15.75" hidden="1" customHeight="1" x14ac:dyDescent="0.25">
      <c r="A2190" s="20" t="s">
        <v>183</v>
      </c>
      <c r="B2190" s="47" t="s">
        <v>189</v>
      </c>
      <c r="C2190" s="49"/>
      <c r="D2190" s="46" t="s">
        <v>17</v>
      </c>
      <c r="E2190" s="32">
        <v>1</v>
      </c>
      <c r="F2190" s="18">
        <f>E2190* 0.869679539852095</f>
        <v>0.86967953985209501</v>
      </c>
      <c r="G2190" s="18">
        <f>E2190* 0.0695152013147083</f>
        <v>6.95152013147083E-2</v>
      </c>
      <c r="H2190" s="18">
        <f>E2190* 0.0608052588331964</f>
        <v>6.0805258833196402E-2</v>
      </c>
    </row>
    <row r="2191" spans="1:8" ht="15.75" hidden="1" customHeight="1" x14ac:dyDescent="0.25">
      <c r="A2191" s="20" t="s">
        <v>183</v>
      </c>
      <c r="B2191" s="47" t="s">
        <v>189</v>
      </c>
      <c r="C2191" s="49"/>
      <c r="D2191" s="46" t="s">
        <v>21</v>
      </c>
      <c r="E2191" s="32">
        <v>1</v>
      </c>
      <c r="F2191" s="18">
        <f>E2191* 0.999328295549958</f>
        <v>0.99932829554995795</v>
      </c>
      <c r="G2191" s="18">
        <f>E2191* 0.000335852225020991</f>
        <v>3.3585222502099103E-4</v>
      </c>
      <c r="H2191" s="18">
        <f>E2191* 0.000335852225020991</f>
        <v>3.3585222502099103E-4</v>
      </c>
    </row>
    <row r="2192" spans="1:8" ht="15.75" hidden="1" customHeight="1" x14ac:dyDescent="0.25">
      <c r="A2192" s="20" t="s">
        <v>183</v>
      </c>
      <c r="B2192" s="20"/>
      <c r="C2192" s="20"/>
      <c r="D2192" s="46"/>
      <c r="E2192" s="35"/>
    </row>
    <row r="2193" spans="1:8" ht="15.75" hidden="1" customHeight="1" x14ac:dyDescent="0.25">
      <c r="A2193" s="20" t="s">
        <v>183</v>
      </c>
      <c r="B2193" s="47" t="s">
        <v>190</v>
      </c>
      <c r="C2193" s="12" t="str">
        <f>B2193&amp;"_"&amp;A2193</f>
        <v>Chaqui_Potosí</v>
      </c>
      <c r="D2193" s="20"/>
      <c r="E2193" s="48">
        <v>37</v>
      </c>
      <c r="F2193" s="14">
        <f t="shared" ref="F2193:H2193" si="185">SUM(F2194:F2202)</f>
        <v>32.173643686335659</v>
      </c>
      <c r="G2193" s="14">
        <f t="shared" si="185"/>
        <v>3.9084946608306588</v>
      </c>
      <c r="H2193" s="14">
        <f t="shared" si="185"/>
        <v>0.91424780998927613</v>
      </c>
    </row>
    <row r="2194" spans="1:8" ht="15.75" hidden="1" customHeight="1" x14ac:dyDescent="0.25">
      <c r="A2194" s="20" t="s">
        <v>183</v>
      </c>
      <c r="B2194" s="47" t="s">
        <v>190</v>
      </c>
      <c r="C2194" s="49"/>
      <c r="D2194" s="46" t="s">
        <v>15</v>
      </c>
      <c r="E2194" s="32">
        <v>9</v>
      </c>
      <c r="F2194" s="18">
        <f>E2194* 0.975464549882735</f>
        <v>8.7791809489446155</v>
      </c>
      <c r="G2194" s="18">
        <f>E2194* 0.00487100847916291</f>
        <v>4.3839076312466196E-2</v>
      </c>
      <c r="H2194" s="18">
        <f>E2194* 0.0195742377773769</f>
        <v>0.17616813999639211</v>
      </c>
    </row>
    <row r="2195" spans="1:8" ht="15.75" hidden="1" customHeight="1" x14ac:dyDescent="0.25">
      <c r="A2195" s="20" t="s">
        <v>183</v>
      </c>
      <c r="B2195" s="47" t="s">
        <v>190</v>
      </c>
      <c r="C2195" s="49"/>
      <c r="D2195" s="35" t="s">
        <v>543</v>
      </c>
      <c r="E2195" s="32">
        <v>0</v>
      </c>
      <c r="F2195" s="18">
        <f>E2195* 0.0607843137254902</f>
        <v>0</v>
      </c>
      <c r="G2195" s="18">
        <f>E2195* 0.93921568627451</f>
        <v>0</v>
      </c>
      <c r="H2195" s="20">
        <v>0</v>
      </c>
    </row>
    <row r="2196" spans="1:8" ht="15.75" hidden="1" customHeight="1" x14ac:dyDescent="0.25">
      <c r="A2196" s="20" t="s">
        <v>183</v>
      </c>
      <c r="B2196" s="47" t="s">
        <v>190</v>
      </c>
      <c r="C2196" s="49"/>
      <c r="D2196" s="46" t="s">
        <v>11</v>
      </c>
      <c r="E2196" s="32">
        <v>2</v>
      </c>
      <c r="F2196" s="18">
        <f>E2196* 0.175725756639901</f>
        <v>0.35145151327980201</v>
      </c>
      <c r="G2196" s="18">
        <f>E2196* 0.823656578134651</f>
        <v>1.647313156269302</v>
      </c>
      <c r="H2196" s="18">
        <f>E2196* 0.000617665225447807</f>
        <v>1.235330450895614E-3</v>
      </c>
    </row>
    <row r="2197" spans="1:8" ht="15.75" hidden="1" customHeight="1" x14ac:dyDescent="0.25">
      <c r="A2197" s="20" t="s">
        <v>183</v>
      </c>
      <c r="B2197" s="47" t="s">
        <v>190</v>
      </c>
      <c r="C2197" s="49"/>
      <c r="D2197" s="46" t="s">
        <v>17</v>
      </c>
      <c r="E2197" s="32">
        <v>3</v>
      </c>
      <c r="F2197" s="18">
        <f>E2197* 0.869679539852095</f>
        <v>2.6090386195562849</v>
      </c>
      <c r="G2197" s="18">
        <f>E2197* 0.0695152013147083</f>
        <v>0.20854560394412491</v>
      </c>
      <c r="H2197" s="18">
        <f>E2197* 0.0608052588331964</f>
        <v>0.18241577649958921</v>
      </c>
    </row>
    <row r="2198" spans="1:8" ht="15.75" hidden="1" customHeight="1" x14ac:dyDescent="0.25">
      <c r="A2198" s="20" t="s">
        <v>183</v>
      </c>
      <c r="B2198" s="47" t="s">
        <v>190</v>
      </c>
      <c r="C2198" s="49"/>
      <c r="D2198" s="46" t="s">
        <v>18</v>
      </c>
      <c r="E2198" s="32">
        <v>1</v>
      </c>
      <c r="F2198" s="18">
        <f>E2198* 0.941463414634146</f>
        <v>0.94146341463414596</v>
      </c>
      <c r="G2198" s="18">
        <f>E2198* 0.0532833020637899</f>
        <v>5.3283302063789902E-2</v>
      </c>
      <c r="H2198" s="18">
        <f>E2198* 0.00487804878048781</f>
        <v>4.8780487804878101E-3</v>
      </c>
    </row>
    <row r="2199" spans="1:8" ht="15.75" hidden="1" customHeight="1" x14ac:dyDescent="0.25">
      <c r="A2199" s="20" t="s">
        <v>183</v>
      </c>
      <c r="B2199" s="47" t="s">
        <v>190</v>
      </c>
      <c r="C2199" s="49"/>
      <c r="D2199" s="46" t="s">
        <v>19</v>
      </c>
      <c r="E2199" s="32">
        <v>1</v>
      </c>
      <c r="F2199" s="18">
        <f>E2199* 0.0748299319727891</f>
        <v>7.4829931972789102E-2</v>
      </c>
      <c r="G2199" s="18">
        <f>E2199* 0.924036281179138</f>
        <v>0.92403628117913805</v>
      </c>
      <c r="H2199" s="18">
        <f>E2199* 0.00113378684807256</f>
        <v>1.13378684807256E-3</v>
      </c>
    </row>
    <row r="2200" spans="1:8" ht="15.75" hidden="1" customHeight="1" x14ac:dyDescent="0.25">
      <c r="A2200" s="20" t="s">
        <v>183</v>
      </c>
      <c r="B2200" s="47" t="s">
        <v>190</v>
      </c>
      <c r="C2200" s="49"/>
      <c r="D2200" s="46" t="s">
        <v>20</v>
      </c>
      <c r="E2200" s="32">
        <v>1</v>
      </c>
      <c r="F2200" s="18">
        <f>E2200* 0.799709724238026</f>
        <v>0.799709724238026</v>
      </c>
      <c r="G2200" s="18">
        <f>E2200* 0.150580551523948</f>
        <v>0.150580551523948</v>
      </c>
      <c r="H2200" s="18">
        <f>E2200* 0.0493468795355588</f>
        <v>4.9346879535558802E-2</v>
      </c>
    </row>
    <row r="2201" spans="1:8" ht="15.75" hidden="1" customHeight="1" x14ac:dyDescent="0.25">
      <c r="A2201" s="20" t="s">
        <v>183</v>
      </c>
      <c r="B2201" s="47" t="s">
        <v>190</v>
      </c>
      <c r="C2201" s="49"/>
      <c r="D2201" s="46" t="s">
        <v>21</v>
      </c>
      <c r="E2201" s="32">
        <v>7</v>
      </c>
      <c r="F2201" s="18">
        <f>E2201* 0.999328295549958</f>
        <v>6.9952980688497055</v>
      </c>
      <c r="G2201" s="18">
        <f>E2201* 0.000335852225020991</f>
        <v>2.350965575146937E-3</v>
      </c>
      <c r="H2201" s="18">
        <f>E2201* 0.000335852225020991</f>
        <v>2.350965575146937E-3</v>
      </c>
    </row>
    <row r="2202" spans="1:8" ht="15.75" hidden="1" customHeight="1" x14ac:dyDescent="0.25">
      <c r="A2202" s="20" t="s">
        <v>183</v>
      </c>
      <c r="B2202" s="47" t="s">
        <v>190</v>
      </c>
      <c r="C2202" s="49"/>
      <c r="D2202" s="46" t="s">
        <v>12</v>
      </c>
      <c r="E2202" s="32">
        <v>13</v>
      </c>
      <c r="F2202" s="18">
        <f>E2202* 0.894051651143099</f>
        <v>11.622671464860288</v>
      </c>
      <c r="G2202" s="18">
        <f>E2202* 0.0675804403048264</f>
        <v>0.87854572396274322</v>
      </c>
      <c r="H2202" s="18">
        <f>E2202* 0.0382091447925487</f>
        <v>0.4967188823031331</v>
      </c>
    </row>
    <row r="2203" spans="1:8" ht="15.75" hidden="1" customHeight="1" x14ac:dyDescent="0.25">
      <c r="A2203" s="20" t="s">
        <v>183</v>
      </c>
      <c r="B2203" s="20"/>
      <c r="C2203" s="20"/>
      <c r="D2203" s="46"/>
      <c r="E2203" s="35"/>
    </row>
    <row r="2204" spans="1:8" ht="15.75" hidden="1" customHeight="1" x14ac:dyDescent="0.25">
      <c r="A2204" s="20" t="s">
        <v>183</v>
      </c>
      <c r="B2204" s="47" t="s">
        <v>191</v>
      </c>
      <c r="C2204" s="12" t="str">
        <f>B2204&amp;"_"&amp;A2204</f>
        <v>Chayanta_Potosí</v>
      </c>
      <c r="D2204" s="20"/>
      <c r="E2204" s="48">
        <v>31</v>
      </c>
      <c r="F2204" s="14">
        <f t="shared" ref="F2204:H2204" si="186">SUM(F2205:F2212)</f>
        <v>25.971506918647101</v>
      </c>
      <c r="G2204" s="14">
        <f t="shared" si="186"/>
        <v>4.183820502516773</v>
      </c>
      <c r="H2204" s="14">
        <f t="shared" si="186"/>
        <v>0.84020161474959698</v>
      </c>
    </row>
    <row r="2205" spans="1:8" ht="15.75" hidden="1" customHeight="1" x14ac:dyDescent="0.25">
      <c r="A2205" s="20" t="s">
        <v>183</v>
      </c>
      <c r="B2205" s="47" t="s">
        <v>191</v>
      </c>
      <c r="C2205" s="49"/>
      <c r="D2205" s="46" t="s">
        <v>15</v>
      </c>
      <c r="E2205" s="32">
        <v>2</v>
      </c>
      <c r="F2205" s="18">
        <f>E2205* 0.975464549882735</f>
        <v>1.95092909976547</v>
      </c>
      <c r="G2205" s="18">
        <f>E2205* 0.00487100847916291</f>
        <v>9.7420169583258207E-3</v>
      </c>
      <c r="H2205" s="18">
        <f>E2205* 0.0195742377773769</f>
        <v>3.91484755547538E-2</v>
      </c>
    </row>
    <row r="2206" spans="1:8" ht="15.75" hidden="1" customHeight="1" x14ac:dyDescent="0.25">
      <c r="A2206" s="20" t="s">
        <v>183</v>
      </c>
      <c r="B2206" s="47" t="s">
        <v>191</v>
      </c>
      <c r="C2206" s="49"/>
      <c r="D2206" s="46" t="s">
        <v>11</v>
      </c>
      <c r="E2206" s="32">
        <v>2</v>
      </c>
      <c r="F2206" s="18">
        <f>E2206* 0.175725756639901</f>
        <v>0.35145151327980201</v>
      </c>
      <c r="G2206" s="18">
        <f>E2206* 0.823656578134651</f>
        <v>1.647313156269302</v>
      </c>
      <c r="H2206" s="18">
        <f>E2206* 0.000617665225447807</f>
        <v>1.235330450895614E-3</v>
      </c>
    </row>
    <row r="2207" spans="1:8" ht="15.75" hidden="1" customHeight="1" x14ac:dyDescent="0.25">
      <c r="A2207" s="20" t="s">
        <v>183</v>
      </c>
      <c r="B2207" s="47" t="s">
        <v>191</v>
      </c>
      <c r="C2207" s="49"/>
      <c r="D2207" s="46" t="s">
        <v>17</v>
      </c>
      <c r="E2207" s="32">
        <v>3</v>
      </c>
      <c r="F2207" s="18">
        <f>E2207* 0.869679539852095</f>
        <v>2.6090386195562849</v>
      </c>
      <c r="G2207" s="18">
        <f>E2207* 0.0695152013147083</f>
        <v>0.20854560394412491</v>
      </c>
      <c r="H2207" s="18">
        <f>E2207* 0.0608052588331964</f>
        <v>0.18241577649958921</v>
      </c>
    </row>
    <row r="2208" spans="1:8" ht="15.75" hidden="1" customHeight="1" x14ac:dyDescent="0.25">
      <c r="A2208" s="20" t="s">
        <v>183</v>
      </c>
      <c r="B2208" s="47" t="s">
        <v>191</v>
      </c>
      <c r="C2208" s="49"/>
      <c r="D2208" s="46" t="s">
        <v>18</v>
      </c>
      <c r="E2208" s="32">
        <v>4</v>
      </c>
      <c r="F2208" s="18">
        <f>E2208* 0.941463414634146</f>
        <v>3.7658536585365838</v>
      </c>
      <c r="G2208" s="18">
        <f>E2208* 0.0532833020637899</f>
        <v>0.21313320825515961</v>
      </c>
      <c r="H2208" s="18">
        <f>E2208* 0.00487804878048781</f>
        <v>1.951219512195124E-2</v>
      </c>
    </row>
    <row r="2209" spans="1:8" ht="15.75" hidden="1" customHeight="1" x14ac:dyDescent="0.25">
      <c r="A2209" s="20" t="s">
        <v>183</v>
      </c>
      <c r="B2209" s="47" t="s">
        <v>191</v>
      </c>
      <c r="C2209" s="49"/>
      <c r="D2209" s="46" t="s">
        <v>19</v>
      </c>
      <c r="E2209" s="32">
        <v>1</v>
      </c>
      <c r="F2209" s="18">
        <f>E2209* 0.0748299319727891</f>
        <v>7.4829931972789102E-2</v>
      </c>
      <c r="G2209" s="18">
        <f>E2209* 0.924036281179138</f>
        <v>0.92403628117913805</v>
      </c>
      <c r="H2209" s="18">
        <f>E2209* 0.00113378684807256</f>
        <v>1.13378684807256E-3</v>
      </c>
    </row>
    <row r="2210" spans="1:8" ht="15.75" hidden="1" customHeight="1" x14ac:dyDescent="0.25">
      <c r="A2210" s="20" t="s">
        <v>183</v>
      </c>
      <c r="B2210" s="47" t="s">
        <v>191</v>
      </c>
      <c r="C2210" s="49"/>
      <c r="D2210" s="46" t="s">
        <v>20</v>
      </c>
      <c r="E2210" s="32">
        <v>2</v>
      </c>
      <c r="F2210" s="18">
        <f>E2210* 0.799709724238026</f>
        <v>1.599419448476052</v>
      </c>
      <c r="G2210" s="18">
        <f>E2210* 0.150580551523948</f>
        <v>0.30116110304789601</v>
      </c>
      <c r="H2210" s="18">
        <f>E2210* 0.0493468795355588</f>
        <v>9.8693759071117604E-2</v>
      </c>
    </row>
    <row r="2211" spans="1:8" ht="15.75" hidden="1" customHeight="1" x14ac:dyDescent="0.25">
      <c r="A2211" s="20" t="s">
        <v>183</v>
      </c>
      <c r="B2211" s="47" t="s">
        <v>191</v>
      </c>
      <c r="C2211" s="49"/>
      <c r="D2211" s="46" t="s">
        <v>21</v>
      </c>
      <c r="E2211" s="32">
        <v>4</v>
      </c>
      <c r="F2211" s="18">
        <f>E2211* 0.999328295549958</f>
        <v>3.9973131821998318</v>
      </c>
      <c r="G2211" s="18">
        <f>E2211* 0.000335852225020991</f>
        <v>1.3434089000839641E-3</v>
      </c>
      <c r="H2211" s="18">
        <f>E2211* 0.000335852225020991</f>
        <v>1.3434089000839641E-3</v>
      </c>
    </row>
    <row r="2212" spans="1:8" ht="15.75" hidden="1" customHeight="1" x14ac:dyDescent="0.25">
      <c r="A2212" s="20" t="s">
        <v>183</v>
      </c>
      <c r="B2212" s="47" t="s">
        <v>191</v>
      </c>
      <c r="C2212" s="49"/>
      <c r="D2212" s="46" t="s">
        <v>12</v>
      </c>
      <c r="E2212" s="32">
        <v>13</v>
      </c>
      <c r="F2212" s="18">
        <f>E2212* 0.894051651143099</f>
        <v>11.622671464860288</v>
      </c>
      <c r="G2212" s="18">
        <f>E2212* 0.0675804403048264</f>
        <v>0.87854572396274322</v>
      </c>
      <c r="H2212" s="18">
        <f>E2212* 0.0382091447925487</f>
        <v>0.4967188823031331</v>
      </c>
    </row>
    <row r="2213" spans="1:8" ht="15.75" hidden="1" customHeight="1" x14ac:dyDescent="0.25">
      <c r="A2213" s="20" t="s">
        <v>183</v>
      </c>
      <c r="B2213" s="20"/>
      <c r="C2213" s="20"/>
      <c r="D2213" s="46"/>
      <c r="E2213" s="35"/>
    </row>
    <row r="2214" spans="1:8" ht="15.75" hidden="1" customHeight="1" x14ac:dyDescent="0.25">
      <c r="A2214" s="20" t="s">
        <v>183</v>
      </c>
      <c r="B2214" s="47" t="s">
        <v>544</v>
      </c>
      <c r="C2214" s="12" t="str">
        <f>B2214&amp;"_"&amp;A2214</f>
        <v>Ckochas_Potosí</v>
      </c>
      <c r="D2214" s="20"/>
      <c r="E2214" s="48">
        <v>2</v>
      </c>
      <c r="F2214" s="14">
        <f t="shared" ref="F2214:H2214" si="187">SUM(F2215:F2216)</f>
        <v>0.23651007036539121</v>
      </c>
      <c r="G2214" s="14">
        <f t="shared" si="187"/>
        <v>1.762872264409161</v>
      </c>
      <c r="H2214" s="14">
        <f t="shared" si="187"/>
        <v>6.1766522544780701E-4</v>
      </c>
    </row>
    <row r="2215" spans="1:8" ht="15.75" hidden="1" customHeight="1" x14ac:dyDescent="0.25">
      <c r="A2215" s="20" t="s">
        <v>183</v>
      </c>
      <c r="B2215" s="47" t="s">
        <v>544</v>
      </c>
      <c r="C2215" s="49"/>
      <c r="D2215" s="35" t="s">
        <v>545</v>
      </c>
      <c r="E2215" s="32">
        <v>1</v>
      </c>
      <c r="F2215" s="18">
        <f>E2215* 0.0607843137254902</f>
        <v>6.0784313725490202E-2</v>
      </c>
      <c r="G2215" s="18">
        <f>E2215* 0.93921568627451</f>
        <v>0.93921568627451002</v>
      </c>
      <c r="H2215" s="20">
        <v>0</v>
      </c>
    </row>
    <row r="2216" spans="1:8" ht="15.75" hidden="1" customHeight="1" x14ac:dyDescent="0.25">
      <c r="A2216" s="20" t="s">
        <v>183</v>
      </c>
      <c r="B2216" s="47" t="s">
        <v>544</v>
      </c>
      <c r="C2216" s="49"/>
      <c r="D2216" s="46" t="s">
        <v>11</v>
      </c>
      <c r="E2216" s="32">
        <v>1</v>
      </c>
      <c r="F2216" s="18">
        <f>E2216* 0.175725756639901</f>
        <v>0.175725756639901</v>
      </c>
      <c r="G2216" s="18">
        <f>E2216* 0.823656578134651</f>
        <v>0.82365657813465099</v>
      </c>
      <c r="H2216" s="18">
        <f>E2216* 0.000617665225447807</f>
        <v>6.1766522544780701E-4</v>
      </c>
    </row>
    <row r="2217" spans="1:8" ht="15.75" hidden="1" customHeight="1" x14ac:dyDescent="0.25">
      <c r="A2217" s="20" t="s">
        <v>183</v>
      </c>
      <c r="B2217" s="20"/>
      <c r="C2217" s="20"/>
      <c r="D2217" s="46"/>
      <c r="E2217" s="35"/>
    </row>
    <row r="2218" spans="1:8" ht="15.75" hidden="1" customHeight="1" x14ac:dyDescent="0.25">
      <c r="A2218" s="20" t="s">
        <v>183</v>
      </c>
      <c r="B2218" s="47" t="s">
        <v>192</v>
      </c>
      <c r="C2218" s="12" t="str">
        <f>B2218&amp;"_"&amp;A2218</f>
        <v>Colcha (Villa Martín)_Potosí</v>
      </c>
      <c r="D2218" s="20"/>
      <c r="E2218" s="48">
        <v>1146</v>
      </c>
      <c r="F2218" s="14">
        <f t="shared" ref="F2218:H2218" si="188">SUM(F2219:F2231)</f>
        <v>686.09722967617972</v>
      </c>
      <c r="G2218" s="14">
        <f t="shared" si="188"/>
        <v>429.22616906309736</v>
      </c>
      <c r="H2218" s="14">
        <f t="shared" si="188"/>
        <v>30.630719367178042</v>
      </c>
    </row>
    <row r="2219" spans="1:8" ht="15.75" hidden="1" customHeight="1" x14ac:dyDescent="0.25">
      <c r="A2219" s="20" t="s">
        <v>183</v>
      </c>
      <c r="B2219" s="47" t="s">
        <v>192</v>
      </c>
      <c r="C2219" s="49"/>
      <c r="D2219" s="35" t="s">
        <v>546</v>
      </c>
      <c r="E2219" s="32">
        <v>0</v>
      </c>
      <c r="F2219" s="20">
        <v>0</v>
      </c>
      <c r="G2219" s="24">
        <f>E2219</f>
        <v>0</v>
      </c>
      <c r="H2219" s="20">
        <v>0</v>
      </c>
    </row>
    <row r="2220" spans="1:8" ht="15.75" hidden="1" customHeight="1" x14ac:dyDescent="0.25">
      <c r="A2220" s="20" t="s">
        <v>183</v>
      </c>
      <c r="B2220" s="47" t="s">
        <v>192</v>
      </c>
      <c r="C2220" s="49"/>
      <c r="D2220" s="46" t="s">
        <v>15</v>
      </c>
      <c r="E2220" s="32">
        <v>23</v>
      </c>
      <c r="F2220" s="18">
        <f>E2220* 0.975464549882735</f>
        <v>22.435684647302907</v>
      </c>
      <c r="G2220" s="18">
        <f>E2220* 0.00487100847916291</f>
        <v>0.11203319502074693</v>
      </c>
      <c r="H2220" s="18">
        <f>E2220* 0.0195742377773769</f>
        <v>0.45020746887966873</v>
      </c>
    </row>
    <row r="2221" spans="1:8" ht="15.75" hidden="1" customHeight="1" x14ac:dyDescent="0.25">
      <c r="A2221" s="20" t="s">
        <v>183</v>
      </c>
      <c r="B2221" s="47" t="s">
        <v>192</v>
      </c>
      <c r="C2221" s="49"/>
      <c r="D2221" s="35" t="s">
        <v>547</v>
      </c>
      <c r="E2221" s="32">
        <v>27</v>
      </c>
      <c r="F2221" s="18">
        <f>E2221* 0.0607843137254902</f>
        <v>1.6411764705882355</v>
      </c>
      <c r="G2221" s="18">
        <f>E2221* 0.93921568627451</f>
        <v>25.358823529411772</v>
      </c>
      <c r="H2221" s="20">
        <v>0</v>
      </c>
    </row>
    <row r="2222" spans="1:8" ht="15.75" hidden="1" customHeight="1" x14ac:dyDescent="0.25">
      <c r="A2222" s="20" t="s">
        <v>183</v>
      </c>
      <c r="B2222" s="47" t="s">
        <v>192</v>
      </c>
      <c r="C2222" s="49"/>
      <c r="D2222" s="46" t="s">
        <v>11</v>
      </c>
      <c r="E2222" s="32">
        <v>221</v>
      </c>
      <c r="F2222" s="18">
        <f>E2222* 0.175725756639901</f>
        <v>38.835392217418125</v>
      </c>
      <c r="G2222" s="18">
        <f>E2222* 0.823656578134651</f>
        <v>182.02810376775787</v>
      </c>
      <c r="H2222" s="18">
        <f>E2222* 0.000617665225447807</f>
        <v>0.13650401482396535</v>
      </c>
    </row>
    <row r="2223" spans="1:8" ht="15.75" hidden="1" customHeight="1" x14ac:dyDescent="0.25">
      <c r="A2223" s="20" t="s">
        <v>183</v>
      </c>
      <c r="B2223" s="47" t="s">
        <v>192</v>
      </c>
      <c r="C2223" s="49"/>
      <c r="D2223" s="46" t="s">
        <v>17</v>
      </c>
      <c r="E2223" s="32">
        <v>362</v>
      </c>
      <c r="F2223" s="18">
        <f>E2223* 0.869679539852095</f>
        <v>314.8239934264584</v>
      </c>
      <c r="G2223" s="18">
        <f>E2223* 0.0695152013147083</f>
        <v>25.164502875924406</v>
      </c>
      <c r="H2223" s="18">
        <f>E2223* 0.0608052588331964</f>
        <v>22.011503697617098</v>
      </c>
    </row>
    <row r="2224" spans="1:8" ht="15.75" hidden="1" customHeight="1" x14ac:dyDescent="0.25">
      <c r="A2224" s="20" t="s">
        <v>183</v>
      </c>
      <c r="B2224" s="47" t="s">
        <v>192</v>
      </c>
      <c r="C2224" s="49"/>
      <c r="D2224" s="46" t="s">
        <v>31</v>
      </c>
      <c r="E2224" s="32">
        <v>1</v>
      </c>
      <c r="F2224" s="18">
        <f>E2224* 0.93</f>
        <v>0.93</v>
      </c>
      <c r="G2224" s="18">
        <f>E2224* 0.05</f>
        <v>0.05</v>
      </c>
      <c r="H2224" s="18">
        <f>E2224* 0.02</f>
        <v>0.02</v>
      </c>
    </row>
    <row r="2225" spans="1:8" ht="15.75" hidden="1" customHeight="1" x14ac:dyDescent="0.25">
      <c r="A2225" s="20" t="s">
        <v>183</v>
      </c>
      <c r="B2225" s="47" t="s">
        <v>192</v>
      </c>
      <c r="C2225" s="49"/>
      <c r="D2225" s="46" t="s">
        <v>18</v>
      </c>
      <c r="E2225" s="32">
        <v>23</v>
      </c>
      <c r="F2225" s="18">
        <f>E2225* 0.941463414634146</f>
        <v>21.653658536585358</v>
      </c>
      <c r="G2225" s="18">
        <f>E2225* 0.0532833020637899</f>
        <v>1.2255159474671677</v>
      </c>
      <c r="H2225" s="18">
        <f>E2225* 0.00487804878048781</f>
        <v>0.11219512195121963</v>
      </c>
    </row>
    <row r="2226" spans="1:8" ht="15.75" hidden="1" customHeight="1" x14ac:dyDescent="0.25">
      <c r="A2226" s="20" t="s">
        <v>183</v>
      </c>
      <c r="B2226" s="47" t="s">
        <v>192</v>
      </c>
      <c r="C2226" s="49"/>
      <c r="D2226" s="46" t="s">
        <v>19</v>
      </c>
      <c r="E2226" s="32">
        <v>6</v>
      </c>
      <c r="F2226" s="18">
        <f>E2226* 0.0748299319727891</f>
        <v>0.44897959183673464</v>
      </c>
      <c r="G2226" s="18">
        <f>E2226* 0.924036281179138</f>
        <v>5.5442176870748288</v>
      </c>
      <c r="H2226" s="18">
        <f>E2226* 0.00113378684807256</f>
        <v>6.80272108843536E-3</v>
      </c>
    </row>
    <row r="2227" spans="1:8" ht="15.75" hidden="1" customHeight="1" x14ac:dyDescent="0.25">
      <c r="A2227" s="20" t="s">
        <v>183</v>
      </c>
      <c r="B2227" s="47" t="s">
        <v>192</v>
      </c>
      <c r="C2227" s="49"/>
      <c r="D2227" s="46" t="s">
        <v>20</v>
      </c>
      <c r="E2227" s="32">
        <v>16</v>
      </c>
      <c r="F2227" s="18">
        <f>E2227* 0.799709724238026</f>
        <v>12.795355587808416</v>
      </c>
      <c r="G2227" s="18">
        <f>E2227* 0.150580551523948</f>
        <v>2.409288824383168</v>
      </c>
      <c r="H2227" s="18">
        <f>E2227* 0.0493468795355588</f>
        <v>0.78955007256894083</v>
      </c>
    </row>
    <row r="2228" spans="1:8" ht="15.75" hidden="1" customHeight="1" x14ac:dyDescent="0.25">
      <c r="A2228" s="20" t="s">
        <v>183</v>
      </c>
      <c r="B2228" s="47" t="s">
        <v>192</v>
      </c>
      <c r="C2228" s="49"/>
      <c r="D2228" s="46" t="s">
        <v>21</v>
      </c>
      <c r="E2228" s="32">
        <v>105</v>
      </c>
      <c r="F2228" s="18">
        <f>E2228* 0.999328295549958</f>
        <v>104.92947103274558</v>
      </c>
      <c r="G2228" s="18">
        <f>E2228* 0.000335852225020991</f>
        <v>3.5264483627204059E-2</v>
      </c>
      <c r="H2228" s="18">
        <f>E2228* 0.000335852225020991</f>
        <v>3.5264483627204059E-2</v>
      </c>
    </row>
    <row r="2229" spans="1:8" ht="15.75" hidden="1" customHeight="1" x14ac:dyDescent="0.25">
      <c r="A2229" s="20" t="s">
        <v>183</v>
      </c>
      <c r="B2229" s="47" t="s">
        <v>192</v>
      </c>
      <c r="C2229" s="49"/>
      <c r="D2229" s="46" t="s">
        <v>36</v>
      </c>
      <c r="E2229" s="32">
        <v>2</v>
      </c>
      <c r="F2229" s="24">
        <f>E2229</f>
        <v>2</v>
      </c>
      <c r="G2229" s="20">
        <v>0</v>
      </c>
      <c r="H2229" s="20">
        <v>0</v>
      </c>
    </row>
    <row r="2230" spans="1:8" ht="15.75" hidden="1" customHeight="1" x14ac:dyDescent="0.25">
      <c r="A2230" s="20" t="s">
        <v>183</v>
      </c>
      <c r="B2230" s="47" t="s">
        <v>192</v>
      </c>
      <c r="C2230" s="49"/>
      <c r="D2230" s="46" t="s">
        <v>28</v>
      </c>
      <c r="E2230" s="32">
        <v>175</v>
      </c>
      <c r="F2230" s="18">
        <f>E2230* 0.00116550116550117</f>
        <v>0.20396270396270477</v>
      </c>
      <c r="G2230" s="18">
        <f>E2230* 0.998834498834499</f>
        <v>174.79603729603733</v>
      </c>
      <c r="H2230" s="20">
        <v>0</v>
      </c>
    </row>
    <row r="2231" spans="1:8" ht="15.75" hidden="1" customHeight="1" x14ac:dyDescent="0.25">
      <c r="A2231" s="20" t="s">
        <v>183</v>
      </c>
      <c r="B2231" s="47" t="s">
        <v>192</v>
      </c>
      <c r="C2231" s="49"/>
      <c r="D2231" s="46" t="s">
        <v>12</v>
      </c>
      <c r="E2231" s="32">
        <v>185</v>
      </c>
      <c r="F2231" s="18">
        <f>E2231* 0.894051651143099</f>
        <v>165.39955546147331</v>
      </c>
      <c r="G2231" s="18">
        <f>E2231* 0.0675804403048264</f>
        <v>12.502381456392886</v>
      </c>
      <c r="H2231" s="18">
        <f>E2231* 0.0382091447925487</f>
        <v>7.0686917866215095</v>
      </c>
    </row>
    <row r="2232" spans="1:8" ht="15.75" hidden="1" customHeight="1" x14ac:dyDescent="0.25">
      <c r="A2232" s="20" t="s">
        <v>183</v>
      </c>
      <c r="B2232" s="20"/>
      <c r="C2232" s="20"/>
      <c r="D2232" s="46"/>
      <c r="E2232" s="35"/>
    </row>
    <row r="2233" spans="1:8" ht="15.75" hidden="1" customHeight="1" x14ac:dyDescent="0.25">
      <c r="A2233" s="20" t="s">
        <v>183</v>
      </c>
      <c r="B2233" s="47" t="s">
        <v>193</v>
      </c>
      <c r="C2233" s="12" t="str">
        <f>B2233&amp;"_"&amp;A2233</f>
        <v>Colquechaca_Potosí</v>
      </c>
      <c r="D2233" s="20"/>
      <c r="E2233" s="48">
        <v>2</v>
      </c>
      <c r="F2233" s="14">
        <f t="shared" ref="F2233:H2233" si="189">SUM(F2234:F2235)</f>
        <v>0.35145151327980201</v>
      </c>
      <c r="G2233" s="14">
        <f t="shared" si="189"/>
        <v>1.647313156269302</v>
      </c>
      <c r="H2233" s="14">
        <f t="shared" si="189"/>
        <v>1.235330450895614E-3</v>
      </c>
    </row>
    <row r="2234" spans="1:8" ht="15.75" hidden="1" customHeight="1" x14ac:dyDescent="0.25">
      <c r="A2234" s="20" t="s">
        <v>183</v>
      </c>
      <c r="B2234" s="47" t="s">
        <v>193</v>
      </c>
      <c r="C2234" s="49"/>
      <c r="D2234" s="46" t="s">
        <v>11</v>
      </c>
      <c r="E2234" s="32">
        <v>2</v>
      </c>
      <c r="F2234" s="18">
        <f>E2234* 0.175725756639901</f>
        <v>0.35145151327980201</v>
      </c>
      <c r="G2234" s="18">
        <f>E2234* 0.823656578134651</f>
        <v>1.647313156269302</v>
      </c>
      <c r="H2234" s="18">
        <f>E2234* 0.000617665225447807</f>
        <v>1.235330450895614E-3</v>
      </c>
    </row>
    <row r="2235" spans="1:8" ht="15.75" hidden="1" customHeight="1" x14ac:dyDescent="0.25">
      <c r="A2235" s="20" t="s">
        <v>183</v>
      </c>
      <c r="B2235" s="47" t="s">
        <v>193</v>
      </c>
      <c r="C2235" s="49"/>
      <c r="D2235" s="46" t="s">
        <v>17</v>
      </c>
      <c r="E2235" s="32">
        <v>0</v>
      </c>
      <c r="F2235" s="18">
        <f>E2235* 0.869679539852095</f>
        <v>0</v>
      </c>
      <c r="G2235" s="18">
        <f>E2235* 0.0695152013147083</f>
        <v>0</v>
      </c>
      <c r="H2235" s="18">
        <f>E2235* 0.0608052588331964</f>
        <v>0</v>
      </c>
    </row>
    <row r="2236" spans="1:8" ht="15.75" hidden="1" customHeight="1" x14ac:dyDescent="0.25">
      <c r="A2236" s="20" t="s">
        <v>183</v>
      </c>
      <c r="B2236" s="20"/>
      <c r="C2236" s="20"/>
      <c r="D2236" s="46"/>
      <c r="E2236" s="35"/>
    </row>
    <row r="2237" spans="1:8" ht="15.75" hidden="1" customHeight="1" x14ac:dyDescent="0.25">
      <c r="A2237" s="20" t="s">
        <v>183</v>
      </c>
      <c r="B2237" s="47" t="s">
        <v>194</v>
      </c>
      <c r="C2237" s="12" t="str">
        <f>B2237&amp;"_"&amp;A2237</f>
        <v>Cotagaita_Potosí</v>
      </c>
      <c r="D2237" s="20"/>
      <c r="E2237" s="48">
        <v>472</v>
      </c>
      <c r="F2237" s="14">
        <f t="shared" ref="F2237:H2237" si="190">SUM(F2238:F2248)</f>
        <v>405.0622403808693</v>
      </c>
      <c r="G2237" s="14">
        <f t="shared" si="190"/>
        <v>57.86935485386801</v>
      </c>
      <c r="H2237" s="14">
        <f t="shared" si="190"/>
        <v>9.0452569855815899</v>
      </c>
    </row>
    <row r="2238" spans="1:8" ht="15.75" hidden="1" customHeight="1" x14ac:dyDescent="0.25">
      <c r="A2238" s="20" t="s">
        <v>183</v>
      </c>
      <c r="B2238" s="47" t="s">
        <v>194</v>
      </c>
      <c r="C2238" s="49"/>
      <c r="D2238" s="35" t="s">
        <v>548</v>
      </c>
      <c r="E2238" s="32">
        <v>2</v>
      </c>
      <c r="F2238" s="20">
        <v>0</v>
      </c>
      <c r="G2238" s="24">
        <f>E2238</f>
        <v>2</v>
      </c>
      <c r="H2238" s="20">
        <v>0</v>
      </c>
    </row>
    <row r="2239" spans="1:8" ht="15.75" hidden="1" customHeight="1" x14ac:dyDescent="0.25">
      <c r="A2239" s="20" t="s">
        <v>183</v>
      </c>
      <c r="B2239" s="47" t="s">
        <v>194</v>
      </c>
      <c r="C2239" s="49"/>
      <c r="D2239" s="46" t="s">
        <v>15</v>
      </c>
      <c r="E2239" s="32">
        <v>28</v>
      </c>
      <c r="F2239" s="18">
        <f>E2239* 0.975464549882735</f>
        <v>27.313007396716579</v>
      </c>
      <c r="G2239" s="18">
        <f>E2239* 0.00487100847916291</f>
        <v>0.13638823741656148</v>
      </c>
      <c r="H2239" s="18">
        <f>E2239* 0.0195742377773769</f>
        <v>0.54807865776655318</v>
      </c>
    </row>
    <row r="2240" spans="1:8" ht="15.75" hidden="1" customHeight="1" x14ac:dyDescent="0.25">
      <c r="A2240" s="20" t="s">
        <v>183</v>
      </c>
      <c r="B2240" s="47" t="s">
        <v>194</v>
      </c>
      <c r="C2240" s="49"/>
      <c r="D2240" s="35" t="s">
        <v>549</v>
      </c>
      <c r="E2240" s="32">
        <v>4</v>
      </c>
      <c r="F2240" s="18">
        <f>E2240* 0.0607843137254902</f>
        <v>0.24313725490196081</v>
      </c>
      <c r="G2240" s="18">
        <f>E2240* 0.93921568627451</f>
        <v>3.7568627450980401</v>
      </c>
      <c r="H2240" s="20">
        <v>0</v>
      </c>
    </row>
    <row r="2241" spans="1:8" ht="15.75" hidden="1" customHeight="1" x14ac:dyDescent="0.25">
      <c r="A2241" s="20" t="s">
        <v>183</v>
      </c>
      <c r="B2241" s="47" t="s">
        <v>194</v>
      </c>
      <c r="C2241" s="49"/>
      <c r="D2241" s="46" t="s">
        <v>11</v>
      </c>
      <c r="E2241" s="32">
        <v>39</v>
      </c>
      <c r="F2241" s="18">
        <f>E2241* 0.175725756639901</f>
        <v>6.8533045089561391</v>
      </c>
      <c r="G2241" s="18">
        <f>E2241* 0.823656578134651</f>
        <v>32.122606547251387</v>
      </c>
      <c r="H2241" s="18">
        <f>E2241* 0.000617665225447807</f>
        <v>2.4088943792464474E-2</v>
      </c>
    </row>
    <row r="2242" spans="1:8" ht="15.75" hidden="1" customHeight="1" x14ac:dyDescent="0.25">
      <c r="A2242" s="20" t="s">
        <v>183</v>
      </c>
      <c r="B2242" s="47" t="s">
        <v>194</v>
      </c>
      <c r="C2242" s="49"/>
      <c r="D2242" s="46" t="s">
        <v>17</v>
      </c>
      <c r="E2242" s="32">
        <v>73</v>
      </c>
      <c r="F2242" s="18">
        <f>E2242* 0.869679539852095</f>
        <v>63.486606409202935</v>
      </c>
      <c r="G2242" s="18">
        <f>E2242* 0.0695152013147083</f>
        <v>5.0746096959737059</v>
      </c>
      <c r="H2242" s="18">
        <f>E2242* 0.0608052588331964</f>
        <v>4.4387838948233371</v>
      </c>
    </row>
    <row r="2243" spans="1:8" ht="15.75" hidden="1" customHeight="1" x14ac:dyDescent="0.25">
      <c r="A2243" s="20" t="s">
        <v>183</v>
      </c>
      <c r="B2243" s="47" t="s">
        <v>194</v>
      </c>
      <c r="C2243" s="49"/>
      <c r="D2243" s="46" t="s">
        <v>18</v>
      </c>
      <c r="E2243" s="32">
        <v>6</v>
      </c>
      <c r="F2243" s="18">
        <f>E2243* 0.941463414634146</f>
        <v>5.648780487804876</v>
      </c>
      <c r="G2243" s="18">
        <f>E2243* 0.0532833020637899</f>
        <v>0.31969981238273942</v>
      </c>
      <c r="H2243" s="18">
        <f>E2243* 0.00487804878048781</f>
        <v>2.9268292682926862E-2</v>
      </c>
    </row>
    <row r="2244" spans="1:8" ht="15.75" hidden="1" customHeight="1" x14ac:dyDescent="0.25">
      <c r="A2244" s="20" t="s">
        <v>183</v>
      </c>
      <c r="B2244" s="47" t="s">
        <v>194</v>
      </c>
      <c r="C2244" s="49"/>
      <c r="D2244" s="46" t="s">
        <v>19</v>
      </c>
      <c r="E2244" s="32">
        <v>5</v>
      </c>
      <c r="F2244" s="18">
        <f>E2244* 0.0748299319727891</f>
        <v>0.37414965986394549</v>
      </c>
      <c r="G2244" s="18">
        <f>E2244* 0.924036281179138</f>
        <v>4.62018140589569</v>
      </c>
      <c r="H2244" s="18">
        <f>E2244* 0.00113378684807256</f>
        <v>5.6689342403627996E-3</v>
      </c>
    </row>
    <row r="2245" spans="1:8" ht="15.75" hidden="1" customHeight="1" x14ac:dyDescent="0.25">
      <c r="A2245" s="20" t="s">
        <v>183</v>
      </c>
      <c r="B2245" s="47" t="s">
        <v>194</v>
      </c>
      <c r="C2245" s="49"/>
      <c r="D2245" s="46" t="s">
        <v>20</v>
      </c>
      <c r="E2245" s="32">
        <v>13</v>
      </c>
      <c r="F2245" s="18">
        <f>E2245* 0.799709724238026</f>
        <v>10.396226415094338</v>
      </c>
      <c r="G2245" s="18">
        <f>E2245* 0.150580551523948</f>
        <v>1.957547169811324</v>
      </c>
      <c r="H2245" s="18">
        <f>E2245* 0.0493468795355588</f>
        <v>0.64150943396226445</v>
      </c>
    </row>
    <row r="2246" spans="1:8" ht="15.75" hidden="1" customHeight="1" x14ac:dyDescent="0.25">
      <c r="A2246" s="20" t="s">
        <v>183</v>
      </c>
      <c r="B2246" s="47" t="s">
        <v>194</v>
      </c>
      <c r="C2246" s="49"/>
      <c r="D2246" s="46" t="s">
        <v>21</v>
      </c>
      <c r="E2246" s="32">
        <v>214</v>
      </c>
      <c r="F2246" s="18">
        <f>E2246* 0.999328295549958</f>
        <v>213.856255247691</v>
      </c>
      <c r="G2246" s="18">
        <f>E2246* 0.000335852225020991</f>
        <v>7.1872376154492074E-2</v>
      </c>
      <c r="H2246" s="18">
        <f>E2246* 0.000335852225020991</f>
        <v>7.1872376154492074E-2</v>
      </c>
    </row>
    <row r="2247" spans="1:8" ht="15.75" hidden="1" customHeight="1" x14ac:dyDescent="0.25">
      <c r="A2247" s="20" t="s">
        <v>183</v>
      </c>
      <c r="B2247" s="47" t="s">
        <v>194</v>
      </c>
      <c r="C2247" s="49"/>
      <c r="D2247" s="46" t="s">
        <v>28</v>
      </c>
      <c r="E2247" s="32">
        <v>2</v>
      </c>
      <c r="F2247" s="18">
        <f>E2247* 0.00116550116550117</f>
        <v>2.3310023310023401E-3</v>
      </c>
      <c r="G2247" s="18">
        <f>E2247* 0.998834498834499</f>
        <v>1.9976689976689981</v>
      </c>
      <c r="H2247" s="20">
        <v>0</v>
      </c>
    </row>
    <row r="2248" spans="1:8" ht="15.75" hidden="1" customHeight="1" x14ac:dyDescent="0.25">
      <c r="A2248" s="20" t="s">
        <v>183</v>
      </c>
      <c r="B2248" s="47" t="s">
        <v>194</v>
      </c>
      <c r="C2248" s="49"/>
      <c r="D2248" s="46" t="s">
        <v>12</v>
      </c>
      <c r="E2248" s="32">
        <v>86</v>
      </c>
      <c r="F2248" s="18">
        <f>E2248* 0.894051651143099</f>
        <v>76.888441998306519</v>
      </c>
      <c r="G2248" s="18">
        <f>E2248* 0.0675804403048264</f>
        <v>5.8119178662150706</v>
      </c>
      <c r="H2248" s="18">
        <f>E2248* 0.0382091447925487</f>
        <v>3.2859864521591882</v>
      </c>
    </row>
    <row r="2249" spans="1:8" ht="15.75" hidden="1" customHeight="1" x14ac:dyDescent="0.25">
      <c r="A2249" s="20" t="s">
        <v>183</v>
      </c>
      <c r="B2249" s="20"/>
      <c r="C2249" s="20"/>
      <c r="D2249" s="46"/>
      <c r="E2249" s="35"/>
    </row>
    <row r="2250" spans="1:8" ht="15.75" hidden="1" customHeight="1" x14ac:dyDescent="0.25">
      <c r="A2250" s="20" t="s">
        <v>183</v>
      </c>
      <c r="B2250" s="47" t="s">
        <v>195</v>
      </c>
      <c r="C2250" s="12" t="str">
        <f>B2250&amp;"_"&amp;A2250</f>
        <v>Llallagua_Potosí</v>
      </c>
      <c r="D2250" s="20"/>
      <c r="E2250" s="48">
        <v>3152</v>
      </c>
      <c r="F2250" s="14">
        <f t="shared" ref="F2250:H2250" si="191">SUM(F2251:F2265)</f>
        <v>2641.6198019831336</v>
      </c>
      <c r="G2250" s="14">
        <f t="shared" si="191"/>
        <v>421.77061930761784</v>
      </c>
      <c r="H2250" s="14">
        <f t="shared" si="191"/>
        <v>88.226512597691496</v>
      </c>
    </row>
    <row r="2251" spans="1:8" ht="15.75" hidden="1" customHeight="1" x14ac:dyDescent="0.25">
      <c r="A2251" s="20" t="s">
        <v>183</v>
      </c>
      <c r="B2251" s="47" t="s">
        <v>195</v>
      </c>
      <c r="C2251" s="49"/>
      <c r="D2251" s="35" t="s">
        <v>550</v>
      </c>
      <c r="E2251" s="32">
        <v>0</v>
      </c>
      <c r="F2251" s="20">
        <v>0</v>
      </c>
      <c r="G2251" s="24">
        <f>E2251</f>
        <v>0</v>
      </c>
      <c r="H2251" s="20">
        <v>0</v>
      </c>
    </row>
    <row r="2252" spans="1:8" ht="15.75" hidden="1" customHeight="1" x14ac:dyDescent="0.25">
      <c r="A2252" s="20" t="s">
        <v>183</v>
      </c>
      <c r="B2252" s="47" t="s">
        <v>195</v>
      </c>
      <c r="C2252" s="49"/>
      <c r="D2252" s="46" t="s">
        <v>15</v>
      </c>
      <c r="E2252" s="32">
        <v>231</v>
      </c>
      <c r="F2252" s="18">
        <f>E2252* 0.975464549882735</f>
        <v>225.3323110229118</v>
      </c>
      <c r="G2252" s="18">
        <f>E2252* 0.00487100847916291</f>
        <v>1.1252029586866323</v>
      </c>
      <c r="H2252" s="18">
        <f>E2252* 0.0195742377773769</f>
        <v>4.5216489265740636</v>
      </c>
    </row>
    <row r="2253" spans="1:8" ht="15.75" hidden="1" customHeight="1" x14ac:dyDescent="0.25">
      <c r="A2253" s="20" t="s">
        <v>183</v>
      </c>
      <c r="B2253" s="47" t="s">
        <v>195</v>
      </c>
      <c r="C2253" s="49"/>
      <c r="D2253" s="35" t="s">
        <v>551</v>
      </c>
      <c r="E2253" s="32">
        <v>65</v>
      </c>
      <c r="F2253" s="18">
        <f>E2253* 0.0607843137254902</f>
        <v>3.9509803921568629</v>
      </c>
      <c r="G2253" s="18">
        <f>E2253* 0.93921568627451</f>
        <v>61.04901960784315</v>
      </c>
      <c r="H2253" s="20">
        <v>0</v>
      </c>
    </row>
    <row r="2254" spans="1:8" ht="15.75" hidden="1" customHeight="1" x14ac:dyDescent="0.25">
      <c r="A2254" s="20" t="s">
        <v>183</v>
      </c>
      <c r="B2254" s="47" t="s">
        <v>195</v>
      </c>
      <c r="C2254" s="49"/>
      <c r="D2254" s="46" t="s">
        <v>11</v>
      </c>
      <c r="E2254" s="32">
        <v>219</v>
      </c>
      <c r="F2254" s="18">
        <f>E2254* 0.175725756639901</f>
        <v>38.48394070413832</v>
      </c>
      <c r="G2254" s="18">
        <f>E2254* 0.823656578134651</f>
        <v>180.38079061148858</v>
      </c>
      <c r="H2254" s="18">
        <f>E2254* 0.000617665225447807</f>
        <v>0.13526868437306974</v>
      </c>
    </row>
    <row r="2255" spans="1:8" ht="15.75" hidden="1" customHeight="1" x14ac:dyDescent="0.25">
      <c r="A2255" s="20" t="s">
        <v>183</v>
      </c>
      <c r="B2255" s="47" t="s">
        <v>195</v>
      </c>
      <c r="C2255" s="49"/>
      <c r="D2255" s="46" t="s">
        <v>17</v>
      </c>
      <c r="E2255" s="32">
        <v>148</v>
      </c>
      <c r="F2255" s="18">
        <f>E2255* 0.869679539852095</f>
        <v>128.71257189811007</v>
      </c>
      <c r="G2255" s="18">
        <f>E2255* 0.0695152013147083</f>
        <v>10.288249794576828</v>
      </c>
      <c r="H2255" s="18">
        <f>E2255* 0.0608052588331964</f>
        <v>8.999178307313068</v>
      </c>
    </row>
    <row r="2256" spans="1:8" ht="15.75" hidden="1" customHeight="1" x14ac:dyDescent="0.25">
      <c r="A2256" s="20" t="s">
        <v>183</v>
      </c>
      <c r="B2256" s="47" t="s">
        <v>195</v>
      </c>
      <c r="C2256" s="49"/>
      <c r="D2256" s="46" t="s">
        <v>31</v>
      </c>
      <c r="E2256" s="32">
        <v>22</v>
      </c>
      <c r="F2256" s="18">
        <f>E2256* 0.93</f>
        <v>20.46</v>
      </c>
      <c r="G2256" s="18">
        <f>E2256* 0.05</f>
        <v>1.1000000000000001</v>
      </c>
      <c r="H2256" s="18">
        <f>E2256* 0.02</f>
        <v>0.44</v>
      </c>
    </row>
    <row r="2257" spans="1:8" ht="15.75" hidden="1" customHeight="1" x14ac:dyDescent="0.25">
      <c r="A2257" s="20" t="s">
        <v>183</v>
      </c>
      <c r="B2257" s="47" t="s">
        <v>195</v>
      </c>
      <c r="C2257" s="49"/>
      <c r="D2257" s="46" t="s">
        <v>18</v>
      </c>
      <c r="E2257" s="32">
        <v>43</v>
      </c>
      <c r="F2257" s="18">
        <f>E2257* 0.941463414634146</f>
        <v>40.482926829268273</v>
      </c>
      <c r="G2257" s="18">
        <f>E2257* 0.0532833020637899</f>
        <v>2.2911819887429656</v>
      </c>
      <c r="H2257" s="18">
        <f>E2257* 0.00487804878048781</f>
        <v>0.20975609756097582</v>
      </c>
    </row>
    <row r="2258" spans="1:8" ht="15.75" hidden="1" customHeight="1" x14ac:dyDescent="0.25">
      <c r="A2258" s="20" t="s">
        <v>183</v>
      </c>
      <c r="B2258" s="47" t="s">
        <v>195</v>
      </c>
      <c r="C2258" s="49"/>
      <c r="D2258" s="46" t="s">
        <v>552</v>
      </c>
      <c r="E2258" s="32">
        <v>2</v>
      </c>
      <c r="F2258" s="20">
        <v>0</v>
      </c>
      <c r="G2258" s="24">
        <f>E2258</f>
        <v>2</v>
      </c>
      <c r="H2258" s="20">
        <v>0</v>
      </c>
    </row>
    <row r="2259" spans="1:8" ht="15.75" hidden="1" customHeight="1" x14ac:dyDescent="0.25">
      <c r="A2259" s="20" t="s">
        <v>183</v>
      </c>
      <c r="B2259" s="47" t="s">
        <v>195</v>
      </c>
      <c r="C2259" s="49"/>
      <c r="D2259" s="46" t="s">
        <v>19</v>
      </c>
      <c r="E2259" s="32">
        <v>13</v>
      </c>
      <c r="F2259" s="18">
        <f>E2259* 0.0748299319727891</f>
        <v>0.97278911564625836</v>
      </c>
      <c r="G2259" s="18">
        <f>E2259* 0.924036281179138</f>
        <v>12.012471655328795</v>
      </c>
      <c r="H2259" s="18">
        <f>E2259* 0.00113378684807256</f>
        <v>1.473922902494328E-2</v>
      </c>
    </row>
    <row r="2260" spans="1:8" ht="15.75" hidden="1" customHeight="1" x14ac:dyDescent="0.25">
      <c r="A2260" s="20" t="s">
        <v>183</v>
      </c>
      <c r="B2260" s="47" t="s">
        <v>195</v>
      </c>
      <c r="C2260" s="49"/>
      <c r="D2260" s="46" t="s">
        <v>20</v>
      </c>
      <c r="E2260" s="32">
        <v>252</v>
      </c>
      <c r="F2260" s="18">
        <f>E2260* 0.799709724238026</f>
        <v>201.52685050798254</v>
      </c>
      <c r="G2260" s="18">
        <f>E2260* 0.150580551523948</f>
        <v>37.946298984034897</v>
      </c>
      <c r="H2260" s="18">
        <f>E2260* 0.0493468795355588</f>
        <v>12.435413642960818</v>
      </c>
    </row>
    <row r="2261" spans="1:8" ht="15.75" hidden="1" customHeight="1" x14ac:dyDescent="0.25">
      <c r="A2261" s="20" t="s">
        <v>183</v>
      </c>
      <c r="B2261" s="47" t="s">
        <v>195</v>
      </c>
      <c r="C2261" s="49"/>
      <c r="D2261" s="46" t="s">
        <v>21</v>
      </c>
      <c r="E2261" s="32">
        <v>545</v>
      </c>
      <c r="F2261" s="18">
        <f>E2261* 0.999328295549958</f>
        <v>544.63392107472703</v>
      </c>
      <c r="G2261" s="18">
        <f>E2261* 0.000335852225020991</f>
        <v>0.18303946263644011</v>
      </c>
      <c r="H2261" s="18">
        <f>E2261* 0.000335852225020991</f>
        <v>0.18303946263644011</v>
      </c>
    </row>
    <row r="2262" spans="1:8" ht="15.75" hidden="1" customHeight="1" x14ac:dyDescent="0.25">
      <c r="A2262" s="20" t="s">
        <v>183</v>
      </c>
      <c r="B2262" s="47" t="s">
        <v>195</v>
      </c>
      <c r="C2262" s="49"/>
      <c r="D2262" s="46" t="s">
        <v>36</v>
      </c>
      <c r="E2262" s="32">
        <v>3</v>
      </c>
      <c r="F2262" s="24">
        <f>E2262</f>
        <v>3</v>
      </c>
      <c r="G2262" s="20">
        <v>0</v>
      </c>
      <c r="H2262" s="20">
        <v>0</v>
      </c>
    </row>
    <row r="2263" spans="1:8" ht="15.75" hidden="1" customHeight="1" x14ac:dyDescent="0.25">
      <c r="A2263" s="20" t="s">
        <v>183</v>
      </c>
      <c r="B2263" s="47" t="s">
        <v>195</v>
      </c>
      <c r="C2263" s="49"/>
      <c r="D2263" s="46" t="s">
        <v>37</v>
      </c>
      <c r="E2263" s="32">
        <v>1</v>
      </c>
      <c r="F2263" s="20">
        <v>0</v>
      </c>
      <c r="G2263" s="24">
        <f>E2263</f>
        <v>1</v>
      </c>
      <c r="H2263" s="20">
        <v>0</v>
      </c>
    </row>
    <row r="2264" spans="1:8" ht="15.75" hidden="1" customHeight="1" x14ac:dyDescent="0.25">
      <c r="A2264" s="20" t="s">
        <v>183</v>
      </c>
      <c r="B2264" s="47" t="s">
        <v>195</v>
      </c>
      <c r="C2264" s="49"/>
      <c r="D2264" s="46" t="s">
        <v>28</v>
      </c>
      <c r="E2264" s="32">
        <v>4</v>
      </c>
      <c r="F2264" s="18">
        <f>E2264* 0.00116550116550117</f>
        <v>4.6620046620046802E-3</v>
      </c>
      <c r="G2264" s="18">
        <f>E2264* 0.998834498834499</f>
        <v>3.9953379953379962</v>
      </c>
      <c r="H2264" s="20">
        <v>0</v>
      </c>
    </row>
    <row r="2265" spans="1:8" ht="15.75" hidden="1" customHeight="1" x14ac:dyDescent="0.25">
      <c r="A2265" s="20" t="s">
        <v>183</v>
      </c>
      <c r="B2265" s="47" t="s">
        <v>195</v>
      </c>
      <c r="C2265" s="49"/>
      <c r="D2265" s="46" t="s">
        <v>12</v>
      </c>
      <c r="E2265" s="32">
        <v>1604</v>
      </c>
      <c r="F2265" s="18">
        <f>E2265* 0.894051651143099</f>
        <v>1434.0588484335308</v>
      </c>
      <c r="G2265" s="18">
        <f>E2265* 0.0675804403048264</f>
        <v>108.39902624894155</v>
      </c>
      <c r="H2265" s="18">
        <f>E2265* 0.0382091447925487</f>
        <v>61.287468247248114</v>
      </c>
    </row>
    <row r="2266" spans="1:8" ht="15.75" hidden="1" customHeight="1" x14ac:dyDescent="0.25">
      <c r="A2266" s="20" t="s">
        <v>183</v>
      </c>
      <c r="B2266" s="20"/>
      <c r="C2266" s="20"/>
      <c r="D2266" s="46"/>
      <c r="E2266" s="35"/>
    </row>
    <row r="2267" spans="1:8" ht="15.75" hidden="1" customHeight="1" x14ac:dyDescent="0.25">
      <c r="A2267" s="20" t="s">
        <v>183</v>
      </c>
      <c r="B2267" s="47" t="s">
        <v>196</v>
      </c>
      <c r="C2267" s="12" t="str">
        <f>B2267&amp;"_"&amp;A2267</f>
        <v>Llica_Potosí</v>
      </c>
      <c r="D2267" s="20"/>
      <c r="E2267" s="48">
        <v>20</v>
      </c>
      <c r="F2267" s="14">
        <f t="shared" ref="F2267:H2267" si="192">SUM(F2268:F2274)</f>
        <v>14.158303846438431</v>
      </c>
      <c r="G2267" s="14">
        <f t="shared" si="192"/>
        <v>5.153260275997666</v>
      </c>
      <c r="H2267" s="14">
        <f t="shared" si="192"/>
        <v>0.68733538414349449</v>
      </c>
    </row>
    <row r="2268" spans="1:8" ht="15.75" hidden="1" customHeight="1" x14ac:dyDescent="0.25">
      <c r="A2268" s="20" t="s">
        <v>183</v>
      </c>
      <c r="B2268" s="47" t="s">
        <v>196</v>
      </c>
      <c r="C2268" s="49"/>
      <c r="D2268" s="46" t="s">
        <v>15</v>
      </c>
      <c r="E2268" s="32">
        <v>1</v>
      </c>
      <c r="F2268" s="18">
        <f>E2268* 0.975464549882735</f>
        <v>0.97546454988273501</v>
      </c>
      <c r="G2268" s="18">
        <f>E2268* 0.00487100847916291</f>
        <v>4.8710084791629103E-3</v>
      </c>
      <c r="H2268" s="18">
        <f>E2268* 0.0195742377773769</f>
        <v>1.95742377773769E-2</v>
      </c>
    </row>
    <row r="2269" spans="1:8" ht="15.75" hidden="1" customHeight="1" x14ac:dyDescent="0.25">
      <c r="A2269" s="20" t="s">
        <v>183</v>
      </c>
      <c r="B2269" s="47" t="s">
        <v>196</v>
      </c>
      <c r="C2269" s="49"/>
      <c r="D2269" s="46" t="s">
        <v>11</v>
      </c>
      <c r="E2269" s="32">
        <v>4</v>
      </c>
      <c r="F2269" s="18">
        <f>E2269* 0.175725756639901</f>
        <v>0.70290302655960402</v>
      </c>
      <c r="G2269" s="18">
        <f>E2269* 0.823656578134651</f>
        <v>3.2946263125386039</v>
      </c>
      <c r="H2269" s="18">
        <f>E2269* 0.000617665225447807</f>
        <v>2.470660901791228E-3</v>
      </c>
    </row>
    <row r="2270" spans="1:8" ht="15.75" hidden="1" customHeight="1" x14ac:dyDescent="0.25">
      <c r="A2270" s="20" t="s">
        <v>183</v>
      </c>
      <c r="B2270" s="47" t="s">
        <v>196</v>
      </c>
      <c r="C2270" s="49"/>
      <c r="D2270" s="46" t="s">
        <v>17</v>
      </c>
      <c r="E2270" s="32">
        <v>8</v>
      </c>
      <c r="F2270" s="18">
        <f>E2270* 0.869679539852095</f>
        <v>6.9574363188167601</v>
      </c>
      <c r="G2270" s="18">
        <f>E2270* 0.0695152013147083</f>
        <v>0.5561216105176664</v>
      </c>
      <c r="H2270" s="18">
        <f>E2270* 0.0608052588331964</f>
        <v>0.48644207066557121</v>
      </c>
    </row>
    <row r="2271" spans="1:8" ht="15.75" hidden="1" customHeight="1" x14ac:dyDescent="0.25">
      <c r="A2271" s="20" t="s">
        <v>183</v>
      </c>
      <c r="B2271" s="47" t="s">
        <v>196</v>
      </c>
      <c r="C2271" s="49"/>
      <c r="D2271" s="46" t="s">
        <v>31</v>
      </c>
      <c r="E2271" s="32">
        <v>1</v>
      </c>
      <c r="F2271" s="18">
        <f>E2271* 0.93</f>
        <v>0.93</v>
      </c>
      <c r="G2271" s="18">
        <f>E2271* 0.05</f>
        <v>0.05</v>
      </c>
      <c r="H2271" s="18">
        <f>E2271* 0.02</f>
        <v>0.02</v>
      </c>
    </row>
    <row r="2272" spans="1:8" ht="15.75" hidden="1" customHeight="1" x14ac:dyDescent="0.25">
      <c r="A2272" s="20" t="s">
        <v>183</v>
      </c>
      <c r="B2272" s="47" t="s">
        <v>196</v>
      </c>
      <c r="C2272" s="49"/>
      <c r="D2272" s="46" t="s">
        <v>18</v>
      </c>
      <c r="E2272" s="32">
        <v>1</v>
      </c>
      <c r="F2272" s="18">
        <f>E2272* 0.941463414634146</f>
        <v>0.94146341463414596</v>
      </c>
      <c r="G2272" s="18">
        <f>E2272* 0.0532833020637899</f>
        <v>5.3283302063789902E-2</v>
      </c>
      <c r="H2272" s="18">
        <f>E2272* 0.00487804878048781</f>
        <v>4.8780487804878101E-3</v>
      </c>
    </row>
    <row r="2273" spans="1:8" ht="15.75" hidden="1" customHeight="1" x14ac:dyDescent="0.25">
      <c r="A2273" s="20" t="s">
        <v>183</v>
      </c>
      <c r="B2273" s="47" t="s">
        <v>196</v>
      </c>
      <c r="C2273" s="49"/>
      <c r="D2273" s="46" t="s">
        <v>19</v>
      </c>
      <c r="E2273" s="32">
        <v>1</v>
      </c>
      <c r="F2273" s="18">
        <f>E2273* 0.0748299319727891</f>
        <v>7.4829931972789102E-2</v>
      </c>
      <c r="G2273" s="18">
        <f>E2273* 0.924036281179138</f>
        <v>0.92403628117913805</v>
      </c>
      <c r="H2273" s="18">
        <f>E2273* 0.00113378684807256</f>
        <v>1.13378684807256E-3</v>
      </c>
    </row>
    <row r="2274" spans="1:8" ht="15.75" hidden="1" customHeight="1" x14ac:dyDescent="0.25">
      <c r="A2274" s="20" t="s">
        <v>183</v>
      </c>
      <c r="B2274" s="47" t="s">
        <v>196</v>
      </c>
      <c r="C2274" s="49"/>
      <c r="D2274" s="46" t="s">
        <v>12</v>
      </c>
      <c r="E2274" s="32">
        <v>4</v>
      </c>
      <c r="F2274" s="18">
        <f>E2274* 0.894051651143099</f>
        <v>3.5762066045723961</v>
      </c>
      <c r="G2274" s="18">
        <f>E2274* 0.0675804403048264</f>
        <v>0.27032176121930562</v>
      </c>
      <c r="H2274" s="18">
        <f>E2274* 0.0382091447925487</f>
        <v>0.1528365791701948</v>
      </c>
    </row>
    <row r="2275" spans="1:8" ht="15.75" hidden="1" customHeight="1" x14ac:dyDescent="0.25">
      <c r="A2275" s="20" t="s">
        <v>183</v>
      </c>
      <c r="B2275" s="20"/>
      <c r="C2275" s="20"/>
      <c r="D2275" s="46"/>
      <c r="E2275" s="35"/>
    </row>
    <row r="2276" spans="1:8" ht="15.75" hidden="1" customHeight="1" x14ac:dyDescent="0.25">
      <c r="A2276" s="20" t="s">
        <v>183</v>
      </c>
      <c r="B2276" s="47" t="s">
        <v>197</v>
      </c>
      <c r="C2276" s="12" t="str">
        <f>B2276&amp;"_"&amp;A2276</f>
        <v>Ocuri_Potosí</v>
      </c>
      <c r="D2276" s="20"/>
      <c r="E2276" s="48">
        <v>3</v>
      </c>
      <c r="F2276" s="14">
        <f t="shared" ref="F2276:H2276" si="193">SUM(F2277:F2279)</f>
        <v>2.7745025696707191</v>
      </c>
      <c r="G2276" s="14">
        <f t="shared" si="193"/>
        <v>0.15578741222813192</v>
      </c>
      <c r="H2276" s="14">
        <f t="shared" si="193"/>
        <v>6.9256969537956695E-2</v>
      </c>
    </row>
    <row r="2277" spans="1:8" ht="15.75" hidden="1" customHeight="1" x14ac:dyDescent="0.25">
      <c r="A2277" s="20" t="s">
        <v>183</v>
      </c>
      <c r="B2277" s="47" t="s">
        <v>197</v>
      </c>
      <c r="C2277" s="49"/>
      <c r="D2277" s="46" t="s">
        <v>15</v>
      </c>
      <c r="E2277" s="32">
        <v>1</v>
      </c>
      <c r="F2277" s="18">
        <f>E2277* 0.975464549882735</f>
        <v>0.97546454988273501</v>
      </c>
      <c r="G2277" s="18">
        <f>E2277* 0.00487100847916291</f>
        <v>4.8710084791629103E-3</v>
      </c>
      <c r="H2277" s="18">
        <f>E2277* 0.0195742377773769</f>
        <v>1.95742377773769E-2</v>
      </c>
    </row>
    <row r="2278" spans="1:8" ht="15.75" hidden="1" customHeight="1" x14ac:dyDescent="0.25">
      <c r="A2278" s="20" t="s">
        <v>183</v>
      </c>
      <c r="B2278" s="47" t="s">
        <v>197</v>
      </c>
      <c r="C2278" s="49"/>
      <c r="D2278" s="46" t="s">
        <v>20</v>
      </c>
      <c r="E2278" s="32">
        <v>1</v>
      </c>
      <c r="F2278" s="18">
        <f>E2278* 0.799709724238026</f>
        <v>0.799709724238026</v>
      </c>
      <c r="G2278" s="18">
        <f>E2278* 0.150580551523948</f>
        <v>0.150580551523948</v>
      </c>
      <c r="H2278" s="18">
        <f>E2278* 0.0493468795355588</f>
        <v>4.9346879535558802E-2</v>
      </c>
    </row>
    <row r="2279" spans="1:8" ht="15.75" hidden="1" customHeight="1" x14ac:dyDescent="0.25">
      <c r="A2279" s="20" t="s">
        <v>183</v>
      </c>
      <c r="B2279" s="47" t="s">
        <v>197</v>
      </c>
      <c r="C2279" s="49"/>
      <c r="D2279" s="46" t="s">
        <v>21</v>
      </c>
      <c r="E2279" s="32">
        <v>1</v>
      </c>
      <c r="F2279" s="18">
        <f>E2279* 0.999328295549958</f>
        <v>0.99932829554995795</v>
      </c>
      <c r="G2279" s="18">
        <f>E2279* 0.000335852225020991</f>
        <v>3.3585222502099103E-4</v>
      </c>
      <c r="H2279" s="18">
        <f>E2279* 0.000335852225020991</f>
        <v>3.3585222502099103E-4</v>
      </c>
    </row>
    <row r="2280" spans="1:8" ht="15.75" hidden="1" customHeight="1" x14ac:dyDescent="0.25">
      <c r="A2280" s="20" t="s">
        <v>183</v>
      </c>
      <c r="B2280" s="20"/>
      <c r="C2280" s="20"/>
      <c r="D2280" s="46"/>
      <c r="E2280" s="35"/>
    </row>
    <row r="2281" spans="1:8" ht="15.75" hidden="1" customHeight="1" x14ac:dyDescent="0.25">
      <c r="A2281" s="20" t="s">
        <v>183</v>
      </c>
      <c r="B2281" s="47" t="s">
        <v>198</v>
      </c>
      <c r="C2281" s="12" t="str">
        <f>B2281&amp;"_"&amp;A2281</f>
        <v>Pocoata_Potosí</v>
      </c>
      <c r="D2281" s="20"/>
      <c r="E2281" s="48">
        <v>6</v>
      </c>
      <c r="F2281" s="14">
        <f t="shared" ref="F2281:H2281" si="194">SUM(F2282:F2287)</f>
        <v>3.928139717929219</v>
      </c>
      <c r="G2281" s="14">
        <f t="shared" si="194"/>
        <v>1.9720407522256562</v>
      </c>
      <c r="H2281" s="14">
        <f t="shared" si="194"/>
        <v>9.8547452339978747E-2</v>
      </c>
    </row>
    <row r="2282" spans="1:8" ht="15.75" hidden="1" customHeight="1" x14ac:dyDescent="0.25">
      <c r="A2282" s="20" t="s">
        <v>183</v>
      </c>
      <c r="B2282" s="47" t="s">
        <v>198</v>
      </c>
      <c r="C2282" s="49"/>
      <c r="D2282" s="46" t="s">
        <v>15</v>
      </c>
      <c r="E2282" s="32">
        <v>0</v>
      </c>
      <c r="F2282" s="18">
        <f>E2282* 0.975464549882735</f>
        <v>0</v>
      </c>
      <c r="G2282" s="18">
        <f>E2282* 0.00487100847916291</f>
        <v>0</v>
      </c>
      <c r="H2282" s="18">
        <f>E2282* 0.0195742377773769</f>
        <v>0</v>
      </c>
    </row>
    <row r="2283" spans="1:8" ht="15.75" hidden="1" customHeight="1" x14ac:dyDescent="0.25">
      <c r="A2283" s="20" t="s">
        <v>183</v>
      </c>
      <c r="B2283" s="47" t="s">
        <v>198</v>
      </c>
      <c r="C2283" s="49"/>
      <c r="D2283" s="46" t="s">
        <v>11</v>
      </c>
      <c r="E2283" s="32">
        <v>2</v>
      </c>
      <c r="F2283" s="18">
        <f>E2283* 0.175725756639901</f>
        <v>0.35145151327980201</v>
      </c>
      <c r="G2283" s="18">
        <f>E2283* 0.823656578134651</f>
        <v>1.647313156269302</v>
      </c>
      <c r="H2283" s="18">
        <f>E2283* 0.000617665225447807</f>
        <v>1.235330450895614E-3</v>
      </c>
    </row>
    <row r="2284" spans="1:8" ht="15.75" hidden="1" customHeight="1" x14ac:dyDescent="0.25">
      <c r="A2284" s="20" t="s">
        <v>183</v>
      </c>
      <c r="B2284" s="47" t="s">
        <v>198</v>
      </c>
      <c r="C2284" s="49"/>
      <c r="D2284" s="46" t="s">
        <v>18</v>
      </c>
      <c r="E2284" s="32">
        <v>2</v>
      </c>
      <c r="F2284" s="18">
        <f>E2284* 0.941463414634146</f>
        <v>1.8829268292682919</v>
      </c>
      <c r="G2284" s="18">
        <f>E2284* 0.0532833020637899</f>
        <v>0.1065666041275798</v>
      </c>
      <c r="H2284" s="18">
        <f>E2284* 0.00487804878048781</f>
        <v>9.7560975609756202E-3</v>
      </c>
    </row>
    <row r="2285" spans="1:8" ht="15.75" hidden="1" customHeight="1" x14ac:dyDescent="0.25">
      <c r="A2285" s="20" t="s">
        <v>183</v>
      </c>
      <c r="B2285" s="47" t="s">
        <v>198</v>
      </c>
      <c r="C2285" s="49"/>
      <c r="D2285" s="46" t="s">
        <v>19</v>
      </c>
      <c r="E2285" s="32">
        <v>0</v>
      </c>
      <c r="F2285" s="18">
        <f>E2285* 0.0748299319727891</f>
        <v>0</v>
      </c>
      <c r="G2285" s="18">
        <f>E2285* 0.924036281179138</f>
        <v>0</v>
      </c>
      <c r="H2285" s="18">
        <f>E2285* 0.00113378684807256</f>
        <v>0</v>
      </c>
    </row>
    <row r="2286" spans="1:8" ht="15.75" hidden="1" customHeight="1" x14ac:dyDescent="0.25">
      <c r="A2286" s="20" t="s">
        <v>183</v>
      </c>
      <c r="B2286" s="47" t="s">
        <v>198</v>
      </c>
      <c r="C2286" s="49"/>
      <c r="D2286" s="46" t="s">
        <v>20</v>
      </c>
      <c r="E2286" s="32">
        <v>1</v>
      </c>
      <c r="F2286" s="18">
        <f>E2286* 0.799709724238026</f>
        <v>0.799709724238026</v>
      </c>
      <c r="G2286" s="18">
        <f>E2286* 0.150580551523948</f>
        <v>0.150580551523948</v>
      </c>
      <c r="H2286" s="18">
        <f>E2286* 0.0493468795355588</f>
        <v>4.9346879535558802E-2</v>
      </c>
    </row>
    <row r="2287" spans="1:8" ht="15.75" hidden="1" customHeight="1" x14ac:dyDescent="0.25">
      <c r="A2287" s="20" t="s">
        <v>183</v>
      </c>
      <c r="B2287" s="47" t="s">
        <v>198</v>
      </c>
      <c r="C2287" s="49"/>
      <c r="D2287" s="46" t="s">
        <v>12</v>
      </c>
      <c r="E2287" s="32">
        <v>1</v>
      </c>
      <c r="F2287" s="18">
        <f>E2287* 0.894051651143099</f>
        <v>0.89405165114309904</v>
      </c>
      <c r="G2287" s="18">
        <f>E2287* 0.0675804403048264</f>
        <v>6.7580440304826406E-2</v>
      </c>
      <c r="H2287" s="18">
        <f>E2287* 0.0382091447925487</f>
        <v>3.8209144792548701E-2</v>
      </c>
    </row>
    <row r="2288" spans="1:8" ht="15.75" hidden="1" customHeight="1" x14ac:dyDescent="0.25">
      <c r="A2288" s="20" t="s">
        <v>183</v>
      </c>
      <c r="B2288" s="20"/>
      <c r="C2288" s="20"/>
      <c r="D2288" s="46"/>
      <c r="E2288" s="35"/>
    </row>
    <row r="2289" spans="1:8" ht="15.75" hidden="1" customHeight="1" x14ac:dyDescent="0.25">
      <c r="A2289" s="20" t="s">
        <v>183</v>
      </c>
      <c r="B2289" s="47" t="s">
        <v>199</v>
      </c>
      <c r="C2289" s="12" t="str">
        <f>B2289&amp;"_"&amp;A2289</f>
        <v>Porco_Potosí</v>
      </c>
      <c r="D2289" s="20"/>
      <c r="E2289" s="48">
        <v>629</v>
      </c>
      <c r="F2289" s="14">
        <f t="shared" ref="F2289:H2289" si="195">SUM(F2290:F2301)</f>
        <v>356.54177676433358</v>
      </c>
      <c r="G2289" s="14">
        <f t="shared" si="195"/>
        <v>258.78446347194176</v>
      </c>
      <c r="H2289" s="14">
        <f t="shared" si="195"/>
        <v>13.612509232902742</v>
      </c>
    </row>
    <row r="2290" spans="1:8" ht="15.75" hidden="1" customHeight="1" x14ac:dyDescent="0.25">
      <c r="A2290" s="20" t="s">
        <v>183</v>
      </c>
      <c r="B2290" s="47" t="s">
        <v>199</v>
      </c>
      <c r="C2290" s="49"/>
      <c r="D2290" s="35" t="s">
        <v>553</v>
      </c>
      <c r="E2290" s="32">
        <v>3</v>
      </c>
      <c r="F2290" s="20">
        <v>0</v>
      </c>
      <c r="G2290" s="24">
        <f>E2290</f>
        <v>3</v>
      </c>
      <c r="H2290" s="20">
        <v>0</v>
      </c>
    </row>
    <row r="2291" spans="1:8" ht="15.75" hidden="1" customHeight="1" x14ac:dyDescent="0.25">
      <c r="A2291" s="20" t="s">
        <v>183</v>
      </c>
      <c r="B2291" s="47" t="s">
        <v>199</v>
      </c>
      <c r="C2291" s="49"/>
      <c r="D2291" s="46" t="s">
        <v>15</v>
      </c>
      <c r="E2291" s="32">
        <v>26</v>
      </c>
      <c r="F2291" s="18">
        <f>E2291* 0.975464549882735</f>
        <v>25.362078296951111</v>
      </c>
      <c r="G2291" s="18">
        <f>E2291* 0.00487100847916291</f>
        <v>0.12664622045823568</v>
      </c>
      <c r="H2291" s="18">
        <f>E2291* 0.0195742377773769</f>
        <v>0.50893018221179942</v>
      </c>
    </row>
    <row r="2292" spans="1:8" ht="15.75" hidden="1" customHeight="1" x14ac:dyDescent="0.25">
      <c r="A2292" s="20" t="s">
        <v>183</v>
      </c>
      <c r="B2292" s="47" t="s">
        <v>199</v>
      </c>
      <c r="C2292" s="49"/>
      <c r="D2292" s="35" t="s">
        <v>554</v>
      </c>
      <c r="E2292" s="32">
        <v>3</v>
      </c>
      <c r="F2292" s="18">
        <f>E2292* 0.0607843137254902</f>
        <v>0.18235294117647061</v>
      </c>
      <c r="G2292" s="18">
        <f>E2292* 0.93921568627451</f>
        <v>2.8176470588235301</v>
      </c>
      <c r="H2292" s="20">
        <v>0</v>
      </c>
    </row>
    <row r="2293" spans="1:8" ht="15.75" hidden="1" customHeight="1" x14ac:dyDescent="0.25">
      <c r="A2293" s="20" t="s">
        <v>183</v>
      </c>
      <c r="B2293" s="47" t="s">
        <v>199</v>
      </c>
      <c r="C2293" s="49"/>
      <c r="D2293" s="46" t="s">
        <v>11</v>
      </c>
      <c r="E2293" s="32">
        <v>262</v>
      </c>
      <c r="F2293" s="18">
        <f>E2293* 0.175725756639901</f>
        <v>46.040148239654066</v>
      </c>
      <c r="G2293" s="18">
        <f>E2293* 0.823656578134651</f>
        <v>215.79802347127855</v>
      </c>
      <c r="H2293" s="18">
        <f>E2293* 0.000617665225447807</f>
        <v>0.16182828906732544</v>
      </c>
    </row>
    <row r="2294" spans="1:8" ht="15.75" hidden="1" customHeight="1" x14ac:dyDescent="0.25">
      <c r="A2294" s="20" t="s">
        <v>183</v>
      </c>
      <c r="B2294" s="47" t="s">
        <v>199</v>
      </c>
      <c r="C2294" s="49"/>
      <c r="D2294" s="46" t="s">
        <v>17</v>
      </c>
      <c r="E2294" s="32">
        <v>48</v>
      </c>
      <c r="F2294" s="18">
        <f>E2294* 0.869679539852095</f>
        <v>41.744617912900559</v>
      </c>
      <c r="G2294" s="18">
        <f>E2294* 0.0695152013147083</f>
        <v>3.3367296631059986</v>
      </c>
      <c r="H2294" s="18">
        <f>E2294* 0.0608052588331964</f>
        <v>2.9186524239934273</v>
      </c>
    </row>
    <row r="2295" spans="1:8" ht="15.75" hidden="1" customHeight="1" x14ac:dyDescent="0.25">
      <c r="A2295" s="20" t="s">
        <v>183</v>
      </c>
      <c r="B2295" s="47" t="s">
        <v>199</v>
      </c>
      <c r="C2295" s="49"/>
      <c r="D2295" s="46" t="s">
        <v>31</v>
      </c>
      <c r="E2295" s="32">
        <v>6</v>
      </c>
      <c r="F2295" s="18">
        <f>E2295* 0.93</f>
        <v>5.58</v>
      </c>
      <c r="G2295" s="18">
        <f>E2295* 0.05</f>
        <v>0.30000000000000004</v>
      </c>
      <c r="H2295" s="18">
        <f>E2295* 0.02</f>
        <v>0.12</v>
      </c>
    </row>
    <row r="2296" spans="1:8" ht="15.75" hidden="1" customHeight="1" x14ac:dyDescent="0.25">
      <c r="A2296" s="20" t="s">
        <v>183</v>
      </c>
      <c r="B2296" s="47" t="s">
        <v>199</v>
      </c>
      <c r="C2296" s="49"/>
      <c r="D2296" s="46" t="s">
        <v>18</v>
      </c>
      <c r="E2296" s="32">
        <v>8</v>
      </c>
      <c r="F2296" s="18">
        <f>E2296* 0.941463414634146</f>
        <v>7.5317073170731677</v>
      </c>
      <c r="G2296" s="18">
        <f>E2296* 0.0532833020637899</f>
        <v>0.42626641651031921</v>
      </c>
      <c r="H2296" s="18">
        <f>E2296* 0.00487804878048781</f>
        <v>3.9024390243902481E-2</v>
      </c>
    </row>
    <row r="2297" spans="1:8" ht="15.75" hidden="1" customHeight="1" x14ac:dyDescent="0.25">
      <c r="A2297" s="20" t="s">
        <v>183</v>
      </c>
      <c r="B2297" s="47" t="s">
        <v>199</v>
      </c>
      <c r="C2297" s="49"/>
      <c r="D2297" s="46" t="s">
        <v>19</v>
      </c>
      <c r="E2297" s="32">
        <v>6</v>
      </c>
      <c r="F2297" s="18">
        <f>E2297* 0.0748299319727891</f>
        <v>0.44897959183673464</v>
      </c>
      <c r="G2297" s="18">
        <f>E2297* 0.924036281179138</f>
        <v>5.5442176870748288</v>
      </c>
      <c r="H2297" s="18">
        <f>E2297* 0.00113378684807256</f>
        <v>6.80272108843536E-3</v>
      </c>
    </row>
    <row r="2298" spans="1:8" ht="15.75" hidden="1" customHeight="1" x14ac:dyDescent="0.25">
      <c r="A2298" s="20" t="s">
        <v>183</v>
      </c>
      <c r="B2298" s="47" t="s">
        <v>199</v>
      </c>
      <c r="C2298" s="49"/>
      <c r="D2298" s="46" t="s">
        <v>20</v>
      </c>
      <c r="E2298" s="32">
        <v>95</v>
      </c>
      <c r="F2298" s="18">
        <f>E2298* 0.799709724238026</f>
        <v>75.972423802612468</v>
      </c>
      <c r="G2298" s="18">
        <f>E2298* 0.150580551523948</f>
        <v>14.30515239477506</v>
      </c>
      <c r="H2298" s="18">
        <f>E2298* 0.0493468795355588</f>
        <v>4.687953555878086</v>
      </c>
    </row>
    <row r="2299" spans="1:8" ht="15.75" hidden="1" customHeight="1" x14ac:dyDescent="0.25">
      <c r="A2299" s="20" t="s">
        <v>183</v>
      </c>
      <c r="B2299" s="47" t="s">
        <v>199</v>
      </c>
      <c r="C2299" s="49"/>
      <c r="D2299" s="46" t="s">
        <v>21</v>
      </c>
      <c r="E2299" s="32">
        <v>33</v>
      </c>
      <c r="F2299" s="18">
        <f>E2299* 0.999328295549958</f>
        <v>32.977833753148609</v>
      </c>
      <c r="G2299" s="18">
        <f>E2299* 0.000335852225020991</f>
        <v>1.1083123425692704E-2</v>
      </c>
      <c r="H2299" s="18">
        <f>E2299* 0.000335852225020991</f>
        <v>1.1083123425692704E-2</v>
      </c>
    </row>
    <row r="2300" spans="1:8" ht="15.75" hidden="1" customHeight="1" x14ac:dyDescent="0.25">
      <c r="A2300" s="20" t="s">
        <v>183</v>
      </c>
      <c r="B2300" s="47" t="s">
        <v>199</v>
      </c>
      <c r="C2300" s="49"/>
      <c r="D2300" s="46" t="s">
        <v>28</v>
      </c>
      <c r="E2300" s="32">
        <v>4</v>
      </c>
      <c r="F2300" s="18">
        <f>E2300* 0.00116550116550117</f>
        <v>4.6620046620046802E-3</v>
      </c>
      <c r="G2300" s="18">
        <f>E2300* 0.998834498834499</f>
        <v>3.9953379953379962</v>
      </c>
      <c r="H2300" s="20">
        <v>0</v>
      </c>
    </row>
    <row r="2301" spans="1:8" ht="15.75" hidden="1" customHeight="1" x14ac:dyDescent="0.25">
      <c r="A2301" s="20" t="s">
        <v>183</v>
      </c>
      <c r="B2301" s="47" t="s">
        <v>199</v>
      </c>
      <c r="C2301" s="49"/>
      <c r="D2301" s="46" t="s">
        <v>12</v>
      </c>
      <c r="E2301" s="32">
        <v>135</v>
      </c>
      <c r="F2301" s="18">
        <f>E2301* 0.894051651143099</f>
        <v>120.69697290431837</v>
      </c>
      <c r="G2301" s="18">
        <f>E2301* 0.0675804403048264</f>
        <v>9.1233594411515639</v>
      </c>
      <c r="H2301" s="18">
        <f>E2301* 0.0382091447925487</f>
        <v>5.1582345469940742</v>
      </c>
    </row>
    <row r="2302" spans="1:8" ht="15.75" hidden="1" customHeight="1" x14ac:dyDescent="0.25">
      <c r="A2302" s="20" t="s">
        <v>183</v>
      </c>
      <c r="B2302" s="20"/>
      <c r="C2302" s="20"/>
      <c r="D2302" s="46"/>
      <c r="E2302" s="35"/>
    </row>
    <row r="2303" spans="1:8" ht="15.75" hidden="1" customHeight="1" x14ac:dyDescent="0.25">
      <c r="A2303" s="20" t="s">
        <v>183</v>
      </c>
      <c r="B2303" s="47" t="s">
        <v>183</v>
      </c>
      <c r="C2303" s="12" t="str">
        <f>B2303&amp;"_"&amp;A2303</f>
        <v>Potosí_Potosí</v>
      </c>
      <c r="D2303" s="20"/>
      <c r="E2303" s="48">
        <v>66234</v>
      </c>
      <c r="F2303" s="14">
        <f t="shared" ref="F2303:H2303" si="196">SUM(F2304:F2318)</f>
        <v>54124.04890292474</v>
      </c>
      <c r="G2303" s="14">
        <f t="shared" si="196"/>
        <v>10487.92728598849</v>
      </c>
      <c r="H2303" s="14">
        <f t="shared" si="196"/>
        <v>1615.6141803365981</v>
      </c>
    </row>
    <row r="2304" spans="1:8" ht="15.75" hidden="1" customHeight="1" x14ac:dyDescent="0.25">
      <c r="A2304" s="20" t="s">
        <v>183</v>
      </c>
      <c r="B2304" s="47" t="s">
        <v>183</v>
      </c>
      <c r="C2304" s="49"/>
      <c r="D2304" s="35" t="s">
        <v>555</v>
      </c>
      <c r="E2304" s="32">
        <v>123</v>
      </c>
      <c r="F2304" s="20">
        <v>0</v>
      </c>
      <c r="G2304" s="24">
        <f>E2304</f>
        <v>123</v>
      </c>
      <c r="H2304" s="20">
        <v>0</v>
      </c>
    </row>
    <row r="2305" spans="1:8" ht="15.75" hidden="1" customHeight="1" x14ac:dyDescent="0.25">
      <c r="A2305" s="20" t="s">
        <v>183</v>
      </c>
      <c r="B2305" s="47" t="s">
        <v>183</v>
      </c>
      <c r="C2305" s="49"/>
      <c r="D2305" s="46" t="s">
        <v>15</v>
      </c>
      <c r="E2305" s="32">
        <v>14253</v>
      </c>
      <c r="F2305" s="18">
        <f>E2305* 0.975464549882735</f>
        <v>13903.296229478623</v>
      </c>
      <c r="G2305" s="18">
        <f>E2305* 0.00487100847916291</f>
        <v>69.426483853508955</v>
      </c>
      <c r="H2305" s="18">
        <f>E2305* 0.0195742377773769</f>
        <v>278.99161104095293</v>
      </c>
    </row>
    <row r="2306" spans="1:8" ht="15.75" hidden="1" customHeight="1" x14ac:dyDescent="0.25">
      <c r="A2306" s="20" t="s">
        <v>183</v>
      </c>
      <c r="B2306" s="47" t="s">
        <v>183</v>
      </c>
      <c r="C2306" s="49"/>
      <c r="D2306" s="35" t="s">
        <v>556</v>
      </c>
      <c r="E2306" s="32">
        <v>486</v>
      </c>
      <c r="F2306" s="18">
        <f>E2306* 0.0607843137254902</f>
        <v>29.541176470588237</v>
      </c>
      <c r="G2306" s="18">
        <f>E2306* 0.93921568627451</f>
        <v>456.45882352941186</v>
      </c>
      <c r="H2306" s="20">
        <v>0</v>
      </c>
    </row>
    <row r="2307" spans="1:8" ht="15.75" hidden="1" customHeight="1" x14ac:dyDescent="0.25">
      <c r="A2307" s="20" t="s">
        <v>183</v>
      </c>
      <c r="B2307" s="47" t="s">
        <v>183</v>
      </c>
      <c r="C2307" s="49"/>
      <c r="D2307" s="46" t="s">
        <v>11</v>
      </c>
      <c r="E2307" s="32">
        <v>5693</v>
      </c>
      <c r="F2307" s="18">
        <f>E2307* 0.175725756639901</f>
        <v>1000.4067325509565</v>
      </c>
      <c r="G2307" s="18">
        <f>E2307* 0.823656578134651</f>
        <v>4689.0768993205684</v>
      </c>
      <c r="H2307" s="18">
        <f>E2307* 0.000617665225447807</f>
        <v>3.5163681284743653</v>
      </c>
    </row>
    <row r="2308" spans="1:8" ht="15.75" hidden="1" customHeight="1" x14ac:dyDescent="0.25">
      <c r="A2308" s="20" t="s">
        <v>183</v>
      </c>
      <c r="B2308" s="47" t="s">
        <v>183</v>
      </c>
      <c r="C2308" s="49"/>
      <c r="D2308" s="46" t="s">
        <v>17</v>
      </c>
      <c r="E2308" s="32">
        <v>7118</v>
      </c>
      <c r="F2308" s="18">
        <f>E2308* 0.869679539852095</f>
        <v>6190.3789646672121</v>
      </c>
      <c r="G2308" s="18">
        <f>E2308* 0.0695152013147083</f>
        <v>494.80920295809369</v>
      </c>
      <c r="H2308" s="18">
        <f>E2308* 0.0608052588331964</f>
        <v>432.81183237469196</v>
      </c>
    </row>
    <row r="2309" spans="1:8" ht="15.75" hidden="1" customHeight="1" x14ac:dyDescent="0.25">
      <c r="A2309" s="20" t="s">
        <v>183</v>
      </c>
      <c r="B2309" s="47" t="s">
        <v>183</v>
      </c>
      <c r="C2309" s="49"/>
      <c r="D2309" s="46" t="s">
        <v>31</v>
      </c>
      <c r="E2309" s="32">
        <v>183</v>
      </c>
      <c r="F2309" s="18">
        <f>E2309* 0.93</f>
        <v>170.19</v>
      </c>
      <c r="G2309" s="18">
        <f>E2309* 0.05</f>
        <v>9.15</v>
      </c>
      <c r="H2309" s="18">
        <f>E2309* 0.02</f>
        <v>3.66</v>
      </c>
    </row>
    <row r="2310" spans="1:8" ht="15.75" hidden="1" customHeight="1" x14ac:dyDescent="0.25">
      <c r="A2310" s="20" t="s">
        <v>183</v>
      </c>
      <c r="B2310" s="47" t="s">
        <v>183</v>
      </c>
      <c r="C2310" s="49"/>
      <c r="D2310" s="46" t="s">
        <v>18</v>
      </c>
      <c r="E2310" s="32">
        <v>2650</v>
      </c>
      <c r="F2310" s="18">
        <f>E2310* 0.941463414634146</f>
        <v>2494.878048780487</v>
      </c>
      <c r="G2310" s="18">
        <f>E2310* 0.0532833020637899</f>
        <v>141.20075046904324</v>
      </c>
      <c r="H2310" s="18">
        <f>E2310* 0.00487804878048781</f>
        <v>12.926829268292696</v>
      </c>
    </row>
    <row r="2311" spans="1:8" ht="15.75" hidden="1" customHeight="1" x14ac:dyDescent="0.25">
      <c r="A2311" s="20" t="s">
        <v>183</v>
      </c>
      <c r="B2311" s="47" t="s">
        <v>183</v>
      </c>
      <c r="C2311" s="49"/>
      <c r="D2311" s="46" t="s">
        <v>557</v>
      </c>
      <c r="E2311" s="32">
        <v>23</v>
      </c>
      <c r="F2311" s="20">
        <v>0</v>
      </c>
      <c r="G2311" s="24">
        <f>E2311</f>
        <v>23</v>
      </c>
      <c r="H2311" s="20">
        <v>0</v>
      </c>
    </row>
    <row r="2312" spans="1:8" ht="15.75" hidden="1" customHeight="1" x14ac:dyDescent="0.25">
      <c r="A2312" s="20" t="s">
        <v>183</v>
      </c>
      <c r="B2312" s="47" t="s">
        <v>183</v>
      </c>
      <c r="C2312" s="49"/>
      <c r="D2312" s="46" t="s">
        <v>19</v>
      </c>
      <c r="E2312" s="32">
        <v>1891</v>
      </c>
      <c r="F2312" s="18">
        <f>E2312* 0.0748299319727891</f>
        <v>141.50340136054419</v>
      </c>
      <c r="G2312" s="18">
        <f>E2312* 0.924036281179138</f>
        <v>1747.3526077097501</v>
      </c>
      <c r="H2312" s="18">
        <f>E2312* 0.00113378684807256</f>
        <v>2.1439909297052111</v>
      </c>
    </row>
    <row r="2313" spans="1:8" ht="15.75" hidden="1" customHeight="1" x14ac:dyDescent="0.25">
      <c r="A2313" s="20" t="s">
        <v>183</v>
      </c>
      <c r="B2313" s="47" t="s">
        <v>183</v>
      </c>
      <c r="C2313" s="49"/>
      <c r="D2313" s="46" t="s">
        <v>20</v>
      </c>
      <c r="E2313" s="32">
        <v>3051</v>
      </c>
      <c r="F2313" s="18">
        <f>E2313* 0.799709724238026</f>
        <v>2439.9143686502175</v>
      </c>
      <c r="G2313" s="18">
        <f>E2313* 0.150580551523948</f>
        <v>459.42126269956537</v>
      </c>
      <c r="H2313" s="18">
        <f>E2313* 0.0493468795355588</f>
        <v>150.55732946298991</v>
      </c>
    </row>
    <row r="2314" spans="1:8" ht="15.75" hidden="1" customHeight="1" x14ac:dyDescent="0.25">
      <c r="A2314" s="20" t="s">
        <v>183</v>
      </c>
      <c r="B2314" s="47" t="s">
        <v>183</v>
      </c>
      <c r="C2314" s="49"/>
      <c r="D2314" s="46" t="s">
        <v>21</v>
      </c>
      <c r="E2314" s="32">
        <v>10661</v>
      </c>
      <c r="F2314" s="18">
        <f>E2314* 0.999328295549958</f>
        <v>10653.838958858101</v>
      </c>
      <c r="G2314" s="18">
        <f>E2314* 0.000335852225020991</f>
        <v>3.5805205709487855</v>
      </c>
      <c r="H2314" s="18">
        <f>E2314* 0.000335852225020991</f>
        <v>3.5805205709487855</v>
      </c>
    </row>
    <row r="2315" spans="1:8" ht="15.75" hidden="1" customHeight="1" x14ac:dyDescent="0.25">
      <c r="A2315" s="20" t="s">
        <v>183</v>
      </c>
      <c r="B2315" s="47" t="s">
        <v>183</v>
      </c>
      <c r="C2315" s="49"/>
      <c r="D2315" s="46" t="s">
        <v>36</v>
      </c>
      <c r="E2315" s="32">
        <v>78</v>
      </c>
      <c r="F2315" s="24">
        <f>E2315</f>
        <v>78</v>
      </c>
      <c r="G2315" s="20">
        <v>0</v>
      </c>
      <c r="H2315" s="20">
        <v>0</v>
      </c>
    </row>
    <row r="2316" spans="1:8" ht="15.75" hidden="1" customHeight="1" x14ac:dyDescent="0.25">
      <c r="A2316" s="20" t="s">
        <v>183</v>
      </c>
      <c r="B2316" s="47" t="s">
        <v>183</v>
      </c>
      <c r="C2316" s="49"/>
      <c r="D2316" s="46" t="s">
        <v>37</v>
      </c>
      <c r="E2316" s="32">
        <v>3</v>
      </c>
      <c r="F2316" s="20">
        <v>0</v>
      </c>
      <c r="G2316" s="24">
        <f>E2316</f>
        <v>3</v>
      </c>
      <c r="H2316" s="20">
        <v>0</v>
      </c>
    </row>
    <row r="2317" spans="1:8" ht="15.75" hidden="1" customHeight="1" x14ac:dyDescent="0.25">
      <c r="A2317" s="20" t="s">
        <v>183</v>
      </c>
      <c r="B2317" s="47" t="s">
        <v>183</v>
      </c>
      <c r="C2317" s="49"/>
      <c r="D2317" s="46" t="s">
        <v>28</v>
      </c>
      <c r="E2317" s="32">
        <v>983</v>
      </c>
      <c r="F2317" s="18">
        <f>E2317* 0.00116550116550117</f>
        <v>1.1456876456876501</v>
      </c>
      <c r="G2317" s="18">
        <f>E2317* 0.998834498834499</f>
        <v>981.85431235431258</v>
      </c>
      <c r="H2317" s="20">
        <v>0</v>
      </c>
    </row>
    <row r="2318" spans="1:8" ht="15.75" hidden="1" customHeight="1" x14ac:dyDescent="0.25">
      <c r="A2318" s="20" t="s">
        <v>183</v>
      </c>
      <c r="B2318" s="47" t="s">
        <v>183</v>
      </c>
      <c r="C2318" s="49"/>
      <c r="D2318" s="46" t="s">
        <v>12</v>
      </c>
      <c r="E2318" s="32">
        <v>19038</v>
      </c>
      <c r="F2318" s="18">
        <f>E2318* 0.894051651143099</f>
        <v>17020.95533446232</v>
      </c>
      <c r="G2318" s="18">
        <f>E2318* 0.0675804403048264</f>
        <v>1286.5964225232851</v>
      </c>
      <c r="H2318" s="18">
        <f>E2318* 0.0382091447925487</f>
        <v>727.42569856054217</v>
      </c>
    </row>
    <row r="2319" spans="1:8" ht="15.75" hidden="1" customHeight="1" x14ac:dyDescent="0.25">
      <c r="A2319" s="20" t="s">
        <v>183</v>
      </c>
      <c r="B2319" s="20"/>
      <c r="C2319" s="20"/>
      <c r="D2319" s="46"/>
      <c r="E2319" s="35"/>
    </row>
    <row r="2320" spans="1:8" ht="15.75" hidden="1" customHeight="1" x14ac:dyDescent="0.25">
      <c r="A2320" s="20" t="s">
        <v>183</v>
      </c>
      <c r="B2320" s="47" t="s">
        <v>200</v>
      </c>
      <c r="C2320" s="12" t="str">
        <f>B2320&amp;"_"&amp;A2320</f>
        <v>Puna_Potosí</v>
      </c>
      <c r="D2320" s="20"/>
      <c r="E2320" s="48">
        <v>126</v>
      </c>
      <c r="F2320" s="14">
        <f t="shared" ref="F2320:H2320" si="197">SUM(F2321:F2331)</f>
        <v>98.51377306991786</v>
      </c>
      <c r="G2320" s="14">
        <f t="shared" si="197"/>
        <v>24.643193215389442</v>
      </c>
      <c r="H2320" s="14">
        <f t="shared" si="197"/>
        <v>2.8350408939498264</v>
      </c>
    </row>
    <row r="2321" spans="1:8" ht="15.75" hidden="1" customHeight="1" x14ac:dyDescent="0.25">
      <c r="A2321" s="20" t="s">
        <v>183</v>
      </c>
      <c r="B2321" s="47" t="s">
        <v>200</v>
      </c>
      <c r="C2321" s="49"/>
      <c r="D2321" s="35" t="s">
        <v>558</v>
      </c>
      <c r="E2321" s="32">
        <v>2</v>
      </c>
      <c r="F2321" s="20">
        <v>0</v>
      </c>
      <c r="G2321" s="24">
        <f>E2321</f>
        <v>2</v>
      </c>
      <c r="H2321" s="20">
        <v>0</v>
      </c>
    </row>
    <row r="2322" spans="1:8" ht="15.75" hidden="1" customHeight="1" x14ac:dyDescent="0.25">
      <c r="A2322" s="20" t="s">
        <v>183</v>
      </c>
      <c r="B2322" s="47" t="s">
        <v>200</v>
      </c>
      <c r="C2322" s="49"/>
      <c r="D2322" s="46" t="s">
        <v>15</v>
      </c>
      <c r="E2322" s="32">
        <v>5</v>
      </c>
      <c r="F2322" s="18">
        <f>E2322* 0.975464549882735</f>
        <v>4.8773227494136755</v>
      </c>
      <c r="G2322" s="18">
        <f>E2322* 0.00487100847916291</f>
        <v>2.4355042395814552E-2</v>
      </c>
      <c r="H2322" s="18">
        <f>E2322* 0.0195742377773769</f>
        <v>9.7871188886884508E-2</v>
      </c>
    </row>
    <row r="2323" spans="1:8" ht="15.75" hidden="1" customHeight="1" x14ac:dyDescent="0.25">
      <c r="A2323" s="20" t="s">
        <v>183</v>
      </c>
      <c r="B2323" s="47" t="s">
        <v>200</v>
      </c>
      <c r="C2323" s="49"/>
      <c r="D2323" s="35" t="s">
        <v>559</v>
      </c>
      <c r="E2323" s="32">
        <v>3</v>
      </c>
      <c r="F2323" s="18">
        <f>E2323* 0.0607843137254902</f>
        <v>0.18235294117647061</v>
      </c>
      <c r="G2323" s="18">
        <f>E2323* 0.93921568627451</f>
        <v>2.8176470588235301</v>
      </c>
      <c r="H2323" s="20">
        <v>0</v>
      </c>
    </row>
    <row r="2324" spans="1:8" ht="15.75" hidden="1" customHeight="1" x14ac:dyDescent="0.25">
      <c r="A2324" s="20" t="s">
        <v>183</v>
      </c>
      <c r="B2324" s="47" t="s">
        <v>200</v>
      </c>
      <c r="C2324" s="49"/>
      <c r="D2324" s="46" t="s">
        <v>11</v>
      </c>
      <c r="E2324" s="32">
        <v>15</v>
      </c>
      <c r="F2324" s="18">
        <f>E2324* 0.175725756639901</f>
        <v>2.6358863495985152</v>
      </c>
      <c r="G2324" s="18">
        <f>E2324* 0.823656578134651</f>
        <v>12.354848672019765</v>
      </c>
      <c r="H2324" s="18">
        <f>E2324* 0.000617665225447807</f>
        <v>9.2649783817171059E-3</v>
      </c>
    </row>
    <row r="2325" spans="1:8" ht="15.75" hidden="1" customHeight="1" x14ac:dyDescent="0.25">
      <c r="A2325" s="20" t="s">
        <v>183</v>
      </c>
      <c r="B2325" s="47" t="s">
        <v>200</v>
      </c>
      <c r="C2325" s="49"/>
      <c r="D2325" s="46" t="s">
        <v>17</v>
      </c>
      <c r="E2325" s="32">
        <v>23</v>
      </c>
      <c r="F2325" s="18">
        <f>E2325* 0.869679539852095</f>
        <v>20.002629416598186</v>
      </c>
      <c r="G2325" s="18">
        <f>E2325* 0.0695152013147083</f>
        <v>1.5988496302382909</v>
      </c>
      <c r="H2325" s="18">
        <f>E2325* 0.0608052588331964</f>
        <v>1.3985209531635172</v>
      </c>
    </row>
    <row r="2326" spans="1:8" ht="15.75" hidden="1" customHeight="1" x14ac:dyDescent="0.25">
      <c r="A2326" s="20" t="s">
        <v>183</v>
      </c>
      <c r="B2326" s="47" t="s">
        <v>200</v>
      </c>
      <c r="C2326" s="49"/>
      <c r="D2326" s="46" t="s">
        <v>18</v>
      </c>
      <c r="E2326" s="32">
        <v>1</v>
      </c>
      <c r="F2326" s="18">
        <f>E2326* 0.941463414634146</f>
        <v>0.94146341463414596</v>
      </c>
      <c r="G2326" s="18">
        <f>E2326* 0.0532833020637899</f>
        <v>5.3283302063789902E-2</v>
      </c>
      <c r="H2326" s="18">
        <f>E2326* 0.00487804878048781</f>
        <v>4.8780487804878101E-3</v>
      </c>
    </row>
    <row r="2327" spans="1:8" ht="15.75" hidden="1" customHeight="1" x14ac:dyDescent="0.25">
      <c r="A2327" s="20" t="s">
        <v>183</v>
      </c>
      <c r="B2327" s="47" t="s">
        <v>200</v>
      </c>
      <c r="C2327" s="49"/>
      <c r="D2327" s="46" t="s">
        <v>19</v>
      </c>
      <c r="E2327" s="32">
        <v>3</v>
      </c>
      <c r="F2327" s="18">
        <f>E2327* 0.0748299319727891</f>
        <v>0.22448979591836732</v>
      </c>
      <c r="G2327" s="18">
        <f>E2327* 0.924036281179138</f>
        <v>2.7721088435374144</v>
      </c>
      <c r="H2327" s="18">
        <f>E2327* 0.00113378684807256</f>
        <v>3.40136054421768E-3</v>
      </c>
    </row>
    <row r="2328" spans="1:8" ht="15.75" hidden="1" customHeight="1" x14ac:dyDescent="0.25">
      <c r="A2328" s="20" t="s">
        <v>183</v>
      </c>
      <c r="B2328" s="47" t="s">
        <v>200</v>
      </c>
      <c r="C2328" s="49"/>
      <c r="D2328" s="46" t="s">
        <v>20</v>
      </c>
      <c r="E2328" s="32">
        <v>11</v>
      </c>
      <c r="F2328" s="18">
        <f>E2328* 0.799709724238026</f>
        <v>8.796806966618286</v>
      </c>
      <c r="G2328" s="18">
        <f>E2328* 0.150580551523948</f>
        <v>1.656386066763428</v>
      </c>
      <c r="H2328" s="18">
        <f>E2328* 0.0493468795355588</f>
        <v>0.54281567489114679</v>
      </c>
    </row>
    <row r="2329" spans="1:8" ht="15.75" hidden="1" customHeight="1" x14ac:dyDescent="0.25">
      <c r="A2329" s="20" t="s">
        <v>183</v>
      </c>
      <c r="B2329" s="47" t="s">
        <v>200</v>
      </c>
      <c r="C2329" s="49"/>
      <c r="D2329" s="46" t="s">
        <v>21</v>
      </c>
      <c r="E2329" s="32">
        <v>42</v>
      </c>
      <c r="F2329" s="18">
        <f>E2329* 0.999328295549958</f>
        <v>41.971788413098231</v>
      </c>
      <c r="G2329" s="18">
        <f>E2329* 0.000335852225020991</f>
        <v>1.4105793450881624E-2</v>
      </c>
      <c r="H2329" s="18">
        <f>E2329* 0.000335852225020991</f>
        <v>1.4105793450881624E-2</v>
      </c>
    </row>
    <row r="2330" spans="1:8" ht="15.75" hidden="1" customHeight="1" x14ac:dyDescent="0.25">
      <c r="A2330" s="20" t="s">
        <v>183</v>
      </c>
      <c r="B2330" s="47" t="s">
        <v>200</v>
      </c>
      <c r="C2330" s="49"/>
      <c r="D2330" s="46" t="s">
        <v>36</v>
      </c>
      <c r="E2330" s="32">
        <v>1</v>
      </c>
      <c r="F2330" s="24">
        <f>E2330</f>
        <v>1</v>
      </c>
      <c r="G2330" s="20">
        <v>0</v>
      </c>
      <c r="H2330" s="20">
        <v>0</v>
      </c>
    </row>
    <row r="2331" spans="1:8" ht="15.75" hidden="1" customHeight="1" x14ac:dyDescent="0.25">
      <c r="A2331" s="20" t="s">
        <v>183</v>
      </c>
      <c r="B2331" s="47" t="s">
        <v>200</v>
      </c>
      <c r="C2331" s="49"/>
      <c r="D2331" s="46" t="s">
        <v>12</v>
      </c>
      <c r="E2331" s="32">
        <v>20</v>
      </c>
      <c r="F2331" s="18">
        <f>E2331* 0.894051651143099</f>
        <v>17.881033022861981</v>
      </c>
      <c r="G2331" s="18">
        <f>E2331* 0.0675804403048264</f>
        <v>1.3516088060965281</v>
      </c>
      <c r="H2331" s="18">
        <f>E2331* 0.0382091447925487</f>
        <v>0.76418289585097399</v>
      </c>
    </row>
    <row r="2332" spans="1:8" ht="15.75" hidden="1" customHeight="1" x14ac:dyDescent="0.25">
      <c r="A2332" s="20" t="s">
        <v>183</v>
      </c>
      <c r="B2332" s="20"/>
      <c r="C2332" s="20"/>
      <c r="D2332" s="46"/>
      <c r="E2332" s="35"/>
    </row>
    <row r="2333" spans="1:8" ht="15.75" hidden="1" customHeight="1" x14ac:dyDescent="0.25">
      <c r="A2333" s="20" t="s">
        <v>183</v>
      </c>
      <c r="B2333" s="47" t="s">
        <v>201</v>
      </c>
      <c r="C2333" s="12" t="str">
        <f>B2333&amp;"_"&amp;A2333</f>
        <v>Ravelo_Potosí</v>
      </c>
      <c r="D2333" s="20"/>
      <c r="E2333" s="48">
        <v>2</v>
      </c>
      <c r="F2333" s="14">
        <f t="shared" ref="F2333:H2333" si="198">SUM(F2334:F2335)</f>
        <v>1.1171891712740469</v>
      </c>
      <c r="G2333" s="14">
        <f t="shared" si="198"/>
        <v>0.87693988019844094</v>
      </c>
      <c r="H2333" s="14">
        <f t="shared" si="198"/>
        <v>5.4957140059356171E-3</v>
      </c>
    </row>
    <row r="2334" spans="1:8" ht="15.75" hidden="1" customHeight="1" x14ac:dyDescent="0.25">
      <c r="A2334" s="20" t="s">
        <v>183</v>
      </c>
      <c r="B2334" s="47" t="s">
        <v>201</v>
      </c>
      <c r="C2334" s="49"/>
      <c r="D2334" s="46" t="s">
        <v>11</v>
      </c>
      <c r="E2334" s="32">
        <v>1</v>
      </c>
      <c r="F2334" s="18">
        <f>E2334* 0.175725756639901</f>
        <v>0.175725756639901</v>
      </c>
      <c r="G2334" s="18">
        <f>E2334* 0.823656578134651</f>
        <v>0.82365657813465099</v>
      </c>
      <c r="H2334" s="18">
        <f>E2334* 0.000617665225447807</f>
        <v>6.1766522544780701E-4</v>
      </c>
    </row>
    <row r="2335" spans="1:8" ht="15.75" hidden="1" customHeight="1" x14ac:dyDescent="0.25">
      <c r="A2335" s="20" t="s">
        <v>183</v>
      </c>
      <c r="B2335" s="47" t="s">
        <v>201</v>
      </c>
      <c r="C2335" s="49"/>
      <c r="D2335" s="46" t="s">
        <v>18</v>
      </c>
      <c r="E2335" s="32">
        <v>1</v>
      </c>
      <c r="F2335" s="18">
        <f>E2335* 0.941463414634146</f>
        <v>0.94146341463414596</v>
      </c>
      <c r="G2335" s="18">
        <f>E2335* 0.0532833020637899</f>
        <v>5.3283302063789902E-2</v>
      </c>
      <c r="H2335" s="18">
        <f>E2335* 0.00487804878048781</f>
        <v>4.8780487804878101E-3</v>
      </c>
    </row>
    <row r="2336" spans="1:8" ht="15.75" hidden="1" customHeight="1" x14ac:dyDescent="0.25">
      <c r="A2336" s="20" t="s">
        <v>183</v>
      </c>
      <c r="B2336" s="20"/>
      <c r="C2336" s="20"/>
      <c r="D2336" s="46"/>
      <c r="E2336" s="35"/>
    </row>
    <row r="2337" spans="1:8" ht="15.75" hidden="1" customHeight="1" x14ac:dyDescent="0.25">
      <c r="A2337" s="20" t="s">
        <v>183</v>
      </c>
      <c r="B2337" s="47" t="s">
        <v>202</v>
      </c>
      <c r="C2337" s="12" t="str">
        <f>B2337&amp;"_"&amp;A2337</f>
        <v>San Antonio de Esmoruco_Potosí</v>
      </c>
      <c r="D2337" s="20"/>
      <c r="E2337" s="48">
        <v>2</v>
      </c>
      <c r="F2337" s="14">
        <f t="shared" ref="F2337:H2337" si="199">SUM(F2338:F2339)</f>
        <v>1.045405296491996</v>
      </c>
      <c r="G2337" s="14">
        <f t="shared" si="199"/>
        <v>0.89317177944935933</v>
      </c>
      <c r="H2337" s="14">
        <f t="shared" si="199"/>
        <v>6.1422924058644211E-2</v>
      </c>
    </row>
    <row r="2338" spans="1:8" ht="15.75" hidden="1" customHeight="1" x14ac:dyDescent="0.25">
      <c r="A2338" s="20" t="s">
        <v>183</v>
      </c>
      <c r="B2338" s="47" t="s">
        <v>202</v>
      </c>
      <c r="C2338" s="49"/>
      <c r="D2338" s="46" t="s">
        <v>11</v>
      </c>
      <c r="E2338" s="32">
        <v>1</v>
      </c>
      <c r="F2338" s="18">
        <f>E2338* 0.175725756639901</f>
        <v>0.175725756639901</v>
      </c>
      <c r="G2338" s="18">
        <f>E2338* 0.823656578134651</f>
        <v>0.82365657813465099</v>
      </c>
      <c r="H2338" s="18">
        <f>E2338* 0.000617665225447807</f>
        <v>6.1766522544780701E-4</v>
      </c>
    </row>
    <row r="2339" spans="1:8" ht="15.75" hidden="1" customHeight="1" x14ac:dyDescent="0.25">
      <c r="A2339" s="20" t="s">
        <v>183</v>
      </c>
      <c r="B2339" s="47" t="s">
        <v>202</v>
      </c>
      <c r="C2339" s="49"/>
      <c r="D2339" s="46" t="s">
        <v>17</v>
      </c>
      <c r="E2339" s="32">
        <v>1</v>
      </c>
      <c r="F2339" s="18">
        <f>E2339* 0.869679539852095</f>
        <v>0.86967953985209501</v>
      </c>
      <c r="G2339" s="18">
        <f>E2339* 0.0695152013147083</f>
        <v>6.95152013147083E-2</v>
      </c>
      <c r="H2339" s="18">
        <f>E2339* 0.0608052588331964</f>
        <v>6.0805258833196402E-2</v>
      </c>
    </row>
    <row r="2340" spans="1:8" ht="15.75" hidden="1" customHeight="1" x14ac:dyDescent="0.25">
      <c r="A2340" s="20" t="s">
        <v>183</v>
      </c>
      <c r="B2340" s="20"/>
      <c r="C2340" s="20"/>
      <c r="D2340" s="46"/>
      <c r="E2340" s="35"/>
    </row>
    <row r="2341" spans="1:8" ht="15.75" hidden="1" customHeight="1" x14ac:dyDescent="0.25">
      <c r="A2341" s="20" t="s">
        <v>183</v>
      </c>
      <c r="B2341" s="47" t="s">
        <v>203</v>
      </c>
      <c r="C2341" s="12" t="str">
        <f>B2341&amp;"_"&amp;A2341</f>
        <v>San Pedro de Buena Vista_Potosí</v>
      </c>
      <c r="D2341" s="20"/>
      <c r="E2341" s="48">
        <v>202</v>
      </c>
      <c r="F2341" s="14">
        <f t="shared" ref="F2341:H2341" si="200">SUM(F2342:F2353)</f>
        <v>166.46731300350316</v>
      </c>
      <c r="G2341" s="14">
        <f t="shared" si="200"/>
        <v>33.579010466381177</v>
      </c>
      <c r="H2341" s="14">
        <f t="shared" si="200"/>
        <v>1.9464480141024409</v>
      </c>
    </row>
    <row r="2342" spans="1:8" ht="15.75" hidden="1" customHeight="1" x14ac:dyDescent="0.25">
      <c r="A2342" s="20" t="s">
        <v>183</v>
      </c>
      <c r="B2342" s="47" t="s">
        <v>203</v>
      </c>
      <c r="C2342" s="49"/>
      <c r="D2342" s="35" t="s">
        <v>560</v>
      </c>
      <c r="E2342" s="32">
        <v>0</v>
      </c>
      <c r="F2342" s="20">
        <v>0</v>
      </c>
      <c r="G2342" s="24">
        <f>E2342</f>
        <v>0</v>
      </c>
      <c r="H2342" s="20">
        <v>0</v>
      </c>
    </row>
    <row r="2343" spans="1:8" ht="15.75" hidden="1" customHeight="1" x14ac:dyDescent="0.25">
      <c r="A2343" s="20" t="s">
        <v>183</v>
      </c>
      <c r="B2343" s="47" t="s">
        <v>203</v>
      </c>
      <c r="C2343" s="49"/>
      <c r="D2343" s="35" t="s">
        <v>561</v>
      </c>
      <c r="E2343" s="32">
        <v>11</v>
      </c>
      <c r="F2343" s="18">
        <f>E2343* 0.0607843137254902</f>
        <v>0.66862745098039222</v>
      </c>
      <c r="G2343" s="18">
        <f>E2343* 0.93921568627451</f>
        <v>10.33137254901961</v>
      </c>
      <c r="H2343" s="20">
        <v>0</v>
      </c>
    </row>
    <row r="2344" spans="1:8" ht="15.75" hidden="1" customHeight="1" x14ac:dyDescent="0.25">
      <c r="A2344" s="20" t="s">
        <v>183</v>
      </c>
      <c r="B2344" s="47" t="s">
        <v>203</v>
      </c>
      <c r="C2344" s="49"/>
      <c r="D2344" s="46" t="s">
        <v>11</v>
      </c>
      <c r="E2344" s="32">
        <v>12</v>
      </c>
      <c r="F2344" s="18">
        <f>E2344* 0.175725756639901</f>
        <v>2.1087090796788122</v>
      </c>
      <c r="G2344" s="18">
        <f>E2344* 0.823656578134651</f>
        <v>9.8838789376158118</v>
      </c>
      <c r="H2344" s="18">
        <f>E2344* 0.000617665225447807</f>
        <v>7.4119827053736841E-3</v>
      </c>
    </row>
    <row r="2345" spans="1:8" ht="15.75" hidden="1" customHeight="1" x14ac:dyDescent="0.25">
      <c r="A2345" s="20" t="s">
        <v>183</v>
      </c>
      <c r="B2345" s="47" t="s">
        <v>203</v>
      </c>
      <c r="C2345" s="49"/>
      <c r="D2345" s="46" t="s">
        <v>17</v>
      </c>
      <c r="E2345" s="32">
        <v>13</v>
      </c>
      <c r="F2345" s="18">
        <f>E2345* 0.869679539852095</f>
        <v>11.305834018077235</v>
      </c>
      <c r="G2345" s="18">
        <f>E2345* 0.0695152013147083</f>
        <v>0.90369761709120788</v>
      </c>
      <c r="H2345" s="18">
        <f>E2345* 0.0608052588331964</f>
        <v>0.79046836483155325</v>
      </c>
    </row>
    <row r="2346" spans="1:8" ht="15.75" hidden="1" customHeight="1" x14ac:dyDescent="0.25">
      <c r="A2346" s="20" t="s">
        <v>183</v>
      </c>
      <c r="B2346" s="47" t="s">
        <v>203</v>
      </c>
      <c r="C2346" s="49"/>
      <c r="D2346" s="46" t="s">
        <v>31</v>
      </c>
      <c r="E2346" s="32">
        <v>1</v>
      </c>
      <c r="F2346" s="18">
        <f>E2346* 0.93</f>
        <v>0.93</v>
      </c>
      <c r="G2346" s="18">
        <f>E2346* 0.05</f>
        <v>0.05</v>
      </c>
      <c r="H2346" s="18">
        <f>E2346* 0.02</f>
        <v>0.02</v>
      </c>
    </row>
    <row r="2347" spans="1:8" ht="15.75" hidden="1" customHeight="1" x14ac:dyDescent="0.25">
      <c r="A2347" s="20" t="s">
        <v>183</v>
      </c>
      <c r="B2347" s="47" t="s">
        <v>203</v>
      </c>
      <c r="C2347" s="49"/>
      <c r="D2347" s="46" t="s">
        <v>18</v>
      </c>
      <c r="E2347" s="32">
        <v>5</v>
      </c>
      <c r="F2347" s="18">
        <f>E2347* 0.941463414634146</f>
        <v>4.7073170731707297</v>
      </c>
      <c r="G2347" s="18">
        <f>E2347* 0.0532833020637899</f>
        <v>0.26641651031894953</v>
      </c>
      <c r="H2347" s="18">
        <f>E2347* 0.00487804878048781</f>
        <v>2.439024390243905E-2</v>
      </c>
    </row>
    <row r="2348" spans="1:8" ht="15.75" hidden="1" customHeight="1" x14ac:dyDescent="0.25">
      <c r="A2348" s="20" t="s">
        <v>183</v>
      </c>
      <c r="B2348" s="47" t="s">
        <v>203</v>
      </c>
      <c r="C2348" s="49"/>
      <c r="D2348" s="35" t="s">
        <v>562</v>
      </c>
      <c r="E2348" s="32">
        <v>7</v>
      </c>
      <c r="F2348" s="20">
        <v>0</v>
      </c>
      <c r="G2348" s="24">
        <f>E2348</f>
        <v>7</v>
      </c>
      <c r="H2348" s="20">
        <v>0</v>
      </c>
    </row>
    <row r="2349" spans="1:8" ht="15.75" hidden="1" customHeight="1" x14ac:dyDescent="0.25">
      <c r="A2349" s="20" t="s">
        <v>183</v>
      </c>
      <c r="B2349" s="47" t="s">
        <v>203</v>
      </c>
      <c r="C2349" s="49"/>
      <c r="D2349" s="46" t="s">
        <v>19</v>
      </c>
      <c r="E2349" s="32">
        <v>2</v>
      </c>
      <c r="F2349" s="18">
        <f>E2349* 0.0748299319727891</f>
        <v>0.1496598639455782</v>
      </c>
      <c r="G2349" s="18">
        <f>E2349* 0.924036281179138</f>
        <v>1.8480725623582761</v>
      </c>
      <c r="H2349" s="18">
        <f>E2349* 0.00113378684807256</f>
        <v>2.26757369614512E-3</v>
      </c>
    </row>
    <row r="2350" spans="1:8" ht="15.75" hidden="1" customHeight="1" x14ac:dyDescent="0.25">
      <c r="A2350" s="20" t="s">
        <v>183</v>
      </c>
      <c r="B2350" s="47" t="s">
        <v>203</v>
      </c>
      <c r="C2350" s="49"/>
      <c r="D2350" s="46" t="s">
        <v>20</v>
      </c>
      <c r="E2350" s="32">
        <v>6</v>
      </c>
      <c r="F2350" s="18">
        <f>E2350* 0.799709724238026</f>
        <v>4.798258345428156</v>
      </c>
      <c r="G2350" s="18">
        <f>E2350* 0.150580551523948</f>
        <v>0.90348330914368802</v>
      </c>
      <c r="H2350" s="18">
        <f>E2350* 0.0493468795355588</f>
        <v>0.29608127721335281</v>
      </c>
    </row>
    <row r="2351" spans="1:8" ht="15.75" hidden="1" customHeight="1" x14ac:dyDescent="0.25">
      <c r="A2351" s="20" t="s">
        <v>183</v>
      </c>
      <c r="B2351" s="47" t="s">
        <v>203</v>
      </c>
      <c r="C2351" s="49"/>
      <c r="D2351" s="46" t="s">
        <v>21</v>
      </c>
      <c r="E2351" s="32">
        <v>124</v>
      </c>
      <c r="F2351" s="18">
        <f>E2351* 0.999328295549958</f>
        <v>123.91670864819478</v>
      </c>
      <c r="G2351" s="18">
        <f>E2351* 0.000335852225020991</f>
        <v>4.1645675902602888E-2</v>
      </c>
      <c r="H2351" s="18">
        <f>E2351* 0.000335852225020991</f>
        <v>4.1645675902602888E-2</v>
      </c>
    </row>
    <row r="2352" spans="1:8" ht="15.75" hidden="1" customHeight="1" x14ac:dyDescent="0.25">
      <c r="A2352" s="20" t="s">
        <v>183</v>
      </c>
      <c r="B2352" s="47" t="s">
        <v>203</v>
      </c>
      <c r="C2352" s="49"/>
      <c r="D2352" s="46" t="s">
        <v>148</v>
      </c>
      <c r="E2352" s="32">
        <v>1</v>
      </c>
      <c r="F2352" s="18">
        <f>E2352* 0.00116550116550117</f>
        <v>1.1655011655011701E-3</v>
      </c>
      <c r="G2352" s="18">
        <f>E2352* 0.998834498834499</f>
        <v>0.99883449883449904</v>
      </c>
      <c r="H2352" s="20">
        <v>0</v>
      </c>
    </row>
    <row r="2353" spans="1:8" ht="15.75" hidden="1" customHeight="1" x14ac:dyDescent="0.25">
      <c r="A2353" s="20" t="s">
        <v>183</v>
      </c>
      <c r="B2353" s="47" t="s">
        <v>203</v>
      </c>
      <c r="C2353" s="49"/>
      <c r="D2353" s="46" t="s">
        <v>12</v>
      </c>
      <c r="E2353" s="32">
        <v>20</v>
      </c>
      <c r="F2353" s="18">
        <f>E2353* 0.894051651143099</f>
        <v>17.881033022861981</v>
      </c>
      <c r="G2353" s="18">
        <f>E2353* 0.0675804403048264</f>
        <v>1.3516088060965281</v>
      </c>
      <c r="H2353" s="18">
        <f>E2353* 0.0382091447925487</f>
        <v>0.76418289585097399</v>
      </c>
    </row>
    <row r="2354" spans="1:8" ht="15.75" hidden="1" customHeight="1" x14ac:dyDescent="0.25">
      <c r="A2354" s="20" t="s">
        <v>183</v>
      </c>
      <c r="B2354" s="20"/>
      <c r="C2354" s="20"/>
      <c r="D2354" s="46"/>
      <c r="E2354" s="35"/>
    </row>
    <row r="2355" spans="1:8" ht="15.75" hidden="1" customHeight="1" x14ac:dyDescent="0.25">
      <c r="A2355" s="20" t="s">
        <v>183</v>
      </c>
      <c r="B2355" s="47" t="s">
        <v>563</v>
      </c>
      <c r="C2355" s="12" t="str">
        <f>B2355&amp;"_"&amp;A2355</f>
        <v>San Pedro de Macha_Potosí</v>
      </c>
      <c r="D2355" s="20"/>
      <c r="E2355" s="48">
        <v>9</v>
      </c>
      <c r="F2355" s="14">
        <f t="shared" ref="F2355:H2355" si="201">SUM(F2356:F2359)</f>
        <v>6.00552546066465</v>
      </c>
      <c r="G2355" s="14">
        <f t="shared" si="201"/>
        <v>2.8754780180824691</v>
      </c>
      <c r="H2355" s="14">
        <f t="shared" si="201"/>
        <v>0.118520229974302</v>
      </c>
    </row>
    <row r="2356" spans="1:8" ht="15.75" hidden="1" customHeight="1" x14ac:dyDescent="0.25">
      <c r="A2356" s="20" t="s">
        <v>183</v>
      </c>
      <c r="B2356" s="47" t="s">
        <v>563</v>
      </c>
      <c r="C2356" s="49"/>
      <c r="D2356" s="46" t="s">
        <v>11</v>
      </c>
      <c r="E2356" s="32">
        <v>1</v>
      </c>
      <c r="F2356" s="18">
        <f>E2356* 0.175725756639901</f>
        <v>0.175725756639901</v>
      </c>
      <c r="G2356" s="18">
        <f>E2356* 0.823656578134651</f>
        <v>0.82365657813465099</v>
      </c>
      <c r="H2356" s="18">
        <f>E2356* 0.000617665225447807</f>
        <v>6.1766522544780701E-4</v>
      </c>
    </row>
    <row r="2357" spans="1:8" ht="15.75" hidden="1" customHeight="1" x14ac:dyDescent="0.25">
      <c r="A2357" s="20" t="s">
        <v>183</v>
      </c>
      <c r="B2357" s="47" t="s">
        <v>563</v>
      </c>
      <c r="C2357" s="49"/>
      <c r="D2357" s="46" t="s">
        <v>19</v>
      </c>
      <c r="E2357" s="32">
        <v>2</v>
      </c>
      <c r="F2357" s="18">
        <f>E2357* 0.0748299319727891</f>
        <v>0.1496598639455782</v>
      </c>
      <c r="G2357" s="18">
        <f>E2357* 0.924036281179138</f>
        <v>1.8480725623582761</v>
      </c>
      <c r="H2357" s="18">
        <f>E2357* 0.00113378684807256</f>
        <v>2.26757369614512E-3</v>
      </c>
    </row>
    <row r="2358" spans="1:8" ht="15.75" hidden="1" customHeight="1" x14ac:dyDescent="0.25">
      <c r="A2358" s="20" t="s">
        <v>183</v>
      </c>
      <c r="B2358" s="47" t="s">
        <v>563</v>
      </c>
      <c r="C2358" s="49"/>
      <c r="D2358" s="46" t="s">
        <v>21</v>
      </c>
      <c r="E2358" s="32">
        <v>3</v>
      </c>
      <c r="F2358" s="18">
        <f>E2358* 0.999328295549958</f>
        <v>2.9979848866498737</v>
      </c>
      <c r="G2358" s="18">
        <f>E2358* 0.000335852225020991</f>
        <v>1.0075566750629731E-3</v>
      </c>
      <c r="H2358" s="18">
        <f>E2358* 0.000335852225020991</f>
        <v>1.0075566750629731E-3</v>
      </c>
    </row>
    <row r="2359" spans="1:8" ht="15.75" hidden="1" customHeight="1" x14ac:dyDescent="0.25">
      <c r="A2359" s="20" t="s">
        <v>183</v>
      </c>
      <c r="B2359" s="47" t="s">
        <v>563</v>
      </c>
      <c r="C2359" s="49"/>
      <c r="D2359" s="46" t="s">
        <v>12</v>
      </c>
      <c r="E2359" s="32">
        <v>3</v>
      </c>
      <c r="F2359" s="18">
        <f>E2359* 0.894051651143099</f>
        <v>2.682154953429297</v>
      </c>
      <c r="G2359" s="18">
        <f>E2359* 0.0675804403048264</f>
        <v>0.20274132091447922</v>
      </c>
      <c r="H2359" s="18">
        <f>E2359* 0.0382091447925487</f>
        <v>0.11462743437764611</v>
      </c>
    </row>
    <row r="2360" spans="1:8" ht="15.75" hidden="1" customHeight="1" x14ac:dyDescent="0.25">
      <c r="A2360" s="20" t="s">
        <v>183</v>
      </c>
      <c r="B2360" s="20"/>
      <c r="C2360" s="20"/>
      <c r="D2360" s="46"/>
      <c r="E2360" s="35"/>
    </row>
    <row r="2361" spans="1:8" ht="15.75" hidden="1" customHeight="1" x14ac:dyDescent="0.25">
      <c r="A2361" s="20" t="s">
        <v>183</v>
      </c>
      <c r="B2361" s="47" t="s">
        <v>204</v>
      </c>
      <c r="C2361" s="12" t="str">
        <f>B2361&amp;"_"&amp;A2361</f>
        <v>Tahua_Potosí</v>
      </c>
      <c r="D2361" s="20"/>
      <c r="E2361" s="48">
        <v>0</v>
      </c>
      <c r="F2361" s="14">
        <f t="shared" ref="F2361:H2361" si="202">SUM(F2362:F2363)</f>
        <v>0</v>
      </c>
      <c r="G2361" s="14">
        <f t="shared" si="202"/>
        <v>0</v>
      </c>
      <c r="H2361" s="14">
        <f t="shared" si="202"/>
        <v>0</v>
      </c>
    </row>
    <row r="2362" spans="1:8" ht="15.75" hidden="1" customHeight="1" x14ac:dyDescent="0.25">
      <c r="A2362" s="20" t="s">
        <v>183</v>
      </c>
      <c r="B2362" s="47" t="s">
        <v>204</v>
      </c>
      <c r="C2362" s="49"/>
      <c r="D2362" s="46" t="s">
        <v>11</v>
      </c>
      <c r="E2362" s="32">
        <v>0</v>
      </c>
      <c r="F2362" s="18">
        <f>E2362* 0.175725756639901</f>
        <v>0</v>
      </c>
      <c r="G2362" s="18">
        <f>E2362* 0.823656578134651</f>
        <v>0</v>
      </c>
      <c r="H2362" s="18">
        <f>E2362* 0.000617665225447807</f>
        <v>0</v>
      </c>
    </row>
    <row r="2363" spans="1:8" ht="15.75" hidden="1" customHeight="1" x14ac:dyDescent="0.25">
      <c r="A2363" s="20" t="s">
        <v>183</v>
      </c>
      <c r="B2363" s="47" t="s">
        <v>204</v>
      </c>
      <c r="C2363" s="49"/>
      <c r="D2363" s="46" t="s">
        <v>20</v>
      </c>
      <c r="E2363" s="32">
        <v>0</v>
      </c>
      <c r="F2363" s="18">
        <f>E2363* 0.799709724238026</f>
        <v>0</v>
      </c>
      <c r="G2363" s="18">
        <f>E2363* 0.150580551523948</f>
        <v>0</v>
      </c>
      <c r="H2363" s="18">
        <f>E2363* 0.0493468795355588</f>
        <v>0</v>
      </c>
    </row>
    <row r="2364" spans="1:8" ht="15.75" hidden="1" customHeight="1" x14ac:dyDescent="0.25">
      <c r="A2364" s="20" t="s">
        <v>183</v>
      </c>
      <c r="B2364" s="20"/>
      <c r="C2364" s="20"/>
      <c r="D2364" s="46"/>
      <c r="E2364" s="35"/>
    </row>
    <row r="2365" spans="1:8" ht="15.75" hidden="1" customHeight="1" x14ac:dyDescent="0.25">
      <c r="A2365" s="20" t="s">
        <v>183</v>
      </c>
      <c r="B2365" s="47" t="s">
        <v>205</v>
      </c>
      <c r="C2365" s="12" t="str">
        <f>B2365&amp;"_"&amp;A2365</f>
        <v>Tinquipaya_Potosí</v>
      </c>
      <c r="D2365" s="20"/>
      <c r="E2365" s="48">
        <v>0</v>
      </c>
      <c r="F2365" s="14">
        <f t="shared" ref="F2365:H2365" si="203">F2366</f>
        <v>0</v>
      </c>
      <c r="G2365" s="14">
        <f t="shared" si="203"/>
        <v>0</v>
      </c>
      <c r="H2365" s="14">
        <f t="shared" si="203"/>
        <v>0</v>
      </c>
    </row>
    <row r="2366" spans="1:8" ht="15.75" hidden="1" customHeight="1" x14ac:dyDescent="0.25">
      <c r="A2366" s="20" t="s">
        <v>183</v>
      </c>
      <c r="B2366" s="47" t="s">
        <v>205</v>
      </c>
      <c r="C2366" s="49"/>
      <c r="D2366" s="46" t="s">
        <v>17</v>
      </c>
      <c r="E2366" s="32">
        <v>0</v>
      </c>
      <c r="F2366" s="18">
        <f>E2366* 0.869679539852095</f>
        <v>0</v>
      </c>
      <c r="G2366" s="18">
        <f>E2366* 0.0695152013147083</f>
        <v>0</v>
      </c>
      <c r="H2366" s="18">
        <f>E2366* 0.0608052588331964</f>
        <v>0</v>
      </c>
    </row>
    <row r="2367" spans="1:8" ht="15.75" hidden="1" customHeight="1" x14ac:dyDescent="0.25">
      <c r="A2367" s="20" t="s">
        <v>183</v>
      </c>
      <c r="B2367" s="20"/>
      <c r="C2367" s="20"/>
      <c r="D2367" s="46"/>
      <c r="E2367" s="35"/>
    </row>
    <row r="2368" spans="1:8" ht="15.75" hidden="1" customHeight="1" x14ac:dyDescent="0.25">
      <c r="A2368" s="20" t="s">
        <v>183</v>
      </c>
      <c r="B2368" s="47" t="s">
        <v>206</v>
      </c>
      <c r="C2368" s="12" t="str">
        <f>B2368&amp;"_"&amp;A2368</f>
        <v>Tomave_Potosí</v>
      </c>
      <c r="D2368" s="20"/>
      <c r="E2368" s="48">
        <v>1</v>
      </c>
      <c r="F2368" s="14">
        <f t="shared" ref="F2368:H2368" si="204">F2369</f>
        <v>0.175725756639901</v>
      </c>
      <c r="G2368" s="14">
        <f t="shared" si="204"/>
        <v>0.82365657813465099</v>
      </c>
      <c r="H2368" s="14">
        <f t="shared" si="204"/>
        <v>6.1766522544780701E-4</v>
      </c>
    </row>
    <row r="2369" spans="1:8" ht="15.75" hidden="1" customHeight="1" x14ac:dyDescent="0.25">
      <c r="A2369" s="20" t="s">
        <v>183</v>
      </c>
      <c r="B2369" s="47" t="s">
        <v>206</v>
      </c>
      <c r="C2369" s="49"/>
      <c r="D2369" s="46" t="s">
        <v>11</v>
      </c>
      <c r="E2369" s="32">
        <v>1</v>
      </c>
      <c r="F2369" s="18">
        <f>E2369* 0.175725756639901</f>
        <v>0.175725756639901</v>
      </c>
      <c r="G2369" s="18">
        <f>E2369* 0.823656578134651</f>
        <v>0.82365657813465099</v>
      </c>
      <c r="H2369" s="18">
        <f>E2369* 0.000617665225447807</f>
        <v>6.1766522544780701E-4</v>
      </c>
    </row>
    <row r="2370" spans="1:8" ht="15.75" hidden="1" customHeight="1" x14ac:dyDescent="0.25">
      <c r="A2370" s="20" t="s">
        <v>183</v>
      </c>
      <c r="B2370" s="20"/>
      <c r="C2370" s="20"/>
      <c r="D2370" s="46"/>
      <c r="E2370" s="35"/>
    </row>
    <row r="2371" spans="1:8" ht="15.75" hidden="1" customHeight="1" x14ac:dyDescent="0.25">
      <c r="A2371" s="20" t="s">
        <v>183</v>
      </c>
      <c r="B2371" s="47" t="s">
        <v>564</v>
      </c>
      <c r="C2371" s="12" t="str">
        <f>B2371&amp;"_"&amp;A2371</f>
        <v>Toro Toro_Potosí</v>
      </c>
      <c r="D2371" s="20"/>
      <c r="E2371" s="48">
        <v>54</v>
      </c>
      <c r="F2371" s="14">
        <f t="shared" ref="F2371:H2371" si="205">SUM(F2372:F2380)</f>
        <v>47.318470122124594</v>
      </c>
      <c r="G2371" s="14">
        <f t="shared" si="205"/>
        <v>5.7919930844459975</v>
      </c>
      <c r="H2371" s="14">
        <f t="shared" si="205"/>
        <v>0.88417126102338472</v>
      </c>
    </row>
    <row r="2372" spans="1:8" ht="15.75" hidden="1" customHeight="1" x14ac:dyDescent="0.25">
      <c r="A2372" s="20" t="s">
        <v>183</v>
      </c>
      <c r="B2372" s="47" t="s">
        <v>564</v>
      </c>
      <c r="C2372" s="49"/>
      <c r="D2372" s="35" t="s">
        <v>565</v>
      </c>
      <c r="E2372" s="32">
        <v>0</v>
      </c>
      <c r="F2372" s="20">
        <v>0</v>
      </c>
      <c r="G2372" s="24">
        <f>E2372</f>
        <v>0</v>
      </c>
      <c r="H2372" s="20">
        <v>0</v>
      </c>
    </row>
    <row r="2373" spans="1:8" ht="15.75" hidden="1" customHeight="1" x14ac:dyDescent="0.25">
      <c r="A2373" s="20" t="s">
        <v>183</v>
      </c>
      <c r="B2373" s="47" t="s">
        <v>564</v>
      </c>
      <c r="C2373" s="49"/>
      <c r="D2373" s="35" t="s">
        <v>15</v>
      </c>
      <c r="E2373" s="32">
        <v>2</v>
      </c>
      <c r="F2373" s="18">
        <f>E2373* 0.975464549882735</f>
        <v>1.95092909976547</v>
      </c>
      <c r="G2373" s="18">
        <f>E2373* 0.00487100847916291</f>
        <v>9.7420169583258207E-3</v>
      </c>
      <c r="H2373" s="18">
        <f>E2373* 0.0195742377773769</f>
        <v>3.91484755547538E-2</v>
      </c>
    </row>
    <row r="2374" spans="1:8" ht="15.75" hidden="1" customHeight="1" x14ac:dyDescent="0.25">
      <c r="A2374" s="20" t="s">
        <v>183</v>
      </c>
      <c r="B2374" s="47" t="s">
        <v>564</v>
      </c>
      <c r="C2374" s="49"/>
      <c r="D2374" s="35" t="s">
        <v>566</v>
      </c>
      <c r="E2374" s="32">
        <v>1</v>
      </c>
      <c r="F2374" s="18">
        <f>E2374* 0.0607843137254902</f>
        <v>6.0784313725490202E-2</v>
      </c>
      <c r="G2374" s="18">
        <f>E2374* 0.93921568627451</f>
        <v>0.93921568627451002</v>
      </c>
      <c r="H2374" s="20">
        <v>0</v>
      </c>
    </row>
    <row r="2375" spans="1:8" ht="15.75" hidden="1" customHeight="1" x14ac:dyDescent="0.25">
      <c r="A2375" s="20" t="s">
        <v>183</v>
      </c>
      <c r="B2375" s="47" t="s">
        <v>564</v>
      </c>
      <c r="C2375" s="49"/>
      <c r="D2375" s="46" t="s">
        <v>17</v>
      </c>
      <c r="E2375" s="32">
        <v>3</v>
      </c>
      <c r="F2375" s="18">
        <f>E2375* 0.869679539852095</f>
        <v>2.6090386195562849</v>
      </c>
      <c r="G2375" s="18">
        <f>E2375* 0.0695152013147083</f>
        <v>0.20854560394412491</v>
      </c>
      <c r="H2375" s="18">
        <f>E2375* 0.0608052588331964</f>
        <v>0.18241577649958921</v>
      </c>
    </row>
    <row r="2376" spans="1:8" ht="15.75" hidden="1" customHeight="1" x14ac:dyDescent="0.25">
      <c r="A2376" s="20" t="s">
        <v>183</v>
      </c>
      <c r="B2376" s="47" t="s">
        <v>564</v>
      </c>
      <c r="C2376" s="49"/>
      <c r="D2376" s="46" t="s">
        <v>18</v>
      </c>
      <c r="E2376" s="32">
        <v>3</v>
      </c>
      <c r="F2376" s="18">
        <f>E2376* 0.941463414634146</f>
        <v>2.824390243902438</v>
      </c>
      <c r="G2376" s="18">
        <f>E2376* 0.0532833020637899</f>
        <v>0.15984990619136971</v>
      </c>
      <c r="H2376" s="18">
        <f>E2376* 0.00487804878048781</f>
        <v>1.4634146341463431E-2</v>
      </c>
    </row>
    <row r="2377" spans="1:8" ht="15.75" hidden="1" customHeight="1" x14ac:dyDescent="0.25">
      <c r="A2377" s="20" t="s">
        <v>183</v>
      </c>
      <c r="B2377" s="47" t="s">
        <v>564</v>
      </c>
      <c r="C2377" s="49"/>
      <c r="D2377" s="46" t="s">
        <v>19</v>
      </c>
      <c r="E2377" s="32">
        <v>3</v>
      </c>
      <c r="F2377" s="18">
        <f>E2377* 0.0748299319727891</f>
        <v>0.22448979591836732</v>
      </c>
      <c r="G2377" s="18">
        <f>E2377* 0.924036281179138</f>
        <v>2.7721088435374144</v>
      </c>
      <c r="H2377" s="18">
        <f>E2377* 0.00113378684807256</f>
        <v>3.40136054421768E-3</v>
      </c>
    </row>
    <row r="2378" spans="1:8" ht="15.75" hidden="1" customHeight="1" x14ac:dyDescent="0.25">
      <c r="A2378" s="20" t="s">
        <v>183</v>
      </c>
      <c r="B2378" s="47" t="s">
        <v>564</v>
      </c>
      <c r="C2378" s="49"/>
      <c r="D2378" s="46" t="s">
        <v>20</v>
      </c>
      <c r="E2378" s="32">
        <v>9</v>
      </c>
      <c r="F2378" s="18">
        <f>E2378* 0.799709724238026</f>
        <v>7.197387518142234</v>
      </c>
      <c r="G2378" s="18">
        <f>E2378* 0.150580551523948</f>
        <v>1.355224963715532</v>
      </c>
      <c r="H2378" s="18">
        <f>E2378* 0.0493468795355588</f>
        <v>0.44412191582002924</v>
      </c>
    </row>
    <row r="2379" spans="1:8" ht="15.75" hidden="1" customHeight="1" x14ac:dyDescent="0.25">
      <c r="A2379" s="20" t="s">
        <v>183</v>
      </c>
      <c r="B2379" s="47" t="s">
        <v>564</v>
      </c>
      <c r="C2379" s="49"/>
      <c r="D2379" s="46" t="s">
        <v>21</v>
      </c>
      <c r="E2379" s="32">
        <v>28</v>
      </c>
      <c r="F2379" s="18">
        <f>E2379* 0.999328295549958</f>
        <v>27.981192275398822</v>
      </c>
      <c r="G2379" s="18">
        <f>E2379* 0.000335852225020991</f>
        <v>9.4038623005877481E-3</v>
      </c>
      <c r="H2379" s="18">
        <f>E2379* 0.000335852225020991</f>
        <v>9.4038623005877481E-3</v>
      </c>
    </row>
    <row r="2380" spans="1:8" ht="15.75" hidden="1" customHeight="1" x14ac:dyDescent="0.25">
      <c r="A2380" s="20" t="s">
        <v>183</v>
      </c>
      <c r="B2380" s="47" t="s">
        <v>564</v>
      </c>
      <c r="C2380" s="49"/>
      <c r="D2380" s="46" t="s">
        <v>12</v>
      </c>
      <c r="E2380" s="32">
        <v>5</v>
      </c>
      <c r="F2380" s="18">
        <f>E2380* 0.894051651143099</f>
        <v>4.4702582557154953</v>
      </c>
      <c r="G2380" s="18">
        <f>E2380* 0.0675804403048264</f>
        <v>0.33790220152413203</v>
      </c>
      <c r="H2380" s="18">
        <f>E2380* 0.0382091447925487</f>
        <v>0.1910457239627435</v>
      </c>
    </row>
    <row r="2381" spans="1:8" ht="15.75" hidden="1" customHeight="1" x14ac:dyDescent="0.25">
      <c r="A2381" s="20" t="s">
        <v>183</v>
      </c>
      <c r="B2381" s="20"/>
      <c r="C2381" s="20"/>
      <c r="D2381" s="46"/>
      <c r="E2381" s="35"/>
    </row>
    <row r="2382" spans="1:8" ht="15.75" hidden="1" customHeight="1" x14ac:dyDescent="0.25">
      <c r="A2382" s="20" t="s">
        <v>183</v>
      </c>
      <c r="B2382" s="47" t="s">
        <v>207</v>
      </c>
      <c r="C2382" s="12" t="str">
        <f>B2382&amp;"_"&amp;A2382</f>
        <v>Tupiza_Potosí</v>
      </c>
      <c r="D2382" s="20"/>
      <c r="E2382" s="48">
        <v>6405</v>
      </c>
      <c r="F2382" s="14">
        <f t="shared" ref="F2382:H2382" si="206">SUM(F2383:F2395)</f>
        <v>5718.0148384828171</v>
      </c>
      <c r="G2382" s="14">
        <f t="shared" si="206"/>
        <v>572.46315432669326</v>
      </c>
      <c r="H2382" s="14">
        <f t="shared" si="206"/>
        <v>114.16979485902067</v>
      </c>
    </row>
    <row r="2383" spans="1:8" ht="15.75" hidden="1" customHeight="1" x14ac:dyDescent="0.25">
      <c r="A2383" s="20" t="s">
        <v>183</v>
      </c>
      <c r="B2383" s="47" t="s">
        <v>207</v>
      </c>
      <c r="C2383" s="49"/>
      <c r="D2383" s="35" t="s">
        <v>567</v>
      </c>
      <c r="E2383" s="32">
        <v>0</v>
      </c>
      <c r="F2383" s="20">
        <v>0</v>
      </c>
      <c r="G2383" s="24">
        <f>E2383</f>
        <v>0</v>
      </c>
      <c r="H2383" s="20">
        <v>0</v>
      </c>
    </row>
    <row r="2384" spans="1:8" ht="15.75" hidden="1" customHeight="1" x14ac:dyDescent="0.25">
      <c r="A2384" s="20" t="s">
        <v>183</v>
      </c>
      <c r="B2384" s="47" t="s">
        <v>207</v>
      </c>
      <c r="C2384" s="49"/>
      <c r="D2384" s="46" t="s">
        <v>15</v>
      </c>
      <c r="E2384" s="32">
        <v>603</v>
      </c>
      <c r="F2384" s="18">
        <f>E2384* 0.975464549882735</f>
        <v>588.20512357928919</v>
      </c>
      <c r="G2384" s="18">
        <f>E2384* 0.00487100847916291</f>
        <v>2.937218112935235</v>
      </c>
      <c r="H2384" s="18">
        <f>E2384* 0.0195742377773769</f>
        <v>11.803265379758271</v>
      </c>
    </row>
    <row r="2385" spans="1:8" ht="15.75" hidden="1" customHeight="1" x14ac:dyDescent="0.25">
      <c r="A2385" s="20" t="s">
        <v>183</v>
      </c>
      <c r="B2385" s="47" t="s">
        <v>207</v>
      </c>
      <c r="C2385" s="49"/>
      <c r="D2385" s="35" t="s">
        <v>568</v>
      </c>
      <c r="E2385" s="32">
        <v>23</v>
      </c>
      <c r="F2385" s="18">
        <f>E2385* 0.0607843137254902</f>
        <v>1.3980392156862746</v>
      </c>
      <c r="G2385" s="18">
        <f>E2385* 0.93921568627451</f>
        <v>21.601960784313732</v>
      </c>
      <c r="H2385" s="20">
        <v>0</v>
      </c>
    </row>
    <row r="2386" spans="1:8" ht="15.75" hidden="1" customHeight="1" x14ac:dyDescent="0.25">
      <c r="A2386" s="20" t="s">
        <v>183</v>
      </c>
      <c r="B2386" s="47" t="s">
        <v>207</v>
      </c>
      <c r="C2386" s="49"/>
      <c r="D2386" s="46" t="s">
        <v>11</v>
      </c>
      <c r="E2386" s="32">
        <v>381</v>
      </c>
      <c r="F2386" s="18">
        <f>E2386* 0.175725756639901</f>
        <v>66.951513279802285</v>
      </c>
      <c r="G2386" s="18">
        <f>E2386* 0.823656578134651</f>
        <v>313.813156269302</v>
      </c>
      <c r="H2386" s="18">
        <f>E2386* 0.000617665225447807</f>
        <v>0.23533045089561447</v>
      </c>
    </row>
    <row r="2387" spans="1:8" ht="15.75" hidden="1" customHeight="1" x14ac:dyDescent="0.25">
      <c r="A2387" s="20" t="s">
        <v>183</v>
      </c>
      <c r="B2387" s="47" t="s">
        <v>207</v>
      </c>
      <c r="C2387" s="49"/>
      <c r="D2387" s="46" t="s">
        <v>17</v>
      </c>
      <c r="E2387" s="32">
        <v>704</v>
      </c>
      <c r="F2387" s="18">
        <f>E2387* 0.869679539852095</f>
        <v>612.25439605587485</v>
      </c>
      <c r="G2387" s="18">
        <f>E2387* 0.0695152013147083</f>
        <v>48.938701725554644</v>
      </c>
      <c r="H2387" s="18">
        <f>E2387* 0.0608052588331964</f>
        <v>42.806902218570265</v>
      </c>
    </row>
    <row r="2388" spans="1:8" ht="15.75" hidden="1" customHeight="1" x14ac:dyDescent="0.25">
      <c r="A2388" s="20" t="s">
        <v>183</v>
      </c>
      <c r="B2388" s="47" t="s">
        <v>207</v>
      </c>
      <c r="C2388" s="49"/>
      <c r="D2388" s="46" t="s">
        <v>31</v>
      </c>
      <c r="E2388" s="32">
        <v>5</v>
      </c>
      <c r="F2388" s="18">
        <f>E2388* 0.93</f>
        <v>4.6500000000000004</v>
      </c>
      <c r="G2388" s="18">
        <f>E2388* 0.05</f>
        <v>0.25</v>
      </c>
      <c r="H2388" s="18">
        <f>E2388* 0.02</f>
        <v>0.1</v>
      </c>
    </row>
    <row r="2389" spans="1:8" ht="15.75" hidden="1" customHeight="1" x14ac:dyDescent="0.25">
      <c r="A2389" s="20" t="s">
        <v>183</v>
      </c>
      <c r="B2389" s="47" t="s">
        <v>207</v>
      </c>
      <c r="C2389" s="49"/>
      <c r="D2389" s="46" t="s">
        <v>18</v>
      </c>
      <c r="E2389" s="32">
        <v>118</v>
      </c>
      <c r="F2389" s="18">
        <f>E2389* 0.941463414634146</f>
        <v>111.09268292682923</v>
      </c>
      <c r="G2389" s="18">
        <f>E2389* 0.0532833020637899</f>
        <v>6.2874296435272088</v>
      </c>
      <c r="H2389" s="18">
        <f>E2389* 0.00487804878048781</f>
        <v>0.5756097560975616</v>
      </c>
    </row>
    <row r="2390" spans="1:8" ht="15.75" hidden="1" customHeight="1" x14ac:dyDescent="0.25">
      <c r="A2390" s="20" t="s">
        <v>183</v>
      </c>
      <c r="B2390" s="47" t="s">
        <v>207</v>
      </c>
      <c r="C2390" s="49"/>
      <c r="D2390" s="46" t="s">
        <v>19</v>
      </c>
      <c r="E2390" s="32">
        <v>65</v>
      </c>
      <c r="F2390" s="18">
        <f>E2390* 0.0748299319727891</f>
        <v>4.8639455782312915</v>
      </c>
      <c r="G2390" s="18">
        <f>E2390* 0.924036281179138</f>
        <v>60.062358276643977</v>
      </c>
      <c r="H2390" s="18">
        <f>E2390* 0.00113378684807256</f>
        <v>7.3696145124716395E-2</v>
      </c>
    </row>
    <row r="2391" spans="1:8" ht="15.75" hidden="1" customHeight="1" x14ac:dyDescent="0.25">
      <c r="A2391" s="20" t="s">
        <v>183</v>
      </c>
      <c r="B2391" s="47" t="s">
        <v>207</v>
      </c>
      <c r="C2391" s="49"/>
      <c r="D2391" s="46" t="s">
        <v>20</v>
      </c>
      <c r="E2391" s="32">
        <v>91</v>
      </c>
      <c r="F2391" s="18">
        <f>E2391* 0.799709724238026</f>
        <v>72.773584905660371</v>
      </c>
      <c r="G2391" s="18">
        <f>E2391* 0.150580551523948</f>
        <v>13.702830188679268</v>
      </c>
      <c r="H2391" s="18">
        <f>E2391* 0.0493468795355588</f>
        <v>4.4905660377358512</v>
      </c>
    </row>
    <row r="2392" spans="1:8" ht="15.75" hidden="1" customHeight="1" x14ac:dyDescent="0.25">
      <c r="A2392" s="20" t="s">
        <v>183</v>
      </c>
      <c r="B2392" s="47" t="s">
        <v>207</v>
      </c>
      <c r="C2392" s="49"/>
      <c r="D2392" s="46" t="s">
        <v>21</v>
      </c>
      <c r="E2392" s="32">
        <v>3013</v>
      </c>
      <c r="F2392" s="18">
        <f>E2392* 0.999328295549958</f>
        <v>3010.9761544920234</v>
      </c>
      <c r="G2392" s="18">
        <f>E2392* 0.000335852225020991</f>
        <v>1.011922753988246</v>
      </c>
      <c r="H2392" s="18">
        <f>E2392* 0.000335852225020991</f>
        <v>1.011922753988246</v>
      </c>
    </row>
    <row r="2393" spans="1:8" ht="15.75" hidden="1" customHeight="1" x14ac:dyDescent="0.25">
      <c r="A2393" s="20" t="s">
        <v>183</v>
      </c>
      <c r="B2393" s="47" t="s">
        <v>207</v>
      </c>
      <c r="C2393" s="49"/>
      <c r="D2393" s="46" t="s">
        <v>36</v>
      </c>
      <c r="E2393" s="32">
        <v>3</v>
      </c>
      <c r="F2393" s="24">
        <f>E2393</f>
        <v>3</v>
      </c>
      <c r="G2393" s="20">
        <v>0</v>
      </c>
      <c r="H2393" s="20">
        <v>0</v>
      </c>
    </row>
    <row r="2394" spans="1:8" ht="15.75" hidden="1" customHeight="1" x14ac:dyDescent="0.25">
      <c r="A2394" s="20" t="s">
        <v>183</v>
      </c>
      <c r="B2394" s="47" t="s">
        <v>207</v>
      </c>
      <c r="C2394" s="49"/>
      <c r="D2394" s="46" t="s">
        <v>148</v>
      </c>
      <c r="E2394" s="32">
        <v>10</v>
      </c>
      <c r="F2394" s="18">
        <f>E2394* 0.00116550116550117</f>
        <v>1.1655011655011701E-2</v>
      </c>
      <c r="G2394" s="18">
        <f>E2394* 0.998834498834499</f>
        <v>9.9883449883449913</v>
      </c>
      <c r="H2394" s="20">
        <v>0</v>
      </c>
    </row>
    <row r="2395" spans="1:8" ht="15.75" hidden="1" customHeight="1" x14ac:dyDescent="0.25">
      <c r="A2395" s="20" t="s">
        <v>183</v>
      </c>
      <c r="B2395" s="47" t="s">
        <v>207</v>
      </c>
      <c r="C2395" s="49"/>
      <c r="D2395" s="46" t="s">
        <v>12</v>
      </c>
      <c r="E2395" s="32">
        <v>1389</v>
      </c>
      <c r="F2395" s="18">
        <f>E2395* 0.894051651143099</f>
        <v>1241.8377434377646</v>
      </c>
      <c r="G2395" s="18">
        <f>E2395* 0.0675804403048264</f>
        <v>93.869231583403874</v>
      </c>
      <c r="H2395" s="18">
        <f>E2395* 0.0382091447925487</f>
        <v>53.072502116850146</v>
      </c>
    </row>
    <row r="2396" spans="1:8" ht="15.75" hidden="1" customHeight="1" x14ac:dyDescent="0.25">
      <c r="A2396" s="20" t="s">
        <v>183</v>
      </c>
      <c r="B2396" s="20"/>
      <c r="C2396" s="20"/>
      <c r="D2396" s="46"/>
      <c r="E2396" s="35"/>
    </row>
    <row r="2397" spans="1:8" ht="15.75" hidden="1" customHeight="1" x14ac:dyDescent="0.25">
      <c r="A2397" s="20" t="s">
        <v>183</v>
      </c>
      <c r="B2397" s="47" t="s">
        <v>208</v>
      </c>
      <c r="C2397" s="12" t="str">
        <f>B2397&amp;"_"&amp;A2397</f>
        <v>Uncía_Potosí</v>
      </c>
      <c r="D2397" s="20"/>
      <c r="E2397" s="48">
        <v>564</v>
      </c>
      <c r="F2397" s="14">
        <f t="shared" ref="F2397:H2397" si="207">SUM(F2398:F2409)</f>
        <v>483.85203230617151</v>
      </c>
      <c r="G2397" s="14">
        <f t="shared" si="207"/>
        <v>63.882829750434524</v>
      </c>
      <c r="H2397" s="14">
        <f t="shared" si="207"/>
        <v>16.199078139511023</v>
      </c>
    </row>
    <row r="2398" spans="1:8" ht="15.75" hidden="1" customHeight="1" x14ac:dyDescent="0.25">
      <c r="A2398" s="20" t="s">
        <v>183</v>
      </c>
      <c r="B2398" s="47" t="s">
        <v>208</v>
      </c>
      <c r="C2398" s="49"/>
      <c r="D2398" s="35" t="s">
        <v>569</v>
      </c>
      <c r="E2398" s="32">
        <v>11</v>
      </c>
      <c r="F2398" s="20">
        <v>0</v>
      </c>
      <c r="G2398" s="24">
        <f>E2398</f>
        <v>11</v>
      </c>
      <c r="H2398" s="20">
        <v>0</v>
      </c>
    </row>
    <row r="2399" spans="1:8" ht="15.75" hidden="1" customHeight="1" x14ac:dyDescent="0.25">
      <c r="A2399" s="20" t="s">
        <v>183</v>
      </c>
      <c r="B2399" s="47" t="s">
        <v>208</v>
      </c>
      <c r="C2399" s="49"/>
      <c r="D2399" s="46" t="s">
        <v>15</v>
      </c>
      <c r="E2399" s="32">
        <v>30</v>
      </c>
      <c r="F2399" s="18">
        <f>E2399* 0.975464549882735</f>
        <v>29.263936496482049</v>
      </c>
      <c r="G2399" s="18">
        <f>E2399* 0.00487100847916291</f>
        <v>0.1461302543748873</v>
      </c>
      <c r="H2399" s="18">
        <f>E2399* 0.0195742377773769</f>
        <v>0.58722713332130705</v>
      </c>
    </row>
    <row r="2400" spans="1:8" ht="15.75" hidden="1" customHeight="1" x14ac:dyDescent="0.25">
      <c r="A2400" s="20" t="s">
        <v>183</v>
      </c>
      <c r="B2400" s="47" t="s">
        <v>208</v>
      </c>
      <c r="C2400" s="49"/>
      <c r="D2400" s="35" t="s">
        <v>570</v>
      </c>
      <c r="E2400" s="32">
        <v>1</v>
      </c>
      <c r="F2400" s="18">
        <f>E2400* 0.0607843137254902</f>
        <v>6.0784313725490202E-2</v>
      </c>
      <c r="G2400" s="18">
        <f>E2400* 0.93921568627451</f>
        <v>0.93921568627451002</v>
      </c>
      <c r="H2400" s="20">
        <v>0</v>
      </c>
    </row>
    <row r="2401" spans="1:8" ht="15.75" hidden="1" customHeight="1" x14ac:dyDescent="0.25">
      <c r="A2401" s="20" t="s">
        <v>183</v>
      </c>
      <c r="B2401" s="47" t="s">
        <v>208</v>
      </c>
      <c r="C2401" s="49"/>
      <c r="D2401" s="46" t="s">
        <v>11</v>
      </c>
      <c r="E2401" s="32">
        <v>25</v>
      </c>
      <c r="F2401" s="18">
        <f>E2401* 0.175725756639901</f>
        <v>4.3931439159975252</v>
      </c>
      <c r="G2401" s="18">
        <f>E2401* 0.823656578134651</f>
        <v>20.591414453366276</v>
      </c>
      <c r="H2401" s="18">
        <f>E2401* 0.000617665225447807</f>
        <v>1.5441630636195174E-2</v>
      </c>
    </row>
    <row r="2402" spans="1:8" ht="15.75" hidden="1" customHeight="1" x14ac:dyDescent="0.25">
      <c r="A2402" s="20" t="s">
        <v>183</v>
      </c>
      <c r="B2402" s="47" t="s">
        <v>208</v>
      </c>
      <c r="C2402" s="49"/>
      <c r="D2402" s="46" t="s">
        <v>17</v>
      </c>
      <c r="E2402" s="32">
        <v>31</v>
      </c>
      <c r="F2402" s="18">
        <f>E2402* 0.869679539852095</f>
        <v>26.960065735414947</v>
      </c>
      <c r="G2402" s="18">
        <f>E2402* 0.0695152013147083</f>
        <v>2.1549712407559571</v>
      </c>
      <c r="H2402" s="18">
        <f>E2402* 0.0608052588331964</f>
        <v>1.8849630238290884</v>
      </c>
    </row>
    <row r="2403" spans="1:8" ht="15.75" hidden="1" customHeight="1" x14ac:dyDescent="0.25">
      <c r="A2403" s="20" t="s">
        <v>183</v>
      </c>
      <c r="B2403" s="47" t="s">
        <v>208</v>
      </c>
      <c r="C2403" s="49"/>
      <c r="D2403" s="46" t="s">
        <v>31</v>
      </c>
      <c r="E2403" s="32">
        <v>3</v>
      </c>
      <c r="F2403" s="18">
        <f>E2403* 0.93</f>
        <v>2.79</v>
      </c>
      <c r="G2403" s="18">
        <f>E2403* 0.05</f>
        <v>0.15000000000000002</v>
      </c>
      <c r="H2403" s="18">
        <f>E2403* 0.02</f>
        <v>0.06</v>
      </c>
    </row>
    <row r="2404" spans="1:8" ht="15.75" hidden="1" customHeight="1" x14ac:dyDescent="0.25">
      <c r="A2404" s="20" t="s">
        <v>183</v>
      </c>
      <c r="B2404" s="47" t="s">
        <v>208</v>
      </c>
      <c r="C2404" s="49"/>
      <c r="D2404" s="46" t="s">
        <v>18</v>
      </c>
      <c r="E2404" s="32">
        <v>8</v>
      </c>
      <c r="F2404" s="18">
        <f>E2404* 0.941463414634146</f>
        <v>7.5317073170731677</v>
      </c>
      <c r="G2404" s="18">
        <f>E2404* 0.0532833020637899</f>
        <v>0.42626641651031921</v>
      </c>
      <c r="H2404" s="18">
        <f>E2404* 0.00487804878048781</f>
        <v>3.9024390243902481E-2</v>
      </c>
    </row>
    <row r="2405" spans="1:8" ht="15.75" hidden="1" customHeight="1" x14ac:dyDescent="0.25">
      <c r="A2405" s="20" t="s">
        <v>183</v>
      </c>
      <c r="B2405" s="47" t="s">
        <v>208</v>
      </c>
      <c r="C2405" s="49"/>
      <c r="D2405" s="46" t="s">
        <v>19</v>
      </c>
      <c r="E2405" s="32">
        <v>2</v>
      </c>
      <c r="F2405" s="18">
        <f>E2405* 0.0748299319727891</f>
        <v>0.1496598639455782</v>
      </c>
      <c r="G2405" s="18">
        <f>E2405* 0.924036281179138</f>
        <v>1.8480725623582761</v>
      </c>
      <c r="H2405" s="18">
        <f>E2405* 0.00113378684807256</f>
        <v>2.26757369614512E-3</v>
      </c>
    </row>
    <row r="2406" spans="1:8" ht="15.75" hidden="1" customHeight="1" x14ac:dyDescent="0.25">
      <c r="A2406" s="20" t="s">
        <v>183</v>
      </c>
      <c r="B2406" s="47" t="s">
        <v>208</v>
      </c>
      <c r="C2406" s="49"/>
      <c r="D2406" s="46" t="s">
        <v>20</v>
      </c>
      <c r="E2406" s="32">
        <v>25</v>
      </c>
      <c r="F2406" s="18">
        <f>E2406* 0.799709724238026</f>
        <v>19.992743105950652</v>
      </c>
      <c r="G2406" s="18">
        <f>E2406* 0.150580551523948</f>
        <v>3.7645137880987001</v>
      </c>
      <c r="H2406" s="18">
        <f>E2406* 0.0493468795355588</f>
        <v>1.23367198838897</v>
      </c>
    </row>
    <row r="2407" spans="1:8" ht="15.75" hidden="1" customHeight="1" x14ac:dyDescent="0.25">
      <c r="A2407" s="20" t="s">
        <v>183</v>
      </c>
      <c r="B2407" s="47" t="s">
        <v>208</v>
      </c>
      <c r="C2407" s="49"/>
      <c r="D2407" s="46" t="s">
        <v>21</v>
      </c>
      <c r="E2407" s="32">
        <v>104</v>
      </c>
      <c r="F2407" s="18">
        <f>E2407* 0.999328295549958</f>
        <v>103.93014273719562</v>
      </c>
      <c r="G2407" s="18">
        <f>E2407* 0.000335852225020991</f>
        <v>3.4928631402183066E-2</v>
      </c>
      <c r="H2407" s="18">
        <f>E2407* 0.000335852225020991</f>
        <v>3.4928631402183066E-2</v>
      </c>
    </row>
    <row r="2408" spans="1:8" ht="15.75" hidden="1" customHeight="1" x14ac:dyDescent="0.25">
      <c r="A2408" s="20" t="s">
        <v>183</v>
      </c>
      <c r="B2408" s="47" t="s">
        <v>208</v>
      </c>
      <c r="C2408" s="49"/>
      <c r="D2408" s="46" t="s">
        <v>28</v>
      </c>
      <c r="E2408" s="32">
        <v>1</v>
      </c>
      <c r="F2408" s="18">
        <f>E2408* 0.00116550116550117</f>
        <v>1.1655011655011701E-3</v>
      </c>
      <c r="G2408" s="18">
        <f>E2408* 0.998834498834499</f>
        <v>0.99883449883449904</v>
      </c>
      <c r="H2408" s="20">
        <v>0</v>
      </c>
    </row>
    <row r="2409" spans="1:8" ht="15.75" hidden="1" customHeight="1" x14ac:dyDescent="0.25">
      <c r="A2409" s="20" t="s">
        <v>183</v>
      </c>
      <c r="B2409" s="47" t="s">
        <v>208</v>
      </c>
      <c r="C2409" s="49"/>
      <c r="D2409" s="46" t="s">
        <v>12</v>
      </c>
      <c r="E2409" s="32">
        <v>323</v>
      </c>
      <c r="F2409" s="18">
        <f>E2409* 0.894051651143099</f>
        <v>288.77868331922099</v>
      </c>
      <c r="G2409" s="18">
        <f>E2409* 0.0675804403048264</f>
        <v>21.82848221845893</v>
      </c>
      <c r="H2409" s="18">
        <f>E2409* 0.0382091447925487</f>
        <v>12.341553767993231</v>
      </c>
    </row>
    <row r="2410" spans="1:8" ht="15.75" hidden="1" customHeight="1" x14ac:dyDescent="0.25">
      <c r="A2410" s="20" t="s">
        <v>183</v>
      </c>
      <c r="B2410" s="20"/>
      <c r="C2410" s="20"/>
      <c r="D2410" s="46"/>
      <c r="E2410" s="35"/>
    </row>
    <row r="2411" spans="1:8" ht="15.75" hidden="1" customHeight="1" x14ac:dyDescent="0.25">
      <c r="A2411" s="20" t="s">
        <v>183</v>
      </c>
      <c r="B2411" s="47" t="s">
        <v>209</v>
      </c>
      <c r="C2411" s="12" t="str">
        <f>B2411&amp;"_"&amp;A2411</f>
        <v>Uyuni_Potosí</v>
      </c>
      <c r="D2411" s="20"/>
      <c r="E2411" s="48">
        <v>4555</v>
      </c>
      <c r="F2411" s="14">
        <f t="shared" ref="F2411:H2411" si="208">SUM(F2412:F2425)</f>
        <v>3708.8853722943577</v>
      </c>
      <c r="G2411" s="14">
        <f t="shared" si="208"/>
        <v>715.10468134074335</v>
      </c>
      <c r="H2411" s="14">
        <f t="shared" si="208"/>
        <v>130.54337250185387</v>
      </c>
    </row>
    <row r="2412" spans="1:8" ht="15.75" hidden="1" customHeight="1" x14ac:dyDescent="0.25">
      <c r="A2412" s="20" t="s">
        <v>183</v>
      </c>
      <c r="B2412" s="47" t="s">
        <v>209</v>
      </c>
      <c r="C2412" s="49"/>
      <c r="D2412" s="35" t="s">
        <v>571</v>
      </c>
      <c r="E2412" s="32">
        <v>0</v>
      </c>
      <c r="F2412" s="20">
        <v>0</v>
      </c>
      <c r="G2412" s="24">
        <f>E2412</f>
        <v>0</v>
      </c>
      <c r="H2412" s="20">
        <v>0</v>
      </c>
    </row>
    <row r="2413" spans="1:8" ht="15.75" hidden="1" customHeight="1" x14ac:dyDescent="0.25">
      <c r="A2413" s="20" t="s">
        <v>183</v>
      </c>
      <c r="B2413" s="47" t="s">
        <v>209</v>
      </c>
      <c r="C2413" s="49"/>
      <c r="D2413" s="46" t="s">
        <v>15</v>
      </c>
      <c r="E2413" s="32">
        <v>504</v>
      </c>
      <c r="F2413" s="18">
        <f>E2413* 0.975464549882735</f>
        <v>491.63413314089843</v>
      </c>
      <c r="G2413" s="18">
        <f>E2413* 0.00487100847916291</f>
        <v>2.454988273498107</v>
      </c>
      <c r="H2413" s="18">
        <f>E2413* 0.0195742377773769</f>
        <v>9.8654158397979579</v>
      </c>
    </row>
    <row r="2414" spans="1:8" ht="15.75" hidden="1" customHeight="1" x14ac:dyDescent="0.25">
      <c r="A2414" s="20" t="s">
        <v>183</v>
      </c>
      <c r="B2414" s="47" t="s">
        <v>209</v>
      </c>
      <c r="C2414" s="49"/>
      <c r="D2414" s="35" t="s">
        <v>572</v>
      </c>
      <c r="E2414" s="32">
        <v>57</v>
      </c>
      <c r="F2414" s="18">
        <f>E2414* 0.0607843137254902</f>
        <v>3.4647058823529413</v>
      </c>
      <c r="G2414" s="18">
        <f>E2414* 0.93921568627451</f>
        <v>53.535294117647069</v>
      </c>
      <c r="H2414" s="20">
        <v>0</v>
      </c>
    </row>
    <row r="2415" spans="1:8" ht="15.75" hidden="1" customHeight="1" x14ac:dyDescent="0.25">
      <c r="A2415" s="20" t="s">
        <v>183</v>
      </c>
      <c r="B2415" s="47" t="s">
        <v>209</v>
      </c>
      <c r="C2415" s="49"/>
      <c r="D2415" s="46" t="s">
        <v>11</v>
      </c>
      <c r="E2415" s="32">
        <v>355</v>
      </c>
      <c r="F2415" s="18">
        <f>E2415* 0.175725756639901</f>
        <v>62.382643607164859</v>
      </c>
      <c r="G2415" s="18">
        <f>E2415* 0.823656578134651</f>
        <v>292.39808523780113</v>
      </c>
      <c r="H2415" s="18">
        <f>E2415* 0.000617665225447807</f>
        <v>0.21927115503397149</v>
      </c>
    </row>
    <row r="2416" spans="1:8" ht="15.75" hidden="1" customHeight="1" x14ac:dyDescent="0.25">
      <c r="A2416" s="20" t="s">
        <v>183</v>
      </c>
      <c r="B2416" s="47" t="s">
        <v>209</v>
      </c>
      <c r="C2416" s="49"/>
      <c r="D2416" s="46" t="s">
        <v>17</v>
      </c>
      <c r="E2416" s="32">
        <v>546</v>
      </c>
      <c r="F2416" s="18">
        <f>E2416* 0.869679539852095</f>
        <v>474.84502875924386</v>
      </c>
      <c r="G2416" s="18">
        <f>E2416* 0.0695152013147083</f>
        <v>37.955299917830729</v>
      </c>
      <c r="H2416" s="18">
        <f>E2416* 0.0608052588331964</f>
        <v>33.199671322925234</v>
      </c>
    </row>
    <row r="2417" spans="1:8" ht="15.75" hidden="1" customHeight="1" x14ac:dyDescent="0.25">
      <c r="A2417" s="20" t="s">
        <v>183</v>
      </c>
      <c r="B2417" s="47" t="s">
        <v>209</v>
      </c>
      <c r="C2417" s="49"/>
      <c r="D2417" s="46" t="s">
        <v>31</v>
      </c>
      <c r="E2417" s="32">
        <v>9</v>
      </c>
      <c r="F2417" s="18">
        <f>E2417* 0.93</f>
        <v>8.370000000000001</v>
      </c>
      <c r="G2417" s="18">
        <f>E2417* 0.05</f>
        <v>0.45</v>
      </c>
      <c r="H2417" s="18">
        <f>E2417* 0.02</f>
        <v>0.18</v>
      </c>
    </row>
    <row r="2418" spans="1:8" ht="15.75" hidden="1" customHeight="1" x14ac:dyDescent="0.25">
      <c r="A2418" s="20" t="s">
        <v>183</v>
      </c>
      <c r="B2418" s="47" t="s">
        <v>209</v>
      </c>
      <c r="C2418" s="49"/>
      <c r="D2418" s="46" t="s">
        <v>18</v>
      </c>
      <c r="E2418" s="32">
        <v>109</v>
      </c>
      <c r="F2418" s="18">
        <f>E2418* 0.941463414634146</f>
        <v>102.61951219512191</v>
      </c>
      <c r="G2418" s="18">
        <f>E2418* 0.0532833020637899</f>
        <v>5.8078799249530997</v>
      </c>
      <c r="H2418" s="18">
        <f>E2418* 0.00487804878048781</f>
        <v>0.53170731707317131</v>
      </c>
    </row>
    <row r="2419" spans="1:8" ht="15.75" hidden="1" customHeight="1" x14ac:dyDescent="0.25">
      <c r="A2419" s="20" t="s">
        <v>183</v>
      </c>
      <c r="B2419" s="47" t="s">
        <v>209</v>
      </c>
      <c r="C2419" s="49"/>
      <c r="D2419" s="35" t="s">
        <v>573</v>
      </c>
      <c r="E2419" s="32">
        <v>2</v>
      </c>
      <c r="F2419" s="20">
        <v>0</v>
      </c>
      <c r="G2419" s="24">
        <f>E2419</f>
        <v>2</v>
      </c>
      <c r="H2419" s="20">
        <v>0</v>
      </c>
    </row>
    <row r="2420" spans="1:8" ht="15.75" hidden="1" customHeight="1" x14ac:dyDescent="0.25">
      <c r="A2420" s="20" t="s">
        <v>183</v>
      </c>
      <c r="B2420" s="47" t="s">
        <v>209</v>
      </c>
      <c r="C2420" s="49"/>
      <c r="D2420" s="46" t="s">
        <v>19</v>
      </c>
      <c r="E2420" s="32">
        <v>11</v>
      </c>
      <c r="F2420" s="18">
        <f>E2420* 0.0748299319727891</f>
        <v>0.82312925170068008</v>
      </c>
      <c r="G2420" s="18">
        <f>E2420* 0.924036281179138</f>
        <v>10.164399092970518</v>
      </c>
      <c r="H2420" s="18">
        <f>E2420* 0.00113378684807256</f>
        <v>1.247165532879816E-2</v>
      </c>
    </row>
    <row r="2421" spans="1:8" ht="15.75" hidden="1" customHeight="1" x14ac:dyDescent="0.25">
      <c r="A2421" s="20" t="s">
        <v>183</v>
      </c>
      <c r="B2421" s="47" t="s">
        <v>209</v>
      </c>
      <c r="C2421" s="49"/>
      <c r="D2421" s="46" t="s">
        <v>20</v>
      </c>
      <c r="E2421" s="32">
        <v>136</v>
      </c>
      <c r="F2421" s="18">
        <f>E2421* 0.799709724238026</f>
        <v>108.76052249637154</v>
      </c>
      <c r="G2421" s="18">
        <f>E2421* 0.150580551523948</f>
        <v>20.478955007256928</v>
      </c>
      <c r="H2421" s="18">
        <f>E2421* 0.0493468795355588</f>
        <v>6.7111756168359973</v>
      </c>
    </row>
    <row r="2422" spans="1:8" ht="15.75" hidden="1" customHeight="1" x14ac:dyDescent="0.25">
      <c r="A2422" s="20" t="s">
        <v>183</v>
      </c>
      <c r="B2422" s="47" t="s">
        <v>209</v>
      </c>
      <c r="C2422" s="49"/>
      <c r="D2422" s="46" t="s">
        <v>21</v>
      </c>
      <c r="E2422" s="32">
        <v>583</v>
      </c>
      <c r="F2422" s="18">
        <f>E2422* 0.999328295549958</f>
        <v>582.60839630562543</v>
      </c>
      <c r="G2422" s="18">
        <f>E2422* 0.000335852225020991</f>
        <v>0.19580184718723778</v>
      </c>
      <c r="H2422" s="18">
        <f>E2422* 0.000335852225020991</f>
        <v>0.19580184718723778</v>
      </c>
    </row>
    <row r="2423" spans="1:8" ht="15.75" hidden="1" customHeight="1" x14ac:dyDescent="0.25">
      <c r="A2423" s="20" t="s">
        <v>183</v>
      </c>
      <c r="B2423" s="47" t="s">
        <v>209</v>
      </c>
      <c r="C2423" s="49"/>
      <c r="D2423" s="46" t="s">
        <v>36</v>
      </c>
      <c r="E2423" s="32">
        <v>10</v>
      </c>
      <c r="F2423" s="24">
        <f>E2423</f>
        <v>10</v>
      </c>
      <c r="G2423" s="20">
        <v>0</v>
      </c>
      <c r="H2423" s="20">
        <v>0</v>
      </c>
    </row>
    <row r="2424" spans="1:8" ht="15.75" hidden="1" customHeight="1" x14ac:dyDescent="0.25">
      <c r="A2424" s="20" t="s">
        <v>183</v>
      </c>
      <c r="B2424" s="47" t="s">
        <v>209</v>
      </c>
      <c r="C2424" s="49"/>
      <c r="D2424" s="46" t="s">
        <v>28</v>
      </c>
      <c r="E2424" s="32">
        <v>149</v>
      </c>
      <c r="F2424" s="18">
        <f>E2424* 0.00116550116550117</f>
        <v>0.17365967365967433</v>
      </c>
      <c r="G2424" s="18">
        <f>E2424* 0.998834498834499</f>
        <v>148.82634032634036</v>
      </c>
      <c r="H2424" s="20">
        <v>0</v>
      </c>
    </row>
    <row r="2425" spans="1:8" ht="15.75" hidden="1" customHeight="1" x14ac:dyDescent="0.25">
      <c r="A2425" s="20" t="s">
        <v>183</v>
      </c>
      <c r="B2425" s="47" t="s">
        <v>209</v>
      </c>
      <c r="C2425" s="49"/>
      <c r="D2425" s="46" t="s">
        <v>12</v>
      </c>
      <c r="E2425" s="32">
        <v>2084</v>
      </c>
      <c r="F2425" s="18">
        <f>E2425* 0.894051651143099</f>
        <v>1863.2036409822183</v>
      </c>
      <c r="G2425" s="18">
        <f>E2425* 0.0675804403048264</f>
        <v>140.83763759525823</v>
      </c>
      <c r="H2425" s="18">
        <f>E2425* 0.0382091447925487</f>
        <v>79.627857747671499</v>
      </c>
    </row>
    <row r="2426" spans="1:8" ht="15.75" hidden="1" customHeight="1" x14ac:dyDescent="0.25">
      <c r="A2426" s="20" t="s">
        <v>183</v>
      </c>
      <c r="B2426" s="20"/>
      <c r="C2426" s="20"/>
      <c r="D2426" s="46"/>
      <c r="E2426" s="35"/>
    </row>
    <row r="2427" spans="1:8" ht="15.75" hidden="1" customHeight="1" x14ac:dyDescent="0.25">
      <c r="A2427" s="20" t="s">
        <v>183</v>
      </c>
      <c r="B2427" s="47" t="s">
        <v>210</v>
      </c>
      <c r="C2427" s="12" t="str">
        <f>B2427&amp;"_"&amp;A2427</f>
        <v>Villazón_Potosí</v>
      </c>
      <c r="D2427" s="20"/>
      <c r="E2427" s="48">
        <v>4637</v>
      </c>
      <c r="F2427" s="14">
        <f t="shared" ref="F2427:H2427" si="209">SUM(F2428:F2440)</f>
        <v>3883.9759146273163</v>
      </c>
      <c r="G2427" s="14">
        <f t="shared" si="209"/>
        <v>627.89020822424823</v>
      </c>
      <c r="H2427" s="14">
        <f t="shared" si="209"/>
        <v>124.72359429342038</v>
      </c>
    </row>
    <row r="2428" spans="1:8" ht="15.75" hidden="1" customHeight="1" x14ac:dyDescent="0.25">
      <c r="A2428" s="20" t="s">
        <v>183</v>
      </c>
      <c r="B2428" s="47" t="s">
        <v>210</v>
      </c>
      <c r="C2428" s="49"/>
      <c r="D2428" s="35" t="s">
        <v>574</v>
      </c>
      <c r="E2428" s="32">
        <v>0</v>
      </c>
      <c r="F2428" s="20">
        <v>0</v>
      </c>
      <c r="G2428" s="24">
        <f>E2428</f>
        <v>0</v>
      </c>
      <c r="H2428" s="20">
        <v>0</v>
      </c>
    </row>
    <row r="2429" spans="1:8" ht="15.75" hidden="1" customHeight="1" x14ac:dyDescent="0.25">
      <c r="A2429" s="20" t="s">
        <v>183</v>
      </c>
      <c r="B2429" s="47" t="s">
        <v>210</v>
      </c>
      <c r="C2429" s="49"/>
      <c r="D2429" s="46" t="s">
        <v>15</v>
      </c>
      <c r="E2429" s="32">
        <v>759</v>
      </c>
      <c r="F2429" s="18">
        <f>E2429* 0.975464549882735</f>
        <v>740.37759336099589</v>
      </c>
      <c r="G2429" s="18">
        <f>E2429* 0.00487100847916291</f>
        <v>3.6970954356846488</v>
      </c>
      <c r="H2429" s="18">
        <f>E2429* 0.0195742377773769</f>
        <v>14.856846473029067</v>
      </c>
    </row>
    <row r="2430" spans="1:8" ht="15.75" hidden="1" customHeight="1" x14ac:dyDescent="0.25">
      <c r="A2430" s="20" t="s">
        <v>183</v>
      </c>
      <c r="B2430" s="47" t="s">
        <v>210</v>
      </c>
      <c r="C2430" s="49"/>
      <c r="D2430" s="35" t="s">
        <v>575</v>
      </c>
      <c r="E2430" s="32">
        <v>31</v>
      </c>
      <c r="F2430" s="18">
        <f>E2430* 0.0607843137254902</f>
        <v>1.8843137254901963</v>
      </c>
      <c r="G2430" s="18">
        <f>E2430* 0.93921568627451</f>
        <v>29.115686274509812</v>
      </c>
      <c r="H2430" s="20">
        <v>0</v>
      </c>
    </row>
    <row r="2431" spans="1:8" ht="15.75" hidden="1" customHeight="1" x14ac:dyDescent="0.25">
      <c r="A2431" s="20" t="s">
        <v>183</v>
      </c>
      <c r="B2431" s="47" t="s">
        <v>210</v>
      </c>
      <c r="C2431" s="49"/>
      <c r="D2431" s="46" t="s">
        <v>11</v>
      </c>
      <c r="E2431" s="32">
        <v>358</v>
      </c>
      <c r="F2431" s="18">
        <f>E2431* 0.175725756639901</f>
        <v>62.909820877084556</v>
      </c>
      <c r="G2431" s="18">
        <f>E2431* 0.823656578134651</f>
        <v>294.86905497220505</v>
      </c>
      <c r="H2431" s="18">
        <f>E2431* 0.000617665225447807</f>
        <v>0.22112415071031491</v>
      </c>
    </row>
    <row r="2432" spans="1:8" ht="15.75" hidden="1" customHeight="1" x14ac:dyDescent="0.25">
      <c r="A2432" s="20" t="s">
        <v>183</v>
      </c>
      <c r="B2432" s="47" t="s">
        <v>210</v>
      </c>
      <c r="C2432" s="49"/>
      <c r="D2432" s="46" t="s">
        <v>17</v>
      </c>
      <c r="E2432" s="32">
        <v>554</v>
      </c>
      <c r="F2432" s="18">
        <f>E2432* 0.869679539852095</f>
        <v>481.80246507806061</v>
      </c>
      <c r="G2432" s="18">
        <f>E2432* 0.0695152013147083</f>
        <v>38.5114215283484</v>
      </c>
      <c r="H2432" s="18">
        <f>E2432* 0.0608052588331964</f>
        <v>33.686113393590809</v>
      </c>
    </row>
    <row r="2433" spans="1:8" ht="15.75" hidden="1" customHeight="1" x14ac:dyDescent="0.25">
      <c r="A2433" s="20" t="s">
        <v>183</v>
      </c>
      <c r="B2433" s="47" t="s">
        <v>210</v>
      </c>
      <c r="C2433" s="49"/>
      <c r="D2433" s="46" t="s">
        <v>31</v>
      </c>
      <c r="E2433" s="32">
        <v>10</v>
      </c>
      <c r="F2433" s="18">
        <f>E2433* 0.93</f>
        <v>9.3000000000000007</v>
      </c>
      <c r="G2433" s="18">
        <f>E2433* 0.05</f>
        <v>0.5</v>
      </c>
      <c r="H2433" s="18">
        <f>E2433* 0.02</f>
        <v>0.2</v>
      </c>
    </row>
    <row r="2434" spans="1:8" ht="15.75" hidden="1" customHeight="1" x14ac:dyDescent="0.25">
      <c r="A2434" s="20" t="s">
        <v>183</v>
      </c>
      <c r="B2434" s="47" t="s">
        <v>210</v>
      </c>
      <c r="C2434" s="49"/>
      <c r="D2434" s="46" t="s">
        <v>18</v>
      </c>
      <c r="E2434" s="32">
        <v>48</v>
      </c>
      <c r="F2434" s="18">
        <f>E2434* 0.941463414634146</f>
        <v>45.190243902439008</v>
      </c>
      <c r="G2434" s="18">
        <f>E2434* 0.0532833020637899</f>
        <v>2.5575984990619154</v>
      </c>
      <c r="H2434" s="18">
        <f>E2434* 0.00487804878048781</f>
        <v>0.2341463414634149</v>
      </c>
    </row>
    <row r="2435" spans="1:8" ht="15.75" hidden="1" customHeight="1" x14ac:dyDescent="0.25">
      <c r="A2435" s="20" t="s">
        <v>183</v>
      </c>
      <c r="B2435" s="47" t="s">
        <v>210</v>
      </c>
      <c r="C2435" s="49"/>
      <c r="D2435" s="46" t="s">
        <v>19</v>
      </c>
      <c r="E2435" s="32">
        <v>54</v>
      </c>
      <c r="F2435" s="18">
        <f>E2435* 0.0748299319727891</f>
        <v>4.0408163265306118</v>
      </c>
      <c r="G2435" s="18">
        <f>E2435* 0.924036281179138</f>
        <v>49.897959183673457</v>
      </c>
      <c r="H2435" s="18">
        <f>E2435* 0.00113378684807256</f>
        <v>6.1224489795918241E-2</v>
      </c>
    </row>
    <row r="2436" spans="1:8" ht="15.75" hidden="1" customHeight="1" x14ac:dyDescent="0.25">
      <c r="A2436" s="20" t="s">
        <v>183</v>
      </c>
      <c r="B2436" s="47" t="s">
        <v>210</v>
      </c>
      <c r="C2436" s="49"/>
      <c r="D2436" s="46" t="s">
        <v>20</v>
      </c>
      <c r="E2436" s="32">
        <v>72</v>
      </c>
      <c r="F2436" s="18">
        <f>E2436* 0.799709724238026</f>
        <v>57.579100145137872</v>
      </c>
      <c r="G2436" s="18">
        <f>E2436* 0.150580551523948</f>
        <v>10.841799709724256</v>
      </c>
      <c r="H2436" s="18">
        <f>E2436* 0.0493468795355588</f>
        <v>3.552975326560234</v>
      </c>
    </row>
    <row r="2437" spans="1:8" ht="15.75" hidden="1" customHeight="1" x14ac:dyDescent="0.25">
      <c r="A2437" s="20" t="s">
        <v>183</v>
      </c>
      <c r="B2437" s="47" t="s">
        <v>210</v>
      </c>
      <c r="C2437" s="49"/>
      <c r="D2437" s="46" t="s">
        <v>21</v>
      </c>
      <c r="E2437" s="32">
        <v>801</v>
      </c>
      <c r="F2437" s="18">
        <f>E2437* 0.999328295549958</f>
        <v>800.46196473551629</v>
      </c>
      <c r="G2437" s="18">
        <f>E2437* 0.000335852225020991</f>
        <v>0.2690176322418138</v>
      </c>
      <c r="H2437" s="18">
        <f>E2437* 0.000335852225020991</f>
        <v>0.2690176322418138</v>
      </c>
    </row>
    <row r="2438" spans="1:8" ht="15.75" hidden="1" customHeight="1" x14ac:dyDescent="0.25">
      <c r="A2438" s="20" t="s">
        <v>183</v>
      </c>
      <c r="B2438" s="47" t="s">
        <v>210</v>
      </c>
      <c r="C2438" s="49"/>
      <c r="D2438" s="46" t="s">
        <v>36</v>
      </c>
      <c r="E2438" s="32">
        <v>4</v>
      </c>
      <c r="F2438" s="24">
        <f>E2438</f>
        <v>4</v>
      </c>
      <c r="G2438" s="20">
        <v>0</v>
      </c>
      <c r="H2438" s="20">
        <v>0</v>
      </c>
    </row>
    <row r="2439" spans="1:8" ht="15.75" hidden="1" customHeight="1" x14ac:dyDescent="0.25">
      <c r="A2439" s="20" t="s">
        <v>183</v>
      </c>
      <c r="B2439" s="47" t="s">
        <v>210</v>
      </c>
      <c r="C2439" s="49"/>
      <c r="D2439" s="46" t="s">
        <v>28</v>
      </c>
      <c r="E2439" s="32">
        <v>71</v>
      </c>
      <c r="F2439" s="18">
        <f>E2439* 0.00116550116550117</f>
        <v>8.2750582750583071E-2</v>
      </c>
      <c r="G2439" s="18">
        <f>E2439* 0.998834498834499</f>
        <v>70.917249417249437</v>
      </c>
      <c r="H2439" s="20">
        <v>0</v>
      </c>
    </row>
    <row r="2440" spans="1:8" ht="15.75" hidden="1" customHeight="1" x14ac:dyDescent="0.25">
      <c r="A2440" s="20" t="s">
        <v>183</v>
      </c>
      <c r="B2440" s="47" t="s">
        <v>210</v>
      </c>
      <c r="C2440" s="49"/>
      <c r="D2440" s="46" t="s">
        <v>12</v>
      </c>
      <c r="E2440" s="32">
        <v>1875</v>
      </c>
      <c r="F2440" s="18">
        <f>E2440* 0.894051651143099</f>
        <v>1676.3468458933107</v>
      </c>
      <c r="G2440" s="18">
        <f>E2440* 0.0675804403048264</f>
        <v>126.7133255715495</v>
      </c>
      <c r="H2440" s="18">
        <f>E2440* 0.0382091447925487</f>
        <v>71.642146486028807</v>
      </c>
    </row>
    <row r="2441" spans="1:8" ht="15.75" hidden="1" customHeight="1" x14ac:dyDescent="0.25">
      <c r="A2441" s="20" t="s">
        <v>183</v>
      </c>
      <c r="B2441" s="20"/>
      <c r="C2441" s="20"/>
      <c r="D2441" s="46"/>
      <c r="E2441" s="35"/>
    </row>
    <row r="2442" spans="1:8" ht="15.75" hidden="1" customHeight="1" x14ac:dyDescent="0.25">
      <c r="A2442" s="20" t="s">
        <v>183</v>
      </c>
      <c r="B2442" s="47" t="s">
        <v>211</v>
      </c>
      <c r="C2442" s="12" t="str">
        <f>B2442&amp;"_"&amp;A2442</f>
        <v>Vitichi_Potosí</v>
      </c>
      <c r="D2442" s="20"/>
      <c r="E2442" s="48">
        <v>9</v>
      </c>
      <c r="F2442" s="14">
        <f t="shared" ref="F2442:H2442" si="210">SUM(F2443:F2448)</f>
        <v>5.2053215928089456</v>
      </c>
      <c r="G2442" s="14">
        <f t="shared" si="210"/>
        <v>3.5710882090125762</v>
      </c>
      <c r="H2442" s="14">
        <f t="shared" si="210"/>
        <v>0.22343143441895014</v>
      </c>
    </row>
    <row r="2443" spans="1:8" ht="15.75" hidden="1" customHeight="1" x14ac:dyDescent="0.25">
      <c r="A2443" s="20" t="s">
        <v>183</v>
      </c>
      <c r="B2443" s="47" t="s">
        <v>211</v>
      </c>
      <c r="C2443" s="49"/>
      <c r="D2443" s="35" t="s">
        <v>576</v>
      </c>
      <c r="E2443" s="32">
        <v>0</v>
      </c>
      <c r="F2443" s="18">
        <f>E2443* 0.0607843137254902</f>
        <v>0</v>
      </c>
      <c r="G2443" s="18">
        <f>E2443* 0.93921568627451</f>
        <v>0</v>
      </c>
      <c r="H2443" s="20">
        <v>0</v>
      </c>
    </row>
    <row r="2444" spans="1:8" ht="15.75" hidden="1" customHeight="1" x14ac:dyDescent="0.25">
      <c r="A2444" s="20" t="s">
        <v>183</v>
      </c>
      <c r="B2444" s="47" t="s">
        <v>211</v>
      </c>
      <c r="C2444" s="49"/>
      <c r="D2444" s="46" t="s">
        <v>11</v>
      </c>
      <c r="E2444" s="32">
        <v>4</v>
      </c>
      <c r="F2444" s="18">
        <f>E2444* 0.175725756639901</f>
        <v>0.70290302655960402</v>
      </c>
      <c r="G2444" s="18">
        <f>E2444* 0.823656578134651</f>
        <v>3.2946263125386039</v>
      </c>
      <c r="H2444" s="18">
        <f>E2444* 0.000617665225447807</f>
        <v>2.470660901791228E-3</v>
      </c>
    </row>
    <row r="2445" spans="1:8" ht="15.75" hidden="1" customHeight="1" x14ac:dyDescent="0.25">
      <c r="A2445" s="20" t="s">
        <v>183</v>
      </c>
      <c r="B2445" s="47" t="s">
        <v>211</v>
      </c>
      <c r="C2445" s="49"/>
      <c r="D2445" s="46" t="s">
        <v>17</v>
      </c>
      <c r="E2445" s="32">
        <v>3</v>
      </c>
      <c r="F2445" s="18">
        <f>E2445* 0.869679539852095</f>
        <v>2.6090386195562849</v>
      </c>
      <c r="G2445" s="18">
        <f>E2445* 0.0695152013147083</f>
        <v>0.20854560394412491</v>
      </c>
      <c r="H2445" s="18">
        <f>E2445* 0.0608052588331964</f>
        <v>0.18241577649958921</v>
      </c>
    </row>
    <row r="2446" spans="1:8" ht="15.75" hidden="1" customHeight="1" x14ac:dyDescent="0.25">
      <c r="A2446" s="20" t="s">
        <v>183</v>
      </c>
      <c r="B2446" s="47" t="s">
        <v>211</v>
      </c>
      <c r="C2446" s="49"/>
      <c r="D2446" s="46" t="s">
        <v>19</v>
      </c>
      <c r="E2446" s="32">
        <v>0</v>
      </c>
      <c r="F2446" s="18">
        <f>E2446* 0.0748299319727891</f>
        <v>0</v>
      </c>
      <c r="G2446" s="18">
        <f>E2446* 0.924036281179138</f>
        <v>0</v>
      </c>
      <c r="H2446" s="18">
        <f>E2446* 0.00113378684807256</f>
        <v>0</v>
      </c>
    </row>
    <row r="2447" spans="1:8" ht="15.75" hidden="1" customHeight="1" x14ac:dyDescent="0.25">
      <c r="A2447" s="20" t="s">
        <v>183</v>
      </c>
      <c r="B2447" s="47" t="s">
        <v>211</v>
      </c>
      <c r="C2447" s="49"/>
      <c r="D2447" s="46" t="s">
        <v>21</v>
      </c>
      <c r="E2447" s="32">
        <v>1</v>
      </c>
      <c r="F2447" s="18">
        <f>E2447* 0.999328295549958</f>
        <v>0.99932829554995795</v>
      </c>
      <c r="G2447" s="18">
        <f>E2447* 0.000335852225020991</f>
        <v>3.3585222502099103E-4</v>
      </c>
      <c r="H2447" s="18">
        <f>E2447* 0.000335852225020991</f>
        <v>3.3585222502099103E-4</v>
      </c>
    </row>
    <row r="2448" spans="1:8" ht="15.75" hidden="1" customHeight="1" x14ac:dyDescent="0.25">
      <c r="A2448" s="20" t="s">
        <v>183</v>
      </c>
      <c r="B2448" s="47" t="s">
        <v>211</v>
      </c>
      <c r="C2448" s="49"/>
      <c r="D2448" s="46" t="s">
        <v>12</v>
      </c>
      <c r="E2448" s="32">
        <v>1</v>
      </c>
      <c r="F2448" s="18">
        <f>E2448* 0.894051651143099</f>
        <v>0.89405165114309904</v>
      </c>
      <c r="G2448" s="18">
        <f>E2448* 0.0675804403048264</f>
        <v>6.7580440304826406E-2</v>
      </c>
      <c r="H2448" s="18">
        <f>E2448* 0.0382091447925487</f>
        <v>3.8209144792548701E-2</v>
      </c>
    </row>
    <row r="2449" spans="1:8" ht="15.75" hidden="1" customHeight="1" x14ac:dyDescent="0.25">
      <c r="A2449" s="20" t="s">
        <v>183</v>
      </c>
      <c r="B2449" s="20"/>
      <c r="C2449" s="20"/>
      <c r="D2449" s="46"/>
      <c r="E2449" s="35"/>
    </row>
    <row r="2450" spans="1:8" ht="15.75" hidden="1" customHeight="1" x14ac:dyDescent="0.25">
      <c r="A2450" s="20" t="s">
        <v>183</v>
      </c>
      <c r="B2450" s="47" t="s">
        <v>212</v>
      </c>
      <c r="C2450" s="12" t="str">
        <f>B2450&amp;"_"&amp;A2450</f>
        <v>Yocalla_Potosí</v>
      </c>
      <c r="D2450" s="20"/>
      <c r="E2450" s="48">
        <v>51</v>
      </c>
      <c r="F2450" s="14">
        <f t="shared" ref="F2450:H2450" si="211">SUM(F2451:F2459)</f>
        <v>36.695343231199544</v>
      </c>
      <c r="G2450" s="14">
        <f t="shared" si="211"/>
        <v>13.352041805532577</v>
      </c>
      <c r="H2450" s="14">
        <f t="shared" si="211"/>
        <v>0.94843622403762773</v>
      </c>
    </row>
    <row r="2451" spans="1:8" ht="15.75" hidden="1" customHeight="1" x14ac:dyDescent="0.25">
      <c r="A2451" s="20" t="s">
        <v>183</v>
      </c>
      <c r="B2451" s="47" t="s">
        <v>212</v>
      </c>
      <c r="C2451" s="49"/>
      <c r="D2451" s="46" t="s">
        <v>15</v>
      </c>
      <c r="E2451" s="32">
        <v>13</v>
      </c>
      <c r="F2451" s="18">
        <f>E2451* 0.975464549882735</f>
        <v>12.681039148475556</v>
      </c>
      <c r="G2451" s="18">
        <f>E2451* 0.00487100847916291</f>
        <v>6.3323110229117838E-2</v>
      </c>
      <c r="H2451" s="18">
        <f>E2451* 0.0195742377773769</f>
        <v>0.25446509110589971</v>
      </c>
    </row>
    <row r="2452" spans="1:8" ht="15.75" hidden="1" customHeight="1" x14ac:dyDescent="0.25">
      <c r="A2452" s="20" t="s">
        <v>183</v>
      </c>
      <c r="B2452" s="47" t="s">
        <v>212</v>
      </c>
      <c r="C2452" s="49"/>
      <c r="D2452" s="46" t="s">
        <v>11</v>
      </c>
      <c r="E2452" s="32">
        <v>11</v>
      </c>
      <c r="F2452" s="18">
        <f>E2452* 0.175725756639901</f>
        <v>1.9329833230389111</v>
      </c>
      <c r="G2452" s="18">
        <f>E2452* 0.823656578134651</f>
        <v>9.0602223594811608</v>
      </c>
      <c r="H2452" s="18">
        <f>E2452* 0.000617665225447807</f>
        <v>6.7943174799258771E-3</v>
      </c>
    </row>
    <row r="2453" spans="1:8" ht="15.75" hidden="1" customHeight="1" x14ac:dyDescent="0.25">
      <c r="A2453" s="20" t="s">
        <v>183</v>
      </c>
      <c r="B2453" s="47" t="s">
        <v>212</v>
      </c>
      <c r="C2453" s="49"/>
      <c r="D2453" s="46" t="s">
        <v>17</v>
      </c>
      <c r="E2453" s="32">
        <v>2</v>
      </c>
      <c r="F2453" s="18">
        <f>E2453* 0.869679539852095</f>
        <v>1.73935907970419</v>
      </c>
      <c r="G2453" s="18">
        <f>E2453* 0.0695152013147083</f>
        <v>0.1390304026294166</v>
      </c>
      <c r="H2453" s="18">
        <f>E2453* 0.0608052588331964</f>
        <v>0.1216105176663928</v>
      </c>
    </row>
    <row r="2454" spans="1:8" ht="15.75" hidden="1" customHeight="1" x14ac:dyDescent="0.25">
      <c r="A2454" s="20" t="s">
        <v>183</v>
      </c>
      <c r="B2454" s="47" t="s">
        <v>212</v>
      </c>
      <c r="C2454" s="49"/>
      <c r="D2454" s="46" t="s">
        <v>18</v>
      </c>
      <c r="E2454" s="32">
        <v>1</v>
      </c>
      <c r="F2454" s="18">
        <f>E2454* 0.941463414634146</f>
        <v>0.94146341463414596</v>
      </c>
      <c r="G2454" s="18">
        <f>E2454* 0.0532833020637899</f>
        <v>5.3283302063789902E-2</v>
      </c>
      <c r="H2454" s="18">
        <f>E2454* 0.00487804878048781</f>
        <v>4.8780487804878101E-3</v>
      </c>
    </row>
    <row r="2455" spans="1:8" ht="15.75" hidden="1" customHeight="1" x14ac:dyDescent="0.25">
      <c r="A2455" s="20" t="s">
        <v>183</v>
      </c>
      <c r="B2455" s="47" t="s">
        <v>212</v>
      </c>
      <c r="C2455" s="49"/>
      <c r="D2455" s="46" t="s">
        <v>19</v>
      </c>
      <c r="E2455" s="32">
        <v>1</v>
      </c>
      <c r="F2455" s="18">
        <f>E2455* 0.0748299319727891</f>
        <v>7.4829931972789102E-2</v>
      </c>
      <c r="G2455" s="18">
        <f>E2455* 0.924036281179138</f>
        <v>0.92403628117913805</v>
      </c>
      <c r="H2455" s="18">
        <f>E2455* 0.00113378684807256</f>
        <v>1.13378684807256E-3</v>
      </c>
    </row>
    <row r="2456" spans="1:8" ht="15.75" hidden="1" customHeight="1" x14ac:dyDescent="0.25">
      <c r="A2456" s="20" t="s">
        <v>183</v>
      </c>
      <c r="B2456" s="47" t="s">
        <v>212</v>
      </c>
      <c r="C2456" s="49"/>
      <c r="D2456" s="46" t="s">
        <v>20</v>
      </c>
      <c r="E2456" s="32">
        <v>2</v>
      </c>
      <c r="F2456" s="18">
        <f>E2456* 0.799709724238026</f>
        <v>1.599419448476052</v>
      </c>
      <c r="G2456" s="18">
        <f>E2456* 0.150580551523948</f>
        <v>0.30116110304789601</v>
      </c>
      <c r="H2456" s="18">
        <f>E2456* 0.0493468795355588</f>
        <v>9.8693759071117604E-2</v>
      </c>
    </row>
    <row r="2457" spans="1:8" ht="15.75" hidden="1" customHeight="1" x14ac:dyDescent="0.25">
      <c r="A2457" s="20" t="s">
        <v>183</v>
      </c>
      <c r="B2457" s="47" t="s">
        <v>212</v>
      </c>
      <c r="C2457" s="49"/>
      <c r="D2457" s="46" t="s">
        <v>21</v>
      </c>
      <c r="E2457" s="32">
        <v>7</v>
      </c>
      <c r="F2457" s="18">
        <f>E2457* 0.999328295549958</f>
        <v>6.9952980688497055</v>
      </c>
      <c r="G2457" s="18">
        <f>E2457* 0.000335852225020991</f>
        <v>2.350965575146937E-3</v>
      </c>
      <c r="H2457" s="18">
        <f>E2457* 0.000335852225020991</f>
        <v>2.350965575146937E-3</v>
      </c>
    </row>
    <row r="2458" spans="1:8" ht="15.75" hidden="1" customHeight="1" x14ac:dyDescent="0.25">
      <c r="A2458" s="20" t="s">
        <v>183</v>
      </c>
      <c r="B2458" s="47" t="s">
        <v>212</v>
      </c>
      <c r="C2458" s="49"/>
      <c r="D2458" s="46" t="s">
        <v>28</v>
      </c>
      <c r="E2458" s="32">
        <v>2</v>
      </c>
      <c r="F2458" s="18">
        <f>E2458* 0.00116550116550117</f>
        <v>2.3310023310023401E-3</v>
      </c>
      <c r="G2458" s="18">
        <f>E2458* 0.998834498834499</f>
        <v>1.9976689976689981</v>
      </c>
      <c r="H2458" s="20">
        <v>0</v>
      </c>
    </row>
    <row r="2459" spans="1:8" ht="15.75" hidden="1" customHeight="1" x14ac:dyDescent="0.25">
      <c r="A2459" s="20" t="s">
        <v>183</v>
      </c>
      <c r="B2459" s="47" t="s">
        <v>212</v>
      </c>
      <c r="C2459" s="49"/>
      <c r="D2459" s="57" t="s">
        <v>12</v>
      </c>
      <c r="E2459" s="39">
        <v>12</v>
      </c>
      <c r="F2459" s="18">
        <f>E2459* 0.894051651143099</f>
        <v>10.728619813717188</v>
      </c>
      <c r="G2459" s="18">
        <f>E2459* 0.0675804403048264</f>
        <v>0.81096528365791687</v>
      </c>
      <c r="H2459" s="18">
        <f>E2459* 0.0382091447925487</f>
        <v>0.45850973751058444</v>
      </c>
    </row>
    <row r="2460" spans="1:8" ht="15.75" hidden="1" customHeight="1" x14ac:dyDescent="0.25">
      <c r="A2460" s="20" t="s">
        <v>213</v>
      </c>
      <c r="B2460" s="47" t="s">
        <v>214</v>
      </c>
      <c r="C2460" s="12" t="str">
        <f>B2460&amp;"_"&amp;A2460</f>
        <v>Bermejo_Tarija</v>
      </c>
      <c r="D2460" s="20"/>
      <c r="E2460" s="48">
        <v>8486</v>
      </c>
      <c r="F2460" s="14">
        <f t="shared" ref="F2460:H2460" si="212">SUM(F2461:F2474)</f>
        <v>7424.6105262502324</v>
      </c>
      <c r="G2460" s="14">
        <f t="shared" si="212"/>
        <v>906.14858070831735</v>
      </c>
      <c r="H2460" s="14">
        <f t="shared" si="212"/>
        <v>154.74485133382873</v>
      </c>
    </row>
    <row r="2461" spans="1:8" ht="15.75" hidden="1" customHeight="1" x14ac:dyDescent="0.25">
      <c r="A2461" s="20" t="s">
        <v>213</v>
      </c>
      <c r="B2461" s="47" t="s">
        <v>214</v>
      </c>
      <c r="C2461" s="49"/>
      <c r="D2461" s="35" t="s">
        <v>577</v>
      </c>
      <c r="E2461" s="32">
        <v>0</v>
      </c>
      <c r="F2461" s="20">
        <v>0</v>
      </c>
      <c r="G2461" s="24">
        <f>E2461</f>
        <v>0</v>
      </c>
      <c r="H2461" s="20">
        <v>0</v>
      </c>
    </row>
    <row r="2462" spans="1:8" ht="15.75" hidden="1" customHeight="1" x14ac:dyDescent="0.25">
      <c r="A2462" s="20" t="s">
        <v>213</v>
      </c>
      <c r="B2462" s="47" t="s">
        <v>214</v>
      </c>
      <c r="C2462" s="49"/>
      <c r="D2462" s="46" t="s">
        <v>15</v>
      </c>
      <c r="E2462" s="32">
        <v>1032</v>
      </c>
      <c r="F2462" s="18">
        <f>E2462* 0.957552016439764</f>
        <v>988.19368096583639</v>
      </c>
      <c r="G2462" s="18">
        <f>E2462* 0.0158618032365785</f>
        <v>16.369380940149014</v>
      </c>
      <c r="H2462" s="18">
        <f>E2462* 0.0265861803236578</f>
        <v>27.436938094014849</v>
      </c>
    </row>
    <row r="2463" spans="1:8" ht="15.75" hidden="1" customHeight="1" x14ac:dyDescent="0.25">
      <c r="A2463" s="20" t="s">
        <v>213</v>
      </c>
      <c r="B2463" s="47" t="s">
        <v>214</v>
      </c>
      <c r="C2463" s="49"/>
      <c r="D2463" s="35" t="s">
        <v>578</v>
      </c>
      <c r="E2463" s="32">
        <v>10</v>
      </c>
      <c r="F2463" s="18">
        <f>E2463* 0.0288065843621399</f>
        <v>0.28806584362139903</v>
      </c>
      <c r="G2463" s="18">
        <f>E2463* 0.967078189300412</f>
        <v>9.6707818930041203</v>
      </c>
      <c r="H2463" s="18">
        <f>E2463* 0.00411522633744856</f>
        <v>4.1152263374485604E-2</v>
      </c>
    </row>
    <row r="2464" spans="1:8" ht="15.75" hidden="1" customHeight="1" x14ac:dyDescent="0.25">
      <c r="A2464" s="20" t="s">
        <v>213</v>
      </c>
      <c r="B2464" s="47" t="s">
        <v>214</v>
      </c>
      <c r="C2464" s="49"/>
      <c r="D2464" s="46" t="s">
        <v>11</v>
      </c>
      <c r="E2464" s="32">
        <v>432</v>
      </c>
      <c r="F2464" s="18">
        <f>E2464* 0.069996216420734</f>
        <v>30.23836549375709</v>
      </c>
      <c r="G2464" s="18">
        <f>E2464* 0.928364232564006</f>
        <v>401.05334846765061</v>
      </c>
      <c r="H2464" s="18">
        <f>E2464* 0.00113507377979569</f>
        <v>0.49035187287173804</v>
      </c>
    </row>
    <row r="2465" spans="1:8" ht="15.75" hidden="1" customHeight="1" x14ac:dyDescent="0.25">
      <c r="A2465" s="20" t="s">
        <v>213</v>
      </c>
      <c r="B2465" s="47" t="s">
        <v>214</v>
      </c>
      <c r="C2465" s="49"/>
      <c r="D2465" s="46" t="s">
        <v>17</v>
      </c>
      <c r="E2465" s="32">
        <v>1062</v>
      </c>
      <c r="F2465" s="18">
        <f>E2465* 0.797049581005587</f>
        <v>846.46665502793337</v>
      </c>
      <c r="G2465" s="18">
        <f>E2465* 0.161662011173184</f>
        <v>171.68505586592138</v>
      </c>
      <c r="H2465" s="18">
        <f>E2465* 0.0410265363128492</f>
        <v>43.57018156424585</v>
      </c>
    </row>
    <row r="2466" spans="1:8" ht="15.75" hidden="1" customHeight="1" x14ac:dyDescent="0.25">
      <c r="A2466" s="20" t="s">
        <v>213</v>
      </c>
      <c r="B2466" s="47" t="s">
        <v>214</v>
      </c>
      <c r="C2466" s="49"/>
      <c r="D2466" s="46" t="s">
        <v>31</v>
      </c>
      <c r="E2466" s="32">
        <v>2</v>
      </c>
      <c r="F2466" s="18">
        <f>E2466* 0.820689655172414</f>
        <v>1.641379310344828</v>
      </c>
      <c r="G2466" s="18">
        <f>E2466* 0.16551724137931</f>
        <v>0.33103448275862002</v>
      </c>
      <c r="H2466" s="18">
        <f>E2466* 0.0137931034482759</f>
        <v>2.75862068965518E-2</v>
      </c>
    </row>
    <row r="2467" spans="1:8" ht="15.75" hidden="1" customHeight="1" x14ac:dyDescent="0.25">
      <c r="A2467" s="20" t="s">
        <v>213</v>
      </c>
      <c r="B2467" s="47" t="s">
        <v>214</v>
      </c>
      <c r="C2467" s="49"/>
      <c r="D2467" s="46" t="s">
        <v>18</v>
      </c>
      <c r="E2467" s="32">
        <v>92</v>
      </c>
      <c r="F2467" s="18">
        <f>E2467* 0.912233009708738</f>
        <v>83.925436893203894</v>
      </c>
      <c r="G2467" s="18">
        <f>E2467* 0.0811650485436893</f>
        <v>7.4671844660194164</v>
      </c>
      <c r="H2467" s="18">
        <f>E2467* 0.00660194174757282</f>
        <v>0.60737864077669945</v>
      </c>
    </row>
    <row r="2468" spans="1:8" ht="15.75" hidden="1" customHeight="1" x14ac:dyDescent="0.25">
      <c r="A2468" s="20" t="s">
        <v>213</v>
      </c>
      <c r="B2468" s="47" t="s">
        <v>214</v>
      </c>
      <c r="C2468" s="49"/>
      <c r="D2468" s="46" t="s">
        <v>19</v>
      </c>
      <c r="E2468" s="32">
        <v>10</v>
      </c>
      <c r="F2468" s="18">
        <f>E2468* 0.0264765784114053</f>
        <v>0.26476578411405299</v>
      </c>
      <c r="G2468" s="18">
        <f>E2468* 0.970807875084861</f>
        <v>9.7080787508486104</v>
      </c>
      <c r="H2468" s="18">
        <f>E2468* 0.00271554650373388</f>
        <v>2.7155465037338799E-2</v>
      </c>
    </row>
    <row r="2469" spans="1:8" ht="15.75" hidden="1" customHeight="1" x14ac:dyDescent="0.25">
      <c r="A2469" s="20" t="s">
        <v>213</v>
      </c>
      <c r="B2469" s="47" t="s">
        <v>214</v>
      </c>
      <c r="C2469" s="49"/>
      <c r="D2469" s="46" t="s">
        <v>20</v>
      </c>
      <c r="E2469" s="32">
        <v>125</v>
      </c>
      <c r="F2469" s="18">
        <f>E2469* 0.657913931436907</f>
        <v>82.239241429613372</v>
      </c>
      <c r="G2469" s="18">
        <f>E2469* 0.284463894967177</f>
        <v>35.557986870897125</v>
      </c>
      <c r="H2469" s="18">
        <f>E2469* 0.0576221735959154</f>
        <v>7.2027716994894249</v>
      </c>
    </row>
    <row r="2470" spans="1:8" ht="15.75" hidden="1" customHeight="1" x14ac:dyDescent="0.25">
      <c r="A2470" s="20" t="s">
        <v>213</v>
      </c>
      <c r="B2470" s="47" t="s">
        <v>214</v>
      </c>
      <c r="C2470" s="49"/>
      <c r="D2470" s="46" t="s">
        <v>21</v>
      </c>
      <c r="E2470" s="32">
        <v>3714</v>
      </c>
      <c r="F2470" s="18">
        <f>E2470* 0.999266575396049</f>
        <v>3711.2760610209261</v>
      </c>
      <c r="G2470" s="18">
        <f>E2470* 0.0000488949735967143</f>
        <v>0.1815959319381969</v>
      </c>
      <c r="H2470" s="18">
        <f>E2470* 0.000684529630354</f>
        <v>2.5423430471347559</v>
      </c>
    </row>
    <row r="2471" spans="1:8" ht="15.75" hidden="1" customHeight="1" x14ac:dyDescent="0.25">
      <c r="A2471" s="20" t="s">
        <v>213</v>
      </c>
      <c r="B2471" s="47" t="s">
        <v>214</v>
      </c>
      <c r="C2471" s="49"/>
      <c r="D2471" s="46" t="s">
        <v>36</v>
      </c>
      <c r="E2471" s="32">
        <v>2</v>
      </c>
      <c r="F2471" s="18">
        <f>E2471* 0.973154362416107</f>
        <v>1.946308724832214</v>
      </c>
      <c r="G2471" s="20">
        <v>0</v>
      </c>
      <c r="H2471" s="18">
        <f>E2471* 0.0268456375838926</f>
        <v>5.3691275167785199E-2</v>
      </c>
    </row>
    <row r="2472" spans="1:8" ht="15.75" hidden="1" customHeight="1" x14ac:dyDescent="0.25">
      <c r="A2472" s="20" t="s">
        <v>213</v>
      </c>
      <c r="B2472" s="47" t="s">
        <v>214</v>
      </c>
      <c r="C2472" s="49"/>
      <c r="D2472" s="46" t="s">
        <v>37</v>
      </c>
      <c r="E2472" s="32">
        <v>1</v>
      </c>
      <c r="F2472" s="18">
        <f>E2472* 0.0588235294117647</f>
        <v>5.8823529411764698E-2</v>
      </c>
      <c r="G2472" s="18">
        <f>E2472* 0.941176470588235</f>
        <v>0.94117647058823495</v>
      </c>
      <c r="H2472" s="20">
        <v>0</v>
      </c>
    </row>
    <row r="2473" spans="1:8" ht="15.75" hidden="1" customHeight="1" x14ac:dyDescent="0.25">
      <c r="A2473" s="20" t="s">
        <v>213</v>
      </c>
      <c r="B2473" s="47" t="s">
        <v>214</v>
      </c>
      <c r="C2473" s="49"/>
      <c r="D2473" s="46" t="s">
        <v>28</v>
      </c>
      <c r="E2473" s="32">
        <v>50</v>
      </c>
      <c r="F2473" s="18">
        <f>E2473* 0.00128865979381443</f>
        <v>6.443298969072149E-2</v>
      </c>
      <c r="G2473" s="18">
        <f>E2473* 0.998711340206186</f>
        <v>49.935567010309299</v>
      </c>
      <c r="H2473" s="20">
        <v>0</v>
      </c>
    </row>
    <row r="2474" spans="1:8" ht="15.75" hidden="1" customHeight="1" x14ac:dyDescent="0.25">
      <c r="A2474" s="20" t="s">
        <v>213</v>
      </c>
      <c r="B2474" s="47" t="s">
        <v>214</v>
      </c>
      <c r="C2474" s="49"/>
      <c r="D2474" s="46" t="s">
        <v>12</v>
      </c>
      <c r="E2474" s="32">
        <v>1954</v>
      </c>
      <c r="F2474" s="18">
        <f>E2474* 0.858755020080321</f>
        <v>1678.0073092369473</v>
      </c>
      <c r="G2474" s="18">
        <f>E2474* 0.104016064257028</f>
        <v>203.24738955823273</v>
      </c>
      <c r="H2474" s="18">
        <f>E2474* 0.0372289156626506</f>
        <v>72.74530120481927</v>
      </c>
    </row>
    <row r="2475" spans="1:8" ht="15.75" hidden="1" customHeight="1" x14ac:dyDescent="0.25">
      <c r="A2475" s="20" t="s">
        <v>213</v>
      </c>
      <c r="B2475" s="20"/>
      <c r="C2475" s="20"/>
      <c r="D2475" s="46"/>
      <c r="E2475" s="35"/>
    </row>
    <row r="2476" spans="1:8" ht="15.75" hidden="1" customHeight="1" x14ac:dyDescent="0.25">
      <c r="A2476" s="20" t="s">
        <v>213</v>
      </c>
      <c r="B2476" s="47" t="s">
        <v>215</v>
      </c>
      <c r="C2476" s="12" t="str">
        <f>B2476&amp;"_"&amp;A2476</f>
        <v>Caraparí_Tarija</v>
      </c>
      <c r="D2476" s="20"/>
      <c r="E2476" s="48">
        <v>1099</v>
      </c>
      <c r="F2476" s="14">
        <f t="shared" ref="F2476:H2476" si="213">SUM(F2477:F2489)</f>
        <v>860.79327932849446</v>
      </c>
      <c r="G2476" s="14">
        <f t="shared" si="213"/>
        <v>208.52351446699987</v>
      </c>
      <c r="H2476" s="14">
        <f t="shared" si="213"/>
        <v>29.605130679031831</v>
      </c>
    </row>
    <row r="2477" spans="1:8" ht="15.75" hidden="1" customHeight="1" x14ac:dyDescent="0.25">
      <c r="A2477" s="20" t="s">
        <v>213</v>
      </c>
      <c r="B2477" s="47" t="s">
        <v>215</v>
      </c>
      <c r="C2477" s="49"/>
      <c r="D2477" s="35" t="s">
        <v>579</v>
      </c>
      <c r="E2477" s="32">
        <v>0</v>
      </c>
      <c r="F2477" s="20">
        <v>0</v>
      </c>
      <c r="G2477" s="24">
        <f>E2477</f>
        <v>0</v>
      </c>
      <c r="H2477" s="20">
        <v>0</v>
      </c>
    </row>
    <row r="2478" spans="1:8" ht="15.75" hidden="1" customHeight="1" x14ac:dyDescent="0.25">
      <c r="A2478" s="20" t="s">
        <v>213</v>
      </c>
      <c r="B2478" s="47" t="s">
        <v>215</v>
      </c>
      <c r="C2478" s="49"/>
      <c r="D2478" s="46" t="s">
        <v>15</v>
      </c>
      <c r="E2478" s="32">
        <v>60</v>
      </c>
      <c r="F2478" s="18">
        <f>E2478* 0.957552016439764</f>
        <v>57.453120986385841</v>
      </c>
      <c r="G2478" s="18">
        <f>E2478* 0.0158618032365785</f>
        <v>0.95170819419471009</v>
      </c>
      <c r="H2478" s="18">
        <f>E2478* 0.0265861803236578</f>
        <v>1.595170819419468</v>
      </c>
    </row>
    <row r="2479" spans="1:8" ht="15.75" hidden="1" customHeight="1" x14ac:dyDescent="0.25">
      <c r="A2479" s="20" t="s">
        <v>213</v>
      </c>
      <c r="B2479" s="47" t="s">
        <v>215</v>
      </c>
      <c r="C2479" s="49"/>
      <c r="D2479" s="35" t="s">
        <v>580</v>
      </c>
      <c r="E2479" s="32">
        <v>7</v>
      </c>
      <c r="F2479" s="18">
        <f>E2479* 0.0288065843621399</f>
        <v>0.20164609053497931</v>
      </c>
      <c r="G2479" s="18">
        <f>E2479* 0.967078189300412</f>
        <v>6.7695473251028844</v>
      </c>
      <c r="H2479" s="18">
        <f>E2479* 0.00411522633744856</f>
        <v>2.8806584362139918E-2</v>
      </c>
    </row>
    <row r="2480" spans="1:8" ht="15.75" hidden="1" customHeight="1" x14ac:dyDescent="0.25">
      <c r="A2480" s="20" t="s">
        <v>213</v>
      </c>
      <c r="B2480" s="47" t="s">
        <v>215</v>
      </c>
      <c r="C2480" s="49"/>
      <c r="D2480" s="46" t="s">
        <v>11</v>
      </c>
      <c r="E2480" s="32">
        <v>66</v>
      </c>
      <c r="F2480" s="18">
        <f>E2480* 0.069996216420734</f>
        <v>4.6197502837684441</v>
      </c>
      <c r="G2480" s="18">
        <f>E2480* 0.928364232564006</f>
        <v>61.2720393492244</v>
      </c>
      <c r="H2480" s="18">
        <f>E2480* 0.00113507377979569</f>
        <v>7.491486946651553E-2</v>
      </c>
    </row>
    <row r="2481" spans="1:8" ht="15.75" hidden="1" customHeight="1" x14ac:dyDescent="0.25">
      <c r="A2481" s="20" t="s">
        <v>213</v>
      </c>
      <c r="B2481" s="47" t="s">
        <v>215</v>
      </c>
      <c r="C2481" s="49"/>
      <c r="D2481" s="46" t="s">
        <v>17</v>
      </c>
      <c r="E2481" s="32">
        <v>171</v>
      </c>
      <c r="F2481" s="18">
        <f>E2481* 0.797049581005587</f>
        <v>136.29547835195538</v>
      </c>
      <c r="G2481" s="18">
        <f>E2481* 0.161662011173184</f>
        <v>27.644203910614461</v>
      </c>
      <c r="H2481" s="18">
        <f>E2481* 0.0410265363128492</f>
        <v>7.0155377094972131</v>
      </c>
    </row>
    <row r="2482" spans="1:8" ht="15.75" hidden="1" customHeight="1" x14ac:dyDescent="0.25">
      <c r="A2482" s="20" t="s">
        <v>213</v>
      </c>
      <c r="B2482" s="47" t="s">
        <v>215</v>
      </c>
      <c r="C2482" s="49"/>
      <c r="D2482" s="46" t="s">
        <v>31</v>
      </c>
      <c r="E2482" s="32">
        <v>8</v>
      </c>
      <c r="F2482" s="18">
        <f>E2482* 0.820689655172414</f>
        <v>6.5655172413793119</v>
      </c>
      <c r="G2482" s="18">
        <f>E2482* 0.16551724137931</f>
        <v>1.3241379310344801</v>
      </c>
      <c r="H2482" s="18">
        <f>E2482* 0.0137931034482759</f>
        <v>0.1103448275862072</v>
      </c>
    </row>
    <row r="2483" spans="1:8" ht="15.75" hidden="1" customHeight="1" x14ac:dyDescent="0.25">
      <c r="A2483" s="20" t="s">
        <v>213</v>
      </c>
      <c r="B2483" s="47" t="s">
        <v>215</v>
      </c>
      <c r="C2483" s="49"/>
      <c r="D2483" s="46" t="s">
        <v>18</v>
      </c>
      <c r="E2483" s="32">
        <v>8</v>
      </c>
      <c r="F2483" s="18">
        <f>E2483* 0.912233009708738</f>
        <v>7.297864077669904</v>
      </c>
      <c r="G2483" s="18">
        <f>E2483* 0.0811650485436893</f>
        <v>0.64932038834951444</v>
      </c>
      <c r="H2483" s="18">
        <f>E2483* 0.00660194174757282</f>
        <v>5.2815533980582557E-2</v>
      </c>
    </row>
    <row r="2484" spans="1:8" ht="15.75" hidden="1" customHeight="1" x14ac:dyDescent="0.25">
      <c r="A2484" s="20" t="s">
        <v>213</v>
      </c>
      <c r="B2484" s="47" t="s">
        <v>215</v>
      </c>
      <c r="C2484" s="49"/>
      <c r="D2484" s="46" t="s">
        <v>19</v>
      </c>
      <c r="E2484" s="32">
        <v>43</v>
      </c>
      <c r="F2484" s="18">
        <f>E2484* 0.0264765784114053</f>
        <v>1.1384928716904279</v>
      </c>
      <c r="G2484" s="18">
        <f>E2484* 0.970807875084861</f>
        <v>41.744738628649024</v>
      </c>
      <c r="H2484" s="18">
        <f>E2484* 0.00271554650373388</f>
        <v>0.11676849966055683</v>
      </c>
    </row>
    <row r="2485" spans="1:8" ht="15.75" hidden="1" customHeight="1" x14ac:dyDescent="0.25">
      <c r="A2485" s="20" t="s">
        <v>213</v>
      </c>
      <c r="B2485" s="47" t="s">
        <v>215</v>
      </c>
      <c r="C2485" s="49"/>
      <c r="D2485" s="46" t="s">
        <v>20</v>
      </c>
      <c r="E2485" s="32">
        <v>79</v>
      </c>
      <c r="F2485" s="18">
        <f>E2485* 0.657913931436907</f>
        <v>51.975200583515651</v>
      </c>
      <c r="G2485" s="18">
        <f>E2485* 0.284463894967177</f>
        <v>22.472647702406984</v>
      </c>
      <c r="H2485" s="18">
        <f>E2485* 0.0576221735959154</f>
        <v>4.5521517140773167</v>
      </c>
    </row>
    <row r="2486" spans="1:8" ht="15.75" hidden="1" customHeight="1" x14ac:dyDescent="0.25">
      <c r="A2486" s="20" t="s">
        <v>213</v>
      </c>
      <c r="B2486" s="47" t="s">
        <v>215</v>
      </c>
      <c r="C2486" s="49"/>
      <c r="D2486" s="46" t="s">
        <v>21</v>
      </c>
      <c r="E2486" s="32">
        <v>225</v>
      </c>
      <c r="F2486" s="18">
        <f>E2486* 0.999266575396049</f>
        <v>224.83497946411103</v>
      </c>
      <c r="G2486" s="18">
        <f>E2486* 0.0000488949735967143</f>
        <v>1.1001369059260717E-2</v>
      </c>
      <c r="H2486" s="18">
        <f>E2486* 0.000684529630354</f>
        <v>0.15401916682965</v>
      </c>
    </row>
    <row r="2487" spans="1:8" ht="15.75" hidden="1" customHeight="1" x14ac:dyDescent="0.25">
      <c r="A2487" s="20" t="s">
        <v>213</v>
      </c>
      <c r="B2487" s="47" t="s">
        <v>215</v>
      </c>
      <c r="C2487" s="49"/>
      <c r="D2487" s="46" t="s">
        <v>36</v>
      </c>
      <c r="E2487" s="32">
        <v>10</v>
      </c>
      <c r="F2487" s="18">
        <f>E2487* 0.973154362416107</f>
        <v>9.7315436241610698</v>
      </c>
      <c r="G2487" s="20">
        <v>0</v>
      </c>
      <c r="H2487" s="18">
        <f>E2487* 0.0268456375838926</f>
        <v>0.26845637583892601</v>
      </c>
    </row>
    <row r="2488" spans="1:8" ht="15.75" hidden="1" customHeight="1" x14ac:dyDescent="0.25">
      <c r="A2488" s="20" t="s">
        <v>213</v>
      </c>
      <c r="B2488" s="47" t="s">
        <v>215</v>
      </c>
      <c r="C2488" s="49"/>
      <c r="D2488" s="46" t="s">
        <v>28</v>
      </c>
      <c r="E2488" s="32">
        <v>2</v>
      </c>
      <c r="F2488" s="18">
        <f>E2488* 0.00128865979381443</f>
        <v>2.5773195876288599E-3</v>
      </c>
      <c r="G2488" s="18">
        <f>E2488* 0.998711340206186</f>
        <v>1.997422680412372</v>
      </c>
      <c r="H2488" s="20">
        <v>0</v>
      </c>
    </row>
    <row r="2489" spans="1:8" ht="15.75" hidden="1" customHeight="1" x14ac:dyDescent="0.25">
      <c r="A2489" s="20" t="s">
        <v>213</v>
      </c>
      <c r="B2489" s="47" t="s">
        <v>215</v>
      </c>
      <c r="C2489" s="49"/>
      <c r="D2489" s="46" t="s">
        <v>12</v>
      </c>
      <c r="E2489" s="32">
        <v>420</v>
      </c>
      <c r="F2489" s="18">
        <f>E2489* 0.858755020080321</f>
        <v>360.67710843373482</v>
      </c>
      <c r="G2489" s="18">
        <f>E2489* 0.104016064257028</f>
        <v>43.686746987951757</v>
      </c>
      <c r="H2489" s="18">
        <f>E2489* 0.0372289156626506</f>
        <v>15.636144578313253</v>
      </c>
    </row>
    <row r="2490" spans="1:8" ht="15.75" hidden="1" customHeight="1" x14ac:dyDescent="0.25">
      <c r="A2490" s="20" t="s">
        <v>213</v>
      </c>
      <c r="B2490" s="20"/>
      <c r="C2490" s="20"/>
      <c r="D2490" s="46"/>
      <c r="E2490" s="35"/>
    </row>
    <row r="2491" spans="1:8" ht="15.75" hidden="1" customHeight="1" x14ac:dyDescent="0.25">
      <c r="A2491" s="20" t="s">
        <v>213</v>
      </c>
      <c r="B2491" s="47" t="s">
        <v>216</v>
      </c>
      <c r="C2491" s="12" t="str">
        <f>B2491&amp;"_"&amp;A2491</f>
        <v>El Puente - Tarija_Tarija</v>
      </c>
      <c r="D2491" s="20"/>
      <c r="E2491" s="48">
        <v>669</v>
      </c>
      <c r="F2491" s="14">
        <f t="shared" ref="F2491:H2491" si="214">SUM(F2492:F2502)</f>
        <v>510.76479800716385</v>
      </c>
      <c r="G2491" s="14">
        <f t="shared" si="214"/>
        <v>145.93060188923459</v>
      </c>
      <c r="H2491" s="14">
        <f t="shared" si="214"/>
        <v>12.224911250593223</v>
      </c>
    </row>
    <row r="2492" spans="1:8" ht="15.75" hidden="1" customHeight="1" x14ac:dyDescent="0.25">
      <c r="A2492" s="20" t="s">
        <v>213</v>
      </c>
      <c r="B2492" s="47" t="s">
        <v>216</v>
      </c>
      <c r="C2492" s="49"/>
      <c r="D2492" s="35" t="s">
        <v>581</v>
      </c>
      <c r="E2492" s="32">
        <v>0</v>
      </c>
      <c r="F2492" s="20">
        <v>0</v>
      </c>
      <c r="G2492" s="24">
        <f>E2492</f>
        <v>0</v>
      </c>
      <c r="H2492" s="20">
        <v>0</v>
      </c>
    </row>
    <row r="2493" spans="1:8" ht="15.75" hidden="1" customHeight="1" x14ac:dyDescent="0.25">
      <c r="A2493" s="20" t="s">
        <v>213</v>
      </c>
      <c r="B2493" s="47" t="s">
        <v>216</v>
      </c>
      <c r="C2493" s="49"/>
      <c r="D2493" s="46" t="s">
        <v>15</v>
      </c>
      <c r="E2493" s="32">
        <v>31</v>
      </c>
      <c r="F2493" s="18">
        <f>E2493* 0.957552016439764</f>
        <v>29.684112509632683</v>
      </c>
      <c r="G2493" s="18">
        <f>E2493* 0.0158618032365785</f>
        <v>0.49171590033393353</v>
      </c>
      <c r="H2493" s="18">
        <f>E2493* 0.0265861803236578</f>
        <v>0.8241715900333918</v>
      </c>
    </row>
    <row r="2494" spans="1:8" ht="15.75" hidden="1" customHeight="1" x14ac:dyDescent="0.25">
      <c r="A2494" s="20" t="s">
        <v>213</v>
      </c>
      <c r="B2494" s="47" t="s">
        <v>216</v>
      </c>
      <c r="C2494" s="49"/>
      <c r="D2494" s="35" t="s">
        <v>582</v>
      </c>
      <c r="E2494" s="32">
        <v>2</v>
      </c>
      <c r="F2494" s="18">
        <f>E2494* 0.0288065843621399</f>
        <v>5.7613168724279802E-2</v>
      </c>
      <c r="G2494" s="18">
        <f>E2494* 0.967078189300412</f>
        <v>1.934156378600824</v>
      </c>
      <c r="H2494" s="18">
        <f>E2494* 0.00411522633744856</f>
        <v>8.23045267489712E-3</v>
      </c>
    </row>
    <row r="2495" spans="1:8" ht="15.75" hidden="1" customHeight="1" x14ac:dyDescent="0.25">
      <c r="A2495" s="20" t="s">
        <v>213</v>
      </c>
      <c r="B2495" s="47" t="s">
        <v>216</v>
      </c>
      <c r="C2495" s="49"/>
      <c r="D2495" s="46" t="s">
        <v>11</v>
      </c>
      <c r="E2495" s="32">
        <v>91</v>
      </c>
      <c r="F2495" s="18">
        <f>E2495* 0.069996216420734</f>
        <v>6.3696556942867941</v>
      </c>
      <c r="G2495" s="18">
        <f>E2495* 0.928364232564006</f>
        <v>84.481145163324541</v>
      </c>
      <c r="H2495" s="18">
        <f>E2495* 0.00113507377979569</f>
        <v>0.10329171396140778</v>
      </c>
    </row>
    <row r="2496" spans="1:8" ht="15.75" hidden="1" customHeight="1" x14ac:dyDescent="0.25">
      <c r="A2496" s="20" t="s">
        <v>213</v>
      </c>
      <c r="B2496" s="47" t="s">
        <v>216</v>
      </c>
      <c r="C2496" s="49"/>
      <c r="D2496" s="46" t="s">
        <v>17</v>
      </c>
      <c r="E2496" s="32">
        <v>129</v>
      </c>
      <c r="F2496" s="18">
        <f>E2496* 0.797049581005587</f>
        <v>102.81939594972071</v>
      </c>
      <c r="G2496" s="18">
        <f>E2496* 0.161662011173184</f>
        <v>20.854399441340735</v>
      </c>
      <c r="H2496" s="18">
        <f>E2496* 0.0410265363128492</f>
        <v>5.2924231843575464</v>
      </c>
    </row>
    <row r="2497" spans="1:8" ht="15.75" hidden="1" customHeight="1" x14ac:dyDescent="0.25">
      <c r="A2497" s="20" t="s">
        <v>213</v>
      </c>
      <c r="B2497" s="47" t="s">
        <v>216</v>
      </c>
      <c r="C2497" s="49"/>
      <c r="D2497" s="46" t="s">
        <v>18</v>
      </c>
      <c r="E2497" s="32">
        <v>9</v>
      </c>
      <c r="F2497" s="18">
        <f>E2497* 0.912233009708738</f>
        <v>8.2100970873786423</v>
      </c>
      <c r="G2497" s="18">
        <f>E2497* 0.0811650485436893</f>
        <v>0.73048543689320378</v>
      </c>
      <c r="H2497" s="18">
        <f>E2497* 0.00660194174757282</f>
        <v>5.9417475728155381E-2</v>
      </c>
    </row>
    <row r="2498" spans="1:8" ht="15.75" hidden="1" customHeight="1" x14ac:dyDescent="0.25">
      <c r="A2498" s="20" t="s">
        <v>213</v>
      </c>
      <c r="B2498" s="47" t="s">
        <v>216</v>
      </c>
      <c r="C2498" s="49"/>
      <c r="D2498" s="46" t="s">
        <v>19</v>
      </c>
      <c r="E2498" s="32">
        <v>12</v>
      </c>
      <c r="F2498" s="18">
        <f>E2498* 0.0264765784114053</f>
        <v>0.31771894093686359</v>
      </c>
      <c r="G2498" s="18">
        <f>E2498* 0.970807875084861</f>
        <v>11.649694501018331</v>
      </c>
      <c r="H2498" s="18">
        <f>E2498* 0.00271554650373388</f>
        <v>3.2586558044806556E-2</v>
      </c>
    </row>
    <row r="2499" spans="1:8" ht="15.75" hidden="1" customHeight="1" x14ac:dyDescent="0.25">
      <c r="A2499" s="20" t="s">
        <v>213</v>
      </c>
      <c r="B2499" s="47" t="s">
        <v>216</v>
      </c>
      <c r="C2499" s="49"/>
      <c r="D2499" s="46" t="s">
        <v>20</v>
      </c>
      <c r="E2499" s="32">
        <v>6</v>
      </c>
      <c r="F2499" s="18">
        <f>E2499* 0.657913931436907</f>
        <v>3.9474835886214423</v>
      </c>
      <c r="G2499" s="18">
        <f>E2499* 0.284463894967177</f>
        <v>1.7067833698030621</v>
      </c>
      <c r="H2499" s="18">
        <f>E2499* 0.0576221735959154</f>
        <v>0.34573304157549239</v>
      </c>
    </row>
    <row r="2500" spans="1:8" ht="15.75" hidden="1" customHeight="1" x14ac:dyDescent="0.25">
      <c r="A2500" s="20" t="s">
        <v>213</v>
      </c>
      <c r="B2500" s="47" t="s">
        <v>216</v>
      </c>
      <c r="C2500" s="49"/>
      <c r="D2500" s="46" t="s">
        <v>21</v>
      </c>
      <c r="E2500" s="32">
        <v>235</v>
      </c>
      <c r="F2500" s="18">
        <f>E2500* 0.999266575396049</f>
        <v>234.82764521807152</v>
      </c>
      <c r="G2500" s="18">
        <f>E2500* 0.0000488949735967143</f>
        <v>1.149031879522786E-2</v>
      </c>
      <c r="H2500" s="18">
        <f>E2500* 0.000684529630354</f>
        <v>0.16086446313319</v>
      </c>
    </row>
    <row r="2501" spans="1:8" ht="15.75" hidden="1" customHeight="1" x14ac:dyDescent="0.25">
      <c r="A2501" s="20" t="s">
        <v>213</v>
      </c>
      <c r="B2501" s="47" t="s">
        <v>216</v>
      </c>
      <c r="C2501" s="49"/>
      <c r="D2501" s="46" t="s">
        <v>28</v>
      </c>
      <c r="E2501" s="32">
        <v>9</v>
      </c>
      <c r="F2501" s="18">
        <f>E2501* 0.00128865979381443</f>
        <v>1.159793814432987E-2</v>
      </c>
      <c r="G2501" s="18">
        <f>E2501* 0.998711340206186</f>
        <v>8.9884020618556733</v>
      </c>
      <c r="H2501" s="20">
        <v>0</v>
      </c>
    </row>
    <row r="2502" spans="1:8" ht="15.75" hidden="1" customHeight="1" x14ac:dyDescent="0.25">
      <c r="A2502" s="20" t="s">
        <v>213</v>
      </c>
      <c r="B2502" s="47" t="s">
        <v>216</v>
      </c>
      <c r="C2502" s="49"/>
      <c r="D2502" s="46" t="s">
        <v>12</v>
      </c>
      <c r="E2502" s="32">
        <v>145</v>
      </c>
      <c r="F2502" s="18">
        <f>E2502* 0.858755020080321</f>
        <v>124.51947791164655</v>
      </c>
      <c r="G2502" s="18">
        <f>E2502* 0.104016064257028</f>
        <v>15.08232931726906</v>
      </c>
      <c r="H2502" s="18">
        <f>E2502* 0.0372289156626506</f>
        <v>5.3981927710843376</v>
      </c>
    </row>
    <row r="2503" spans="1:8" ht="15.75" hidden="1" customHeight="1" x14ac:dyDescent="0.25">
      <c r="A2503" s="20" t="s">
        <v>213</v>
      </c>
      <c r="B2503" s="20"/>
      <c r="C2503" s="20"/>
      <c r="D2503" s="46"/>
      <c r="E2503" s="35"/>
    </row>
    <row r="2504" spans="1:8" ht="15.75" hidden="1" customHeight="1" x14ac:dyDescent="0.25">
      <c r="A2504" s="20" t="s">
        <v>213</v>
      </c>
      <c r="B2504" s="47" t="s">
        <v>217</v>
      </c>
      <c r="C2504" s="12" t="str">
        <f>B2504&amp;"_"&amp;A2504</f>
        <v>La Moreta (Entre Ríos)_Tarija</v>
      </c>
      <c r="D2504" s="20"/>
      <c r="E2504" s="48">
        <v>232</v>
      </c>
      <c r="F2504" s="14">
        <f t="shared" ref="F2504:H2504" si="215">SUM(F2505:F2515)</f>
        <v>164.32626288247485</v>
      </c>
      <c r="G2504" s="14">
        <f t="shared" si="215"/>
        <v>63.136946438531233</v>
      </c>
      <c r="H2504" s="14">
        <f t="shared" si="215"/>
        <v>4.5085242549483686</v>
      </c>
    </row>
    <row r="2505" spans="1:8" ht="15.75" hidden="1" customHeight="1" x14ac:dyDescent="0.25">
      <c r="A2505" s="20" t="s">
        <v>213</v>
      </c>
      <c r="B2505" s="47" t="s">
        <v>217</v>
      </c>
      <c r="C2505" s="49"/>
      <c r="D2505" s="35" t="s">
        <v>583</v>
      </c>
      <c r="E2505" s="32">
        <v>2</v>
      </c>
      <c r="F2505" s="20">
        <v>0</v>
      </c>
      <c r="G2505" s="24">
        <f>E2505</f>
        <v>2</v>
      </c>
      <c r="H2505" s="20">
        <v>0</v>
      </c>
    </row>
    <row r="2506" spans="1:8" ht="15.75" hidden="1" customHeight="1" x14ac:dyDescent="0.25">
      <c r="A2506" s="20" t="s">
        <v>213</v>
      </c>
      <c r="B2506" s="47" t="s">
        <v>217</v>
      </c>
      <c r="C2506" s="49"/>
      <c r="D2506" s="46" t="s">
        <v>15</v>
      </c>
      <c r="E2506" s="32">
        <v>10</v>
      </c>
      <c r="F2506" s="18">
        <f>E2506* 0.957552016439764</f>
        <v>9.5755201643976395</v>
      </c>
      <c r="G2506" s="18">
        <f>E2506* 0.0158618032365785</f>
        <v>0.15861803236578501</v>
      </c>
      <c r="H2506" s="18">
        <f>E2506* 0.0265861803236578</f>
        <v>0.26586180323657799</v>
      </c>
    </row>
    <row r="2507" spans="1:8" ht="15.75" hidden="1" customHeight="1" x14ac:dyDescent="0.25">
      <c r="A2507" s="20" t="s">
        <v>213</v>
      </c>
      <c r="B2507" s="47" t="s">
        <v>217</v>
      </c>
      <c r="C2507" s="49"/>
      <c r="D2507" s="35" t="s">
        <v>584</v>
      </c>
      <c r="E2507" s="32">
        <v>3</v>
      </c>
      <c r="F2507" s="18">
        <f>E2507* 0.0288065843621399</f>
        <v>8.6419753086419707E-2</v>
      </c>
      <c r="G2507" s="18">
        <f>E2507* 0.967078189300412</f>
        <v>2.9012345679012359</v>
      </c>
      <c r="H2507" s="18">
        <f>E2507* 0.00411522633744856</f>
        <v>1.234567901234568E-2</v>
      </c>
    </row>
    <row r="2508" spans="1:8" ht="15.75" hidden="1" customHeight="1" x14ac:dyDescent="0.25">
      <c r="A2508" s="20" t="s">
        <v>213</v>
      </c>
      <c r="B2508" s="47" t="s">
        <v>217</v>
      </c>
      <c r="C2508" s="49"/>
      <c r="D2508" s="46" t="s">
        <v>11</v>
      </c>
      <c r="E2508" s="32">
        <v>28</v>
      </c>
      <c r="F2508" s="18">
        <f>E2508* 0.069996216420734</f>
        <v>1.9598940597805521</v>
      </c>
      <c r="G2508" s="18">
        <f>E2508* 0.928364232564006</f>
        <v>25.99419851179217</v>
      </c>
      <c r="H2508" s="18">
        <f>E2508* 0.00113507377979569</f>
        <v>3.1782065834279317E-2</v>
      </c>
    </row>
    <row r="2509" spans="1:8" ht="15.75" hidden="1" customHeight="1" x14ac:dyDescent="0.25">
      <c r="A2509" s="20" t="s">
        <v>213</v>
      </c>
      <c r="B2509" s="47" t="s">
        <v>217</v>
      </c>
      <c r="C2509" s="49"/>
      <c r="D2509" s="46" t="s">
        <v>17</v>
      </c>
      <c r="E2509" s="32">
        <v>54</v>
      </c>
      <c r="F2509" s="18">
        <f>E2509* 0.797049581005587</f>
        <v>43.040677374301694</v>
      </c>
      <c r="G2509" s="18">
        <f>E2509* 0.161662011173184</f>
        <v>8.7297486033519363</v>
      </c>
      <c r="H2509" s="18">
        <f>E2509* 0.0410265363128492</f>
        <v>2.2154329608938568</v>
      </c>
    </row>
    <row r="2510" spans="1:8" ht="15.75" hidden="1" customHeight="1" x14ac:dyDescent="0.25">
      <c r="A2510" s="20" t="s">
        <v>213</v>
      </c>
      <c r="B2510" s="47" t="s">
        <v>217</v>
      </c>
      <c r="C2510" s="49"/>
      <c r="D2510" s="46" t="s">
        <v>31</v>
      </c>
      <c r="E2510" s="32">
        <v>3</v>
      </c>
      <c r="F2510" s="18">
        <f>E2510* 0.820689655172414</f>
        <v>2.4620689655172421</v>
      </c>
      <c r="G2510" s="18">
        <f>E2510* 0.16551724137931</f>
        <v>0.49655172413793003</v>
      </c>
      <c r="H2510" s="18">
        <f>E2510* 0.0137931034482759</f>
        <v>4.1379310344827697E-2</v>
      </c>
    </row>
    <row r="2511" spans="1:8" ht="15.75" hidden="1" customHeight="1" x14ac:dyDescent="0.25">
      <c r="A2511" s="20" t="s">
        <v>213</v>
      </c>
      <c r="B2511" s="47" t="s">
        <v>217</v>
      </c>
      <c r="C2511" s="49"/>
      <c r="D2511" s="46" t="s">
        <v>18</v>
      </c>
      <c r="E2511" s="32">
        <v>5</v>
      </c>
      <c r="F2511" s="18">
        <f>E2511* 0.912233009708738</f>
        <v>4.5611650485436899</v>
      </c>
      <c r="G2511" s="18">
        <f>E2511* 0.0811650485436893</f>
        <v>0.40582524271844655</v>
      </c>
      <c r="H2511" s="18">
        <f>E2511* 0.00660194174757282</f>
        <v>3.3009708737864102E-2</v>
      </c>
    </row>
    <row r="2512" spans="1:8" ht="15.75" hidden="1" customHeight="1" x14ac:dyDescent="0.25">
      <c r="A2512" s="20" t="s">
        <v>213</v>
      </c>
      <c r="B2512" s="47" t="s">
        <v>217</v>
      </c>
      <c r="C2512" s="49"/>
      <c r="D2512" s="46" t="s">
        <v>19</v>
      </c>
      <c r="E2512" s="32">
        <v>17</v>
      </c>
      <c r="F2512" s="18">
        <f>E2512* 0.0264765784114053</f>
        <v>0.45010183299389006</v>
      </c>
      <c r="G2512" s="18">
        <f>E2512* 0.970807875084861</f>
        <v>16.503733876442638</v>
      </c>
      <c r="H2512" s="18">
        <f>E2512* 0.00271554650373388</f>
        <v>4.6164290563475957E-2</v>
      </c>
    </row>
    <row r="2513" spans="1:8" ht="15.75" hidden="1" customHeight="1" x14ac:dyDescent="0.25">
      <c r="A2513" s="20" t="s">
        <v>213</v>
      </c>
      <c r="B2513" s="47" t="s">
        <v>217</v>
      </c>
      <c r="C2513" s="49"/>
      <c r="D2513" s="46" t="s">
        <v>20</v>
      </c>
      <c r="E2513" s="32">
        <v>7</v>
      </c>
      <c r="F2513" s="18">
        <f>E2513* 0.657913931436907</f>
        <v>4.6053975200583492</v>
      </c>
      <c r="G2513" s="18">
        <f>E2513* 0.284463894967177</f>
        <v>1.9912472647702391</v>
      </c>
      <c r="H2513" s="18">
        <f>E2513* 0.0576221735959154</f>
        <v>0.40335521517140782</v>
      </c>
    </row>
    <row r="2514" spans="1:8" ht="15.75" hidden="1" customHeight="1" x14ac:dyDescent="0.25">
      <c r="A2514" s="20" t="s">
        <v>213</v>
      </c>
      <c r="B2514" s="47" t="s">
        <v>217</v>
      </c>
      <c r="C2514" s="49"/>
      <c r="D2514" s="46" t="s">
        <v>21</v>
      </c>
      <c r="E2514" s="32">
        <v>65</v>
      </c>
      <c r="F2514" s="18">
        <f>E2514* 0.999266575396049</f>
        <v>64.952327400743187</v>
      </c>
      <c r="G2514" s="18">
        <f>E2514* 0.0000488949735967143</f>
        <v>3.1781732837864295E-3</v>
      </c>
      <c r="H2514" s="18">
        <f>E2514* 0.000684529630354</f>
        <v>4.4494425973010003E-2</v>
      </c>
    </row>
    <row r="2515" spans="1:8" ht="15.75" hidden="1" customHeight="1" x14ac:dyDescent="0.25">
      <c r="A2515" s="20" t="s">
        <v>213</v>
      </c>
      <c r="B2515" s="47" t="s">
        <v>217</v>
      </c>
      <c r="C2515" s="49"/>
      <c r="D2515" s="46" t="s">
        <v>12</v>
      </c>
      <c r="E2515" s="32">
        <v>38</v>
      </c>
      <c r="F2515" s="18">
        <f>E2515* 0.858755020080321</f>
        <v>32.632690763052196</v>
      </c>
      <c r="G2515" s="18">
        <f>E2515* 0.104016064257028</f>
        <v>3.9526104417670642</v>
      </c>
      <c r="H2515" s="18">
        <f>E2515* 0.0372289156626506</f>
        <v>1.4146987951807228</v>
      </c>
    </row>
    <row r="2516" spans="1:8" ht="15.75" hidden="1" customHeight="1" x14ac:dyDescent="0.25">
      <c r="A2516" s="20" t="s">
        <v>213</v>
      </c>
      <c r="B2516" s="20"/>
      <c r="C2516" s="20"/>
      <c r="D2516" s="46"/>
      <c r="E2516" s="35"/>
    </row>
    <row r="2517" spans="1:8" ht="15.75" hidden="1" customHeight="1" x14ac:dyDescent="0.25">
      <c r="A2517" s="20" t="s">
        <v>213</v>
      </c>
      <c r="B2517" s="47" t="s">
        <v>218</v>
      </c>
      <c r="C2517" s="12" t="str">
        <f>B2517&amp;"_"&amp;A2517</f>
        <v>Padcaya_Tarija</v>
      </c>
      <c r="D2517" s="20"/>
      <c r="E2517" s="48">
        <v>569</v>
      </c>
      <c r="F2517" s="14">
        <f t="shared" ref="F2517:H2517" si="216">SUM(F2518:F2530)</f>
        <v>444.67564955715523</v>
      </c>
      <c r="G2517" s="14">
        <f t="shared" si="216"/>
        <v>112.02007781384717</v>
      </c>
      <c r="H2517" s="14">
        <f t="shared" si="216"/>
        <v>12.256042606049434</v>
      </c>
    </row>
    <row r="2518" spans="1:8" ht="15.75" hidden="1" customHeight="1" x14ac:dyDescent="0.25">
      <c r="A2518" s="20" t="s">
        <v>213</v>
      </c>
      <c r="B2518" s="47" t="s">
        <v>218</v>
      </c>
      <c r="C2518" s="49"/>
      <c r="D2518" s="35" t="s">
        <v>585</v>
      </c>
      <c r="E2518" s="32">
        <v>0</v>
      </c>
      <c r="F2518" s="20">
        <v>0</v>
      </c>
      <c r="G2518" s="24">
        <f>E2518</f>
        <v>0</v>
      </c>
      <c r="H2518" s="20">
        <v>0</v>
      </c>
    </row>
    <row r="2519" spans="1:8" ht="15.75" hidden="1" customHeight="1" x14ac:dyDescent="0.25">
      <c r="A2519" s="20" t="s">
        <v>213</v>
      </c>
      <c r="B2519" s="47" t="s">
        <v>218</v>
      </c>
      <c r="C2519" s="49"/>
      <c r="D2519" s="46" t="s">
        <v>15</v>
      </c>
      <c r="E2519" s="32">
        <v>48</v>
      </c>
      <c r="F2519" s="18">
        <f>E2519* 0.957552016439764</f>
        <v>45.96249678910867</v>
      </c>
      <c r="G2519" s="18">
        <f>E2519* 0.0158618032365785</f>
        <v>0.76136655535576803</v>
      </c>
      <c r="H2519" s="18">
        <f>E2519* 0.0265861803236578</f>
        <v>1.2761366555355744</v>
      </c>
    </row>
    <row r="2520" spans="1:8" ht="15.75" hidden="1" customHeight="1" x14ac:dyDescent="0.25">
      <c r="A2520" s="20" t="s">
        <v>213</v>
      </c>
      <c r="B2520" s="47" t="s">
        <v>218</v>
      </c>
      <c r="C2520" s="49"/>
      <c r="D2520" s="35" t="s">
        <v>586</v>
      </c>
      <c r="E2520" s="32">
        <v>3</v>
      </c>
      <c r="F2520" s="18">
        <f>E2520* 0.0288065843621399</f>
        <v>8.6419753086419707E-2</v>
      </c>
      <c r="G2520" s="18">
        <f>E2520* 0.967078189300412</f>
        <v>2.9012345679012359</v>
      </c>
      <c r="H2520" s="18">
        <f>E2520* 0.00411522633744856</f>
        <v>1.234567901234568E-2</v>
      </c>
    </row>
    <row r="2521" spans="1:8" ht="15.75" hidden="1" customHeight="1" x14ac:dyDescent="0.25">
      <c r="A2521" s="20" t="s">
        <v>213</v>
      </c>
      <c r="B2521" s="47" t="s">
        <v>218</v>
      </c>
      <c r="C2521" s="49"/>
      <c r="D2521" s="46" t="s">
        <v>11</v>
      </c>
      <c r="E2521" s="32">
        <v>52</v>
      </c>
      <c r="F2521" s="18">
        <f>E2521* 0.069996216420734</f>
        <v>3.6398032538781679</v>
      </c>
      <c r="G2521" s="18">
        <f>E2521* 0.928364232564006</f>
        <v>48.274940093328311</v>
      </c>
      <c r="H2521" s="18">
        <f>E2521* 0.00113507377979569</f>
        <v>5.9023836549375874E-2</v>
      </c>
    </row>
    <row r="2522" spans="1:8" ht="15.75" hidden="1" customHeight="1" x14ac:dyDescent="0.25">
      <c r="A2522" s="20" t="s">
        <v>213</v>
      </c>
      <c r="B2522" s="47" t="s">
        <v>218</v>
      </c>
      <c r="C2522" s="49"/>
      <c r="D2522" s="46" t="s">
        <v>17</v>
      </c>
      <c r="E2522" s="32">
        <v>84</v>
      </c>
      <c r="F2522" s="18">
        <f>E2522* 0.797049581005587</f>
        <v>66.952164804469305</v>
      </c>
      <c r="G2522" s="18">
        <f>E2522* 0.161662011173184</f>
        <v>13.579608938547455</v>
      </c>
      <c r="H2522" s="18">
        <f>E2522* 0.0410265363128492</f>
        <v>3.4462290502793329</v>
      </c>
    </row>
    <row r="2523" spans="1:8" ht="15.75" hidden="1" customHeight="1" x14ac:dyDescent="0.25">
      <c r="A2523" s="20" t="s">
        <v>213</v>
      </c>
      <c r="B2523" s="47" t="s">
        <v>218</v>
      </c>
      <c r="C2523" s="49"/>
      <c r="D2523" s="46" t="s">
        <v>31</v>
      </c>
      <c r="E2523" s="32">
        <v>2</v>
      </c>
      <c r="F2523" s="18">
        <f>E2523* 0.820689655172414</f>
        <v>1.641379310344828</v>
      </c>
      <c r="G2523" s="18">
        <f>E2523* 0.16551724137931</f>
        <v>0.33103448275862002</v>
      </c>
      <c r="H2523" s="18">
        <f>E2523* 0.0137931034482759</f>
        <v>2.75862068965518E-2</v>
      </c>
    </row>
    <row r="2524" spans="1:8" ht="15.75" hidden="1" customHeight="1" x14ac:dyDescent="0.25">
      <c r="A2524" s="20" t="s">
        <v>213</v>
      </c>
      <c r="B2524" s="47" t="s">
        <v>218</v>
      </c>
      <c r="C2524" s="49"/>
      <c r="D2524" s="46" t="s">
        <v>18</v>
      </c>
      <c r="E2524" s="32">
        <v>12</v>
      </c>
      <c r="F2524" s="18">
        <f>E2524* 0.912233009708738</f>
        <v>10.946796116504856</v>
      </c>
      <c r="G2524" s="18">
        <f>E2524* 0.0811650485436893</f>
        <v>0.97398058252427167</v>
      </c>
      <c r="H2524" s="18">
        <f>E2524* 0.00660194174757282</f>
        <v>7.9223300970873836E-2</v>
      </c>
    </row>
    <row r="2525" spans="1:8" ht="15.75" hidden="1" customHeight="1" x14ac:dyDescent="0.25">
      <c r="A2525" s="20" t="s">
        <v>213</v>
      </c>
      <c r="B2525" s="47" t="s">
        <v>218</v>
      </c>
      <c r="C2525" s="49"/>
      <c r="D2525" s="46" t="s">
        <v>19</v>
      </c>
      <c r="E2525" s="32">
        <v>18</v>
      </c>
      <c r="F2525" s="18">
        <f>E2525* 0.0264765784114053</f>
        <v>0.47657841140529539</v>
      </c>
      <c r="G2525" s="18">
        <f>E2525* 0.970807875084861</f>
        <v>17.474541751527497</v>
      </c>
      <c r="H2525" s="18">
        <f>E2525* 0.00271554650373388</f>
        <v>4.8879837067209837E-2</v>
      </c>
    </row>
    <row r="2526" spans="1:8" ht="15.75" hidden="1" customHeight="1" x14ac:dyDescent="0.25">
      <c r="A2526" s="20" t="s">
        <v>213</v>
      </c>
      <c r="B2526" s="47" t="s">
        <v>218</v>
      </c>
      <c r="C2526" s="49"/>
      <c r="D2526" s="46" t="s">
        <v>20</v>
      </c>
      <c r="E2526" s="32">
        <v>30</v>
      </c>
      <c r="F2526" s="18">
        <f>E2526* 0.657913931436907</f>
        <v>19.737417943107211</v>
      </c>
      <c r="G2526" s="18">
        <f>E2526* 0.284463894967177</f>
        <v>8.5339168490153092</v>
      </c>
      <c r="H2526" s="18">
        <f>E2526* 0.0576221735959154</f>
        <v>1.728665207877462</v>
      </c>
    </row>
    <row r="2527" spans="1:8" ht="15.75" hidden="1" customHeight="1" x14ac:dyDescent="0.25">
      <c r="A2527" s="20" t="s">
        <v>213</v>
      </c>
      <c r="B2527" s="47" t="s">
        <v>218</v>
      </c>
      <c r="C2527" s="49"/>
      <c r="D2527" s="46" t="s">
        <v>21</v>
      </c>
      <c r="E2527" s="32">
        <v>169</v>
      </c>
      <c r="F2527" s="18">
        <f>E2527* 0.999266575396049</f>
        <v>168.87605124193229</v>
      </c>
      <c r="G2527" s="18">
        <f>E2527* 0.0000488949735967143</f>
        <v>8.2632505378447164E-3</v>
      </c>
      <c r="H2527" s="18">
        <f>E2527* 0.000684529630354</f>
        <v>0.11568550752982601</v>
      </c>
    </row>
    <row r="2528" spans="1:8" ht="15.75" hidden="1" customHeight="1" x14ac:dyDescent="0.25">
      <c r="A2528" s="20" t="s">
        <v>213</v>
      </c>
      <c r="B2528" s="47" t="s">
        <v>218</v>
      </c>
      <c r="C2528" s="49"/>
      <c r="D2528" s="46" t="s">
        <v>28</v>
      </c>
      <c r="E2528" s="32">
        <v>4</v>
      </c>
      <c r="F2528" s="18">
        <f>E2528* 0.00128865979381443</f>
        <v>5.1546391752577197E-3</v>
      </c>
      <c r="G2528" s="18">
        <f>E2528* 0.998711340206186</f>
        <v>3.9948453608247441</v>
      </c>
      <c r="H2528" s="20">
        <v>0</v>
      </c>
    </row>
    <row r="2529" spans="1:8" ht="15.75" hidden="1" customHeight="1" x14ac:dyDescent="0.25">
      <c r="A2529" s="20" t="s">
        <v>213</v>
      </c>
      <c r="B2529" s="47" t="s">
        <v>218</v>
      </c>
      <c r="C2529" s="49"/>
      <c r="D2529" s="46" t="s">
        <v>36</v>
      </c>
      <c r="E2529" s="32">
        <v>1</v>
      </c>
      <c r="F2529" s="18">
        <f>E2529* 0.973154362416107</f>
        <v>0.97315436241610698</v>
      </c>
      <c r="G2529" s="20">
        <v>0</v>
      </c>
      <c r="H2529" s="18">
        <f>E2529* 0.0268456375838926</f>
        <v>2.68456375838926E-2</v>
      </c>
    </row>
    <row r="2530" spans="1:8" ht="15.75" hidden="1" customHeight="1" x14ac:dyDescent="0.25">
      <c r="A2530" s="20" t="s">
        <v>213</v>
      </c>
      <c r="B2530" s="47" t="s">
        <v>218</v>
      </c>
      <c r="C2530" s="49"/>
      <c r="D2530" s="46" t="s">
        <v>12</v>
      </c>
      <c r="E2530" s="32">
        <v>146</v>
      </c>
      <c r="F2530" s="18">
        <f>E2530* 0.858755020080321</f>
        <v>125.37823293172687</v>
      </c>
      <c r="G2530" s="18">
        <f>E2530* 0.104016064257028</f>
        <v>15.186345381526088</v>
      </c>
      <c r="H2530" s="18">
        <f>E2530* 0.0372289156626506</f>
        <v>5.435421686746988</v>
      </c>
    </row>
    <row r="2531" spans="1:8" ht="15.75" hidden="1" customHeight="1" x14ac:dyDescent="0.25">
      <c r="A2531" s="20" t="s">
        <v>213</v>
      </c>
      <c r="B2531" s="20"/>
      <c r="C2531" s="20"/>
      <c r="D2531" s="46"/>
      <c r="E2531" s="35"/>
    </row>
    <row r="2532" spans="1:8" ht="15.75" hidden="1" customHeight="1" x14ac:dyDescent="0.25">
      <c r="A2532" s="20" t="s">
        <v>213</v>
      </c>
      <c r="B2532" s="47" t="s">
        <v>219</v>
      </c>
      <c r="C2532" s="12" t="str">
        <f>B2532&amp;"_"&amp;A2532</f>
        <v>San Lorenzo_Tarija</v>
      </c>
      <c r="D2532" s="20"/>
      <c r="E2532" s="48">
        <v>10726</v>
      </c>
      <c r="F2532" s="14">
        <f t="shared" ref="F2532:H2532" si="217">SUM(F2533:F2546)</f>
        <v>9480.444441278536</v>
      </c>
      <c r="G2532" s="14">
        <f t="shared" si="217"/>
        <v>1108.8125408481742</v>
      </c>
      <c r="H2532" s="14">
        <f t="shared" si="217"/>
        <v>136.23421867354637</v>
      </c>
    </row>
    <row r="2533" spans="1:8" ht="15.75" hidden="1" customHeight="1" x14ac:dyDescent="0.25">
      <c r="A2533" s="20" t="s">
        <v>213</v>
      </c>
      <c r="B2533" s="47" t="s">
        <v>219</v>
      </c>
      <c r="C2533" s="49"/>
      <c r="D2533" s="35" t="s">
        <v>587</v>
      </c>
      <c r="E2533" s="32">
        <v>0</v>
      </c>
      <c r="F2533" s="20">
        <v>0</v>
      </c>
      <c r="G2533" s="24">
        <f>E2533</f>
        <v>0</v>
      </c>
      <c r="H2533" s="20">
        <v>0</v>
      </c>
    </row>
    <row r="2534" spans="1:8" ht="15.75" hidden="1" customHeight="1" x14ac:dyDescent="0.25">
      <c r="A2534" s="20" t="s">
        <v>213</v>
      </c>
      <c r="B2534" s="47" t="s">
        <v>219</v>
      </c>
      <c r="C2534" s="49"/>
      <c r="D2534" s="46" t="s">
        <v>15</v>
      </c>
      <c r="E2534" s="32">
        <v>1048</v>
      </c>
      <c r="F2534" s="18">
        <f>E2534* 0.957552016439764</f>
        <v>1003.5145132288726</v>
      </c>
      <c r="G2534" s="18">
        <f>E2534* 0.0158618032365785</f>
        <v>16.62316979193427</v>
      </c>
      <c r="H2534" s="18">
        <f>E2534* 0.0265861803236578</f>
        <v>27.862316979193373</v>
      </c>
    </row>
    <row r="2535" spans="1:8" ht="15.75" hidden="1" customHeight="1" x14ac:dyDescent="0.25">
      <c r="A2535" s="20" t="s">
        <v>213</v>
      </c>
      <c r="B2535" s="47" t="s">
        <v>219</v>
      </c>
      <c r="C2535" s="49"/>
      <c r="D2535" s="35" t="s">
        <v>588</v>
      </c>
      <c r="E2535" s="32">
        <v>21</v>
      </c>
      <c r="F2535" s="18">
        <f>E2535* 0.0288065843621399</f>
        <v>0.60493827160493796</v>
      </c>
      <c r="G2535" s="18">
        <f>E2535* 0.967078189300412</f>
        <v>20.308641975308653</v>
      </c>
      <c r="H2535" s="18">
        <f>E2535* 0.00411522633744856</f>
        <v>8.6419753086419762E-2</v>
      </c>
    </row>
    <row r="2536" spans="1:8" ht="15.75" hidden="1" customHeight="1" x14ac:dyDescent="0.25">
      <c r="A2536" s="20" t="s">
        <v>213</v>
      </c>
      <c r="B2536" s="47" t="s">
        <v>219</v>
      </c>
      <c r="C2536" s="49"/>
      <c r="D2536" s="46" t="s">
        <v>11</v>
      </c>
      <c r="E2536" s="32">
        <v>531</v>
      </c>
      <c r="F2536" s="18">
        <f>E2536* 0.069996216420734</f>
        <v>37.167990919409753</v>
      </c>
      <c r="G2536" s="18">
        <f>E2536* 0.928364232564006</f>
        <v>492.96140749148719</v>
      </c>
      <c r="H2536" s="18">
        <f>E2536* 0.00113507377979569</f>
        <v>0.60272417707151138</v>
      </c>
    </row>
    <row r="2537" spans="1:8" ht="15.75" hidden="1" customHeight="1" x14ac:dyDescent="0.25">
      <c r="A2537" s="20" t="s">
        <v>213</v>
      </c>
      <c r="B2537" s="47" t="s">
        <v>219</v>
      </c>
      <c r="C2537" s="49"/>
      <c r="D2537" s="46" t="s">
        <v>17</v>
      </c>
      <c r="E2537" s="32">
        <v>920</v>
      </c>
      <c r="F2537" s="18">
        <f>E2537* 0.797049581005587</f>
        <v>733.28561452513998</v>
      </c>
      <c r="G2537" s="18">
        <f>E2537* 0.161662011173184</f>
        <v>148.72905027932927</v>
      </c>
      <c r="H2537" s="18">
        <f>E2537* 0.0410265363128492</f>
        <v>37.744413407821263</v>
      </c>
    </row>
    <row r="2538" spans="1:8" ht="15.75" hidden="1" customHeight="1" x14ac:dyDescent="0.25">
      <c r="A2538" s="20" t="s">
        <v>213</v>
      </c>
      <c r="B2538" s="47" t="s">
        <v>219</v>
      </c>
      <c r="C2538" s="49"/>
      <c r="D2538" s="46" t="s">
        <v>31</v>
      </c>
      <c r="E2538" s="32">
        <v>19</v>
      </c>
      <c r="F2538" s="18">
        <f>E2538* 0.820689655172414</f>
        <v>15.593103448275865</v>
      </c>
      <c r="G2538" s="18">
        <f>E2538* 0.16551724137931</f>
        <v>3.1448275862068904</v>
      </c>
      <c r="H2538" s="18">
        <f>E2538* 0.0137931034482759</f>
        <v>0.26206896551724213</v>
      </c>
    </row>
    <row r="2539" spans="1:8" ht="15.75" hidden="1" customHeight="1" x14ac:dyDescent="0.25">
      <c r="A2539" s="20" t="s">
        <v>213</v>
      </c>
      <c r="B2539" s="47" t="s">
        <v>219</v>
      </c>
      <c r="C2539" s="49"/>
      <c r="D2539" s="46" t="s">
        <v>18</v>
      </c>
      <c r="E2539" s="32">
        <v>105</v>
      </c>
      <c r="F2539" s="18">
        <f>E2539* 0.912233009708738</f>
        <v>95.784466019417493</v>
      </c>
      <c r="G2539" s="18">
        <f>E2539* 0.0811650485436893</f>
        <v>8.5223300970873765</v>
      </c>
      <c r="H2539" s="18">
        <f>E2539* 0.00660194174757282</f>
        <v>0.69320388349514606</v>
      </c>
    </row>
    <row r="2540" spans="1:8" ht="15.75" hidden="1" customHeight="1" x14ac:dyDescent="0.25">
      <c r="A2540" s="20" t="s">
        <v>213</v>
      </c>
      <c r="B2540" s="47" t="s">
        <v>219</v>
      </c>
      <c r="C2540" s="49"/>
      <c r="D2540" s="46" t="s">
        <v>19</v>
      </c>
      <c r="E2540" s="32">
        <v>20</v>
      </c>
      <c r="F2540" s="18">
        <f>E2540* 0.0264765784114053</f>
        <v>0.52953156822810599</v>
      </c>
      <c r="G2540" s="18">
        <f>E2540* 0.970807875084861</f>
        <v>19.416157501697221</v>
      </c>
      <c r="H2540" s="18">
        <f>E2540* 0.00271554650373388</f>
        <v>5.4310930074677598E-2</v>
      </c>
    </row>
    <row r="2541" spans="1:8" ht="15.75" hidden="1" customHeight="1" x14ac:dyDescent="0.25">
      <c r="A2541" s="20" t="s">
        <v>213</v>
      </c>
      <c r="B2541" s="47" t="s">
        <v>219</v>
      </c>
      <c r="C2541" s="49"/>
      <c r="D2541" s="46" t="s">
        <v>20</v>
      </c>
      <c r="E2541" s="32">
        <v>185</v>
      </c>
      <c r="F2541" s="18">
        <f>E2541* 0.657913931436907</f>
        <v>121.71407731582779</v>
      </c>
      <c r="G2541" s="18">
        <f>E2541* 0.284463894967177</f>
        <v>52.625820568927743</v>
      </c>
      <c r="H2541" s="18">
        <f>E2541* 0.0576221735959154</f>
        <v>10.660102115244349</v>
      </c>
    </row>
    <row r="2542" spans="1:8" ht="15.75" hidden="1" customHeight="1" x14ac:dyDescent="0.25">
      <c r="A2542" s="20" t="s">
        <v>213</v>
      </c>
      <c r="B2542" s="47" t="s">
        <v>219</v>
      </c>
      <c r="C2542" s="49"/>
      <c r="D2542" s="46" t="s">
        <v>21</v>
      </c>
      <c r="E2542" s="32">
        <v>6219</v>
      </c>
      <c r="F2542" s="18">
        <f>E2542* 0.999266575396049</f>
        <v>6214.4388323880285</v>
      </c>
      <c r="G2542" s="18">
        <f>E2542* 0.0000488949735967143</f>
        <v>0.30407784079796624</v>
      </c>
      <c r="H2542" s="18">
        <f>E2542* 0.000684529630354</f>
        <v>4.2570897711715263</v>
      </c>
    </row>
    <row r="2543" spans="1:8" ht="15.75" hidden="1" customHeight="1" x14ac:dyDescent="0.25">
      <c r="A2543" s="20" t="s">
        <v>213</v>
      </c>
      <c r="B2543" s="47" t="s">
        <v>219</v>
      </c>
      <c r="C2543" s="49"/>
      <c r="D2543" s="46" t="s">
        <v>36</v>
      </c>
      <c r="E2543" s="32">
        <v>33</v>
      </c>
      <c r="F2543" s="18">
        <f>E2543* 0.973154362416107</f>
        <v>32.114093959731534</v>
      </c>
      <c r="G2543" s="20">
        <v>0</v>
      </c>
      <c r="H2543" s="18">
        <f>E2543* 0.0268456375838926</f>
        <v>0.88590604026845576</v>
      </c>
    </row>
    <row r="2544" spans="1:8" ht="15.75" hidden="1" customHeight="1" x14ac:dyDescent="0.25">
      <c r="A2544" s="20" t="s">
        <v>213</v>
      </c>
      <c r="B2544" s="47" t="s">
        <v>219</v>
      </c>
      <c r="C2544" s="49"/>
      <c r="D2544" s="46" t="s">
        <v>28</v>
      </c>
      <c r="E2544" s="32">
        <v>197</v>
      </c>
      <c r="F2544" s="18">
        <f>E2544* 0.00128865979381443</f>
        <v>0.25386597938144267</v>
      </c>
      <c r="G2544" s="18">
        <f>E2544* 0.998711340206186</f>
        <v>196.74613402061865</v>
      </c>
      <c r="H2544" s="20">
        <v>0</v>
      </c>
    </row>
    <row r="2545" spans="1:8" ht="15.75" hidden="1" customHeight="1" x14ac:dyDescent="0.25">
      <c r="A2545" s="20" t="s">
        <v>213</v>
      </c>
      <c r="B2545" s="47" t="s">
        <v>219</v>
      </c>
      <c r="C2545" s="49"/>
      <c r="D2545" s="46" t="s">
        <v>84</v>
      </c>
      <c r="E2545" s="32">
        <v>1</v>
      </c>
      <c r="F2545" s="20">
        <v>0</v>
      </c>
      <c r="G2545" s="24">
        <f>E2545</f>
        <v>1</v>
      </c>
      <c r="H2545" s="20">
        <v>0</v>
      </c>
    </row>
    <row r="2546" spans="1:8" ht="15.75" hidden="1" customHeight="1" x14ac:dyDescent="0.25">
      <c r="A2546" s="20" t="s">
        <v>213</v>
      </c>
      <c r="B2546" s="47" t="s">
        <v>219</v>
      </c>
      <c r="C2546" s="49"/>
      <c r="D2546" s="46" t="s">
        <v>12</v>
      </c>
      <c r="E2546" s="32">
        <v>1427</v>
      </c>
      <c r="F2546" s="18">
        <f>E2546* 0.858755020080321</f>
        <v>1225.4434136546181</v>
      </c>
      <c r="G2546" s="18">
        <f>E2546* 0.104016064257028</f>
        <v>148.43092369477895</v>
      </c>
      <c r="H2546" s="18">
        <f>E2546* 0.0372289156626506</f>
        <v>53.125662650602408</v>
      </c>
    </row>
    <row r="2547" spans="1:8" ht="15.75" hidden="1" customHeight="1" x14ac:dyDescent="0.25">
      <c r="A2547" s="20" t="s">
        <v>213</v>
      </c>
      <c r="B2547" s="20"/>
      <c r="C2547" s="20"/>
      <c r="D2547" s="46"/>
      <c r="E2547" s="35"/>
    </row>
    <row r="2548" spans="1:8" ht="15.75" hidden="1" customHeight="1" x14ac:dyDescent="0.25">
      <c r="A2548" s="20" t="s">
        <v>213</v>
      </c>
      <c r="B2548" s="47" t="s">
        <v>213</v>
      </c>
      <c r="C2548" s="12" t="str">
        <f>B2548&amp;"_"&amp;A2548</f>
        <v>Tarija_Tarija</v>
      </c>
      <c r="D2548" s="20"/>
      <c r="E2548" s="48">
        <v>86244</v>
      </c>
      <c r="F2548" s="14">
        <f t="shared" ref="F2548:H2548" si="218">SUM(F2549:F2562)</f>
        <v>73159.957306980315</v>
      </c>
      <c r="G2548" s="14">
        <f t="shared" si="218"/>
        <v>11426.977857799224</v>
      </c>
      <c r="H2548" s="14">
        <f t="shared" si="218"/>
        <v>1651.6932963235672</v>
      </c>
    </row>
    <row r="2549" spans="1:8" ht="15.75" hidden="1" customHeight="1" x14ac:dyDescent="0.25">
      <c r="A2549" s="20" t="s">
        <v>213</v>
      </c>
      <c r="B2549" s="47" t="s">
        <v>213</v>
      </c>
      <c r="C2549" s="49"/>
      <c r="D2549" s="35" t="s">
        <v>589</v>
      </c>
      <c r="E2549" s="32">
        <v>37</v>
      </c>
      <c r="F2549" s="20">
        <v>0</v>
      </c>
      <c r="G2549" s="24">
        <f>E2549</f>
        <v>37</v>
      </c>
      <c r="H2549" s="20">
        <v>0</v>
      </c>
    </row>
    <row r="2550" spans="1:8" ht="15.75" hidden="1" customHeight="1" x14ac:dyDescent="0.25">
      <c r="A2550" s="20" t="s">
        <v>213</v>
      </c>
      <c r="B2550" s="47" t="s">
        <v>213</v>
      </c>
      <c r="C2550" s="49"/>
      <c r="D2550" s="46" t="s">
        <v>15</v>
      </c>
      <c r="E2550" s="32">
        <v>15720</v>
      </c>
      <c r="F2550" s="18">
        <f>E2550* 0.957552016439764</f>
        <v>15052.717698433089</v>
      </c>
      <c r="G2550" s="18">
        <f>E2550* 0.0158618032365785</f>
        <v>249.34754687901403</v>
      </c>
      <c r="H2550" s="18">
        <f>E2550* 0.0265861803236578</f>
        <v>417.93475468790058</v>
      </c>
    </row>
    <row r="2551" spans="1:8" ht="15.75" hidden="1" customHeight="1" x14ac:dyDescent="0.25">
      <c r="A2551" s="20" t="s">
        <v>213</v>
      </c>
      <c r="B2551" s="47" t="s">
        <v>213</v>
      </c>
      <c r="C2551" s="49"/>
      <c r="D2551" s="35" t="s">
        <v>590</v>
      </c>
      <c r="E2551" s="32">
        <v>374</v>
      </c>
      <c r="F2551" s="18">
        <f>E2551* 0.0288065843621399</f>
        <v>10.773662551440323</v>
      </c>
      <c r="G2551" s="18">
        <f>E2551* 0.967078189300412</f>
        <v>361.68724279835408</v>
      </c>
      <c r="H2551" s="18">
        <f>E2551* 0.00411522633744856</f>
        <v>1.5390946502057614</v>
      </c>
    </row>
    <row r="2552" spans="1:8" ht="15.75" hidden="1" customHeight="1" x14ac:dyDescent="0.25">
      <c r="A2552" s="20" t="s">
        <v>213</v>
      </c>
      <c r="B2552" s="47" t="s">
        <v>213</v>
      </c>
      <c r="C2552" s="49"/>
      <c r="D2552" s="46" t="s">
        <v>11</v>
      </c>
      <c r="E2552" s="32">
        <v>5517</v>
      </c>
      <c r="F2552" s="18">
        <f>E2552* 0.069996216420734</f>
        <v>386.16912599318948</v>
      </c>
      <c r="G2552" s="18">
        <f>E2552* 0.928364232564006</f>
        <v>5121.7854710556212</v>
      </c>
      <c r="H2552" s="18">
        <f>E2552* 0.00113507377979569</f>
        <v>6.2622020431328211</v>
      </c>
    </row>
    <row r="2553" spans="1:8" ht="15.75" hidden="1" customHeight="1" x14ac:dyDescent="0.25">
      <c r="A2553" s="20" t="s">
        <v>213</v>
      </c>
      <c r="B2553" s="47" t="s">
        <v>213</v>
      </c>
      <c r="C2553" s="49"/>
      <c r="D2553" s="46" t="s">
        <v>17</v>
      </c>
      <c r="E2553" s="32">
        <v>9884</v>
      </c>
      <c r="F2553" s="18">
        <f>E2553* 0.797049581005587</f>
        <v>7878.0380586592219</v>
      </c>
      <c r="G2553" s="18">
        <f>E2553* 0.161662011173184</f>
        <v>1597.8673184357506</v>
      </c>
      <c r="H2553" s="18">
        <f>E2553* 0.0410265363128492</f>
        <v>405.50628491620148</v>
      </c>
    </row>
    <row r="2554" spans="1:8" ht="15.75" hidden="1" customHeight="1" x14ac:dyDescent="0.25">
      <c r="A2554" s="20" t="s">
        <v>213</v>
      </c>
      <c r="B2554" s="47" t="s">
        <v>213</v>
      </c>
      <c r="C2554" s="49"/>
      <c r="D2554" s="46" t="s">
        <v>31</v>
      </c>
      <c r="E2554" s="32">
        <v>230</v>
      </c>
      <c r="F2554" s="18">
        <f>E2554* 0.820689655172414</f>
        <v>188.75862068965523</v>
      </c>
      <c r="G2554" s="18">
        <f>E2554* 0.16551724137931</f>
        <v>38.068965517241303</v>
      </c>
      <c r="H2554" s="18">
        <f>E2554* 0.0137931034482759</f>
        <v>3.1724137931034568</v>
      </c>
    </row>
    <row r="2555" spans="1:8" ht="15.75" hidden="1" customHeight="1" x14ac:dyDescent="0.25">
      <c r="A2555" s="20" t="s">
        <v>213</v>
      </c>
      <c r="B2555" s="47" t="s">
        <v>213</v>
      </c>
      <c r="C2555" s="49"/>
      <c r="D2555" s="46" t="s">
        <v>18</v>
      </c>
      <c r="E2555" s="32">
        <v>1997</v>
      </c>
      <c r="F2555" s="18">
        <f>E2555* 0.912233009708738</f>
        <v>1821.7293203883498</v>
      </c>
      <c r="G2555" s="18">
        <f>E2555* 0.0811650485436893</f>
        <v>162.08660194174755</v>
      </c>
      <c r="H2555" s="18">
        <f>E2555* 0.00660194174757282</f>
        <v>13.184077669902921</v>
      </c>
    </row>
    <row r="2556" spans="1:8" ht="15.75" hidden="1" customHeight="1" x14ac:dyDescent="0.25">
      <c r="A2556" s="20" t="s">
        <v>213</v>
      </c>
      <c r="B2556" s="47" t="s">
        <v>213</v>
      </c>
      <c r="C2556" s="49"/>
      <c r="D2556" s="46" t="s">
        <v>19</v>
      </c>
      <c r="E2556" s="32">
        <v>867</v>
      </c>
      <c r="F2556" s="18">
        <f>E2556* 0.0264765784114053</f>
        <v>22.955193482688394</v>
      </c>
      <c r="G2556" s="18">
        <f>E2556* 0.970807875084861</f>
        <v>841.69042769857447</v>
      </c>
      <c r="H2556" s="18">
        <f>E2556* 0.00271554650373388</f>
        <v>2.3543788187372736</v>
      </c>
    </row>
    <row r="2557" spans="1:8" ht="15.75" hidden="1" customHeight="1" x14ac:dyDescent="0.25">
      <c r="A2557" s="20" t="s">
        <v>213</v>
      </c>
      <c r="B2557" s="47" t="s">
        <v>213</v>
      </c>
      <c r="C2557" s="49"/>
      <c r="D2557" s="46" t="s">
        <v>20</v>
      </c>
      <c r="E2557" s="32">
        <v>1033</v>
      </c>
      <c r="F2557" s="18">
        <f>E2557* 0.657913931436907</f>
        <v>679.62509117432489</v>
      </c>
      <c r="G2557" s="18">
        <f>E2557* 0.284463894967177</f>
        <v>293.85120350109383</v>
      </c>
      <c r="H2557" s="18">
        <f>E2557* 0.0576221735959154</f>
        <v>59.523705324580604</v>
      </c>
    </row>
    <row r="2558" spans="1:8" ht="15.75" hidden="1" customHeight="1" x14ac:dyDescent="0.25">
      <c r="A2558" s="20" t="s">
        <v>213</v>
      </c>
      <c r="B2558" s="47" t="s">
        <v>213</v>
      </c>
      <c r="C2558" s="49"/>
      <c r="D2558" s="46" t="s">
        <v>21</v>
      </c>
      <c r="E2558" s="32">
        <v>30455</v>
      </c>
      <c r="F2558" s="18">
        <f>E2558* 0.999266575396049</f>
        <v>30432.663553686674</v>
      </c>
      <c r="G2558" s="18">
        <f>E2558* 0.0000488949735967143</f>
        <v>1.489096420887934</v>
      </c>
      <c r="H2558" s="18">
        <f>E2558* 0.000684529630354</f>
        <v>20.847349892431073</v>
      </c>
    </row>
    <row r="2559" spans="1:8" ht="15.75" hidden="1" customHeight="1" x14ac:dyDescent="0.25">
      <c r="A2559" s="20" t="s">
        <v>213</v>
      </c>
      <c r="B2559" s="47" t="s">
        <v>213</v>
      </c>
      <c r="C2559" s="49"/>
      <c r="D2559" s="46" t="s">
        <v>36</v>
      </c>
      <c r="E2559" s="32">
        <v>127</v>
      </c>
      <c r="F2559" s="18">
        <f>E2559* 0.973154362416107</f>
        <v>123.59060402684558</v>
      </c>
      <c r="G2559" s="20">
        <v>0</v>
      </c>
      <c r="H2559" s="18">
        <f>E2559* 0.0268456375838926</f>
        <v>3.4093959731543602</v>
      </c>
    </row>
    <row r="2560" spans="1:8" ht="15.75" hidden="1" customHeight="1" x14ac:dyDescent="0.25">
      <c r="A2560" s="20" t="s">
        <v>213</v>
      </c>
      <c r="B2560" s="47" t="s">
        <v>213</v>
      </c>
      <c r="C2560" s="49"/>
      <c r="D2560" s="46" t="s">
        <v>37</v>
      </c>
      <c r="E2560" s="32">
        <v>16</v>
      </c>
      <c r="F2560" s="18">
        <f>E2560* 0.0588235294117647</f>
        <v>0.94117647058823517</v>
      </c>
      <c r="G2560" s="18">
        <f>E2560* 0.941176470588235</f>
        <v>15.058823529411759</v>
      </c>
      <c r="H2560" s="20">
        <v>0</v>
      </c>
    </row>
    <row r="2561" spans="1:8" ht="15.75" hidden="1" customHeight="1" x14ac:dyDescent="0.25">
      <c r="A2561" s="20" t="s">
        <v>213</v>
      </c>
      <c r="B2561" s="47" t="s">
        <v>213</v>
      </c>
      <c r="C2561" s="49"/>
      <c r="D2561" s="46" t="s">
        <v>28</v>
      </c>
      <c r="E2561" s="32">
        <v>702</v>
      </c>
      <c r="F2561" s="18">
        <f>E2561* 0.00128865979381443</f>
        <v>0.90463917525772986</v>
      </c>
      <c r="G2561" s="18">
        <f>E2561* 0.998711340206186</f>
        <v>701.09536082474256</v>
      </c>
      <c r="H2561" s="20">
        <v>0</v>
      </c>
    </row>
    <row r="2562" spans="1:8" ht="15.75" hidden="1" customHeight="1" x14ac:dyDescent="0.25">
      <c r="A2562" s="20" t="s">
        <v>213</v>
      </c>
      <c r="B2562" s="47" t="s">
        <v>213</v>
      </c>
      <c r="C2562" s="49"/>
      <c r="D2562" s="46" t="s">
        <v>12</v>
      </c>
      <c r="E2562" s="32">
        <v>19285</v>
      </c>
      <c r="F2562" s="18">
        <f>E2562* 0.858755020080321</f>
        <v>16561.090562248992</v>
      </c>
      <c r="G2562" s="18">
        <f>E2562* 0.104016064257028</f>
        <v>2005.9497991967851</v>
      </c>
      <c r="H2562" s="18">
        <f>E2562* 0.0372289156626506</f>
        <v>717.95963855421689</v>
      </c>
    </row>
    <row r="2563" spans="1:8" ht="15.75" hidden="1" customHeight="1" x14ac:dyDescent="0.25">
      <c r="A2563" s="20" t="s">
        <v>213</v>
      </c>
      <c r="B2563" s="20"/>
      <c r="C2563" s="20"/>
      <c r="D2563" s="46"/>
      <c r="E2563" s="35"/>
    </row>
    <row r="2564" spans="1:8" ht="15.75" hidden="1" customHeight="1" x14ac:dyDescent="0.25">
      <c r="A2564" s="20" t="s">
        <v>213</v>
      </c>
      <c r="B2564" s="47" t="s">
        <v>220</v>
      </c>
      <c r="C2564" s="12" t="str">
        <f>B2564&amp;"_"&amp;A2564</f>
        <v>Uriondo (Concepción)_Tarija</v>
      </c>
      <c r="D2564" s="20"/>
      <c r="E2564" s="48">
        <v>12924</v>
      </c>
      <c r="F2564" s="14">
        <f t="shared" ref="F2564:H2564" si="219">SUM(F2565:F2579)</f>
        <v>11024.095187511693</v>
      </c>
      <c r="G2564" s="14">
        <f t="shared" si="219"/>
        <v>1716.206574678667</v>
      </c>
      <c r="H2564" s="14">
        <f t="shared" si="219"/>
        <v>182.93457627898795</v>
      </c>
    </row>
    <row r="2565" spans="1:8" ht="15.75" hidden="1" customHeight="1" x14ac:dyDescent="0.25">
      <c r="A2565" s="20" t="s">
        <v>213</v>
      </c>
      <c r="B2565" s="47" t="s">
        <v>220</v>
      </c>
      <c r="C2565" s="49"/>
      <c r="D2565" s="35" t="s">
        <v>591</v>
      </c>
      <c r="E2565" s="32">
        <v>6</v>
      </c>
      <c r="F2565" s="20">
        <v>0</v>
      </c>
      <c r="G2565" s="24">
        <f>E2565</f>
        <v>6</v>
      </c>
      <c r="H2565" s="20">
        <v>0</v>
      </c>
    </row>
    <row r="2566" spans="1:8" ht="15.75" hidden="1" customHeight="1" x14ac:dyDescent="0.25">
      <c r="A2566" s="20" t="s">
        <v>213</v>
      </c>
      <c r="B2566" s="47" t="s">
        <v>220</v>
      </c>
      <c r="C2566" s="49"/>
      <c r="D2566" s="46" t="s">
        <v>15</v>
      </c>
      <c r="E2566" s="32">
        <v>1274</v>
      </c>
      <c r="F2566" s="18">
        <f>E2566* 0.957552016439764</f>
        <v>1219.9212689442593</v>
      </c>
      <c r="G2566" s="18">
        <f>E2566* 0.0158618032365785</f>
        <v>20.207937323401008</v>
      </c>
      <c r="H2566" s="18">
        <f>E2566* 0.0265861803236578</f>
        <v>33.870793732340033</v>
      </c>
    </row>
    <row r="2567" spans="1:8" ht="15.75" hidden="1" customHeight="1" x14ac:dyDescent="0.25">
      <c r="A2567" s="20" t="s">
        <v>213</v>
      </c>
      <c r="B2567" s="47" t="s">
        <v>220</v>
      </c>
      <c r="C2567" s="49"/>
      <c r="D2567" s="35" t="s">
        <v>592</v>
      </c>
      <c r="E2567" s="32">
        <v>87</v>
      </c>
      <c r="F2567" s="18">
        <f>E2567* 0.0288065843621399</f>
        <v>2.5061728395061715</v>
      </c>
      <c r="G2567" s="18">
        <f>E2567* 0.967078189300412</f>
        <v>84.135802469135839</v>
      </c>
      <c r="H2567" s="18">
        <f>E2567* 0.00411522633744856</f>
        <v>0.35802469135802473</v>
      </c>
    </row>
    <row r="2568" spans="1:8" ht="15.75" hidden="1" customHeight="1" x14ac:dyDescent="0.25">
      <c r="A2568" s="20" t="s">
        <v>213</v>
      </c>
      <c r="B2568" s="47" t="s">
        <v>220</v>
      </c>
      <c r="C2568" s="49"/>
      <c r="D2568" s="46" t="s">
        <v>11</v>
      </c>
      <c r="E2568" s="32">
        <v>922</v>
      </c>
      <c r="F2568" s="18">
        <f>E2568* 0.069996216420734</f>
        <v>64.536511539916745</v>
      </c>
      <c r="G2568" s="18">
        <f>E2568* 0.928364232564006</f>
        <v>855.95182242401359</v>
      </c>
      <c r="H2568" s="18">
        <f>E2568* 0.00113507377979569</f>
        <v>1.0465380249716261</v>
      </c>
    </row>
    <row r="2569" spans="1:8" ht="15.75" hidden="1" customHeight="1" x14ac:dyDescent="0.25">
      <c r="A2569" s="20" t="s">
        <v>213</v>
      </c>
      <c r="B2569" s="47" t="s">
        <v>220</v>
      </c>
      <c r="C2569" s="49"/>
      <c r="D2569" s="46" t="s">
        <v>17</v>
      </c>
      <c r="E2569" s="32">
        <v>1140</v>
      </c>
      <c r="F2569" s="18">
        <f>E2569* 0.797049581005587</f>
        <v>908.63652234636913</v>
      </c>
      <c r="G2569" s="18">
        <f>E2569* 0.161662011173184</f>
        <v>184.29469273742976</v>
      </c>
      <c r="H2569" s="18">
        <f>E2569* 0.0410265363128492</f>
        <v>46.770251396648085</v>
      </c>
    </row>
    <row r="2570" spans="1:8" ht="15.75" hidden="1" customHeight="1" x14ac:dyDescent="0.25">
      <c r="A2570" s="20" t="s">
        <v>213</v>
      </c>
      <c r="B2570" s="47" t="s">
        <v>220</v>
      </c>
      <c r="C2570" s="49"/>
      <c r="D2570" s="46" t="s">
        <v>31</v>
      </c>
      <c r="E2570" s="32">
        <v>35</v>
      </c>
      <c r="F2570" s="18">
        <f>E2570* 0.820689655172414</f>
        <v>28.724137931034491</v>
      </c>
      <c r="G2570" s="18">
        <f>E2570* 0.16551724137931</f>
        <v>5.7931034482758506</v>
      </c>
      <c r="H2570" s="18">
        <f>E2570* 0.0137931034482759</f>
        <v>0.48275862068965653</v>
      </c>
    </row>
    <row r="2571" spans="1:8" ht="15.75" hidden="1" customHeight="1" x14ac:dyDescent="0.25">
      <c r="A2571" s="20" t="s">
        <v>213</v>
      </c>
      <c r="B2571" s="47" t="s">
        <v>220</v>
      </c>
      <c r="C2571" s="49"/>
      <c r="D2571" s="46" t="s">
        <v>18</v>
      </c>
      <c r="E2571" s="32">
        <v>171</v>
      </c>
      <c r="F2571" s="18">
        <f>E2571* 0.912233009708738</f>
        <v>155.9918446601942</v>
      </c>
      <c r="G2571" s="18">
        <f>E2571* 0.0811650485436893</f>
        <v>13.879223300970871</v>
      </c>
      <c r="H2571" s="18">
        <f>E2571* 0.00660194174757282</f>
        <v>1.1289320388349522</v>
      </c>
    </row>
    <row r="2572" spans="1:8" ht="15.75" hidden="1" customHeight="1" x14ac:dyDescent="0.25">
      <c r="A2572" s="20" t="s">
        <v>213</v>
      </c>
      <c r="B2572" s="47" t="s">
        <v>220</v>
      </c>
      <c r="C2572" s="49"/>
      <c r="D2572" s="46" t="s">
        <v>19</v>
      </c>
      <c r="E2572" s="32">
        <v>52</v>
      </c>
      <c r="F2572" s="18">
        <f>E2572* 0.0264765784114053</f>
        <v>1.3767820773930755</v>
      </c>
      <c r="G2572" s="18">
        <f>E2572* 0.970807875084861</f>
        <v>50.482009504412773</v>
      </c>
      <c r="H2572" s="18">
        <f>E2572* 0.00271554650373388</f>
        <v>0.14120841819416174</v>
      </c>
    </row>
    <row r="2573" spans="1:8" ht="15.75" hidden="1" customHeight="1" x14ac:dyDescent="0.25">
      <c r="A2573" s="20" t="s">
        <v>213</v>
      </c>
      <c r="B2573" s="47" t="s">
        <v>220</v>
      </c>
      <c r="C2573" s="49"/>
      <c r="D2573" s="46" t="s">
        <v>20</v>
      </c>
      <c r="E2573" s="32">
        <v>214</v>
      </c>
      <c r="F2573" s="18">
        <f>E2573* 0.657913931436907</f>
        <v>140.79358132749809</v>
      </c>
      <c r="G2573" s="18">
        <f>E2573* 0.284463894967177</f>
        <v>60.875273522975881</v>
      </c>
      <c r="H2573" s="18">
        <f>E2573* 0.0576221735959154</f>
        <v>12.331145149525895</v>
      </c>
    </row>
    <row r="2574" spans="1:8" ht="15.75" hidden="1" customHeight="1" x14ac:dyDescent="0.25">
      <c r="A2574" s="20" t="s">
        <v>213</v>
      </c>
      <c r="B2574" s="47" t="s">
        <v>220</v>
      </c>
      <c r="C2574" s="49"/>
      <c r="D2574" s="46" t="s">
        <v>21</v>
      </c>
      <c r="E2574" s="32">
        <v>6597</v>
      </c>
      <c r="F2574" s="18">
        <f>E2574* 0.999266575396049</f>
        <v>6592.1615978877353</v>
      </c>
      <c r="G2574" s="18">
        <f>E2574* 0.0000488949735967143</f>
        <v>0.32256014081752421</v>
      </c>
      <c r="H2574" s="18">
        <f>E2574* 0.000684529630354</f>
        <v>4.5158419714453384</v>
      </c>
    </row>
    <row r="2575" spans="1:8" ht="15.75" hidden="1" customHeight="1" x14ac:dyDescent="0.25">
      <c r="A2575" s="20" t="s">
        <v>213</v>
      </c>
      <c r="B2575" s="47" t="s">
        <v>220</v>
      </c>
      <c r="C2575" s="49"/>
      <c r="D2575" s="46" t="s">
        <v>36</v>
      </c>
      <c r="E2575" s="32">
        <v>31</v>
      </c>
      <c r="F2575" s="18">
        <f>E2575* 0.973154362416107</f>
        <v>30.167785234899316</v>
      </c>
      <c r="G2575" s="20">
        <v>0</v>
      </c>
      <c r="H2575" s="18">
        <f>E2575* 0.0268456375838926</f>
        <v>0.83221476510067061</v>
      </c>
    </row>
    <row r="2576" spans="1:8" ht="15.75" hidden="1" customHeight="1" x14ac:dyDescent="0.25">
      <c r="A2576" s="20" t="s">
        <v>213</v>
      </c>
      <c r="B2576" s="47" t="s">
        <v>220</v>
      </c>
      <c r="C2576" s="49"/>
      <c r="D2576" s="46" t="s">
        <v>37</v>
      </c>
      <c r="E2576" s="32">
        <v>1</v>
      </c>
      <c r="F2576" s="18">
        <f>E2576* 0.0588235294117647</f>
        <v>5.8823529411764698E-2</v>
      </c>
      <c r="G2576" s="18">
        <f>E2576* 0.941176470588235</f>
        <v>0.94117647058823495</v>
      </c>
      <c r="H2576" s="20">
        <v>0</v>
      </c>
    </row>
    <row r="2577" spans="1:8" ht="15.75" hidden="1" customHeight="1" x14ac:dyDescent="0.25">
      <c r="A2577" s="20" t="s">
        <v>213</v>
      </c>
      <c r="B2577" s="47" t="s">
        <v>220</v>
      </c>
      <c r="C2577" s="49"/>
      <c r="D2577" s="46" t="s">
        <v>28</v>
      </c>
      <c r="E2577" s="32">
        <v>205</v>
      </c>
      <c r="F2577" s="18">
        <f>E2577* 0.00128865979381443</f>
        <v>0.26417525773195816</v>
      </c>
      <c r="G2577" s="18">
        <f>E2577* 0.998711340206186</f>
        <v>204.73582474226814</v>
      </c>
      <c r="H2577" s="20">
        <v>0</v>
      </c>
    </row>
    <row r="2578" spans="1:8" ht="15.75" hidden="1" customHeight="1" x14ac:dyDescent="0.25">
      <c r="A2578" s="20" t="s">
        <v>213</v>
      </c>
      <c r="B2578" s="47" t="s">
        <v>220</v>
      </c>
      <c r="C2578" s="49"/>
      <c r="D2578" s="46" t="s">
        <v>84</v>
      </c>
      <c r="E2578" s="32">
        <v>1</v>
      </c>
      <c r="F2578" s="20">
        <v>0</v>
      </c>
      <c r="G2578" s="24">
        <f>E2578</f>
        <v>1</v>
      </c>
      <c r="H2578" s="20">
        <v>0</v>
      </c>
    </row>
    <row r="2579" spans="1:8" ht="15.75" hidden="1" customHeight="1" x14ac:dyDescent="0.25">
      <c r="A2579" s="20" t="s">
        <v>213</v>
      </c>
      <c r="B2579" s="47" t="s">
        <v>220</v>
      </c>
      <c r="C2579" s="49"/>
      <c r="D2579" s="46" t="s">
        <v>12</v>
      </c>
      <c r="E2579" s="32">
        <v>2188</v>
      </c>
      <c r="F2579" s="18">
        <f>E2579* 0.858755020080321</f>
        <v>1878.9559839357423</v>
      </c>
      <c r="G2579" s="18">
        <f>E2579* 0.104016064257028</f>
        <v>227.58714859437725</v>
      </c>
      <c r="H2579" s="18">
        <f>E2579* 0.0372289156626506</f>
        <v>81.456867469879512</v>
      </c>
    </row>
    <row r="2580" spans="1:8" ht="15.75" hidden="1" customHeight="1" x14ac:dyDescent="0.25">
      <c r="A2580" s="20" t="s">
        <v>213</v>
      </c>
      <c r="B2580" s="20"/>
      <c r="C2580" s="20"/>
      <c r="D2580" s="46"/>
      <c r="E2580" s="35"/>
    </row>
    <row r="2581" spans="1:8" ht="15.75" hidden="1" customHeight="1" x14ac:dyDescent="0.25">
      <c r="A2581" s="20" t="s">
        <v>213</v>
      </c>
      <c r="B2581" s="47" t="s">
        <v>221</v>
      </c>
      <c r="C2581" s="12" t="str">
        <f>B2581&amp;"_"&amp;A2581</f>
        <v>Villamontes_Tarija</v>
      </c>
      <c r="D2581" s="20"/>
      <c r="E2581" s="48">
        <v>8252</v>
      </c>
      <c r="F2581" s="14">
        <f t="shared" ref="F2581:H2581" si="220">SUM(F2582:F2595)</f>
        <v>7107.2193886776986</v>
      </c>
      <c r="G2581" s="14">
        <f t="shared" si="220"/>
        <v>994.19522638786441</v>
      </c>
      <c r="H2581" s="14">
        <f t="shared" si="220"/>
        <v>150.12789256896801</v>
      </c>
    </row>
    <row r="2582" spans="1:8" ht="15.75" hidden="1" customHeight="1" x14ac:dyDescent="0.25">
      <c r="A2582" s="20" t="s">
        <v>213</v>
      </c>
      <c r="B2582" s="47" t="s">
        <v>221</v>
      </c>
      <c r="C2582" s="49"/>
      <c r="D2582" s="35" t="s">
        <v>593</v>
      </c>
      <c r="E2582" s="32">
        <v>9</v>
      </c>
      <c r="F2582" s="20">
        <v>0</v>
      </c>
      <c r="G2582" s="24">
        <f>E2582</f>
        <v>9</v>
      </c>
      <c r="H2582" s="20">
        <v>0</v>
      </c>
    </row>
    <row r="2583" spans="1:8" ht="15.75" hidden="1" customHeight="1" x14ac:dyDescent="0.25">
      <c r="A2583" s="20" t="s">
        <v>213</v>
      </c>
      <c r="B2583" s="47" t="s">
        <v>221</v>
      </c>
      <c r="C2583" s="49"/>
      <c r="D2583" s="46" t="s">
        <v>15</v>
      </c>
      <c r="E2583" s="32">
        <v>770</v>
      </c>
      <c r="F2583" s="18">
        <f>E2583* 0.957552016439764</f>
        <v>737.31505265861824</v>
      </c>
      <c r="G2583" s="18">
        <f>E2583* 0.0158618032365785</f>
        <v>12.213588492165446</v>
      </c>
      <c r="H2583" s="18">
        <f>E2583* 0.0265861803236578</f>
        <v>20.471358849216507</v>
      </c>
    </row>
    <row r="2584" spans="1:8" ht="15.75" hidden="1" customHeight="1" x14ac:dyDescent="0.25">
      <c r="A2584" s="20" t="s">
        <v>213</v>
      </c>
      <c r="B2584" s="47" t="s">
        <v>221</v>
      </c>
      <c r="C2584" s="49"/>
      <c r="D2584" s="35" t="s">
        <v>594</v>
      </c>
      <c r="E2584" s="32">
        <v>24</v>
      </c>
      <c r="F2584" s="18">
        <f>E2584* 0.0288065843621399</f>
        <v>0.69135802469135765</v>
      </c>
      <c r="G2584" s="18">
        <f>E2584* 0.967078189300412</f>
        <v>23.209876543209887</v>
      </c>
      <c r="H2584" s="18">
        <f>E2584* 0.00411522633744856</f>
        <v>9.876543209876544E-2</v>
      </c>
    </row>
    <row r="2585" spans="1:8" ht="15.75" hidden="1" customHeight="1" x14ac:dyDescent="0.25">
      <c r="A2585" s="20" t="s">
        <v>213</v>
      </c>
      <c r="B2585" s="47" t="s">
        <v>221</v>
      </c>
      <c r="C2585" s="49"/>
      <c r="D2585" s="46" t="s">
        <v>11</v>
      </c>
      <c r="E2585" s="32">
        <v>462</v>
      </c>
      <c r="F2585" s="18">
        <f>E2585* 0.069996216420734</f>
        <v>32.338251986379106</v>
      </c>
      <c r="G2585" s="18">
        <f>E2585* 0.928364232564006</f>
        <v>428.90427544457077</v>
      </c>
      <c r="H2585" s="18">
        <f>E2585* 0.00113507377979569</f>
        <v>0.52440408626560875</v>
      </c>
    </row>
    <row r="2586" spans="1:8" ht="15.75" hidden="1" customHeight="1" x14ac:dyDescent="0.25">
      <c r="A2586" s="20" t="s">
        <v>213</v>
      </c>
      <c r="B2586" s="47" t="s">
        <v>221</v>
      </c>
      <c r="C2586" s="49"/>
      <c r="D2586" s="46" t="s">
        <v>17</v>
      </c>
      <c r="E2586" s="32">
        <v>857</v>
      </c>
      <c r="F2586" s="18">
        <f>E2586* 0.797049581005587</f>
        <v>683.07149092178804</v>
      </c>
      <c r="G2586" s="18">
        <f>E2586* 0.161662011173184</f>
        <v>138.54434357541868</v>
      </c>
      <c r="H2586" s="18">
        <f>E2586* 0.0410265363128492</f>
        <v>35.159741620111767</v>
      </c>
    </row>
    <row r="2587" spans="1:8" ht="15.75" hidden="1" customHeight="1" x14ac:dyDescent="0.25">
      <c r="A2587" s="20" t="s">
        <v>213</v>
      </c>
      <c r="B2587" s="47" t="s">
        <v>221</v>
      </c>
      <c r="C2587" s="49"/>
      <c r="D2587" s="46" t="s">
        <v>31</v>
      </c>
      <c r="E2587" s="32">
        <v>15</v>
      </c>
      <c r="F2587" s="18">
        <f>E2587* 0.820689655172414</f>
        <v>12.31034482758621</v>
      </c>
      <c r="G2587" s="18">
        <f>E2587* 0.16551724137931</f>
        <v>2.4827586206896504</v>
      </c>
      <c r="H2587" s="18">
        <f>E2587* 0.0137931034482759</f>
        <v>0.20689655172413851</v>
      </c>
    </row>
    <row r="2588" spans="1:8" ht="15.75" hidden="1" customHeight="1" x14ac:dyDescent="0.25">
      <c r="A2588" s="20" t="s">
        <v>213</v>
      </c>
      <c r="B2588" s="47" t="s">
        <v>221</v>
      </c>
      <c r="C2588" s="49"/>
      <c r="D2588" s="46" t="s">
        <v>18</v>
      </c>
      <c r="E2588" s="32">
        <v>203</v>
      </c>
      <c r="F2588" s="18">
        <f>E2588* 0.912233009708738</f>
        <v>185.1833009708738</v>
      </c>
      <c r="G2588" s="18">
        <f>E2588* 0.0811650485436893</f>
        <v>16.47650485436893</v>
      </c>
      <c r="H2588" s="18">
        <f>E2588* 0.00660194174757282</f>
        <v>1.3401941747572823</v>
      </c>
    </row>
    <row r="2589" spans="1:8" ht="15.75" hidden="1" customHeight="1" x14ac:dyDescent="0.25">
      <c r="A2589" s="20" t="s">
        <v>213</v>
      </c>
      <c r="B2589" s="47" t="s">
        <v>221</v>
      </c>
      <c r="C2589" s="49"/>
      <c r="D2589" s="46" t="s">
        <v>19</v>
      </c>
      <c r="E2589" s="32">
        <v>52</v>
      </c>
      <c r="F2589" s="18">
        <f>E2589* 0.0264765784114053</f>
        <v>1.3767820773930755</v>
      </c>
      <c r="G2589" s="18">
        <f>E2589* 0.970807875084861</f>
        <v>50.482009504412773</v>
      </c>
      <c r="H2589" s="18">
        <f>E2589* 0.00271554650373388</f>
        <v>0.14120841819416174</v>
      </c>
    </row>
    <row r="2590" spans="1:8" ht="15.75" hidden="1" customHeight="1" x14ac:dyDescent="0.25">
      <c r="A2590" s="20" t="s">
        <v>213</v>
      </c>
      <c r="B2590" s="47" t="s">
        <v>221</v>
      </c>
      <c r="C2590" s="49"/>
      <c r="D2590" s="46" t="s">
        <v>20</v>
      </c>
      <c r="E2590" s="32">
        <v>198</v>
      </c>
      <c r="F2590" s="18">
        <f>E2590* 0.657913931436907</f>
        <v>130.26695842450758</v>
      </c>
      <c r="G2590" s="18">
        <f>E2590* 0.284463894967177</f>
        <v>56.323851203501043</v>
      </c>
      <c r="H2590" s="18">
        <f>E2590* 0.0576221735959154</f>
        <v>11.409190371991249</v>
      </c>
    </row>
    <row r="2591" spans="1:8" ht="15.75" hidden="1" customHeight="1" x14ac:dyDescent="0.25">
      <c r="A2591" s="20" t="s">
        <v>213</v>
      </c>
      <c r="B2591" s="47" t="s">
        <v>221</v>
      </c>
      <c r="C2591" s="49"/>
      <c r="D2591" s="46" t="s">
        <v>21</v>
      </c>
      <c r="E2591" s="32">
        <v>3517</v>
      </c>
      <c r="F2591" s="18">
        <f>E2591* 0.999266575396049</f>
        <v>3514.4205456679042</v>
      </c>
      <c r="G2591" s="18">
        <f>E2591* 0.0000488949735967143</f>
        <v>0.1719636221396442</v>
      </c>
      <c r="H2591" s="18">
        <f>E2591* 0.000684529630354</f>
        <v>2.407490709955018</v>
      </c>
    </row>
    <row r="2592" spans="1:8" ht="15.75" hidden="1" customHeight="1" x14ac:dyDescent="0.25">
      <c r="A2592" s="20" t="s">
        <v>213</v>
      </c>
      <c r="B2592" s="47" t="s">
        <v>221</v>
      </c>
      <c r="C2592" s="49"/>
      <c r="D2592" s="46" t="s">
        <v>36</v>
      </c>
      <c r="E2592" s="32">
        <v>7</v>
      </c>
      <c r="F2592" s="18">
        <f>E2592* 0.973154362416107</f>
        <v>6.8120805369127488</v>
      </c>
      <c r="G2592" s="20">
        <v>0</v>
      </c>
      <c r="H2592" s="18">
        <f>E2592* 0.0268456375838926</f>
        <v>0.18791946308724819</v>
      </c>
    </row>
    <row r="2593" spans="1:8" ht="15.75" hidden="1" customHeight="1" x14ac:dyDescent="0.25">
      <c r="A2593" s="20" t="s">
        <v>213</v>
      </c>
      <c r="B2593" s="47" t="s">
        <v>221</v>
      </c>
      <c r="C2593" s="49"/>
      <c r="D2593" s="46" t="s">
        <v>28</v>
      </c>
      <c r="E2593" s="32">
        <v>37</v>
      </c>
      <c r="F2593" s="18">
        <f>E2593* 0.00128865979381443</f>
        <v>4.7680412371133907E-2</v>
      </c>
      <c r="G2593" s="18">
        <f>E2593* 0.998711340206186</f>
        <v>36.952319587628885</v>
      </c>
      <c r="H2593" s="20">
        <v>0</v>
      </c>
    </row>
    <row r="2594" spans="1:8" ht="15.75" hidden="1" customHeight="1" x14ac:dyDescent="0.25">
      <c r="A2594" s="20" t="s">
        <v>213</v>
      </c>
      <c r="B2594" s="47" t="s">
        <v>221</v>
      </c>
      <c r="C2594" s="49"/>
      <c r="D2594" s="46" t="s">
        <v>84</v>
      </c>
      <c r="E2594" s="32">
        <v>1</v>
      </c>
      <c r="F2594" s="20">
        <v>0</v>
      </c>
      <c r="G2594" s="24">
        <f>E2594</f>
        <v>1</v>
      </c>
      <c r="H2594" s="20">
        <v>0</v>
      </c>
    </row>
    <row r="2595" spans="1:8" ht="15.75" hidden="1" customHeight="1" x14ac:dyDescent="0.25">
      <c r="A2595" s="20" t="s">
        <v>213</v>
      </c>
      <c r="B2595" s="47" t="s">
        <v>221</v>
      </c>
      <c r="C2595" s="49"/>
      <c r="D2595" s="46" t="s">
        <v>12</v>
      </c>
      <c r="E2595" s="32">
        <v>2100</v>
      </c>
      <c r="F2595" s="18">
        <f>E2595* 0.858755020080321</f>
        <v>1803.3855421686742</v>
      </c>
      <c r="G2595" s="18">
        <f>E2595* 0.104016064257028</f>
        <v>218.43373493975881</v>
      </c>
      <c r="H2595" s="18">
        <f>E2595* 0.0372289156626506</f>
        <v>78.180722891566262</v>
      </c>
    </row>
    <row r="2596" spans="1:8" ht="15.75" hidden="1" customHeight="1" x14ac:dyDescent="0.25">
      <c r="A2596" s="20" t="s">
        <v>213</v>
      </c>
      <c r="B2596" s="20"/>
      <c r="C2596" s="20"/>
      <c r="D2596" s="46"/>
      <c r="E2596" s="35"/>
    </row>
    <row r="2597" spans="1:8" ht="15.75" hidden="1" customHeight="1" x14ac:dyDescent="0.25">
      <c r="A2597" s="20" t="s">
        <v>213</v>
      </c>
      <c r="B2597" s="47" t="s">
        <v>222</v>
      </c>
      <c r="C2597" s="12" t="str">
        <f>B2597&amp;"_"&amp;A2597</f>
        <v>Yacuiba_Tarija</v>
      </c>
      <c r="D2597" s="20"/>
      <c r="E2597" s="48">
        <v>18762</v>
      </c>
      <c r="F2597" s="14">
        <f t="shared" ref="F2597:H2597" si="221">SUM(F2598:F2610)</f>
        <v>15715.277241795178</v>
      </c>
      <c r="G2597" s="14">
        <f t="shared" si="221"/>
        <v>2626.2453659608791</v>
      </c>
      <c r="H2597" s="14">
        <f t="shared" si="221"/>
        <v>419.38254246507245</v>
      </c>
    </row>
    <row r="2598" spans="1:8" ht="15.75" hidden="1" customHeight="1" x14ac:dyDescent="0.25">
      <c r="A2598" s="20" t="s">
        <v>213</v>
      </c>
      <c r="B2598" s="47" t="s">
        <v>222</v>
      </c>
      <c r="C2598" s="49"/>
      <c r="D2598" s="35" t="s">
        <v>595</v>
      </c>
      <c r="E2598" s="32">
        <v>21</v>
      </c>
      <c r="F2598" s="20">
        <v>0</v>
      </c>
      <c r="G2598" s="24">
        <f>E2598</f>
        <v>21</v>
      </c>
      <c r="H2598" s="20">
        <v>0</v>
      </c>
    </row>
    <row r="2599" spans="1:8" ht="15.75" hidden="1" customHeight="1" x14ac:dyDescent="0.25">
      <c r="A2599" s="20" t="s">
        <v>213</v>
      </c>
      <c r="B2599" s="47" t="s">
        <v>222</v>
      </c>
      <c r="C2599" s="49"/>
      <c r="D2599" s="46" t="s">
        <v>15</v>
      </c>
      <c r="E2599" s="32">
        <v>2815</v>
      </c>
      <c r="F2599" s="18">
        <f>E2599* 0.957552016439764</f>
        <v>2695.5089262779356</v>
      </c>
      <c r="G2599" s="18">
        <f>E2599* 0.0158618032365785</f>
        <v>44.650976110968479</v>
      </c>
      <c r="H2599" s="18">
        <f>E2599* 0.0265861803236578</f>
        <v>74.840097611096709</v>
      </c>
    </row>
    <row r="2600" spans="1:8" ht="15.75" hidden="1" customHeight="1" x14ac:dyDescent="0.25">
      <c r="A2600" s="20" t="s">
        <v>213</v>
      </c>
      <c r="B2600" s="47" t="s">
        <v>222</v>
      </c>
      <c r="C2600" s="49"/>
      <c r="D2600" s="35" t="s">
        <v>596</v>
      </c>
      <c r="E2600" s="32">
        <v>63</v>
      </c>
      <c r="F2600" s="18">
        <f>E2600* 0.0288065843621399</f>
        <v>1.8148148148148138</v>
      </c>
      <c r="G2600" s="18">
        <f>E2600* 0.967078189300412</f>
        <v>60.925925925925959</v>
      </c>
      <c r="H2600" s="18">
        <f>E2600* 0.00411522633744856</f>
        <v>0.2592592592592593</v>
      </c>
    </row>
    <row r="2601" spans="1:8" ht="15.75" hidden="1" customHeight="1" x14ac:dyDescent="0.25">
      <c r="A2601" s="20" t="s">
        <v>213</v>
      </c>
      <c r="B2601" s="47" t="s">
        <v>222</v>
      </c>
      <c r="C2601" s="49"/>
      <c r="D2601" s="46" t="s">
        <v>11</v>
      </c>
      <c r="E2601" s="32">
        <v>1130</v>
      </c>
      <c r="F2601" s="18">
        <f>E2601* 0.069996216420734</f>
        <v>79.095724555429427</v>
      </c>
      <c r="G2601" s="18">
        <f>E2601* 0.928364232564006</f>
        <v>1049.0515827973268</v>
      </c>
      <c r="H2601" s="18">
        <f>E2601* 0.00113507377979569</f>
        <v>1.2826333711691296</v>
      </c>
    </row>
    <row r="2602" spans="1:8" ht="15.75" hidden="1" customHeight="1" x14ac:dyDescent="0.25">
      <c r="A2602" s="20" t="s">
        <v>213</v>
      </c>
      <c r="B2602" s="47" t="s">
        <v>222</v>
      </c>
      <c r="C2602" s="49"/>
      <c r="D2602" s="46" t="s">
        <v>17</v>
      </c>
      <c r="E2602" s="32">
        <v>2004</v>
      </c>
      <c r="F2602" s="18">
        <f>E2602* 0.797049581005587</f>
        <v>1597.2873603351964</v>
      </c>
      <c r="G2602" s="18">
        <f>E2602* 0.161662011173184</f>
        <v>323.97067039106071</v>
      </c>
      <c r="H2602" s="18">
        <f>E2602* 0.0410265363128492</f>
        <v>82.217178770949801</v>
      </c>
    </row>
    <row r="2603" spans="1:8" ht="15.75" hidden="1" customHeight="1" x14ac:dyDescent="0.25">
      <c r="A2603" s="20" t="s">
        <v>213</v>
      </c>
      <c r="B2603" s="47" t="s">
        <v>222</v>
      </c>
      <c r="C2603" s="49"/>
      <c r="D2603" s="46" t="s">
        <v>31</v>
      </c>
      <c r="E2603" s="32">
        <v>39</v>
      </c>
      <c r="F2603" s="18">
        <f>E2603* 0.820689655172414</f>
        <v>32.006896551724147</v>
      </c>
      <c r="G2603" s="18">
        <f>E2603* 0.16551724137931</f>
        <v>6.4551724137930906</v>
      </c>
      <c r="H2603" s="18">
        <f>E2603* 0.0137931034482759</f>
        <v>0.53793103448276014</v>
      </c>
    </row>
    <row r="2604" spans="1:8" ht="15.75" hidden="1" customHeight="1" x14ac:dyDescent="0.25">
      <c r="A2604" s="20" t="s">
        <v>213</v>
      </c>
      <c r="B2604" s="47" t="s">
        <v>222</v>
      </c>
      <c r="C2604" s="49"/>
      <c r="D2604" s="46" t="s">
        <v>18</v>
      </c>
      <c r="E2604" s="32">
        <v>352</v>
      </c>
      <c r="F2604" s="18">
        <f>E2604* 0.912233009708738</f>
        <v>321.10601941747575</v>
      </c>
      <c r="G2604" s="18">
        <f>E2604* 0.0811650485436893</f>
        <v>28.570097087378635</v>
      </c>
      <c r="H2604" s="18">
        <f>E2604* 0.00660194174757282</f>
        <v>2.3238834951456324</v>
      </c>
    </row>
    <row r="2605" spans="1:8" ht="15.75" hidden="1" customHeight="1" x14ac:dyDescent="0.25">
      <c r="A2605" s="20" t="s">
        <v>213</v>
      </c>
      <c r="B2605" s="47" t="s">
        <v>222</v>
      </c>
      <c r="C2605" s="49"/>
      <c r="D2605" s="46" t="s">
        <v>19</v>
      </c>
      <c r="E2605" s="32">
        <v>233</v>
      </c>
      <c r="F2605" s="18">
        <f>E2605* 0.0264765784114053</f>
        <v>6.1690427698574348</v>
      </c>
      <c r="G2605" s="18">
        <f>E2605* 0.970807875084861</f>
        <v>226.19823489477261</v>
      </c>
      <c r="H2605" s="18">
        <f>E2605* 0.00271554650373388</f>
        <v>0.632722335369994</v>
      </c>
    </row>
    <row r="2606" spans="1:8" ht="15.75" hidden="1" customHeight="1" x14ac:dyDescent="0.25">
      <c r="A2606" s="20" t="s">
        <v>213</v>
      </c>
      <c r="B2606" s="47" t="s">
        <v>222</v>
      </c>
      <c r="C2606" s="49"/>
      <c r="D2606" s="46" t="s">
        <v>20</v>
      </c>
      <c r="E2606" s="32">
        <v>150</v>
      </c>
      <c r="F2606" s="18">
        <f>E2606* 0.657913931436907</f>
        <v>98.687089715536047</v>
      </c>
      <c r="G2606" s="18">
        <f>E2606* 0.284463894967177</f>
        <v>42.66958424507655</v>
      </c>
      <c r="H2606" s="18">
        <f>E2606* 0.0576221735959154</f>
        <v>8.6433260393873095</v>
      </c>
    </row>
    <row r="2607" spans="1:8" ht="15.75" hidden="1" customHeight="1" x14ac:dyDescent="0.25">
      <c r="A2607" s="20" t="s">
        <v>213</v>
      </c>
      <c r="B2607" s="47" t="s">
        <v>222</v>
      </c>
      <c r="C2607" s="49"/>
      <c r="D2607" s="46" t="s">
        <v>21</v>
      </c>
      <c r="E2607" s="32">
        <v>5215</v>
      </c>
      <c r="F2607" s="18">
        <f>E2607* 0.999266575396049</f>
        <v>5211.1751906903955</v>
      </c>
      <c r="G2607" s="18">
        <f>E2607* 0.0000488949735967143</f>
        <v>0.2549872873068651</v>
      </c>
      <c r="H2607" s="18">
        <f>E2607* 0.000684529630354</f>
        <v>3.5698220222961101</v>
      </c>
    </row>
    <row r="2608" spans="1:8" ht="15.75" hidden="1" customHeight="1" x14ac:dyDescent="0.25">
      <c r="A2608" s="20" t="s">
        <v>213</v>
      </c>
      <c r="B2608" s="47" t="s">
        <v>222</v>
      </c>
      <c r="C2608" s="49"/>
      <c r="D2608" s="46" t="s">
        <v>36</v>
      </c>
      <c r="E2608" s="32">
        <v>54</v>
      </c>
      <c r="F2608" s="18">
        <f>E2608* 0.973154362416107</f>
        <v>52.550335570469777</v>
      </c>
      <c r="G2608" s="20">
        <v>0</v>
      </c>
      <c r="H2608" s="18">
        <f>E2608* 0.0268456375838926</f>
        <v>1.4496644295302004</v>
      </c>
    </row>
    <row r="2609" spans="1:8" ht="15.75" hidden="1" customHeight="1" x14ac:dyDescent="0.25">
      <c r="A2609" s="20" t="s">
        <v>213</v>
      </c>
      <c r="B2609" s="47" t="s">
        <v>222</v>
      </c>
      <c r="C2609" s="49"/>
      <c r="D2609" s="46" t="s">
        <v>28</v>
      </c>
      <c r="E2609" s="32">
        <v>142</v>
      </c>
      <c r="F2609" s="18">
        <f>E2609* 0.00128865979381443</f>
        <v>0.18298969072164906</v>
      </c>
      <c r="G2609" s="18">
        <f>E2609* 0.998711340206186</f>
        <v>141.8170103092784</v>
      </c>
      <c r="H2609" s="20">
        <v>0</v>
      </c>
    </row>
    <row r="2610" spans="1:8" ht="15.75" hidden="1" customHeight="1" x14ac:dyDescent="0.25">
      <c r="A2610" s="20" t="s">
        <v>213</v>
      </c>
      <c r="B2610" s="47" t="s">
        <v>222</v>
      </c>
      <c r="C2610" s="49"/>
      <c r="D2610" s="46" t="s">
        <v>12</v>
      </c>
      <c r="E2610" s="32">
        <v>6544</v>
      </c>
      <c r="F2610" s="18">
        <f>E2610* 0.858755020080321</f>
        <v>5619.6928514056208</v>
      </c>
      <c r="G2610" s="18">
        <f>E2610* 0.104016064257028</f>
        <v>680.68112449799128</v>
      </c>
      <c r="H2610" s="18">
        <f>E2610* 0.0372289156626506</f>
        <v>243.62602409638555</v>
      </c>
    </row>
    <row r="2611" spans="1:8" ht="15.75" hidden="1" customHeight="1" x14ac:dyDescent="0.25">
      <c r="A2611" s="20" t="s">
        <v>213</v>
      </c>
      <c r="B2611" s="20"/>
      <c r="C2611" s="20"/>
      <c r="D2611" s="46"/>
      <c r="E2611" s="35"/>
    </row>
    <row r="2612" spans="1:8" ht="15.75" hidden="1" customHeight="1" x14ac:dyDescent="0.25">
      <c r="A2612" s="20" t="s">
        <v>213</v>
      </c>
      <c r="B2612" s="47" t="s">
        <v>223</v>
      </c>
      <c r="C2612" s="12" t="str">
        <f>B2612&amp;"_"&amp;A2612</f>
        <v>Yunchará_Tarija</v>
      </c>
      <c r="D2612" s="20"/>
      <c r="E2612" s="48">
        <v>247</v>
      </c>
      <c r="F2612" s="14">
        <f t="shared" ref="F2612:H2612" si="222">SUM(F2613:F2623)</f>
        <v>218.15165136125387</v>
      </c>
      <c r="G2612" s="14">
        <f t="shared" si="222"/>
        <v>27.494918863043459</v>
      </c>
      <c r="H2612" s="14">
        <f t="shared" si="222"/>
        <v>1.343952453486827</v>
      </c>
    </row>
    <row r="2613" spans="1:8" ht="15.75" hidden="1" customHeight="1" x14ac:dyDescent="0.25">
      <c r="A2613" s="20" t="s">
        <v>213</v>
      </c>
      <c r="B2613" s="47" t="s">
        <v>223</v>
      </c>
      <c r="C2613" s="49"/>
      <c r="D2613" s="35" t="s">
        <v>597</v>
      </c>
      <c r="E2613" s="32">
        <v>9</v>
      </c>
      <c r="F2613" s="20">
        <v>0</v>
      </c>
      <c r="G2613" s="24">
        <f>E2613</f>
        <v>9</v>
      </c>
      <c r="H2613" s="20">
        <v>0</v>
      </c>
    </row>
    <row r="2614" spans="1:8" ht="15.75" hidden="1" customHeight="1" x14ac:dyDescent="0.25">
      <c r="A2614" s="20" t="s">
        <v>213</v>
      </c>
      <c r="B2614" s="47" t="s">
        <v>223</v>
      </c>
      <c r="C2614" s="49"/>
      <c r="D2614" s="46" t="s">
        <v>15</v>
      </c>
      <c r="E2614" s="32">
        <v>3</v>
      </c>
      <c r="F2614" s="18">
        <f>E2614* 0.957552016439764</f>
        <v>2.8726560493192919</v>
      </c>
      <c r="G2614" s="18">
        <f>E2614* 0.0158618032365785</f>
        <v>4.7585409709735502E-2</v>
      </c>
      <c r="H2614" s="18">
        <f>E2614* 0.0265861803236578</f>
        <v>7.9758540970973402E-2</v>
      </c>
    </row>
    <row r="2615" spans="1:8" ht="15.75" hidden="1" customHeight="1" x14ac:dyDescent="0.25">
      <c r="A2615" s="20" t="s">
        <v>213</v>
      </c>
      <c r="B2615" s="47" t="s">
        <v>223</v>
      </c>
      <c r="C2615" s="49"/>
      <c r="D2615" s="35" t="s">
        <v>598</v>
      </c>
      <c r="E2615" s="32">
        <v>3</v>
      </c>
      <c r="F2615" s="18">
        <f>E2615* 0.0288065843621399</f>
        <v>8.6419753086419707E-2</v>
      </c>
      <c r="G2615" s="18">
        <f>E2615* 0.967078189300412</f>
        <v>2.9012345679012359</v>
      </c>
      <c r="H2615" s="18">
        <f>E2615* 0.00411522633744856</f>
        <v>1.234567901234568E-2</v>
      </c>
    </row>
    <row r="2616" spans="1:8" ht="15.75" hidden="1" customHeight="1" x14ac:dyDescent="0.25">
      <c r="A2616" s="20" t="s">
        <v>213</v>
      </c>
      <c r="B2616" s="47" t="s">
        <v>223</v>
      </c>
      <c r="C2616" s="49"/>
      <c r="D2616" s="46" t="s">
        <v>11</v>
      </c>
      <c r="E2616" s="32">
        <v>11</v>
      </c>
      <c r="F2616" s="18">
        <f>E2616* 0.069996216420734</f>
        <v>0.76995838062807409</v>
      </c>
      <c r="G2616" s="18">
        <f>E2616* 0.928364232564006</f>
        <v>10.212006558204067</v>
      </c>
      <c r="H2616" s="18">
        <f>E2616* 0.00113507377979569</f>
        <v>1.248581157775259E-2</v>
      </c>
    </row>
    <row r="2617" spans="1:8" ht="15.75" hidden="1" customHeight="1" x14ac:dyDescent="0.25">
      <c r="A2617" s="20" t="s">
        <v>213</v>
      </c>
      <c r="B2617" s="47" t="s">
        <v>223</v>
      </c>
      <c r="C2617" s="49"/>
      <c r="D2617" s="46" t="s">
        <v>17</v>
      </c>
      <c r="E2617" s="32">
        <v>15</v>
      </c>
      <c r="F2617" s="18">
        <f>E2617* 0.797049581005587</f>
        <v>11.955743715083806</v>
      </c>
      <c r="G2617" s="18">
        <f>E2617* 0.161662011173184</f>
        <v>2.4249301675977599</v>
      </c>
      <c r="H2617" s="18">
        <f>E2617* 0.0410265363128492</f>
        <v>0.61539804469273796</v>
      </c>
    </row>
    <row r="2618" spans="1:8" ht="15.75" hidden="1" customHeight="1" x14ac:dyDescent="0.25">
      <c r="A2618" s="20" t="s">
        <v>213</v>
      </c>
      <c r="B2618" s="47" t="s">
        <v>223</v>
      </c>
      <c r="C2618" s="49"/>
      <c r="D2618" s="46" t="s">
        <v>18</v>
      </c>
      <c r="E2618" s="32">
        <v>3</v>
      </c>
      <c r="F2618" s="18">
        <f>E2618* 0.912233009708738</f>
        <v>2.7366990291262141</v>
      </c>
      <c r="G2618" s="18">
        <f>E2618* 0.0811650485436893</f>
        <v>0.24349514563106792</v>
      </c>
      <c r="H2618" s="18">
        <f>E2618* 0.00660194174757282</f>
        <v>1.9805825242718459E-2</v>
      </c>
    </row>
    <row r="2619" spans="1:8" ht="15.75" hidden="1" customHeight="1" x14ac:dyDescent="0.25">
      <c r="A2619" s="20" t="s">
        <v>213</v>
      </c>
      <c r="B2619" s="47" t="s">
        <v>223</v>
      </c>
      <c r="C2619" s="49"/>
      <c r="D2619" s="46" t="s">
        <v>19</v>
      </c>
      <c r="E2619" s="32">
        <v>1</v>
      </c>
      <c r="F2619" s="18">
        <f>E2619* 0.0264765784114053</f>
        <v>2.6476578411405299E-2</v>
      </c>
      <c r="G2619" s="18">
        <f>E2619* 0.970807875084861</f>
        <v>0.97080787508486099</v>
      </c>
      <c r="H2619" s="18">
        <f>E2619* 0.00271554650373388</f>
        <v>2.7155465037338798E-3</v>
      </c>
    </row>
    <row r="2620" spans="1:8" ht="15.75" hidden="1" customHeight="1" x14ac:dyDescent="0.25">
      <c r="A2620" s="20" t="s">
        <v>213</v>
      </c>
      <c r="B2620" s="47" t="s">
        <v>223</v>
      </c>
      <c r="C2620" s="49"/>
      <c r="D2620" s="46" t="s">
        <v>20</v>
      </c>
      <c r="E2620" s="32">
        <v>3</v>
      </c>
      <c r="F2620" s="18">
        <f>E2620* 0.657913931436907</f>
        <v>1.9737417943107212</v>
      </c>
      <c r="G2620" s="18">
        <f>E2620* 0.284463894967177</f>
        <v>0.85339168490153106</v>
      </c>
      <c r="H2620" s="18">
        <f>E2620* 0.0576221735959154</f>
        <v>0.1728665207877462</v>
      </c>
    </row>
    <row r="2621" spans="1:8" ht="15.75" hidden="1" customHeight="1" x14ac:dyDescent="0.25">
      <c r="A2621" s="20" t="s">
        <v>213</v>
      </c>
      <c r="B2621" s="47" t="s">
        <v>223</v>
      </c>
      <c r="C2621" s="49"/>
      <c r="D2621" s="46" t="s">
        <v>21</v>
      </c>
      <c r="E2621" s="32">
        <v>191</v>
      </c>
      <c r="F2621" s="18">
        <f>E2621* 0.999266575396049</f>
        <v>190.85991590064538</v>
      </c>
      <c r="G2621" s="18">
        <f>E2621* 0.0000488949735967143</f>
        <v>9.3389399569724311E-3</v>
      </c>
      <c r="H2621" s="18">
        <f>E2621* 0.000684529630354</f>
        <v>0.130745159397614</v>
      </c>
    </row>
    <row r="2622" spans="1:8" ht="15.75" hidden="1" customHeight="1" x14ac:dyDescent="0.25">
      <c r="A2622" s="20" t="s">
        <v>213</v>
      </c>
      <c r="B2622" s="47" t="s">
        <v>223</v>
      </c>
      <c r="C2622" s="49"/>
      <c r="D2622" s="46" t="s">
        <v>28</v>
      </c>
      <c r="E2622" s="32">
        <v>0</v>
      </c>
      <c r="F2622" s="18">
        <f>E2622* 0.00128865979381443</f>
        <v>0</v>
      </c>
      <c r="G2622" s="18">
        <f>E2622* 0.998711340206186</f>
        <v>0</v>
      </c>
      <c r="H2622" s="20">
        <v>0</v>
      </c>
    </row>
    <row r="2623" spans="1:8" ht="15.75" hidden="1" customHeight="1" x14ac:dyDescent="0.25">
      <c r="A2623" s="20" t="s">
        <v>213</v>
      </c>
      <c r="B2623" s="47" t="s">
        <v>223</v>
      </c>
      <c r="C2623" s="49"/>
      <c r="D2623" s="57" t="s">
        <v>12</v>
      </c>
      <c r="E2623" s="39">
        <v>8</v>
      </c>
      <c r="F2623" s="18">
        <f>E2623* 0.858755020080321</f>
        <v>6.8700401606425681</v>
      </c>
      <c r="G2623" s="18">
        <f>E2623* 0.104016064257028</f>
        <v>0.83212851405622401</v>
      </c>
      <c r="H2623" s="18">
        <f>E2623* 0.0372289156626506</f>
        <v>0.29783132530120482</v>
      </c>
    </row>
    <row r="2624" spans="1:8" ht="15.75" hidden="1" customHeight="1" x14ac:dyDescent="0.25">
      <c r="A2624" s="20" t="s">
        <v>224</v>
      </c>
      <c r="B2624" s="47" t="s">
        <v>225</v>
      </c>
      <c r="C2624" s="12" t="str">
        <f>B2624&amp;"_"&amp;A2624</f>
        <v>Asunción de Guarayos_Santa Cruz</v>
      </c>
      <c r="D2624" s="20"/>
      <c r="E2624" s="48">
        <v>1564</v>
      </c>
      <c r="F2624" s="14">
        <f t="shared" ref="F2624:H2624" si="223">SUM(F2625:F2636)</f>
        <v>1442.9402368457411</v>
      </c>
      <c r="G2624" s="14">
        <f t="shared" si="223"/>
        <v>101.51303998160789</v>
      </c>
      <c r="H2624" s="14">
        <f t="shared" si="223"/>
        <v>19.416641968626646</v>
      </c>
    </row>
    <row r="2625" spans="1:8" ht="15.75" hidden="1" customHeight="1" x14ac:dyDescent="0.25">
      <c r="A2625" s="20" t="s">
        <v>224</v>
      </c>
      <c r="B2625" s="47" t="s">
        <v>225</v>
      </c>
      <c r="C2625" s="49"/>
      <c r="D2625" s="29" t="s">
        <v>599</v>
      </c>
      <c r="E2625" s="23">
        <v>0</v>
      </c>
      <c r="F2625" s="20">
        <v>0</v>
      </c>
      <c r="G2625" s="24">
        <f>E2625</f>
        <v>0</v>
      </c>
      <c r="H2625" s="20">
        <v>0</v>
      </c>
    </row>
    <row r="2626" spans="1:8" ht="15.75" hidden="1" customHeight="1" x14ac:dyDescent="0.25">
      <c r="A2626" s="20" t="s">
        <v>224</v>
      </c>
      <c r="B2626" s="47" t="s">
        <v>225</v>
      </c>
      <c r="C2626" s="49"/>
      <c r="D2626" s="19" t="s">
        <v>15</v>
      </c>
      <c r="E2626" s="23">
        <v>12</v>
      </c>
      <c r="F2626" s="18">
        <f>E2626* 0.932303048052446</f>
        <v>11.187636576629352</v>
      </c>
      <c r="G2626" s="18">
        <f>E2626* 0.0217058280204555</f>
        <v>0.26046993624546599</v>
      </c>
      <c r="H2626" s="18">
        <f>E2626* 0.0459798598751943</f>
        <v>0.55175831850233159</v>
      </c>
    </row>
    <row r="2627" spans="1:8" ht="15.75" hidden="1" customHeight="1" x14ac:dyDescent="0.25">
      <c r="A2627" s="20" t="s">
        <v>224</v>
      </c>
      <c r="B2627" s="47" t="s">
        <v>225</v>
      </c>
      <c r="C2627" s="49"/>
      <c r="D2627" s="29" t="s">
        <v>600</v>
      </c>
      <c r="E2627" s="23">
        <v>2</v>
      </c>
      <c r="F2627" s="18">
        <f>E2627* 0.293894936109797</f>
        <v>0.587789872219594</v>
      </c>
      <c r="G2627" s="18">
        <f>E2627* 0.663038334122101</f>
        <v>1.326076668244202</v>
      </c>
      <c r="H2627" s="18">
        <f>E2627* 0.0430667297681022</f>
        <v>8.6133459536204396E-2</v>
      </c>
    </row>
    <row r="2628" spans="1:8" ht="15.75" hidden="1" customHeight="1" x14ac:dyDescent="0.25">
      <c r="A2628" s="20" t="s">
        <v>224</v>
      </c>
      <c r="B2628" s="47" t="s">
        <v>225</v>
      </c>
      <c r="C2628" s="49"/>
      <c r="D2628" s="19" t="s">
        <v>11</v>
      </c>
      <c r="E2628" s="23">
        <v>63</v>
      </c>
      <c r="F2628" s="18">
        <f>E2628* 0.083479491676667</f>
        <v>5.2592079756300212</v>
      </c>
      <c r="G2628" s="18">
        <f>E2628* 0.913505030924029</f>
        <v>57.550816948213829</v>
      </c>
      <c r="H2628" s="18">
        <f>E2628* 0.00292316686667282</f>
        <v>0.18415951260038765</v>
      </c>
    </row>
    <row r="2629" spans="1:8" ht="15.75" hidden="1" customHeight="1" x14ac:dyDescent="0.25">
      <c r="A2629" s="20" t="s">
        <v>224</v>
      </c>
      <c r="B2629" s="47" t="s">
        <v>225</v>
      </c>
      <c r="C2629" s="49"/>
      <c r="D2629" s="19" t="s">
        <v>17</v>
      </c>
      <c r="E2629" s="23">
        <v>81</v>
      </c>
      <c r="F2629" s="18">
        <f>E2629* 0.752045572242362</f>
        <v>60.915691351631324</v>
      </c>
      <c r="G2629" s="18">
        <f>E2629* 0.185827723114103</f>
        <v>15.052045572242344</v>
      </c>
      <c r="H2629" s="18">
        <f>E2629* 0.0620921802175039</f>
        <v>5.0294665976178159</v>
      </c>
    </row>
    <row r="2630" spans="1:8" ht="15.75" hidden="1" customHeight="1" x14ac:dyDescent="0.25">
      <c r="A2630" s="20" t="s">
        <v>224</v>
      </c>
      <c r="B2630" s="47" t="s">
        <v>225</v>
      </c>
      <c r="C2630" s="49"/>
      <c r="D2630" s="19" t="s">
        <v>31</v>
      </c>
      <c r="E2630" s="23">
        <v>2</v>
      </c>
      <c r="F2630" s="18">
        <f>E2630* 0.929131175468484</f>
        <v>1.858262350936968</v>
      </c>
      <c r="G2630" s="18">
        <f>E2630* 0.0477001703577513</f>
        <v>9.5400340715502602E-2</v>
      </c>
      <c r="H2630" s="18">
        <f>E2630* 0.0231686541737649</f>
        <v>4.6337308347529797E-2</v>
      </c>
    </row>
    <row r="2631" spans="1:8" ht="15.75" hidden="1" customHeight="1" x14ac:dyDescent="0.25">
      <c r="A2631" s="20" t="s">
        <v>224</v>
      </c>
      <c r="B2631" s="47" t="s">
        <v>225</v>
      </c>
      <c r="C2631" s="49"/>
      <c r="D2631" s="19" t="s">
        <v>18</v>
      </c>
      <c r="E2631" s="23">
        <v>12</v>
      </c>
      <c r="F2631" s="18">
        <f>E2631* 0.893702527830246</f>
        <v>10.724430333962951</v>
      </c>
      <c r="G2631" s="18">
        <f>E2631* 0.0946831169875015</f>
        <v>1.136197403850018</v>
      </c>
      <c r="H2631" s="18">
        <f>E2631* 0.0116143551822529</f>
        <v>0.1393722621870348</v>
      </c>
    </row>
    <row r="2632" spans="1:8" ht="15.75" hidden="1" customHeight="1" x14ac:dyDescent="0.25">
      <c r="A2632" s="20" t="s">
        <v>224</v>
      </c>
      <c r="B2632" s="47" t="s">
        <v>225</v>
      </c>
      <c r="C2632" s="49"/>
      <c r="D2632" s="19" t="s">
        <v>20</v>
      </c>
      <c r="E2632" s="23">
        <v>59</v>
      </c>
      <c r="F2632" s="18">
        <f>E2632* 0.734251968503937</f>
        <v>43.320866141732282</v>
      </c>
      <c r="G2632" s="18">
        <f>E2632* 0.158017179670723</f>
        <v>9.3230136005726578</v>
      </c>
      <c r="H2632" s="18">
        <f>E2632* 0.107551896921976</f>
        <v>6.3455619183965846</v>
      </c>
    </row>
    <row r="2633" spans="1:8" ht="15.75" hidden="1" customHeight="1" x14ac:dyDescent="0.25">
      <c r="A2633" s="20" t="s">
        <v>224</v>
      </c>
      <c r="B2633" s="47" t="s">
        <v>225</v>
      </c>
      <c r="C2633" s="49"/>
      <c r="D2633" s="19" t="s">
        <v>21</v>
      </c>
      <c r="E2633" s="23">
        <v>1231</v>
      </c>
      <c r="F2633" s="18">
        <f>E2633* 0.999727092353423</f>
        <v>1230.6640506870638</v>
      </c>
      <c r="G2633" s="18">
        <f>E2633* 0.0000516311763794744</f>
        <v>6.3557978123132991E-2</v>
      </c>
      <c r="H2633" s="18">
        <f>E2633* 0.000132765882118648</f>
        <v>0.1634348008880557</v>
      </c>
    </row>
    <row r="2634" spans="1:8" ht="15.75" hidden="1" customHeight="1" x14ac:dyDescent="0.25">
      <c r="A2634" s="20" t="s">
        <v>224</v>
      </c>
      <c r="B2634" s="47" t="s">
        <v>225</v>
      </c>
      <c r="C2634" s="49"/>
      <c r="D2634" s="19" t="s">
        <v>36</v>
      </c>
      <c r="E2634" s="23">
        <v>3</v>
      </c>
      <c r="F2634" s="18">
        <f>E2634* 0.995894428152493</f>
        <v>2.987683284457479</v>
      </c>
      <c r="G2634" s="18">
        <f>E2634* 0.000586510263929619</f>
        <v>1.759530791788857E-3</v>
      </c>
      <c r="H2634" s="18">
        <f>E2634* 0.00351906158357771</f>
        <v>1.0557184750733129E-2</v>
      </c>
    </row>
    <row r="2635" spans="1:8" ht="15.75" hidden="1" customHeight="1" x14ac:dyDescent="0.25">
      <c r="A2635" s="20" t="s">
        <v>224</v>
      </c>
      <c r="B2635" s="47" t="s">
        <v>225</v>
      </c>
      <c r="C2635" s="49"/>
      <c r="D2635" s="19" t="s">
        <v>28</v>
      </c>
      <c r="E2635" s="23">
        <v>5</v>
      </c>
      <c r="F2635" s="18">
        <f>E2635* 0.00302222222222222</f>
        <v>1.5111111111111099E-2</v>
      </c>
      <c r="G2635" s="18">
        <f>E2635* 0.996622222222222</f>
        <v>4.9831111111111097</v>
      </c>
      <c r="H2635" s="18">
        <f>E2635* 0.000355555555555556</f>
        <v>1.77777777777778E-3</v>
      </c>
    </row>
    <row r="2636" spans="1:8" ht="15.75" hidden="1" customHeight="1" x14ac:dyDescent="0.25">
      <c r="A2636" s="20" t="s">
        <v>224</v>
      </c>
      <c r="B2636" s="47" t="s">
        <v>225</v>
      </c>
      <c r="C2636" s="49"/>
      <c r="D2636" s="19" t="s">
        <v>12</v>
      </c>
      <c r="E2636" s="23">
        <v>94</v>
      </c>
      <c r="F2636" s="18">
        <f>E2636* 0.802335182557089</f>
        <v>75.419507160366365</v>
      </c>
      <c r="G2636" s="18">
        <f>E2636* 0.124687137143594</f>
        <v>11.720590891497837</v>
      </c>
      <c r="H2636" s="18">
        <f>E2636* 0.0729583279576829</f>
        <v>6.8580828280221917</v>
      </c>
    </row>
    <row r="2637" spans="1:8" ht="15.75" hidden="1" customHeight="1" x14ac:dyDescent="0.25">
      <c r="A2637" s="20" t="s">
        <v>224</v>
      </c>
      <c r="B2637" s="20"/>
      <c r="C2637" s="20"/>
      <c r="D2637" s="46"/>
      <c r="E2637" s="35"/>
    </row>
    <row r="2638" spans="1:8" ht="15.75" hidden="1" customHeight="1" x14ac:dyDescent="0.25">
      <c r="A2638" s="20" t="s">
        <v>224</v>
      </c>
      <c r="B2638" s="47" t="s">
        <v>226</v>
      </c>
      <c r="C2638" s="12" t="str">
        <f>B2638&amp;"_"&amp;A2638</f>
        <v>Boyuibe_Santa Cruz</v>
      </c>
      <c r="D2638" s="20"/>
      <c r="E2638" s="48">
        <v>69</v>
      </c>
      <c r="F2638" s="14">
        <f t="shared" ref="F2638:H2638" si="224">SUM(F2639:F2642)</f>
        <v>67.820761214580358</v>
      </c>
      <c r="G2638" s="14">
        <f t="shared" si="224"/>
        <v>0.74302576366145445</v>
      </c>
      <c r="H2638" s="14">
        <f t="shared" si="224"/>
        <v>0.43061733953721781</v>
      </c>
    </row>
    <row r="2639" spans="1:8" ht="15.75" hidden="1" customHeight="1" x14ac:dyDescent="0.25">
      <c r="A2639" s="20" t="s">
        <v>224</v>
      </c>
      <c r="B2639" s="47" t="s">
        <v>226</v>
      </c>
      <c r="C2639" s="49"/>
      <c r="D2639" s="19" t="s">
        <v>15</v>
      </c>
      <c r="E2639" s="23">
        <v>1</v>
      </c>
      <c r="F2639" s="18">
        <f>E2639* 0.932303048052446</f>
        <v>0.93230304805244602</v>
      </c>
      <c r="G2639" s="18">
        <f>E2639* 0.0217058280204555</f>
        <v>2.1705828020455498E-2</v>
      </c>
      <c r="H2639" s="18">
        <f>E2639* 0.0459798598751943</f>
        <v>4.5979859875194297E-2</v>
      </c>
    </row>
    <row r="2640" spans="1:8" ht="15.75" hidden="1" customHeight="1" x14ac:dyDescent="0.25">
      <c r="A2640" s="20" t="s">
        <v>224</v>
      </c>
      <c r="B2640" s="47" t="s">
        <v>226</v>
      </c>
      <c r="C2640" s="49"/>
      <c r="D2640" s="19" t="s">
        <v>18</v>
      </c>
      <c r="E2640" s="23">
        <v>1</v>
      </c>
      <c r="F2640" s="18">
        <f>E2640* 0.893702527830246</f>
        <v>0.89370252783024595</v>
      </c>
      <c r="G2640" s="18">
        <f>E2640* 0.0946831169875015</f>
        <v>9.4683116987501495E-2</v>
      </c>
      <c r="H2640" s="18">
        <f>E2640* 0.0116143551822529</f>
        <v>1.16143551822529E-2</v>
      </c>
    </row>
    <row r="2641" spans="1:8" ht="15.75" hidden="1" customHeight="1" x14ac:dyDescent="0.25">
      <c r="A2641" s="20" t="s">
        <v>224</v>
      </c>
      <c r="B2641" s="47" t="s">
        <v>226</v>
      </c>
      <c r="C2641" s="49"/>
      <c r="D2641" s="19" t="s">
        <v>21</v>
      </c>
      <c r="E2641" s="23">
        <v>62</v>
      </c>
      <c r="F2641" s="18">
        <f>E2641* 0.999727092353423</f>
        <v>61.983079725912226</v>
      </c>
      <c r="G2641" s="18">
        <f>E2641* 0.0000516311763794744</f>
        <v>3.2011329355274131E-3</v>
      </c>
      <c r="H2641" s="18">
        <f>E2641* 0.000132765882118648</f>
        <v>8.2314846913561762E-3</v>
      </c>
    </row>
    <row r="2642" spans="1:8" ht="15.75" hidden="1" customHeight="1" x14ac:dyDescent="0.25">
      <c r="A2642" s="20" t="s">
        <v>224</v>
      </c>
      <c r="B2642" s="47" t="s">
        <v>226</v>
      </c>
      <c r="C2642" s="49"/>
      <c r="D2642" s="19" t="s">
        <v>12</v>
      </c>
      <c r="E2642" s="23">
        <v>5</v>
      </c>
      <c r="F2642" s="18">
        <f>E2642* 0.802335182557089</f>
        <v>4.0116759127854449</v>
      </c>
      <c r="G2642" s="18">
        <f>E2642* 0.124687137143594</f>
        <v>0.62343568571797003</v>
      </c>
      <c r="H2642" s="18">
        <f>E2642* 0.0729583279576829</f>
        <v>0.36479163978841445</v>
      </c>
    </row>
    <row r="2643" spans="1:8" ht="15.75" hidden="1" customHeight="1" x14ac:dyDescent="0.25">
      <c r="A2643" s="20" t="s">
        <v>224</v>
      </c>
      <c r="B2643" s="20"/>
      <c r="C2643" s="20"/>
      <c r="D2643" s="46"/>
      <c r="E2643" s="35"/>
    </row>
    <row r="2644" spans="1:8" ht="15.75" hidden="1" customHeight="1" x14ac:dyDescent="0.25">
      <c r="A2644" s="20" t="s">
        <v>224</v>
      </c>
      <c r="B2644" s="47" t="s">
        <v>227</v>
      </c>
      <c r="C2644" s="12" t="str">
        <f>B2644&amp;"_"&amp;A2644</f>
        <v>Buena Vista_Santa Cruz</v>
      </c>
      <c r="D2644" s="20"/>
      <c r="E2644" s="48">
        <v>495</v>
      </c>
      <c r="F2644" s="14">
        <f t="shared" ref="F2644:H2644" si="225">SUM(F2645:F2656)</f>
        <v>438.15963988715004</v>
      </c>
      <c r="G2644" s="14">
        <f t="shared" si="225"/>
        <v>45.768415628220453</v>
      </c>
      <c r="H2644" s="14">
        <f t="shared" si="225"/>
        <v>11.03979560945341</v>
      </c>
    </row>
    <row r="2645" spans="1:8" ht="15.75" hidden="1" customHeight="1" x14ac:dyDescent="0.25">
      <c r="A2645" s="20" t="s">
        <v>224</v>
      </c>
      <c r="B2645" s="47" t="s">
        <v>227</v>
      </c>
      <c r="C2645" s="49"/>
      <c r="D2645" s="29" t="s">
        <v>601</v>
      </c>
      <c r="E2645" s="23">
        <v>2</v>
      </c>
      <c r="F2645" s="20">
        <v>0</v>
      </c>
      <c r="G2645" s="24">
        <f>E2645</f>
        <v>2</v>
      </c>
      <c r="H2645" s="20">
        <v>0</v>
      </c>
    </row>
    <row r="2646" spans="1:8" ht="15.75" hidden="1" customHeight="1" x14ac:dyDescent="0.25">
      <c r="A2646" s="20" t="s">
        <v>224</v>
      </c>
      <c r="B2646" s="47" t="s">
        <v>227</v>
      </c>
      <c r="C2646" s="49"/>
      <c r="D2646" s="19" t="s">
        <v>15</v>
      </c>
      <c r="E2646" s="23">
        <v>12</v>
      </c>
      <c r="F2646" s="18">
        <f>E2646* 0.932303048052446</f>
        <v>11.187636576629352</v>
      </c>
      <c r="G2646" s="18">
        <f>E2646* 0.0217058280204555</f>
        <v>0.26046993624546599</v>
      </c>
      <c r="H2646" s="18">
        <f>E2646* 0.0459798598751943</f>
        <v>0.55175831850233159</v>
      </c>
    </row>
    <row r="2647" spans="1:8" ht="15.75" hidden="1" customHeight="1" x14ac:dyDescent="0.25">
      <c r="A2647" s="20" t="s">
        <v>224</v>
      </c>
      <c r="B2647" s="47" t="s">
        <v>227</v>
      </c>
      <c r="C2647" s="49"/>
      <c r="D2647" s="29" t="s">
        <v>602</v>
      </c>
      <c r="E2647" s="23">
        <v>1</v>
      </c>
      <c r="F2647" s="18">
        <f>E2647* 0.293894936109797</f>
        <v>0.293894936109797</v>
      </c>
      <c r="G2647" s="18">
        <f>E2647* 0.663038334122101</f>
        <v>0.663038334122101</v>
      </c>
      <c r="H2647" s="18">
        <f>E2647* 0.0430667297681022</f>
        <v>4.3066729768102198E-2</v>
      </c>
    </row>
    <row r="2648" spans="1:8" ht="15.75" hidden="1" customHeight="1" x14ac:dyDescent="0.25">
      <c r="A2648" s="20" t="s">
        <v>224</v>
      </c>
      <c r="B2648" s="47" t="s">
        <v>227</v>
      </c>
      <c r="C2648" s="49"/>
      <c r="D2648" s="19" t="s">
        <v>11</v>
      </c>
      <c r="E2648" s="23">
        <v>23</v>
      </c>
      <c r="F2648" s="18">
        <f>E2648* 0.083479491676667</f>
        <v>1.9200283085633412</v>
      </c>
      <c r="G2648" s="18">
        <f>E2648* 0.913505030924029</f>
        <v>21.010615711252669</v>
      </c>
      <c r="H2648" s="18">
        <f>E2648* 0.00292316686667282</f>
        <v>6.7232837933474857E-2</v>
      </c>
    </row>
    <row r="2649" spans="1:8" ht="15.75" hidden="1" customHeight="1" x14ac:dyDescent="0.25">
      <c r="A2649" s="20" t="s">
        <v>224</v>
      </c>
      <c r="B2649" s="47" t="s">
        <v>227</v>
      </c>
      <c r="C2649" s="49"/>
      <c r="D2649" s="19" t="s">
        <v>17</v>
      </c>
      <c r="E2649" s="23">
        <v>42</v>
      </c>
      <c r="F2649" s="18">
        <f>E2649* 0.752045572242362</f>
        <v>31.585914034179204</v>
      </c>
      <c r="G2649" s="18">
        <f>E2649* 0.185827723114103</f>
        <v>7.8047643707923262</v>
      </c>
      <c r="H2649" s="18">
        <f>E2649* 0.0620921802175039</f>
        <v>2.6078715691351637</v>
      </c>
    </row>
    <row r="2650" spans="1:8" ht="15.75" hidden="1" customHeight="1" x14ac:dyDescent="0.25">
      <c r="A2650" s="20" t="s">
        <v>224</v>
      </c>
      <c r="B2650" s="47" t="s">
        <v>227</v>
      </c>
      <c r="C2650" s="49"/>
      <c r="D2650" s="19" t="s">
        <v>31</v>
      </c>
      <c r="E2650" s="23">
        <v>2</v>
      </c>
      <c r="F2650" s="18">
        <f>E2650* 0.929131175468484</f>
        <v>1.858262350936968</v>
      </c>
      <c r="G2650" s="18">
        <f>E2650* 0.0477001703577513</f>
        <v>9.5400340715502602E-2</v>
      </c>
      <c r="H2650" s="18">
        <f>E2650* 0.0231686541737649</f>
        <v>4.6337308347529797E-2</v>
      </c>
    </row>
    <row r="2651" spans="1:8" ht="15.75" hidden="1" customHeight="1" x14ac:dyDescent="0.25">
      <c r="A2651" s="20" t="s">
        <v>224</v>
      </c>
      <c r="B2651" s="47" t="s">
        <v>227</v>
      </c>
      <c r="C2651" s="49"/>
      <c r="D2651" s="19" t="s">
        <v>18</v>
      </c>
      <c r="E2651" s="23">
        <v>11</v>
      </c>
      <c r="F2651" s="18">
        <f>E2651* 0.893702527830246</f>
        <v>9.830727806132705</v>
      </c>
      <c r="G2651" s="18">
        <f>E2651* 0.0946831169875015</f>
        <v>1.0415142868625165</v>
      </c>
      <c r="H2651" s="18">
        <f>E2651* 0.0116143551822529</f>
        <v>0.1277579070047819</v>
      </c>
    </row>
    <row r="2652" spans="1:8" ht="15.75" hidden="1" customHeight="1" x14ac:dyDescent="0.25">
      <c r="A2652" s="20" t="s">
        <v>224</v>
      </c>
      <c r="B2652" s="47" t="s">
        <v>227</v>
      </c>
      <c r="C2652" s="49"/>
      <c r="D2652" s="19" t="s">
        <v>20</v>
      </c>
      <c r="E2652" s="23">
        <v>1</v>
      </c>
      <c r="F2652" s="18">
        <f>E2652* 0.734251968503937</f>
        <v>0.73425196850393704</v>
      </c>
      <c r="G2652" s="18">
        <f>E2652* 0.158017179670723</f>
        <v>0.15801717967072301</v>
      </c>
      <c r="H2652" s="18">
        <f>E2652* 0.107551896921976</f>
        <v>0.107551896921976</v>
      </c>
    </row>
    <row r="2653" spans="1:8" ht="15.75" hidden="1" customHeight="1" x14ac:dyDescent="0.25">
      <c r="A2653" s="20" t="s">
        <v>224</v>
      </c>
      <c r="B2653" s="47" t="s">
        <v>227</v>
      </c>
      <c r="C2653" s="49"/>
      <c r="D2653" s="19" t="s">
        <v>21</v>
      </c>
      <c r="E2653" s="23">
        <v>297</v>
      </c>
      <c r="F2653" s="18">
        <f>E2653* 0.999727092353423</f>
        <v>296.91894642896665</v>
      </c>
      <c r="G2653" s="18">
        <f>E2653* 0.0000516311763794744</f>
        <v>1.5334459384703897E-2</v>
      </c>
      <c r="H2653" s="18">
        <f>E2653* 0.000132765882118648</f>
        <v>3.943146698923846E-2</v>
      </c>
    </row>
    <row r="2654" spans="1:8" ht="15.75" hidden="1" customHeight="1" x14ac:dyDescent="0.25">
      <c r="A2654" s="20" t="s">
        <v>224</v>
      </c>
      <c r="B2654" s="47" t="s">
        <v>227</v>
      </c>
      <c r="C2654" s="49"/>
      <c r="D2654" s="19" t="s">
        <v>36</v>
      </c>
      <c r="E2654" s="23">
        <v>2</v>
      </c>
      <c r="F2654" s="18">
        <f>E2654* 0.995894428152493</f>
        <v>1.9917888563049859</v>
      </c>
      <c r="G2654" s="18">
        <f>E2654* 0.000586510263929619</f>
        <v>1.173020527859238E-3</v>
      </c>
      <c r="H2654" s="18">
        <f>E2654* 0.00351906158357771</f>
        <v>7.03812316715542E-3</v>
      </c>
    </row>
    <row r="2655" spans="1:8" ht="15.75" hidden="1" customHeight="1" x14ac:dyDescent="0.25">
      <c r="A2655" s="20" t="s">
        <v>224</v>
      </c>
      <c r="B2655" s="47" t="s">
        <v>227</v>
      </c>
      <c r="C2655" s="49"/>
      <c r="D2655" s="19" t="s">
        <v>28</v>
      </c>
      <c r="E2655" s="23">
        <v>0</v>
      </c>
      <c r="F2655" s="18">
        <f>E2655* 0.00302222222222222</f>
        <v>0</v>
      </c>
      <c r="G2655" s="18">
        <f>E2655* 0.996622222222222</f>
        <v>0</v>
      </c>
      <c r="H2655" s="18">
        <f>E2655* 0.000355555555555556</f>
        <v>0</v>
      </c>
    </row>
    <row r="2656" spans="1:8" ht="15.75" hidden="1" customHeight="1" x14ac:dyDescent="0.25">
      <c r="A2656" s="20" t="s">
        <v>224</v>
      </c>
      <c r="B2656" s="47" t="s">
        <v>227</v>
      </c>
      <c r="C2656" s="49"/>
      <c r="D2656" s="19" t="s">
        <v>12</v>
      </c>
      <c r="E2656" s="23">
        <v>102</v>
      </c>
      <c r="F2656" s="18">
        <f>E2656* 0.802335182557089</f>
        <v>81.838188620823075</v>
      </c>
      <c r="G2656" s="18">
        <f>E2656* 0.124687137143594</f>
        <v>12.718087988646587</v>
      </c>
      <c r="H2656" s="18">
        <f>E2656* 0.0729583279576829</f>
        <v>7.4417494516836555</v>
      </c>
    </row>
    <row r="2657" spans="1:8" ht="15.75" hidden="1" customHeight="1" x14ac:dyDescent="0.25">
      <c r="A2657" s="20" t="s">
        <v>224</v>
      </c>
      <c r="B2657" s="20"/>
      <c r="C2657" s="20"/>
      <c r="D2657" s="46"/>
      <c r="E2657" s="35"/>
    </row>
    <row r="2658" spans="1:8" ht="15.75" hidden="1" customHeight="1" x14ac:dyDescent="0.25">
      <c r="A2658" s="20" t="s">
        <v>224</v>
      </c>
      <c r="B2658" s="47" t="s">
        <v>228</v>
      </c>
      <c r="C2658" s="12" t="str">
        <f>B2658&amp;"_"&amp;A2658</f>
        <v>Cabezas_Santa Cruz</v>
      </c>
      <c r="D2658" s="20"/>
      <c r="E2658" s="48">
        <v>2444</v>
      </c>
      <c r="F2658" s="14">
        <f t="shared" ref="F2658:H2658" si="226">SUM(F2659:F2672)</f>
        <v>1996.4040723548364</v>
      </c>
      <c r="G2658" s="14">
        <f t="shared" si="226"/>
        <v>361.94085262367082</v>
      </c>
      <c r="H2658" s="14">
        <f t="shared" si="226"/>
        <v>85.534094149777459</v>
      </c>
    </row>
    <row r="2659" spans="1:8" ht="15.75" hidden="1" customHeight="1" x14ac:dyDescent="0.25">
      <c r="A2659" s="20" t="s">
        <v>224</v>
      </c>
      <c r="B2659" s="47" t="s">
        <v>228</v>
      </c>
      <c r="C2659" s="49"/>
      <c r="D2659" s="29" t="s">
        <v>603</v>
      </c>
      <c r="E2659" s="32">
        <v>3</v>
      </c>
      <c r="F2659" s="20">
        <v>0</v>
      </c>
      <c r="G2659" s="24">
        <f>E2659</f>
        <v>3</v>
      </c>
      <c r="H2659" s="20">
        <v>0</v>
      </c>
    </row>
    <row r="2660" spans="1:8" ht="15.75" hidden="1" customHeight="1" x14ac:dyDescent="0.25">
      <c r="A2660" s="20" t="s">
        <v>224</v>
      </c>
      <c r="B2660" s="47" t="s">
        <v>228</v>
      </c>
      <c r="C2660" s="49"/>
      <c r="D2660" s="19" t="s">
        <v>15</v>
      </c>
      <c r="E2660" s="32">
        <v>318</v>
      </c>
      <c r="F2660" s="18">
        <f>E2660* 0.932303048052446</f>
        <v>296.47236928067781</v>
      </c>
      <c r="G2660" s="18">
        <f>E2660* 0.0217058280204555</f>
        <v>6.9024533105048489</v>
      </c>
      <c r="H2660" s="18">
        <f>E2660* 0.0459798598751943</f>
        <v>14.621595440311786</v>
      </c>
    </row>
    <row r="2661" spans="1:8" ht="15.75" hidden="1" customHeight="1" x14ac:dyDescent="0.25">
      <c r="A2661" s="20" t="s">
        <v>224</v>
      </c>
      <c r="B2661" s="47" t="s">
        <v>228</v>
      </c>
      <c r="C2661" s="49"/>
      <c r="D2661" s="29" t="s">
        <v>604</v>
      </c>
      <c r="E2661" s="32">
        <v>10</v>
      </c>
      <c r="F2661" s="18">
        <f>E2661* 0.293894936109797</f>
        <v>2.9389493610979702</v>
      </c>
      <c r="G2661" s="18">
        <f>E2661* 0.663038334122101</f>
        <v>6.6303833412210098</v>
      </c>
      <c r="H2661" s="18">
        <f>E2661* 0.0430667297681022</f>
        <v>0.43066729768102197</v>
      </c>
    </row>
    <row r="2662" spans="1:8" ht="15.75" hidden="1" customHeight="1" x14ac:dyDescent="0.25">
      <c r="A2662" s="20" t="s">
        <v>224</v>
      </c>
      <c r="B2662" s="47" t="s">
        <v>228</v>
      </c>
      <c r="C2662" s="49"/>
      <c r="D2662" s="19" t="s">
        <v>11</v>
      </c>
      <c r="E2662" s="32">
        <v>155</v>
      </c>
      <c r="F2662" s="18">
        <f>E2662* 0.083479491676667</f>
        <v>12.939321209883385</v>
      </c>
      <c r="G2662" s="18">
        <f>E2662* 0.913505030924029</f>
        <v>141.5932797932245</v>
      </c>
      <c r="H2662" s="18">
        <f>E2662* 0.00292316686667282</f>
        <v>0.45309086433428708</v>
      </c>
    </row>
    <row r="2663" spans="1:8" ht="15.75" hidden="1" customHeight="1" x14ac:dyDescent="0.25">
      <c r="A2663" s="20" t="s">
        <v>224</v>
      </c>
      <c r="B2663" s="47" t="s">
        <v>228</v>
      </c>
      <c r="C2663" s="49"/>
      <c r="D2663" s="19" t="s">
        <v>17</v>
      </c>
      <c r="E2663" s="32">
        <v>266</v>
      </c>
      <c r="F2663" s="18">
        <f>E2663* 0.752045572242362</f>
        <v>200.04412221646831</v>
      </c>
      <c r="G2663" s="18">
        <f>E2663* 0.185827723114103</f>
        <v>49.4301743483514</v>
      </c>
      <c r="H2663" s="18">
        <f>E2663* 0.0620921802175039</f>
        <v>16.516519937856039</v>
      </c>
    </row>
    <row r="2664" spans="1:8" ht="15.75" hidden="1" customHeight="1" x14ac:dyDescent="0.25">
      <c r="A2664" s="20" t="s">
        <v>224</v>
      </c>
      <c r="B2664" s="47" t="s">
        <v>228</v>
      </c>
      <c r="C2664" s="49"/>
      <c r="D2664" s="19" t="s">
        <v>31</v>
      </c>
      <c r="E2664" s="32">
        <v>16</v>
      </c>
      <c r="F2664" s="18">
        <f>E2664* 0.929131175468484</f>
        <v>14.866098807495744</v>
      </c>
      <c r="G2664" s="18">
        <f>E2664* 0.0477001703577513</f>
        <v>0.76320272572402081</v>
      </c>
      <c r="H2664" s="18">
        <f>E2664* 0.0231686541737649</f>
        <v>0.37069846678023838</v>
      </c>
    </row>
    <row r="2665" spans="1:8" ht="15.75" hidden="1" customHeight="1" x14ac:dyDescent="0.25">
      <c r="A2665" s="20" t="s">
        <v>224</v>
      </c>
      <c r="B2665" s="47" t="s">
        <v>228</v>
      </c>
      <c r="C2665" s="49"/>
      <c r="D2665" s="19" t="s">
        <v>18</v>
      </c>
      <c r="E2665" s="32">
        <v>52</v>
      </c>
      <c r="F2665" s="18">
        <f>E2665* 0.893702527830246</f>
        <v>46.472531447172791</v>
      </c>
      <c r="G2665" s="18">
        <f>E2665* 0.0946831169875015</f>
        <v>4.9235220833500781</v>
      </c>
      <c r="H2665" s="18">
        <f>E2665* 0.0116143551822529</f>
        <v>0.6039464694771508</v>
      </c>
    </row>
    <row r="2666" spans="1:8" ht="15.75" hidden="1" customHeight="1" x14ac:dyDescent="0.25">
      <c r="A2666" s="20" t="s">
        <v>224</v>
      </c>
      <c r="B2666" s="47" t="s">
        <v>228</v>
      </c>
      <c r="C2666" s="49"/>
      <c r="D2666" s="19" t="s">
        <v>19</v>
      </c>
      <c r="E2666" s="32">
        <v>19</v>
      </c>
      <c r="F2666" s="18">
        <f>E2666* 0.0299845873616365</f>
        <v>0.56970715987109344</v>
      </c>
      <c r="G2666" s="18">
        <f>E2666* 0.96385035729298</f>
        <v>18.313156788566619</v>
      </c>
      <c r="H2666" s="18">
        <f>E2666* 0.00616505534538321</f>
        <v>0.11713605156228099</v>
      </c>
    </row>
    <row r="2667" spans="1:8" ht="15.75" hidden="1" customHeight="1" x14ac:dyDescent="0.25">
      <c r="A2667" s="20" t="s">
        <v>224</v>
      </c>
      <c r="B2667" s="47" t="s">
        <v>228</v>
      </c>
      <c r="C2667" s="49"/>
      <c r="D2667" s="19" t="s">
        <v>20</v>
      </c>
      <c r="E2667" s="32">
        <v>32</v>
      </c>
      <c r="F2667" s="18">
        <f>E2667* 0.734251968503937</f>
        <v>23.496062992125985</v>
      </c>
      <c r="G2667" s="18">
        <f>E2667* 0.158017179670723</f>
        <v>5.0565497494631364</v>
      </c>
      <c r="H2667" s="18">
        <f>E2667* 0.107551896921976</f>
        <v>3.4416607015032321</v>
      </c>
    </row>
    <row r="2668" spans="1:8" ht="15.75" hidden="1" customHeight="1" x14ac:dyDescent="0.25">
      <c r="A2668" s="20" t="s">
        <v>224</v>
      </c>
      <c r="B2668" s="47" t="s">
        <v>228</v>
      </c>
      <c r="C2668" s="49"/>
      <c r="D2668" s="19" t="s">
        <v>21</v>
      </c>
      <c r="E2668" s="32">
        <v>850</v>
      </c>
      <c r="F2668" s="18">
        <f>E2668* 0.999727092353423</f>
        <v>849.76802850040963</v>
      </c>
      <c r="G2668" s="18">
        <f>E2668* 0.0000516311763794744</f>
        <v>4.3886499922553245E-2</v>
      </c>
      <c r="H2668" s="18">
        <f>E2668* 0.000132765882118648</f>
        <v>0.11285099980085081</v>
      </c>
    </row>
    <row r="2669" spans="1:8" ht="15.75" hidden="1" customHeight="1" x14ac:dyDescent="0.25">
      <c r="A2669" s="20" t="s">
        <v>224</v>
      </c>
      <c r="B2669" s="47" t="s">
        <v>228</v>
      </c>
      <c r="C2669" s="49"/>
      <c r="D2669" s="19" t="s">
        <v>36</v>
      </c>
      <c r="E2669" s="32">
        <v>12</v>
      </c>
      <c r="F2669" s="18">
        <f>E2669* 0.995894428152493</f>
        <v>11.950733137829916</v>
      </c>
      <c r="G2669" s="18">
        <f>E2669* 0.000586510263929619</f>
        <v>7.0381231671554278E-3</v>
      </c>
      <c r="H2669" s="18">
        <f>E2669* 0.00351906158357771</f>
        <v>4.2228739002932517E-2</v>
      </c>
    </row>
    <row r="2670" spans="1:8" ht="15.75" hidden="1" customHeight="1" x14ac:dyDescent="0.25">
      <c r="A2670" s="20" t="s">
        <v>224</v>
      </c>
      <c r="B2670" s="47" t="s">
        <v>228</v>
      </c>
      <c r="C2670" s="49"/>
      <c r="D2670" s="19" t="s">
        <v>37</v>
      </c>
      <c r="E2670" s="32">
        <v>1</v>
      </c>
      <c r="F2670" s="20">
        <v>0</v>
      </c>
      <c r="G2670" s="24">
        <f>E2670</f>
        <v>1</v>
      </c>
      <c r="H2670" s="20">
        <v>0</v>
      </c>
    </row>
    <row r="2671" spans="1:8" ht="15.75" hidden="1" customHeight="1" x14ac:dyDescent="0.25">
      <c r="A2671" s="20" t="s">
        <v>224</v>
      </c>
      <c r="B2671" s="47" t="s">
        <v>228</v>
      </c>
      <c r="C2671" s="49"/>
      <c r="D2671" s="19" t="s">
        <v>28</v>
      </c>
      <c r="E2671" s="23">
        <v>41</v>
      </c>
      <c r="F2671" s="18">
        <f>E2671* 0.00302222222222222</f>
        <v>0.12391111111111101</v>
      </c>
      <c r="G2671" s="18">
        <f>E2671* 0.996622222222222</f>
        <v>40.861511111111099</v>
      </c>
      <c r="H2671" s="18">
        <f>E2671* 0.000355555555555556</f>
        <v>1.4577777777777797E-2</v>
      </c>
    </row>
    <row r="2672" spans="1:8" ht="15.75" hidden="1" customHeight="1" x14ac:dyDescent="0.25">
      <c r="A2672" s="20" t="s">
        <v>224</v>
      </c>
      <c r="B2672" s="47" t="s">
        <v>228</v>
      </c>
      <c r="C2672" s="49"/>
      <c r="D2672" s="19" t="s">
        <v>12</v>
      </c>
      <c r="E2672" s="23">
        <v>669</v>
      </c>
      <c r="F2672" s="18">
        <f>E2672* 0.802335182557089</f>
        <v>536.7622371306926</v>
      </c>
      <c r="G2672" s="18">
        <f>E2672* 0.124687137143594</f>
        <v>83.415694749064386</v>
      </c>
      <c r="H2672" s="18">
        <f>E2672* 0.0729583279576829</f>
        <v>48.809121403689858</v>
      </c>
    </row>
    <row r="2673" spans="1:8" ht="15.75" hidden="1" customHeight="1" x14ac:dyDescent="0.25">
      <c r="A2673" s="20" t="s">
        <v>224</v>
      </c>
      <c r="B2673" s="20"/>
      <c r="C2673" s="20"/>
      <c r="D2673" s="46"/>
      <c r="E2673" s="35"/>
    </row>
    <row r="2674" spans="1:8" ht="15.75" hidden="1" customHeight="1" x14ac:dyDescent="0.25">
      <c r="A2674" s="20" t="s">
        <v>224</v>
      </c>
      <c r="B2674" s="47" t="s">
        <v>229</v>
      </c>
      <c r="C2674" s="12" t="str">
        <f>B2674&amp;"_"&amp;A2674</f>
        <v>Camiri_Santa Cruz</v>
      </c>
      <c r="D2674" s="20"/>
      <c r="E2674" s="48">
        <v>4846</v>
      </c>
      <c r="F2674" s="14">
        <f t="shared" ref="F2674:H2674" si="227">SUM(F2675:F2687)</f>
        <v>4010.2267189080876</v>
      </c>
      <c r="G2674" s="14">
        <f t="shared" si="227"/>
        <v>633.29167682309026</v>
      </c>
      <c r="H2674" s="14">
        <f t="shared" si="227"/>
        <v>202.25875055920721</v>
      </c>
    </row>
    <row r="2675" spans="1:8" ht="15.75" hidden="1" customHeight="1" x14ac:dyDescent="0.25">
      <c r="A2675" s="20" t="s">
        <v>224</v>
      </c>
      <c r="B2675" s="47" t="s">
        <v>229</v>
      </c>
      <c r="C2675" s="49"/>
      <c r="D2675" s="29" t="s">
        <v>605</v>
      </c>
      <c r="E2675" s="23">
        <v>0</v>
      </c>
      <c r="F2675" s="20">
        <v>0</v>
      </c>
      <c r="G2675" s="24">
        <f>E2675</f>
        <v>0</v>
      </c>
      <c r="H2675" s="20">
        <v>0</v>
      </c>
    </row>
    <row r="2676" spans="1:8" ht="15.75" hidden="1" customHeight="1" x14ac:dyDescent="0.25">
      <c r="A2676" s="20" t="s">
        <v>224</v>
      </c>
      <c r="B2676" s="47" t="s">
        <v>229</v>
      </c>
      <c r="C2676" s="49"/>
      <c r="D2676" s="19" t="s">
        <v>15</v>
      </c>
      <c r="E2676" s="23">
        <v>571</v>
      </c>
      <c r="F2676" s="18">
        <f>E2676* 0.932303048052446</f>
        <v>532.34504043794664</v>
      </c>
      <c r="G2676" s="18">
        <f>E2676* 0.0217058280204555</f>
        <v>12.394027799680089</v>
      </c>
      <c r="H2676" s="18">
        <f>E2676* 0.0459798598751943</f>
        <v>26.254499988735944</v>
      </c>
    </row>
    <row r="2677" spans="1:8" ht="15.75" hidden="1" customHeight="1" x14ac:dyDescent="0.25">
      <c r="A2677" s="20" t="s">
        <v>224</v>
      </c>
      <c r="B2677" s="47" t="s">
        <v>229</v>
      </c>
      <c r="C2677" s="49"/>
      <c r="D2677" s="29" t="s">
        <v>606</v>
      </c>
      <c r="E2677" s="23">
        <v>16</v>
      </c>
      <c r="F2677" s="18">
        <f>E2677* 0.293894936109797</f>
        <v>4.702318977756752</v>
      </c>
      <c r="G2677" s="18">
        <f>E2677* 0.663038334122101</f>
        <v>10.608613345953616</v>
      </c>
      <c r="H2677" s="18">
        <f>E2677* 0.0430667297681022</f>
        <v>0.68906767628963517</v>
      </c>
    </row>
    <row r="2678" spans="1:8" ht="15.75" hidden="1" customHeight="1" x14ac:dyDescent="0.25">
      <c r="A2678" s="20" t="s">
        <v>224</v>
      </c>
      <c r="B2678" s="47" t="s">
        <v>229</v>
      </c>
      <c r="C2678" s="49"/>
      <c r="D2678" s="19" t="s">
        <v>11</v>
      </c>
      <c r="E2678" s="23">
        <v>234</v>
      </c>
      <c r="F2678" s="18">
        <f>E2678* 0.083479491676667</f>
        <v>19.53420105234008</v>
      </c>
      <c r="G2678" s="18">
        <f>E2678* 0.913505030924029</f>
        <v>213.7601772362228</v>
      </c>
      <c r="H2678" s="18">
        <f>E2678* 0.00292316686667282</f>
        <v>0.68402104680143982</v>
      </c>
    </row>
    <row r="2679" spans="1:8" ht="15.75" hidden="1" customHeight="1" x14ac:dyDescent="0.25">
      <c r="A2679" s="20" t="s">
        <v>224</v>
      </c>
      <c r="B2679" s="47" t="s">
        <v>229</v>
      </c>
      <c r="C2679" s="49"/>
      <c r="D2679" s="19" t="s">
        <v>17</v>
      </c>
      <c r="E2679" s="23">
        <v>542</v>
      </c>
      <c r="F2679" s="18">
        <f>E2679* 0.752045572242362</f>
        <v>407.60870015536022</v>
      </c>
      <c r="G2679" s="18">
        <f>E2679* 0.185827723114103</f>
        <v>100.71862592784383</v>
      </c>
      <c r="H2679" s="18">
        <f>E2679* 0.0620921802175039</f>
        <v>33.653961677887111</v>
      </c>
    </row>
    <row r="2680" spans="1:8" ht="15.75" hidden="1" customHeight="1" x14ac:dyDescent="0.25">
      <c r="A2680" s="20" t="s">
        <v>224</v>
      </c>
      <c r="B2680" s="47" t="s">
        <v>229</v>
      </c>
      <c r="C2680" s="49"/>
      <c r="D2680" s="19" t="s">
        <v>31</v>
      </c>
      <c r="E2680" s="23">
        <v>10</v>
      </c>
      <c r="F2680" s="18">
        <f>E2680* 0.929131175468484</f>
        <v>9.2913117546848394</v>
      </c>
      <c r="G2680" s="18">
        <f>E2680* 0.0477001703577513</f>
        <v>0.47700170357751304</v>
      </c>
      <c r="H2680" s="18">
        <f>E2680* 0.0231686541737649</f>
        <v>0.23168654173764899</v>
      </c>
    </row>
    <row r="2681" spans="1:8" ht="15.75" hidden="1" customHeight="1" x14ac:dyDescent="0.25">
      <c r="A2681" s="20" t="s">
        <v>224</v>
      </c>
      <c r="B2681" s="47" t="s">
        <v>229</v>
      </c>
      <c r="C2681" s="49"/>
      <c r="D2681" s="19" t="s">
        <v>18</v>
      </c>
      <c r="E2681" s="23">
        <v>226</v>
      </c>
      <c r="F2681" s="18">
        <f>E2681* 0.893702527830246</f>
        <v>201.97677128963559</v>
      </c>
      <c r="G2681" s="18">
        <f>E2681* 0.0946831169875015</f>
        <v>21.398384439175338</v>
      </c>
      <c r="H2681" s="18">
        <f>E2681* 0.0116143551822529</f>
        <v>2.6248442711891555</v>
      </c>
    </row>
    <row r="2682" spans="1:8" ht="15.75" hidden="1" customHeight="1" x14ac:dyDescent="0.25">
      <c r="A2682" s="20" t="s">
        <v>224</v>
      </c>
      <c r="B2682" s="47" t="s">
        <v>229</v>
      </c>
      <c r="C2682" s="49"/>
      <c r="D2682" s="19" t="s">
        <v>19</v>
      </c>
      <c r="E2682" s="23">
        <v>35</v>
      </c>
      <c r="F2682" s="18">
        <f>E2682* 0.0299845873616365</f>
        <v>1.0494605576572775</v>
      </c>
      <c r="G2682" s="18">
        <f>E2682* 0.96385035729298</f>
        <v>33.734762505254295</v>
      </c>
      <c r="H2682" s="18">
        <f>E2682* 0.00616505534538321</f>
        <v>0.21577693708841233</v>
      </c>
    </row>
    <row r="2683" spans="1:8" ht="15.75" hidden="1" customHeight="1" x14ac:dyDescent="0.25">
      <c r="A2683" s="20" t="s">
        <v>224</v>
      </c>
      <c r="B2683" s="47" t="s">
        <v>229</v>
      </c>
      <c r="C2683" s="49"/>
      <c r="D2683" s="19" t="s">
        <v>20</v>
      </c>
      <c r="E2683" s="23">
        <v>123</v>
      </c>
      <c r="F2683" s="18">
        <f>E2683* 0.734251968503937</f>
        <v>90.312992125984252</v>
      </c>
      <c r="G2683" s="18">
        <f>E2683* 0.158017179670723</f>
        <v>19.436113099498929</v>
      </c>
      <c r="H2683" s="18">
        <f>E2683* 0.107551896921976</f>
        <v>13.228883321403048</v>
      </c>
    </row>
    <row r="2684" spans="1:8" ht="15.75" hidden="1" customHeight="1" x14ac:dyDescent="0.25">
      <c r="A2684" s="20" t="s">
        <v>224</v>
      </c>
      <c r="B2684" s="47" t="s">
        <v>229</v>
      </c>
      <c r="C2684" s="49"/>
      <c r="D2684" s="19" t="s">
        <v>21</v>
      </c>
      <c r="E2684" s="23">
        <v>1368</v>
      </c>
      <c r="F2684" s="18">
        <f>E2684* 0.999727092353423</f>
        <v>1367.6266623394827</v>
      </c>
      <c r="G2684" s="18">
        <f>E2684* 0.0000516311763794744</f>
        <v>7.0631449287120979E-2</v>
      </c>
      <c r="H2684" s="18">
        <f>E2684* 0.000132765882118648</f>
        <v>0.18162372673831048</v>
      </c>
    </row>
    <row r="2685" spans="1:8" ht="15.75" hidden="1" customHeight="1" x14ac:dyDescent="0.25">
      <c r="A2685" s="20" t="s">
        <v>224</v>
      </c>
      <c r="B2685" s="47" t="s">
        <v>229</v>
      </c>
      <c r="C2685" s="49"/>
      <c r="D2685" s="19" t="s">
        <v>36</v>
      </c>
      <c r="E2685" s="23">
        <v>7</v>
      </c>
      <c r="F2685" s="18">
        <f>E2685* 0.995894428152493</f>
        <v>6.9712609970674508</v>
      </c>
      <c r="G2685" s="18">
        <f>E2685* 0.000586510263929619</f>
        <v>4.1055718475073331E-3</v>
      </c>
      <c r="H2685" s="18">
        <f>E2685* 0.00351906158357771</f>
        <v>2.4633431085043969E-2</v>
      </c>
    </row>
    <row r="2686" spans="1:8" ht="15.75" hidden="1" customHeight="1" x14ac:dyDescent="0.25">
      <c r="A2686" s="20" t="s">
        <v>224</v>
      </c>
      <c r="B2686" s="47" t="s">
        <v>229</v>
      </c>
      <c r="C2686" s="49"/>
      <c r="D2686" s="19" t="s">
        <v>28</v>
      </c>
      <c r="E2686" s="23">
        <v>8</v>
      </c>
      <c r="F2686" s="18">
        <f>E2686* 0.00302222222222222</f>
        <v>2.417777777777776E-2</v>
      </c>
      <c r="G2686" s="18">
        <f>E2686* 0.996622222222222</f>
        <v>7.9729777777777757</v>
      </c>
      <c r="H2686" s="18">
        <f>E2686* 0.000355555555555556</f>
        <v>2.8444444444444481E-3</v>
      </c>
    </row>
    <row r="2687" spans="1:8" ht="15.75" hidden="1" customHeight="1" x14ac:dyDescent="0.25">
      <c r="A2687" s="20" t="s">
        <v>224</v>
      </c>
      <c r="B2687" s="47" t="s">
        <v>229</v>
      </c>
      <c r="C2687" s="49"/>
      <c r="D2687" s="19" t="s">
        <v>12</v>
      </c>
      <c r="E2687" s="23">
        <v>1706</v>
      </c>
      <c r="F2687" s="18">
        <f>E2687* 0.802335182557089</f>
        <v>1368.7838214423939</v>
      </c>
      <c r="G2687" s="18">
        <f>E2687* 0.124687137143594</f>
        <v>212.71625596697137</v>
      </c>
      <c r="H2687" s="18">
        <f>E2687* 0.0729583279576829</f>
        <v>124.46690749580702</v>
      </c>
    </row>
    <row r="2688" spans="1:8" ht="15.75" hidden="1" customHeight="1" x14ac:dyDescent="0.25">
      <c r="A2688" s="20" t="s">
        <v>224</v>
      </c>
      <c r="B2688" s="20"/>
      <c r="C2688" s="20"/>
      <c r="D2688" s="46"/>
      <c r="E2688" s="35"/>
    </row>
    <row r="2689" spans="1:8" ht="15.75" hidden="1" customHeight="1" x14ac:dyDescent="0.25">
      <c r="A2689" s="20" t="s">
        <v>224</v>
      </c>
      <c r="B2689" s="47" t="s">
        <v>230</v>
      </c>
      <c r="C2689" s="12" t="str">
        <f>B2689&amp;"_"&amp;A2689</f>
        <v>Charagua_Santa Cruz</v>
      </c>
      <c r="D2689" s="20"/>
      <c r="E2689" s="48">
        <v>472</v>
      </c>
      <c r="F2689" s="14">
        <f t="shared" ref="F2689:H2689" si="228">SUM(F2690:F2702)</f>
        <v>359.57879132279959</v>
      </c>
      <c r="G2689" s="14">
        <f t="shared" si="228"/>
        <v>93.667889245870725</v>
      </c>
      <c r="H2689" s="14">
        <f t="shared" si="228"/>
        <v>18.734809864532437</v>
      </c>
    </row>
    <row r="2690" spans="1:8" ht="15.75" hidden="1" customHeight="1" x14ac:dyDescent="0.25">
      <c r="A2690" s="20" t="s">
        <v>224</v>
      </c>
      <c r="B2690" s="47" t="s">
        <v>230</v>
      </c>
      <c r="C2690" s="49"/>
      <c r="D2690" s="29" t="s">
        <v>607</v>
      </c>
      <c r="E2690" s="23">
        <v>2</v>
      </c>
      <c r="F2690" s="20">
        <v>0</v>
      </c>
      <c r="G2690" s="24">
        <f>E2690</f>
        <v>2</v>
      </c>
      <c r="H2690" s="20">
        <v>0</v>
      </c>
    </row>
    <row r="2691" spans="1:8" ht="15.75" hidden="1" customHeight="1" x14ac:dyDescent="0.25">
      <c r="A2691" s="20" t="s">
        <v>224</v>
      </c>
      <c r="B2691" s="47" t="s">
        <v>230</v>
      </c>
      <c r="C2691" s="49"/>
      <c r="D2691" s="19" t="s">
        <v>15</v>
      </c>
      <c r="E2691" s="23">
        <v>85</v>
      </c>
      <c r="F2691" s="18">
        <f>E2691* 0.932303048052446</f>
        <v>79.245759084457916</v>
      </c>
      <c r="G2691" s="18">
        <f>E2691* 0.0217058280204555</f>
        <v>1.8449953817387175</v>
      </c>
      <c r="H2691" s="18">
        <f>E2691* 0.0459798598751943</f>
        <v>3.9082880893915153</v>
      </c>
    </row>
    <row r="2692" spans="1:8" ht="15.75" hidden="1" customHeight="1" x14ac:dyDescent="0.25">
      <c r="A2692" s="20" t="s">
        <v>224</v>
      </c>
      <c r="B2692" s="47" t="s">
        <v>230</v>
      </c>
      <c r="C2692" s="49"/>
      <c r="D2692" s="29" t="s">
        <v>608</v>
      </c>
      <c r="E2692" s="23">
        <v>5</v>
      </c>
      <c r="F2692" s="18">
        <f>E2692* 0.293894936109797</f>
        <v>1.4694746805489851</v>
      </c>
      <c r="G2692" s="18">
        <f>E2692* 0.663038334122101</f>
        <v>3.3151916706105049</v>
      </c>
      <c r="H2692" s="18">
        <f>E2692* 0.0430667297681022</f>
        <v>0.21533364884051098</v>
      </c>
    </row>
    <row r="2693" spans="1:8" ht="15.75" hidden="1" customHeight="1" x14ac:dyDescent="0.25">
      <c r="A2693" s="20" t="s">
        <v>224</v>
      </c>
      <c r="B2693" s="47" t="s">
        <v>230</v>
      </c>
      <c r="C2693" s="49"/>
      <c r="D2693" s="19" t="s">
        <v>11</v>
      </c>
      <c r="E2693" s="23">
        <v>52</v>
      </c>
      <c r="F2693" s="18">
        <f>E2693* 0.083479491676667</f>
        <v>4.340933567186684</v>
      </c>
      <c r="G2693" s="18">
        <f>E2693* 0.913505030924029</f>
        <v>47.502261608049508</v>
      </c>
      <c r="H2693" s="18">
        <f>E2693* 0.00292316686667282</f>
        <v>0.15200467706698664</v>
      </c>
    </row>
    <row r="2694" spans="1:8" ht="15.75" hidden="1" customHeight="1" x14ac:dyDescent="0.25">
      <c r="A2694" s="20" t="s">
        <v>224</v>
      </c>
      <c r="B2694" s="47" t="s">
        <v>230</v>
      </c>
      <c r="C2694" s="49"/>
      <c r="D2694" s="19" t="s">
        <v>17</v>
      </c>
      <c r="E2694" s="23">
        <v>49</v>
      </c>
      <c r="F2694" s="18">
        <f>E2694* 0.752045572242362</f>
        <v>36.850233039875739</v>
      </c>
      <c r="G2694" s="18">
        <f>E2694* 0.185827723114103</f>
        <v>9.1055584325910477</v>
      </c>
      <c r="H2694" s="18">
        <f>E2694* 0.0620921802175039</f>
        <v>3.0425168306576911</v>
      </c>
    </row>
    <row r="2695" spans="1:8" ht="15.75" hidden="1" customHeight="1" x14ac:dyDescent="0.25">
      <c r="A2695" s="20" t="s">
        <v>224</v>
      </c>
      <c r="B2695" s="47" t="s">
        <v>230</v>
      </c>
      <c r="C2695" s="49"/>
      <c r="D2695" s="19" t="s">
        <v>31</v>
      </c>
      <c r="E2695" s="23">
        <v>1</v>
      </c>
      <c r="F2695" s="18">
        <f>E2695* 0.929131175468484</f>
        <v>0.92913117546848401</v>
      </c>
      <c r="G2695" s="18">
        <f>E2695* 0.0477001703577513</f>
        <v>4.7700170357751301E-2</v>
      </c>
      <c r="H2695" s="18">
        <f>E2695* 0.0231686541737649</f>
        <v>2.3168654173764899E-2</v>
      </c>
    </row>
    <row r="2696" spans="1:8" ht="15.75" hidden="1" customHeight="1" x14ac:dyDescent="0.25">
      <c r="A2696" s="20" t="s">
        <v>224</v>
      </c>
      <c r="B2696" s="47" t="s">
        <v>230</v>
      </c>
      <c r="C2696" s="49"/>
      <c r="D2696" s="19" t="s">
        <v>18</v>
      </c>
      <c r="E2696" s="23">
        <v>36</v>
      </c>
      <c r="F2696" s="18">
        <f>E2696* 0.893702527830246</f>
        <v>32.173291001888856</v>
      </c>
      <c r="G2696" s="18">
        <f>E2696* 0.0946831169875015</f>
        <v>3.408592211550054</v>
      </c>
      <c r="H2696" s="18">
        <f>E2696* 0.0116143551822529</f>
        <v>0.4181167865611044</v>
      </c>
    </row>
    <row r="2697" spans="1:8" ht="15.75" hidden="1" customHeight="1" x14ac:dyDescent="0.25">
      <c r="A2697" s="20" t="s">
        <v>224</v>
      </c>
      <c r="B2697" s="47" t="s">
        <v>230</v>
      </c>
      <c r="C2697" s="49"/>
      <c r="D2697" s="19" t="s">
        <v>19</v>
      </c>
      <c r="E2697" s="23">
        <v>2</v>
      </c>
      <c r="F2697" s="18">
        <f>E2697* 0.0299845873616365</f>
        <v>5.9969174723272997E-2</v>
      </c>
      <c r="G2697" s="18">
        <f>E2697* 0.96385035729298</f>
        <v>1.9277007145859599</v>
      </c>
      <c r="H2697" s="18">
        <f>E2697* 0.00616505534538321</f>
        <v>1.233011069076642E-2</v>
      </c>
    </row>
    <row r="2698" spans="1:8" ht="15.75" hidden="1" customHeight="1" x14ac:dyDescent="0.25">
      <c r="A2698" s="20" t="s">
        <v>224</v>
      </c>
      <c r="B2698" s="47" t="s">
        <v>230</v>
      </c>
      <c r="C2698" s="49"/>
      <c r="D2698" s="19" t="s">
        <v>20</v>
      </c>
      <c r="E2698" s="23">
        <v>6</v>
      </c>
      <c r="F2698" s="18">
        <f>E2698* 0.734251968503937</f>
        <v>4.4055118110236222</v>
      </c>
      <c r="G2698" s="18">
        <f>E2698* 0.158017179670723</f>
        <v>0.94810307802433802</v>
      </c>
      <c r="H2698" s="18">
        <f>E2698* 0.107551896921976</f>
        <v>0.64531138153185608</v>
      </c>
    </row>
    <row r="2699" spans="1:8" ht="15.75" hidden="1" customHeight="1" x14ac:dyDescent="0.25">
      <c r="A2699" s="20" t="s">
        <v>224</v>
      </c>
      <c r="B2699" s="47" t="s">
        <v>230</v>
      </c>
      <c r="C2699" s="49"/>
      <c r="D2699" s="19" t="s">
        <v>21</v>
      </c>
      <c r="E2699" s="23">
        <v>82</v>
      </c>
      <c r="F2699" s="18">
        <f>E2699* 0.999727092353423</f>
        <v>81.977621572980695</v>
      </c>
      <c r="G2699" s="18">
        <f>E2699* 0.0000516311763794744</f>
        <v>4.2337564631169007E-3</v>
      </c>
      <c r="H2699" s="18">
        <f>E2699* 0.000132765882118648</f>
        <v>1.0886802333729136E-2</v>
      </c>
    </row>
    <row r="2700" spans="1:8" ht="15.75" hidden="1" customHeight="1" x14ac:dyDescent="0.25">
      <c r="A2700" s="20" t="s">
        <v>224</v>
      </c>
      <c r="B2700" s="47" t="s">
        <v>230</v>
      </c>
      <c r="C2700" s="49"/>
      <c r="D2700" s="19" t="s">
        <v>36</v>
      </c>
      <c r="E2700" s="23">
        <v>5</v>
      </c>
      <c r="F2700" s="18">
        <f>E2700* 0.995894428152493</f>
        <v>4.9794721407624651</v>
      </c>
      <c r="G2700" s="18">
        <f>E2700* 0.000586510263929619</f>
        <v>2.9325513196480947E-3</v>
      </c>
      <c r="H2700" s="18">
        <f>E2700* 0.00351906158357771</f>
        <v>1.7595307917888551E-2</v>
      </c>
    </row>
    <row r="2701" spans="1:8" ht="15.75" hidden="1" customHeight="1" x14ac:dyDescent="0.25">
      <c r="A2701" s="20" t="s">
        <v>224</v>
      </c>
      <c r="B2701" s="47" t="s">
        <v>230</v>
      </c>
      <c r="C2701" s="49"/>
      <c r="D2701" s="19" t="s">
        <v>148</v>
      </c>
      <c r="E2701" s="23">
        <v>6</v>
      </c>
      <c r="F2701" s="18">
        <f>E2701* 0.00302222222222222</f>
        <v>1.8133333333333321E-2</v>
      </c>
      <c r="G2701" s="18">
        <f>E2701* 0.996622222222222</f>
        <v>5.979733333333332</v>
      </c>
      <c r="H2701" s="18">
        <f>E2701* 0.000355555555555556</f>
        <v>2.133333333333336E-3</v>
      </c>
    </row>
    <row r="2702" spans="1:8" ht="15.75" hidden="1" customHeight="1" x14ac:dyDescent="0.25">
      <c r="A2702" s="20" t="s">
        <v>224</v>
      </c>
      <c r="B2702" s="47" t="s">
        <v>230</v>
      </c>
      <c r="C2702" s="49"/>
      <c r="D2702" s="19" t="s">
        <v>12</v>
      </c>
      <c r="E2702" s="23">
        <v>141</v>
      </c>
      <c r="F2702" s="18">
        <f>E2702* 0.802335182557089</f>
        <v>113.12926074054955</v>
      </c>
      <c r="G2702" s="18">
        <f>E2702* 0.124687137143594</f>
        <v>17.580886337246753</v>
      </c>
      <c r="H2702" s="18">
        <f>E2702* 0.0729583279576829</f>
        <v>10.287124242033288</v>
      </c>
    </row>
    <row r="2703" spans="1:8" ht="15.75" hidden="1" customHeight="1" x14ac:dyDescent="0.25">
      <c r="A2703" s="20" t="s">
        <v>224</v>
      </c>
      <c r="B2703" s="20"/>
      <c r="C2703" s="20"/>
      <c r="D2703" s="46"/>
      <c r="E2703" s="35"/>
    </row>
    <row r="2704" spans="1:8" ht="15.75" hidden="1" customHeight="1" x14ac:dyDescent="0.25">
      <c r="A2704" s="20" t="s">
        <v>224</v>
      </c>
      <c r="B2704" s="47" t="s">
        <v>231</v>
      </c>
      <c r="C2704" s="12" t="str">
        <f>B2704&amp;"_"&amp;A2704</f>
        <v>Colpa Bélgica_Santa Cruz</v>
      </c>
      <c r="D2704" s="20"/>
      <c r="E2704" s="48">
        <v>32397</v>
      </c>
      <c r="F2704" s="14">
        <f t="shared" ref="F2704:H2704" si="229">SUM(F2705:F2719)</f>
        <v>24283.654642899372</v>
      </c>
      <c r="G2704" s="14">
        <f t="shared" si="229"/>
        <v>7083.4515958233233</v>
      </c>
      <c r="H2704" s="14">
        <f t="shared" si="229"/>
        <v>1028.3239351068178</v>
      </c>
    </row>
    <row r="2705" spans="1:8" ht="15.75" hidden="1" customHeight="1" x14ac:dyDescent="0.25">
      <c r="A2705" s="20" t="s">
        <v>224</v>
      </c>
      <c r="B2705" s="47" t="s">
        <v>231</v>
      </c>
      <c r="C2705" s="49"/>
      <c r="D2705" s="29" t="s">
        <v>609</v>
      </c>
      <c r="E2705" s="23">
        <v>10</v>
      </c>
      <c r="F2705" s="20">
        <v>0</v>
      </c>
      <c r="G2705" s="24">
        <f>E2705</f>
        <v>10</v>
      </c>
      <c r="H2705" s="20">
        <v>0</v>
      </c>
    </row>
    <row r="2706" spans="1:8" ht="15.75" hidden="1" customHeight="1" x14ac:dyDescent="0.25">
      <c r="A2706" s="20" t="s">
        <v>224</v>
      </c>
      <c r="B2706" s="47" t="s">
        <v>231</v>
      </c>
      <c r="C2706" s="49"/>
      <c r="D2706" s="19" t="s">
        <v>15</v>
      </c>
      <c r="E2706" s="23">
        <v>4384</v>
      </c>
      <c r="F2706" s="18">
        <f>E2706* 0.932303048052446</f>
        <v>4087.2165626619235</v>
      </c>
      <c r="G2706" s="18">
        <f>E2706* 0.0217058280204555</f>
        <v>95.158350041676911</v>
      </c>
      <c r="H2706" s="18">
        <f>E2706* 0.0459798598751943</f>
        <v>201.57570569285178</v>
      </c>
    </row>
    <row r="2707" spans="1:8" ht="15.75" hidden="1" customHeight="1" x14ac:dyDescent="0.25">
      <c r="A2707" s="20" t="s">
        <v>224</v>
      </c>
      <c r="B2707" s="47" t="s">
        <v>231</v>
      </c>
      <c r="C2707" s="49"/>
      <c r="D2707" s="29" t="s">
        <v>610</v>
      </c>
      <c r="E2707" s="23">
        <v>245</v>
      </c>
      <c r="F2707" s="18">
        <f>E2707* 0.293894936109797</f>
        <v>72.00425934690027</v>
      </c>
      <c r="G2707" s="18">
        <f>E2707* 0.663038334122101</f>
        <v>162.44439185991476</v>
      </c>
      <c r="H2707" s="18">
        <f>E2707* 0.0430667297681022</f>
        <v>10.551348793185038</v>
      </c>
    </row>
    <row r="2708" spans="1:8" ht="15.75" hidden="1" customHeight="1" x14ac:dyDescent="0.25">
      <c r="A2708" s="20" t="s">
        <v>224</v>
      </c>
      <c r="B2708" s="47" t="s">
        <v>231</v>
      </c>
      <c r="C2708" s="49"/>
      <c r="D2708" s="19" t="s">
        <v>11</v>
      </c>
      <c r="E2708" s="23">
        <v>2685</v>
      </c>
      <c r="F2708" s="18">
        <f>E2708* 0.083479491676667</f>
        <v>224.14243515185089</v>
      </c>
      <c r="G2708" s="18">
        <f>E2708* 0.913505030924029</f>
        <v>2452.7610080310178</v>
      </c>
      <c r="H2708" s="18">
        <f>E2708* 0.00292316686667282</f>
        <v>7.8487030370165218</v>
      </c>
    </row>
    <row r="2709" spans="1:8" ht="15.75" hidden="1" customHeight="1" x14ac:dyDescent="0.25">
      <c r="A2709" s="20" t="s">
        <v>224</v>
      </c>
      <c r="B2709" s="47" t="s">
        <v>231</v>
      </c>
      <c r="C2709" s="49"/>
      <c r="D2709" s="19" t="s">
        <v>17</v>
      </c>
      <c r="E2709" s="23">
        <v>3719</v>
      </c>
      <c r="F2709" s="18">
        <f>E2709* 0.752045572242362</f>
        <v>2796.8574831693445</v>
      </c>
      <c r="G2709" s="18">
        <f>E2709* 0.185827723114103</f>
        <v>691.09330226134909</v>
      </c>
      <c r="H2709" s="18">
        <f>E2709* 0.0620921802175039</f>
        <v>230.92081822889702</v>
      </c>
    </row>
    <row r="2710" spans="1:8" ht="15.75" hidden="1" customHeight="1" x14ac:dyDescent="0.25">
      <c r="A2710" s="20" t="s">
        <v>224</v>
      </c>
      <c r="B2710" s="47" t="s">
        <v>231</v>
      </c>
      <c r="C2710" s="49"/>
      <c r="D2710" s="19" t="s">
        <v>31</v>
      </c>
      <c r="E2710" s="23">
        <v>179</v>
      </c>
      <c r="F2710" s="18">
        <f>E2710* 0.929131175468484</f>
        <v>166.31448040885863</v>
      </c>
      <c r="G2710" s="18">
        <f>E2710* 0.0477001703577513</f>
        <v>8.5383304940374831</v>
      </c>
      <c r="H2710" s="18">
        <f>E2710* 0.0231686541737649</f>
        <v>4.1471890971039169</v>
      </c>
    </row>
    <row r="2711" spans="1:8" ht="15.75" hidden="1" customHeight="1" x14ac:dyDescent="0.25">
      <c r="A2711" s="20" t="s">
        <v>224</v>
      </c>
      <c r="B2711" s="47" t="s">
        <v>231</v>
      </c>
      <c r="C2711" s="49"/>
      <c r="D2711" s="29" t="s">
        <v>611</v>
      </c>
      <c r="E2711" s="23">
        <v>1171</v>
      </c>
      <c r="F2711" s="20">
        <v>0</v>
      </c>
      <c r="G2711" s="24">
        <f>E2711</f>
        <v>1171</v>
      </c>
      <c r="H2711" s="20">
        <v>0</v>
      </c>
    </row>
    <row r="2712" spans="1:8" ht="15.75" hidden="1" customHeight="1" x14ac:dyDescent="0.25">
      <c r="A2712" s="20" t="s">
        <v>224</v>
      </c>
      <c r="B2712" s="47" t="s">
        <v>231</v>
      </c>
      <c r="C2712" s="49"/>
      <c r="D2712" s="19" t="s">
        <v>18</v>
      </c>
      <c r="E2712" s="23">
        <v>2</v>
      </c>
      <c r="F2712" s="18">
        <f>E2712* 0.893702527830246</f>
        <v>1.7874050556604919</v>
      </c>
      <c r="G2712" s="18">
        <f>E2712* 0.0946831169875015</f>
        <v>0.18936623397500299</v>
      </c>
      <c r="H2712" s="18">
        <f>E2712* 0.0116143551822529</f>
        <v>2.32287103645058E-2</v>
      </c>
    </row>
    <row r="2713" spans="1:8" ht="15.75" hidden="1" customHeight="1" x14ac:dyDescent="0.25">
      <c r="A2713" s="20" t="s">
        <v>224</v>
      </c>
      <c r="B2713" s="47" t="s">
        <v>231</v>
      </c>
      <c r="C2713" s="49"/>
      <c r="D2713" s="19" t="s">
        <v>19</v>
      </c>
      <c r="E2713" s="23">
        <v>231</v>
      </c>
      <c r="F2713" s="18">
        <f>E2713* 0.0299845873616365</f>
        <v>6.9264396805380315</v>
      </c>
      <c r="G2713" s="18">
        <f>E2713* 0.96385035729298</f>
        <v>222.64943253467837</v>
      </c>
      <c r="H2713" s="18">
        <f>E2713* 0.00616505534538321</f>
        <v>1.4241277847835214</v>
      </c>
    </row>
    <row r="2714" spans="1:8" ht="15.75" hidden="1" customHeight="1" x14ac:dyDescent="0.25">
      <c r="A2714" s="20" t="s">
        <v>224</v>
      </c>
      <c r="B2714" s="47" t="s">
        <v>231</v>
      </c>
      <c r="C2714" s="49"/>
      <c r="D2714" s="19" t="s">
        <v>20</v>
      </c>
      <c r="E2714" s="23">
        <v>389</v>
      </c>
      <c r="F2714" s="18">
        <f>E2714* 0.734251968503937</f>
        <v>285.62401574803152</v>
      </c>
      <c r="G2714" s="18">
        <f>E2714* 0.158017179670723</f>
        <v>61.46868289191125</v>
      </c>
      <c r="H2714" s="18">
        <f>E2714* 0.107551896921976</f>
        <v>41.837687902648668</v>
      </c>
    </row>
    <row r="2715" spans="1:8" ht="15.75" hidden="1" customHeight="1" x14ac:dyDescent="0.25">
      <c r="A2715" s="20" t="s">
        <v>224</v>
      </c>
      <c r="B2715" s="47" t="s">
        <v>231</v>
      </c>
      <c r="C2715" s="49"/>
      <c r="D2715" s="19" t="s">
        <v>21</v>
      </c>
      <c r="E2715" s="23">
        <v>10561</v>
      </c>
      <c r="F2715" s="18">
        <f>E2715* 0.999727092353423</f>
        <v>10558.1178223445</v>
      </c>
      <c r="G2715" s="18">
        <f>E2715* 0.0000516311763794744</f>
        <v>0.54527685374362911</v>
      </c>
      <c r="H2715" s="18">
        <f>E2715* 0.000132765882118648</f>
        <v>1.4021404810550415</v>
      </c>
    </row>
    <row r="2716" spans="1:8" ht="15.75" hidden="1" customHeight="1" x14ac:dyDescent="0.25">
      <c r="A2716" s="20" t="s">
        <v>224</v>
      </c>
      <c r="B2716" s="47" t="s">
        <v>231</v>
      </c>
      <c r="C2716" s="49"/>
      <c r="D2716" s="19" t="s">
        <v>36</v>
      </c>
      <c r="E2716" s="23">
        <v>285</v>
      </c>
      <c r="F2716" s="18">
        <f>E2716* 0.995894428152493</f>
        <v>283.82991202346051</v>
      </c>
      <c r="G2716" s="18">
        <f>E2716* 0.000586510263929619</f>
        <v>0.16715542521994142</v>
      </c>
      <c r="H2716" s="18">
        <f>E2716* 0.00351906158357771</f>
        <v>1.0029325513196474</v>
      </c>
    </row>
    <row r="2717" spans="1:8" ht="15.75" hidden="1" customHeight="1" x14ac:dyDescent="0.25">
      <c r="A2717" s="20" t="s">
        <v>224</v>
      </c>
      <c r="B2717" s="47" t="s">
        <v>231</v>
      </c>
      <c r="C2717" s="49"/>
      <c r="D2717" s="19" t="s">
        <v>37</v>
      </c>
      <c r="E2717" s="23">
        <v>0</v>
      </c>
      <c r="F2717" s="20">
        <v>0</v>
      </c>
      <c r="G2717" s="24">
        <f>E2717</f>
        <v>0</v>
      </c>
      <c r="H2717" s="20">
        <v>0</v>
      </c>
    </row>
    <row r="2718" spans="1:8" ht="15.75" hidden="1" customHeight="1" x14ac:dyDescent="0.25">
      <c r="A2718" s="20" t="s">
        <v>224</v>
      </c>
      <c r="B2718" s="47" t="s">
        <v>231</v>
      </c>
      <c r="C2718" s="49"/>
      <c r="D2718" s="19" t="s">
        <v>148</v>
      </c>
      <c r="E2718" s="23">
        <v>1311</v>
      </c>
      <c r="F2718" s="18">
        <f>E2718* 0.00302222222222222</f>
        <v>3.9621333333333304</v>
      </c>
      <c r="G2718" s="18">
        <f>E2718* 0.996622222222222</f>
        <v>1306.571733333333</v>
      </c>
      <c r="H2718" s="18">
        <f>E2718* 0.000355555555555556</f>
        <v>0.4661333333333339</v>
      </c>
    </row>
    <row r="2719" spans="1:8" ht="15.75" hidden="1" customHeight="1" x14ac:dyDescent="0.25">
      <c r="A2719" s="20" t="s">
        <v>224</v>
      </c>
      <c r="B2719" s="47" t="s">
        <v>231</v>
      </c>
      <c r="C2719" s="49"/>
      <c r="D2719" s="19" t="s">
        <v>12</v>
      </c>
      <c r="E2719" s="23">
        <v>7225</v>
      </c>
      <c r="F2719" s="18">
        <f>E2719* 0.802335182557089</f>
        <v>5796.8716939749684</v>
      </c>
      <c r="G2719" s="18">
        <f>E2719* 0.124687137143594</f>
        <v>900.86456586246663</v>
      </c>
      <c r="H2719" s="18">
        <f>E2719* 0.0729583279576829</f>
        <v>527.12391949425887</v>
      </c>
    </row>
    <row r="2720" spans="1:8" ht="15.75" hidden="1" customHeight="1" x14ac:dyDescent="0.25">
      <c r="A2720" s="20" t="s">
        <v>224</v>
      </c>
      <c r="B2720" s="20"/>
      <c r="C2720" s="20"/>
      <c r="D2720" s="46"/>
      <c r="E2720" s="35"/>
    </row>
    <row r="2721" spans="1:8" ht="15.75" hidden="1" customHeight="1" x14ac:dyDescent="0.25">
      <c r="A2721" s="20" t="s">
        <v>224</v>
      </c>
      <c r="B2721" s="47" t="s">
        <v>232</v>
      </c>
      <c r="C2721" s="12" t="str">
        <f>B2721&amp;"_"&amp;A2721</f>
        <v>Comarapa_Santa Cruz</v>
      </c>
      <c r="D2721" s="20"/>
      <c r="E2721" s="48">
        <v>1249</v>
      </c>
      <c r="F2721" s="14">
        <f t="shared" ref="F2721:H2721" si="230">SUM(F2722:F2734)</f>
        <v>1117.0050842439427</v>
      </c>
      <c r="G2721" s="14">
        <f t="shared" si="230"/>
        <v>110.67305275522902</v>
      </c>
      <c r="H2721" s="14">
        <f t="shared" si="230"/>
        <v>21.229984912068325</v>
      </c>
    </row>
    <row r="2722" spans="1:8" ht="15.75" hidden="1" customHeight="1" x14ac:dyDescent="0.25">
      <c r="A2722" s="20" t="s">
        <v>224</v>
      </c>
      <c r="B2722" s="47" t="s">
        <v>232</v>
      </c>
      <c r="C2722" s="49"/>
      <c r="D2722" s="29" t="s">
        <v>612</v>
      </c>
      <c r="E2722" s="23">
        <v>0</v>
      </c>
      <c r="F2722" s="20">
        <v>0</v>
      </c>
      <c r="G2722" s="24">
        <f>E2722</f>
        <v>0</v>
      </c>
      <c r="H2722" s="20">
        <v>0</v>
      </c>
    </row>
    <row r="2723" spans="1:8" ht="15.75" hidden="1" customHeight="1" x14ac:dyDescent="0.25">
      <c r="A2723" s="20" t="s">
        <v>224</v>
      </c>
      <c r="B2723" s="47" t="s">
        <v>232</v>
      </c>
      <c r="C2723" s="49"/>
      <c r="D2723" s="19" t="s">
        <v>15</v>
      </c>
      <c r="E2723" s="23">
        <v>8</v>
      </c>
      <c r="F2723" s="18">
        <f>E2723* 0.932303048052446</f>
        <v>7.4584243844195681</v>
      </c>
      <c r="G2723" s="18">
        <f>E2723* 0.0217058280204555</f>
        <v>0.17364662416364399</v>
      </c>
      <c r="H2723" s="18">
        <f>E2723* 0.0459798598751943</f>
        <v>0.36783887900155438</v>
      </c>
    </row>
    <row r="2724" spans="1:8" ht="15.75" hidden="1" customHeight="1" x14ac:dyDescent="0.25">
      <c r="A2724" s="20" t="s">
        <v>224</v>
      </c>
      <c r="B2724" s="47" t="s">
        <v>232</v>
      </c>
      <c r="C2724" s="49"/>
      <c r="D2724" s="29" t="s">
        <v>613</v>
      </c>
      <c r="E2724" s="23">
        <v>9</v>
      </c>
      <c r="F2724" s="18">
        <f>E2724* 0.293894936109797</f>
        <v>2.6450544249881731</v>
      </c>
      <c r="G2724" s="18">
        <f>E2724* 0.663038334122101</f>
        <v>5.9673450070989089</v>
      </c>
      <c r="H2724" s="18">
        <f>E2724* 0.0430667297681022</f>
        <v>0.3876005679129198</v>
      </c>
    </row>
    <row r="2725" spans="1:8" ht="15.75" hidden="1" customHeight="1" x14ac:dyDescent="0.25">
      <c r="A2725" s="20" t="s">
        <v>224</v>
      </c>
      <c r="B2725" s="47" t="s">
        <v>232</v>
      </c>
      <c r="C2725" s="49"/>
      <c r="D2725" s="19" t="s">
        <v>11</v>
      </c>
      <c r="E2725" s="23">
        <v>68</v>
      </c>
      <c r="F2725" s="18">
        <f>E2725* 0.083479491676667</f>
        <v>5.6766054340133563</v>
      </c>
      <c r="G2725" s="18">
        <f>E2725* 0.913505030924029</f>
        <v>62.118342102833971</v>
      </c>
      <c r="H2725" s="18">
        <f>E2725* 0.00292316686667282</f>
        <v>0.19877534693375176</v>
      </c>
    </row>
    <row r="2726" spans="1:8" ht="15.75" hidden="1" customHeight="1" x14ac:dyDescent="0.25">
      <c r="A2726" s="20" t="s">
        <v>224</v>
      </c>
      <c r="B2726" s="47" t="s">
        <v>232</v>
      </c>
      <c r="C2726" s="49"/>
      <c r="D2726" s="19" t="s">
        <v>17</v>
      </c>
      <c r="E2726" s="23">
        <v>43</v>
      </c>
      <c r="F2726" s="18">
        <f>E2726* 0.752045572242362</f>
        <v>32.337959606421563</v>
      </c>
      <c r="G2726" s="18">
        <f>E2726* 0.185827723114103</f>
        <v>7.9905920939064288</v>
      </c>
      <c r="H2726" s="18">
        <f>E2726* 0.0620921802175039</f>
        <v>2.6699637493526676</v>
      </c>
    </row>
    <row r="2727" spans="1:8" ht="15.75" hidden="1" customHeight="1" x14ac:dyDescent="0.25">
      <c r="A2727" s="20" t="s">
        <v>224</v>
      </c>
      <c r="B2727" s="47" t="s">
        <v>232</v>
      </c>
      <c r="C2727" s="49"/>
      <c r="D2727" s="19" t="s">
        <v>31</v>
      </c>
      <c r="E2727" s="23">
        <v>1</v>
      </c>
      <c r="F2727" s="18">
        <f>E2727* 0.929131175468484</f>
        <v>0.92913117546848401</v>
      </c>
      <c r="G2727" s="18">
        <f>E2727* 0.0477001703577513</f>
        <v>4.7700170357751301E-2</v>
      </c>
      <c r="H2727" s="18">
        <f>E2727* 0.0231686541737649</f>
        <v>2.3168654173764899E-2</v>
      </c>
    </row>
    <row r="2728" spans="1:8" ht="15.75" hidden="1" customHeight="1" x14ac:dyDescent="0.25">
      <c r="A2728" s="20" t="s">
        <v>224</v>
      </c>
      <c r="B2728" s="47" t="s">
        <v>232</v>
      </c>
      <c r="C2728" s="49"/>
      <c r="D2728" s="19" t="s">
        <v>18</v>
      </c>
      <c r="E2728" s="23">
        <v>13</v>
      </c>
      <c r="F2728" s="18">
        <f>E2728* 0.893702527830246</f>
        <v>11.618132861793198</v>
      </c>
      <c r="G2728" s="18">
        <f>E2728* 0.0946831169875015</f>
        <v>1.2308805208375195</v>
      </c>
      <c r="H2728" s="18">
        <f>E2728* 0.0116143551822529</f>
        <v>0.1509866173692877</v>
      </c>
    </row>
    <row r="2729" spans="1:8" ht="15.75" hidden="1" customHeight="1" x14ac:dyDescent="0.25">
      <c r="A2729" s="20" t="s">
        <v>224</v>
      </c>
      <c r="B2729" s="47" t="s">
        <v>232</v>
      </c>
      <c r="C2729" s="49"/>
      <c r="D2729" s="19" t="s">
        <v>19</v>
      </c>
      <c r="E2729" s="23">
        <v>2</v>
      </c>
      <c r="F2729" s="18">
        <f>E2729* 0.0299845873616365</f>
        <v>5.9969174723272997E-2</v>
      </c>
      <c r="G2729" s="18">
        <f>E2729* 0.96385035729298</f>
        <v>1.9277007145859599</v>
      </c>
      <c r="H2729" s="18">
        <f>E2729* 0.00616505534538321</f>
        <v>1.233011069076642E-2</v>
      </c>
    </row>
    <row r="2730" spans="1:8" ht="15.75" hidden="1" customHeight="1" x14ac:dyDescent="0.25">
      <c r="A2730" s="20" t="s">
        <v>224</v>
      </c>
      <c r="B2730" s="47" t="s">
        <v>232</v>
      </c>
      <c r="C2730" s="49"/>
      <c r="D2730" s="19" t="s">
        <v>20</v>
      </c>
      <c r="E2730" s="23">
        <v>15</v>
      </c>
      <c r="F2730" s="18">
        <f>E2730* 0.734251968503937</f>
        <v>11.013779527559056</v>
      </c>
      <c r="G2730" s="18">
        <f>E2730* 0.158017179670723</f>
        <v>2.3702576950608454</v>
      </c>
      <c r="H2730" s="18">
        <f>E2730* 0.107551896921976</f>
        <v>1.6132784538296401</v>
      </c>
    </row>
    <row r="2731" spans="1:8" ht="15.75" hidden="1" customHeight="1" x14ac:dyDescent="0.25">
      <c r="A2731" s="20" t="s">
        <v>224</v>
      </c>
      <c r="B2731" s="47" t="s">
        <v>232</v>
      </c>
      <c r="C2731" s="49"/>
      <c r="D2731" s="19" t="s">
        <v>21</v>
      </c>
      <c r="E2731" s="23">
        <v>872</v>
      </c>
      <c r="F2731" s="18">
        <f>E2731* 0.999727092353423</f>
        <v>871.76202453218491</v>
      </c>
      <c r="G2731" s="18">
        <f>E2731* 0.0000516311763794744</f>
        <v>4.5022385802901681E-2</v>
      </c>
      <c r="H2731" s="18">
        <f>E2731* 0.000132765882118648</f>
        <v>0.11577184920746106</v>
      </c>
    </row>
    <row r="2732" spans="1:8" ht="15.75" hidden="1" customHeight="1" x14ac:dyDescent="0.25">
      <c r="A2732" s="20" t="s">
        <v>224</v>
      </c>
      <c r="B2732" s="47" t="s">
        <v>232</v>
      </c>
      <c r="C2732" s="49"/>
      <c r="D2732" s="19" t="s">
        <v>36</v>
      </c>
      <c r="E2732" s="23">
        <v>1</v>
      </c>
      <c r="F2732" s="18">
        <f>E2732* 0.995894428152493</f>
        <v>0.99589442815249296</v>
      </c>
      <c r="G2732" s="18">
        <f>E2732* 0.000586510263929619</f>
        <v>5.8651026392961898E-4</v>
      </c>
      <c r="H2732" s="18">
        <f>E2732* 0.00351906158357771</f>
        <v>3.51906158357771E-3</v>
      </c>
    </row>
    <row r="2733" spans="1:8" ht="15.75" hidden="1" customHeight="1" x14ac:dyDescent="0.25">
      <c r="A2733" s="20" t="s">
        <v>224</v>
      </c>
      <c r="B2733" s="47" t="s">
        <v>232</v>
      </c>
      <c r="C2733" s="49"/>
      <c r="D2733" s="19" t="s">
        <v>148</v>
      </c>
      <c r="E2733" s="23">
        <v>2</v>
      </c>
      <c r="F2733" s="18">
        <f>E2733* 0.00302222222222222</f>
        <v>6.04444444444444E-3</v>
      </c>
      <c r="G2733" s="18">
        <f>E2733* 0.996622222222222</f>
        <v>1.9932444444444439</v>
      </c>
      <c r="H2733" s="18">
        <f>E2733* 0.000355555555555556</f>
        <v>7.1111111111111201E-4</v>
      </c>
    </row>
    <row r="2734" spans="1:8" ht="15.75" hidden="1" customHeight="1" x14ac:dyDescent="0.25">
      <c r="A2734" s="20" t="s">
        <v>224</v>
      </c>
      <c r="B2734" s="47" t="s">
        <v>232</v>
      </c>
      <c r="C2734" s="49"/>
      <c r="D2734" s="19" t="s">
        <v>12</v>
      </c>
      <c r="E2734" s="23">
        <v>215</v>
      </c>
      <c r="F2734" s="18">
        <f>E2734* 0.802335182557089</f>
        <v>172.50206424977415</v>
      </c>
      <c r="G2734" s="18">
        <f>E2734* 0.124687137143594</f>
        <v>26.807734485872711</v>
      </c>
      <c r="H2734" s="18">
        <f>E2734* 0.0729583279576829</f>
        <v>15.686040510901822</v>
      </c>
    </row>
    <row r="2735" spans="1:8" ht="15.75" hidden="1" customHeight="1" x14ac:dyDescent="0.25">
      <c r="A2735" s="20" t="s">
        <v>224</v>
      </c>
      <c r="B2735" s="20"/>
      <c r="C2735" s="20"/>
      <c r="D2735" s="46"/>
      <c r="E2735" s="35"/>
    </row>
    <row r="2736" spans="1:8" ht="15.75" hidden="1" customHeight="1" x14ac:dyDescent="0.25">
      <c r="A2736" s="20" t="s">
        <v>224</v>
      </c>
      <c r="B2736" s="47" t="s">
        <v>233</v>
      </c>
      <c r="C2736" s="12" t="str">
        <f>B2736&amp;"_"&amp;A2736</f>
        <v>Concepción_Santa Cruz</v>
      </c>
      <c r="D2736" s="20"/>
      <c r="E2736" s="48">
        <v>745</v>
      </c>
      <c r="F2736" s="14">
        <f t="shared" ref="F2736:H2736" si="231">SUM(F2737:F2749)</f>
        <v>633.76444611201828</v>
      </c>
      <c r="G2736" s="14">
        <f t="shared" si="231"/>
        <v>90.875500415936884</v>
      </c>
      <c r="H2736" s="14">
        <f t="shared" si="231"/>
        <v>20.301076310648433</v>
      </c>
    </row>
    <row r="2737" spans="1:8" ht="15.75" hidden="1" customHeight="1" x14ac:dyDescent="0.25">
      <c r="A2737" s="20" t="s">
        <v>224</v>
      </c>
      <c r="B2737" s="47" t="s">
        <v>233</v>
      </c>
      <c r="C2737" s="49"/>
      <c r="D2737" s="29" t="s">
        <v>614</v>
      </c>
      <c r="E2737" s="23">
        <v>4</v>
      </c>
      <c r="F2737" s="20">
        <v>0</v>
      </c>
      <c r="G2737" s="24">
        <f>E2737</f>
        <v>4</v>
      </c>
      <c r="H2737" s="20">
        <v>0</v>
      </c>
    </row>
    <row r="2738" spans="1:8" ht="15.75" hidden="1" customHeight="1" x14ac:dyDescent="0.25">
      <c r="A2738" s="20" t="s">
        <v>224</v>
      </c>
      <c r="B2738" s="47" t="s">
        <v>233</v>
      </c>
      <c r="C2738" s="49"/>
      <c r="D2738" s="19" t="s">
        <v>15</v>
      </c>
      <c r="E2738" s="23">
        <v>14</v>
      </c>
      <c r="F2738" s="18">
        <f>E2738* 0.932303048052446</f>
        <v>13.052242672734245</v>
      </c>
      <c r="G2738" s="18">
        <f>E2738* 0.0217058280204555</f>
        <v>0.30388159228637696</v>
      </c>
      <c r="H2738" s="18">
        <f>E2738* 0.0459798598751943</f>
        <v>0.64371803825272012</v>
      </c>
    </row>
    <row r="2739" spans="1:8" ht="15.75" hidden="1" customHeight="1" x14ac:dyDescent="0.25">
      <c r="A2739" s="20" t="s">
        <v>224</v>
      </c>
      <c r="B2739" s="47" t="s">
        <v>233</v>
      </c>
      <c r="C2739" s="49"/>
      <c r="D2739" s="29" t="s">
        <v>615</v>
      </c>
      <c r="E2739" s="23">
        <v>4</v>
      </c>
      <c r="F2739" s="18">
        <f>E2739* 0.293894936109797</f>
        <v>1.175579744439188</v>
      </c>
      <c r="G2739" s="18">
        <f>E2739* 0.663038334122101</f>
        <v>2.652153336488404</v>
      </c>
      <c r="H2739" s="18">
        <f>E2739* 0.0430667297681022</f>
        <v>0.17226691907240879</v>
      </c>
    </row>
    <row r="2740" spans="1:8" ht="15.75" hidden="1" customHeight="1" x14ac:dyDescent="0.25">
      <c r="A2740" s="20" t="s">
        <v>224</v>
      </c>
      <c r="B2740" s="47" t="s">
        <v>233</v>
      </c>
      <c r="C2740" s="49"/>
      <c r="D2740" s="19" t="s">
        <v>11</v>
      </c>
      <c r="E2740" s="23">
        <v>39</v>
      </c>
      <c r="F2740" s="18">
        <f>E2740* 0.083479491676667</f>
        <v>3.2557001753900132</v>
      </c>
      <c r="G2740" s="18">
        <f>E2740* 0.913505030924029</f>
        <v>35.626696206037131</v>
      </c>
      <c r="H2740" s="18">
        <f>E2740* 0.00292316686667282</f>
        <v>0.11400350780023998</v>
      </c>
    </row>
    <row r="2741" spans="1:8" ht="15.75" hidden="1" customHeight="1" x14ac:dyDescent="0.25">
      <c r="A2741" s="20" t="s">
        <v>224</v>
      </c>
      <c r="B2741" s="47" t="s">
        <v>233</v>
      </c>
      <c r="C2741" s="49"/>
      <c r="D2741" s="19" t="s">
        <v>17</v>
      </c>
      <c r="E2741" s="23">
        <v>92</v>
      </c>
      <c r="F2741" s="18">
        <f>E2741* 0.752045572242362</f>
        <v>69.18819264629731</v>
      </c>
      <c r="G2741" s="18">
        <f>E2741* 0.185827723114103</f>
        <v>17.096150526497475</v>
      </c>
      <c r="H2741" s="18">
        <f>E2741* 0.0620921802175039</f>
        <v>5.7124805800103591</v>
      </c>
    </row>
    <row r="2742" spans="1:8" ht="15.75" hidden="1" customHeight="1" x14ac:dyDescent="0.25">
      <c r="A2742" s="20" t="s">
        <v>224</v>
      </c>
      <c r="B2742" s="47" t="s">
        <v>233</v>
      </c>
      <c r="C2742" s="49"/>
      <c r="D2742" s="19" t="s">
        <v>31</v>
      </c>
      <c r="E2742" s="23">
        <v>1</v>
      </c>
      <c r="F2742" s="18">
        <f>E2742* 0.929131175468484</f>
        <v>0.92913117546848401</v>
      </c>
      <c r="G2742" s="18">
        <f>E2742* 0.0477001703577513</f>
        <v>4.7700170357751301E-2</v>
      </c>
      <c r="H2742" s="18">
        <f>E2742* 0.0231686541737649</f>
        <v>2.3168654173764899E-2</v>
      </c>
    </row>
    <row r="2743" spans="1:8" ht="15.75" hidden="1" customHeight="1" x14ac:dyDescent="0.25">
      <c r="A2743" s="20" t="s">
        <v>224</v>
      </c>
      <c r="B2743" s="47" t="s">
        <v>233</v>
      </c>
      <c r="C2743" s="49"/>
      <c r="D2743" s="19" t="s">
        <v>18</v>
      </c>
      <c r="E2743" s="23">
        <v>14</v>
      </c>
      <c r="F2743" s="18">
        <f>E2743* 0.893702527830246</f>
        <v>12.511835389623442</v>
      </c>
      <c r="G2743" s="18">
        <f>E2743* 0.0946831169875015</f>
        <v>1.3255636378250208</v>
      </c>
      <c r="H2743" s="18">
        <f>E2743* 0.0116143551822529</f>
        <v>0.1626009725515406</v>
      </c>
    </row>
    <row r="2744" spans="1:8" ht="15.75" hidden="1" customHeight="1" x14ac:dyDescent="0.25">
      <c r="A2744" s="20" t="s">
        <v>224</v>
      </c>
      <c r="B2744" s="47" t="s">
        <v>233</v>
      </c>
      <c r="C2744" s="49"/>
      <c r="D2744" s="19" t="s">
        <v>19</v>
      </c>
      <c r="E2744" s="23">
        <v>2</v>
      </c>
      <c r="F2744" s="18">
        <f>E2744* 0.0299845873616365</f>
        <v>5.9969174723272997E-2</v>
      </c>
      <c r="G2744" s="18">
        <f>E2744* 0.96385035729298</f>
        <v>1.9277007145859599</v>
      </c>
      <c r="H2744" s="18">
        <f>E2744* 0.00616505534538321</f>
        <v>1.233011069076642E-2</v>
      </c>
    </row>
    <row r="2745" spans="1:8" ht="15.75" hidden="1" customHeight="1" x14ac:dyDescent="0.25">
      <c r="A2745" s="20" t="s">
        <v>224</v>
      </c>
      <c r="B2745" s="47" t="s">
        <v>233</v>
      </c>
      <c r="C2745" s="49"/>
      <c r="D2745" s="19" t="s">
        <v>20</v>
      </c>
      <c r="E2745" s="23">
        <v>77</v>
      </c>
      <c r="F2745" s="18">
        <f>E2745* 0.734251968503937</f>
        <v>56.537401574803155</v>
      </c>
      <c r="G2745" s="18">
        <f>E2745* 0.158017179670723</f>
        <v>12.167322834645672</v>
      </c>
      <c r="H2745" s="18">
        <f>E2745* 0.107551896921976</f>
        <v>8.2814960629921526</v>
      </c>
    </row>
    <row r="2746" spans="1:8" ht="15.75" hidden="1" customHeight="1" x14ac:dyDescent="0.25">
      <c r="A2746" s="20" t="s">
        <v>224</v>
      </c>
      <c r="B2746" s="47" t="s">
        <v>233</v>
      </c>
      <c r="C2746" s="49"/>
      <c r="D2746" s="19" t="s">
        <v>21</v>
      </c>
      <c r="E2746" s="23">
        <v>417</v>
      </c>
      <c r="F2746" s="18">
        <f>E2746* 0.999727092353423</f>
        <v>416.88619751137742</v>
      </c>
      <c r="G2746" s="18">
        <f>E2746* 0.0000516311763794744</f>
        <v>2.1530200550240824E-2</v>
      </c>
      <c r="H2746" s="18">
        <f>E2746* 0.000132765882118648</f>
        <v>5.536337284347622E-2</v>
      </c>
    </row>
    <row r="2747" spans="1:8" ht="15.75" hidden="1" customHeight="1" x14ac:dyDescent="0.25">
      <c r="A2747" s="20" t="s">
        <v>224</v>
      </c>
      <c r="B2747" s="47" t="s">
        <v>233</v>
      </c>
      <c r="C2747" s="49"/>
      <c r="D2747" s="19" t="s">
        <v>36</v>
      </c>
      <c r="E2747" s="23">
        <v>4</v>
      </c>
      <c r="F2747" s="18">
        <f>E2747* 0.995894428152493</f>
        <v>3.9835777126099718</v>
      </c>
      <c r="G2747" s="18">
        <f>E2747* 0.000586510263929619</f>
        <v>2.3460410557184759E-3</v>
      </c>
      <c r="H2747" s="18">
        <f>E2747* 0.00351906158357771</f>
        <v>1.407624633431084E-2</v>
      </c>
    </row>
    <row r="2748" spans="1:8" ht="15.75" hidden="1" customHeight="1" x14ac:dyDescent="0.25">
      <c r="A2748" s="20" t="s">
        <v>224</v>
      </c>
      <c r="B2748" s="47" t="s">
        <v>233</v>
      </c>
      <c r="C2748" s="49"/>
      <c r="D2748" s="19" t="s">
        <v>148</v>
      </c>
      <c r="E2748" s="23">
        <v>7</v>
      </c>
      <c r="F2748" s="18">
        <f>E2748* 0.00302222222222222</f>
        <v>2.1155555555555539E-2</v>
      </c>
      <c r="G2748" s="18">
        <f>E2748* 0.996622222222222</f>
        <v>6.9763555555555534</v>
      </c>
      <c r="H2748" s="18">
        <f>E2748* 0.000355555555555556</f>
        <v>2.488888888888892E-3</v>
      </c>
    </row>
    <row r="2749" spans="1:8" ht="15.75" hidden="1" customHeight="1" x14ac:dyDescent="0.25">
      <c r="A2749" s="20" t="s">
        <v>224</v>
      </c>
      <c r="B2749" s="47" t="s">
        <v>233</v>
      </c>
      <c r="C2749" s="49"/>
      <c r="D2749" s="19" t="s">
        <v>12</v>
      </c>
      <c r="E2749" s="23">
        <v>70</v>
      </c>
      <c r="F2749" s="18">
        <f>E2749* 0.802335182557089</f>
        <v>56.163462778996234</v>
      </c>
      <c r="G2749" s="18">
        <f>E2749* 0.124687137143594</f>
        <v>8.7280996000515803</v>
      </c>
      <c r="H2749" s="18">
        <f>E2749* 0.0729583279576829</f>
        <v>5.1070829570378029</v>
      </c>
    </row>
    <row r="2750" spans="1:8" ht="15.75" hidden="1" customHeight="1" x14ac:dyDescent="0.25">
      <c r="A2750" s="20" t="s">
        <v>224</v>
      </c>
      <c r="B2750" s="20"/>
      <c r="C2750" s="20"/>
      <c r="D2750" s="46"/>
      <c r="E2750" s="35"/>
    </row>
    <row r="2751" spans="1:8" ht="15.75" hidden="1" customHeight="1" x14ac:dyDescent="0.25">
      <c r="A2751" s="20" t="s">
        <v>224</v>
      </c>
      <c r="B2751" s="47" t="s">
        <v>234</v>
      </c>
      <c r="C2751" s="12" t="str">
        <f>B2751&amp;"_"&amp;A2751</f>
        <v>Cotoca_Santa Cruz</v>
      </c>
      <c r="D2751" s="20"/>
      <c r="E2751" s="48">
        <v>29865</v>
      </c>
      <c r="F2751" s="14">
        <f t="shared" ref="F2751:H2751" si="232">SUM(F2752:F2765)</f>
        <v>28086.719133048358</v>
      </c>
      <c r="G2751" s="14">
        <f t="shared" si="232"/>
        <v>1421.8635287593127</v>
      </c>
      <c r="H2751" s="14">
        <f t="shared" si="232"/>
        <v>354.1198151240817</v>
      </c>
    </row>
    <row r="2752" spans="1:8" ht="15.75" hidden="1" customHeight="1" x14ac:dyDescent="0.25">
      <c r="A2752" s="20" t="s">
        <v>224</v>
      </c>
      <c r="B2752" s="47" t="s">
        <v>234</v>
      </c>
      <c r="C2752" s="49"/>
      <c r="D2752" s="29" t="s">
        <v>616</v>
      </c>
      <c r="E2752" s="23">
        <v>5</v>
      </c>
      <c r="F2752" s="20">
        <v>0</v>
      </c>
      <c r="G2752" s="24">
        <f>E2752</f>
        <v>5</v>
      </c>
      <c r="H2752" s="20">
        <v>0</v>
      </c>
    </row>
    <row r="2753" spans="1:8" ht="15.75" hidden="1" customHeight="1" x14ac:dyDescent="0.25">
      <c r="A2753" s="20" t="s">
        <v>224</v>
      </c>
      <c r="B2753" s="47" t="s">
        <v>234</v>
      </c>
      <c r="C2753" s="49"/>
      <c r="D2753" s="19" t="s">
        <v>15</v>
      </c>
      <c r="E2753" s="23">
        <v>1274</v>
      </c>
      <c r="F2753" s="18">
        <f>E2753* 0.932303048052446</f>
        <v>1187.7540832188163</v>
      </c>
      <c r="G2753" s="18">
        <f>E2753* 0.0217058280204555</f>
        <v>27.653224898060305</v>
      </c>
      <c r="H2753" s="18">
        <f>E2753* 0.0459798598751943</f>
        <v>58.578341480997537</v>
      </c>
    </row>
    <row r="2754" spans="1:8" ht="15.75" hidden="1" customHeight="1" x14ac:dyDescent="0.25">
      <c r="A2754" s="20" t="s">
        <v>224</v>
      </c>
      <c r="B2754" s="47" t="s">
        <v>234</v>
      </c>
      <c r="C2754" s="49"/>
      <c r="D2754" s="29" t="s">
        <v>617</v>
      </c>
      <c r="E2754" s="23">
        <v>46</v>
      </c>
      <c r="F2754" s="18">
        <f>E2754* 0.293894936109797</f>
        <v>13.519167061050663</v>
      </c>
      <c r="G2754" s="18">
        <f>E2754* 0.663038334122101</f>
        <v>30.499763369616645</v>
      </c>
      <c r="H2754" s="18">
        <f>E2754* 0.0430667297681022</f>
        <v>1.9810695693327012</v>
      </c>
    </row>
    <row r="2755" spans="1:8" ht="15.75" hidden="1" customHeight="1" x14ac:dyDescent="0.25">
      <c r="A2755" s="20" t="s">
        <v>224</v>
      </c>
      <c r="B2755" s="47" t="s">
        <v>234</v>
      </c>
      <c r="C2755" s="49"/>
      <c r="D2755" s="19" t="s">
        <v>11</v>
      </c>
      <c r="E2755" s="23">
        <v>618</v>
      </c>
      <c r="F2755" s="18">
        <f>E2755* 0.083479491676667</f>
        <v>51.590325856180208</v>
      </c>
      <c r="G2755" s="18">
        <f>E2755* 0.913505030924029</f>
        <v>564.54610911104999</v>
      </c>
      <c r="H2755" s="18">
        <f>E2755* 0.00292316686667282</f>
        <v>1.8065171236038027</v>
      </c>
    </row>
    <row r="2756" spans="1:8" ht="15.75" hidden="1" customHeight="1" x14ac:dyDescent="0.25">
      <c r="A2756" s="20" t="s">
        <v>224</v>
      </c>
      <c r="B2756" s="47" t="s">
        <v>234</v>
      </c>
      <c r="C2756" s="49"/>
      <c r="D2756" s="19" t="s">
        <v>17</v>
      </c>
      <c r="E2756" s="23">
        <v>741</v>
      </c>
      <c r="F2756" s="18">
        <f>E2756* 0.752045572242362</f>
        <v>557.26576903159025</v>
      </c>
      <c r="G2756" s="18">
        <f>E2756* 0.185827723114103</f>
        <v>137.69834282755033</v>
      </c>
      <c r="H2756" s="18">
        <f>E2756* 0.0620921802175039</f>
        <v>46.010305541170389</v>
      </c>
    </row>
    <row r="2757" spans="1:8" ht="15.75" hidden="1" customHeight="1" x14ac:dyDescent="0.25">
      <c r="A2757" s="20" t="s">
        <v>224</v>
      </c>
      <c r="B2757" s="47" t="s">
        <v>234</v>
      </c>
      <c r="C2757" s="49"/>
      <c r="D2757" s="19" t="s">
        <v>31</v>
      </c>
      <c r="E2757" s="23">
        <v>44</v>
      </c>
      <c r="F2757" s="18">
        <f>E2757* 0.929131175468484</f>
        <v>40.881771720613294</v>
      </c>
      <c r="G2757" s="18">
        <f>E2757* 0.0477001703577513</f>
        <v>2.0988074957410574</v>
      </c>
      <c r="H2757" s="18">
        <f>E2757* 0.0231686541737649</f>
        <v>1.0194207836456555</v>
      </c>
    </row>
    <row r="2758" spans="1:8" ht="15.75" hidden="1" customHeight="1" x14ac:dyDescent="0.25">
      <c r="A2758" s="20" t="s">
        <v>224</v>
      </c>
      <c r="B2758" s="47" t="s">
        <v>234</v>
      </c>
      <c r="C2758" s="49"/>
      <c r="D2758" s="19" t="s">
        <v>18</v>
      </c>
      <c r="E2758" s="23">
        <v>264</v>
      </c>
      <c r="F2758" s="18">
        <f>E2758* 0.893702527830246</f>
        <v>235.93746734718493</v>
      </c>
      <c r="G2758" s="18">
        <f>E2758* 0.0946831169875015</f>
        <v>24.996342884700393</v>
      </c>
      <c r="H2758" s="18">
        <f>E2758* 0.0116143551822529</f>
        <v>3.0661897681147656</v>
      </c>
    </row>
    <row r="2759" spans="1:8" ht="15.75" hidden="1" customHeight="1" x14ac:dyDescent="0.25">
      <c r="A2759" s="20" t="s">
        <v>224</v>
      </c>
      <c r="B2759" s="47" t="s">
        <v>234</v>
      </c>
      <c r="C2759" s="49"/>
      <c r="D2759" s="19" t="s">
        <v>19</v>
      </c>
      <c r="E2759" s="23">
        <v>133</v>
      </c>
      <c r="F2759" s="18">
        <f>E2759* 0.0299845873616365</f>
        <v>3.9879501190976545</v>
      </c>
      <c r="G2759" s="18">
        <f>E2759* 0.96385035729298</f>
        <v>128.19209751996632</v>
      </c>
      <c r="H2759" s="18">
        <f>E2759* 0.00616505534538321</f>
        <v>0.81995236093596691</v>
      </c>
    </row>
    <row r="2760" spans="1:8" ht="15.75" hidden="1" customHeight="1" x14ac:dyDescent="0.25">
      <c r="A2760" s="20" t="s">
        <v>224</v>
      </c>
      <c r="B2760" s="47" t="s">
        <v>234</v>
      </c>
      <c r="C2760" s="49"/>
      <c r="D2760" s="19" t="s">
        <v>20</v>
      </c>
      <c r="E2760" s="23">
        <v>385</v>
      </c>
      <c r="F2760" s="18">
        <f>E2760* 0.734251968503937</f>
        <v>282.68700787401576</v>
      </c>
      <c r="G2760" s="18">
        <f>E2760* 0.158017179670723</f>
        <v>60.836614173228362</v>
      </c>
      <c r="H2760" s="18">
        <f>E2760* 0.107551896921976</f>
        <v>41.407480314960765</v>
      </c>
    </row>
    <row r="2761" spans="1:8" ht="15.75" hidden="1" customHeight="1" x14ac:dyDescent="0.25">
      <c r="A2761" s="20" t="s">
        <v>224</v>
      </c>
      <c r="B2761" s="47" t="s">
        <v>234</v>
      </c>
      <c r="C2761" s="49"/>
      <c r="D2761" s="19" t="s">
        <v>21</v>
      </c>
      <c r="E2761" s="23">
        <v>23496</v>
      </c>
      <c r="F2761" s="18">
        <f>E2761* 0.999727092353423</f>
        <v>23489.587761936029</v>
      </c>
      <c r="G2761" s="18">
        <f>E2761* 0.0000516311763794744</f>
        <v>1.2131261202121306</v>
      </c>
      <c r="H2761" s="18">
        <f>E2761* 0.000132765882118648</f>
        <v>3.1194671662597533</v>
      </c>
    </row>
    <row r="2762" spans="1:8" ht="15.75" hidden="1" customHeight="1" x14ac:dyDescent="0.25">
      <c r="A2762" s="20" t="s">
        <v>224</v>
      </c>
      <c r="B2762" s="47" t="s">
        <v>234</v>
      </c>
      <c r="C2762" s="49"/>
      <c r="D2762" s="19" t="s">
        <v>36</v>
      </c>
      <c r="E2762" s="23">
        <v>67</v>
      </c>
      <c r="F2762" s="18">
        <f>E2762* 0.995894428152493</f>
        <v>66.724926686217032</v>
      </c>
      <c r="G2762" s="18">
        <f>E2762* 0.000586510263929619</f>
        <v>3.9296187683284474E-2</v>
      </c>
      <c r="H2762" s="18">
        <f>E2762* 0.00351906158357771</f>
        <v>0.23577712609970658</v>
      </c>
    </row>
    <row r="2763" spans="1:8" ht="15.75" hidden="1" customHeight="1" x14ac:dyDescent="0.25">
      <c r="A2763" s="20" t="s">
        <v>224</v>
      </c>
      <c r="B2763" s="47" t="s">
        <v>234</v>
      </c>
      <c r="C2763" s="49"/>
      <c r="D2763" s="19" t="s">
        <v>148</v>
      </c>
      <c r="E2763" s="23">
        <v>102</v>
      </c>
      <c r="F2763" s="18">
        <f>E2763* 0.00302222222222222</f>
        <v>0.30826666666666641</v>
      </c>
      <c r="G2763" s="18">
        <f>E2763* 0.996622222222222</f>
        <v>101.65546666666664</v>
      </c>
      <c r="H2763" s="18">
        <f>E2763* 0.000355555555555556</f>
        <v>3.6266666666666711E-2</v>
      </c>
    </row>
    <row r="2764" spans="1:8" ht="15.75" hidden="1" customHeight="1" x14ac:dyDescent="0.25">
      <c r="A2764" s="20" t="s">
        <v>224</v>
      </c>
      <c r="B2764" s="47" t="s">
        <v>234</v>
      </c>
      <c r="C2764" s="49"/>
      <c r="D2764" s="19" t="s">
        <v>84</v>
      </c>
      <c r="E2764" s="23">
        <v>3</v>
      </c>
      <c r="F2764" s="20">
        <f>E2764*0.2</f>
        <v>0.60000000000000009</v>
      </c>
      <c r="G2764" s="20">
        <f>E2764*0.8</f>
        <v>2.4000000000000004</v>
      </c>
      <c r="H2764" s="20">
        <v>0</v>
      </c>
    </row>
    <row r="2765" spans="1:8" ht="15.75" hidden="1" customHeight="1" x14ac:dyDescent="0.25">
      <c r="A2765" s="20" t="s">
        <v>224</v>
      </c>
      <c r="B2765" s="47" t="s">
        <v>234</v>
      </c>
      <c r="C2765" s="49"/>
      <c r="D2765" s="19" t="s">
        <v>12</v>
      </c>
      <c r="E2765" s="23">
        <v>2687</v>
      </c>
      <c r="F2765" s="18">
        <f>E2765* 0.802335182557089</f>
        <v>2155.8746355308981</v>
      </c>
      <c r="G2765" s="18">
        <f>E2765* 0.124687137143594</f>
        <v>335.03433750483708</v>
      </c>
      <c r="H2765" s="18">
        <f>E2765* 0.0729583279576829</f>
        <v>196.03902722229392</v>
      </c>
    </row>
    <row r="2766" spans="1:8" ht="15.75" hidden="1" customHeight="1" x14ac:dyDescent="0.25">
      <c r="A2766" s="20" t="s">
        <v>224</v>
      </c>
      <c r="B2766" s="20"/>
      <c r="C2766" s="20"/>
      <c r="D2766" s="46"/>
      <c r="E2766" s="35"/>
    </row>
    <row r="2767" spans="1:8" ht="15.75" hidden="1" customHeight="1" x14ac:dyDescent="0.25">
      <c r="A2767" s="20" t="s">
        <v>224</v>
      </c>
      <c r="B2767" s="47" t="s">
        <v>235</v>
      </c>
      <c r="C2767" s="12" t="str">
        <f>B2767&amp;"_"&amp;A2767</f>
        <v>Cuatro Cañadas_Santa Cruz</v>
      </c>
      <c r="D2767" s="20"/>
      <c r="E2767" s="48">
        <v>3659</v>
      </c>
      <c r="F2767" s="14">
        <f t="shared" ref="F2767:H2767" si="233">SUM(F2768:F2780)</f>
        <v>3162.7308790845991</v>
      </c>
      <c r="G2767" s="14">
        <f t="shared" si="233"/>
        <v>408.44332537498133</v>
      </c>
      <c r="H2767" s="14">
        <f t="shared" si="233"/>
        <v>87.585546592230131</v>
      </c>
    </row>
    <row r="2768" spans="1:8" ht="15.75" hidden="1" customHeight="1" x14ac:dyDescent="0.25">
      <c r="A2768" s="20" t="s">
        <v>224</v>
      </c>
      <c r="B2768" s="47" t="s">
        <v>235</v>
      </c>
      <c r="C2768" s="49"/>
      <c r="D2768" s="29" t="s">
        <v>618</v>
      </c>
      <c r="E2768" s="23">
        <v>4</v>
      </c>
      <c r="F2768" s="20">
        <v>0</v>
      </c>
      <c r="G2768" s="24">
        <f>E2768</f>
        <v>4</v>
      </c>
      <c r="H2768" s="20">
        <v>0</v>
      </c>
    </row>
    <row r="2769" spans="1:8" ht="15.75" hidden="1" customHeight="1" x14ac:dyDescent="0.25">
      <c r="A2769" s="20" t="s">
        <v>224</v>
      </c>
      <c r="B2769" s="47" t="s">
        <v>235</v>
      </c>
      <c r="C2769" s="49"/>
      <c r="D2769" s="19" t="s">
        <v>15</v>
      </c>
      <c r="E2769" s="23">
        <v>110</v>
      </c>
      <c r="F2769" s="18">
        <f>E2769* 0.932303048052446</f>
        <v>102.55333528576907</v>
      </c>
      <c r="G2769" s="18">
        <f>E2769* 0.0217058280204555</f>
        <v>2.3876410822501049</v>
      </c>
      <c r="H2769" s="18">
        <f>E2769* 0.0459798598751943</f>
        <v>5.0577845862713726</v>
      </c>
    </row>
    <row r="2770" spans="1:8" ht="15.75" hidden="1" customHeight="1" x14ac:dyDescent="0.25">
      <c r="A2770" s="20" t="s">
        <v>224</v>
      </c>
      <c r="B2770" s="47" t="s">
        <v>235</v>
      </c>
      <c r="C2770" s="49"/>
      <c r="D2770" s="29" t="s">
        <v>619</v>
      </c>
      <c r="E2770" s="23">
        <v>3</v>
      </c>
      <c r="F2770" s="18">
        <f>E2770* 0.293894936109797</f>
        <v>0.881684808329391</v>
      </c>
      <c r="G2770" s="18">
        <f>E2770* 0.663038334122101</f>
        <v>1.9891150023663031</v>
      </c>
      <c r="H2770" s="18">
        <f>E2770* 0.0430667297681022</f>
        <v>0.1292001893043066</v>
      </c>
    </row>
    <row r="2771" spans="1:8" ht="15.75" hidden="1" customHeight="1" x14ac:dyDescent="0.25">
      <c r="A2771" s="20" t="s">
        <v>224</v>
      </c>
      <c r="B2771" s="47" t="s">
        <v>235</v>
      </c>
      <c r="C2771" s="49"/>
      <c r="D2771" s="19" t="s">
        <v>11</v>
      </c>
      <c r="E2771" s="23">
        <v>203</v>
      </c>
      <c r="F2771" s="18">
        <f>E2771* 0.083479491676667</f>
        <v>16.946336810363402</v>
      </c>
      <c r="G2771" s="18">
        <f>E2771* 0.913505030924029</f>
        <v>185.44152127757789</v>
      </c>
      <c r="H2771" s="18">
        <f>E2771* 0.00292316686667282</f>
        <v>0.59340287393458246</v>
      </c>
    </row>
    <row r="2772" spans="1:8" ht="15.75" hidden="1" customHeight="1" x14ac:dyDescent="0.25">
      <c r="A2772" s="20" t="s">
        <v>224</v>
      </c>
      <c r="B2772" s="47" t="s">
        <v>235</v>
      </c>
      <c r="C2772" s="49"/>
      <c r="D2772" s="19" t="s">
        <v>17</v>
      </c>
      <c r="E2772" s="23">
        <v>341</v>
      </c>
      <c r="F2772" s="18">
        <f>E2772* 0.752045572242362</f>
        <v>256.44754013464546</v>
      </c>
      <c r="G2772" s="18">
        <f>E2772* 0.185827723114103</f>
        <v>63.367253581909125</v>
      </c>
      <c r="H2772" s="18">
        <f>E2772* 0.0620921802175039</f>
        <v>21.17343345416883</v>
      </c>
    </row>
    <row r="2773" spans="1:8" ht="15.75" hidden="1" customHeight="1" x14ac:dyDescent="0.25">
      <c r="A2773" s="20" t="s">
        <v>224</v>
      </c>
      <c r="B2773" s="47" t="s">
        <v>235</v>
      </c>
      <c r="C2773" s="49"/>
      <c r="D2773" s="19" t="s">
        <v>31</v>
      </c>
      <c r="E2773" s="23">
        <v>10</v>
      </c>
      <c r="F2773" s="18">
        <f>E2773* 0.929131175468484</f>
        <v>9.2913117546848394</v>
      </c>
      <c r="G2773" s="18">
        <f>E2773* 0.0477001703577513</f>
        <v>0.47700170357751304</v>
      </c>
      <c r="H2773" s="18">
        <f>E2773* 0.0231686541737649</f>
        <v>0.23168654173764899</v>
      </c>
    </row>
    <row r="2774" spans="1:8" ht="15.75" hidden="1" customHeight="1" x14ac:dyDescent="0.25">
      <c r="A2774" s="20" t="s">
        <v>224</v>
      </c>
      <c r="B2774" s="47" t="s">
        <v>235</v>
      </c>
      <c r="C2774" s="49"/>
      <c r="D2774" s="19" t="s">
        <v>18</v>
      </c>
      <c r="E2774" s="23">
        <v>31</v>
      </c>
      <c r="F2774" s="18">
        <f>E2774* 0.893702527830246</f>
        <v>27.704778362737624</v>
      </c>
      <c r="G2774" s="18">
        <f>E2774* 0.0946831169875015</f>
        <v>2.9351766266125465</v>
      </c>
      <c r="H2774" s="18">
        <f>E2774* 0.0116143551822529</f>
        <v>0.3600450106498399</v>
      </c>
    </row>
    <row r="2775" spans="1:8" ht="15.75" hidden="1" customHeight="1" x14ac:dyDescent="0.25">
      <c r="A2775" s="20" t="s">
        <v>224</v>
      </c>
      <c r="B2775" s="47" t="s">
        <v>235</v>
      </c>
      <c r="C2775" s="49"/>
      <c r="D2775" s="19" t="s">
        <v>19</v>
      </c>
      <c r="E2775" s="23">
        <v>3</v>
      </c>
      <c r="F2775" s="18">
        <f>E2775* 0.0299845873616365</f>
        <v>8.9953762084909489E-2</v>
      </c>
      <c r="G2775" s="18">
        <f>E2775* 0.96385035729298</f>
        <v>2.8915510718789399</v>
      </c>
      <c r="H2775" s="18">
        <f>E2775* 0.00616505534538321</f>
        <v>1.8495166036149629E-2</v>
      </c>
    </row>
    <row r="2776" spans="1:8" ht="15.75" hidden="1" customHeight="1" x14ac:dyDescent="0.25">
      <c r="A2776" s="20" t="s">
        <v>224</v>
      </c>
      <c r="B2776" s="47" t="s">
        <v>235</v>
      </c>
      <c r="C2776" s="49"/>
      <c r="D2776" s="19" t="s">
        <v>20</v>
      </c>
      <c r="E2776" s="23">
        <v>41</v>
      </c>
      <c r="F2776" s="18">
        <f>E2776* 0.734251968503937</f>
        <v>30.104330708661418</v>
      </c>
      <c r="G2776" s="18">
        <f>E2776* 0.158017179670723</f>
        <v>6.4787043664996435</v>
      </c>
      <c r="H2776" s="18">
        <f>E2776* 0.107551896921976</f>
        <v>4.4096277738010166</v>
      </c>
    </row>
    <row r="2777" spans="1:8" ht="15.75" hidden="1" customHeight="1" x14ac:dyDescent="0.25">
      <c r="A2777" s="20" t="s">
        <v>224</v>
      </c>
      <c r="B2777" s="47" t="s">
        <v>235</v>
      </c>
      <c r="C2777" s="49"/>
      <c r="D2777" s="19" t="s">
        <v>21</v>
      </c>
      <c r="E2777" s="23">
        <v>2107</v>
      </c>
      <c r="F2777" s="18">
        <f>E2777* 0.999727092353423</f>
        <v>2106.4249835886621</v>
      </c>
      <c r="G2777" s="18">
        <f>E2777* 0.0000516311763794744</f>
        <v>0.10878688863155256</v>
      </c>
      <c r="H2777" s="18">
        <f>E2777* 0.000132765882118648</f>
        <v>0.27973771362399136</v>
      </c>
    </row>
    <row r="2778" spans="1:8" ht="15.75" hidden="1" customHeight="1" x14ac:dyDescent="0.25">
      <c r="A2778" s="20" t="s">
        <v>224</v>
      </c>
      <c r="B2778" s="47" t="s">
        <v>235</v>
      </c>
      <c r="C2778" s="49"/>
      <c r="D2778" s="19" t="s">
        <v>36</v>
      </c>
      <c r="E2778" s="23">
        <v>4</v>
      </c>
      <c r="F2778" s="18">
        <f>E2778* 0.995894428152493</f>
        <v>3.9835777126099718</v>
      </c>
      <c r="G2778" s="18">
        <f>E2778* 0.000586510263929619</f>
        <v>2.3460410557184759E-3</v>
      </c>
      <c r="H2778" s="18">
        <f>E2778* 0.00351906158357771</f>
        <v>1.407624633431084E-2</v>
      </c>
    </row>
    <row r="2779" spans="1:8" ht="15.75" hidden="1" customHeight="1" x14ac:dyDescent="0.25">
      <c r="A2779" s="20" t="s">
        <v>224</v>
      </c>
      <c r="B2779" s="47" t="s">
        <v>235</v>
      </c>
      <c r="C2779" s="49"/>
      <c r="D2779" s="19" t="s">
        <v>148</v>
      </c>
      <c r="E2779" s="23">
        <v>44</v>
      </c>
      <c r="F2779" s="18">
        <f>E2779* 0.00302222222222222</f>
        <v>0.13297777777777767</v>
      </c>
      <c r="G2779" s="18">
        <f>E2779* 0.996622222222222</f>
        <v>43.851377777777763</v>
      </c>
      <c r="H2779" s="18">
        <f>E2779* 0.000355555555555556</f>
        <v>1.5644444444444464E-2</v>
      </c>
    </row>
    <row r="2780" spans="1:8" ht="15.75" hidden="1" customHeight="1" x14ac:dyDescent="0.25">
      <c r="A2780" s="20" t="s">
        <v>224</v>
      </c>
      <c r="B2780" s="47" t="s">
        <v>235</v>
      </c>
      <c r="C2780" s="49"/>
      <c r="D2780" s="19" t="s">
        <v>12</v>
      </c>
      <c r="E2780" s="23">
        <v>758</v>
      </c>
      <c r="F2780" s="18">
        <f>E2780* 0.802335182557089</f>
        <v>608.17006837827353</v>
      </c>
      <c r="G2780" s="18">
        <f>E2780* 0.124687137143594</f>
        <v>94.512849954844256</v>
      </c>
      <c r="H2780" s="18">
        <f>E2780* 0.0729583279576829</f>
        <v>55.302412591923634</v>
      </c>
    </row>
    <row r="2781" spans="1:8" ht="15.75" hidden="1" customHeight="1" x14ac:dyDescent="0.25">
      <c r="A2781" s="20" t="s">
        <v>224</v>
      </c>
      <c r="B2781" s="20"/>
      <c r="C2781" s="20"/>
      <c r="D2781" s="46"/>
      <c r="E2781" s="35"/>
    </row>
    <row r="2782" spans="1:8" ht="15.75" hidden="1" customHeight="1" x14ac:dyDescent="0.25">
      <c r="A2782" s="20" t="s">
        <v>224</v>
      </c>
      <c r="B2782" s="47" t="s">
        <v>236</v>
      </c>
      <c r="C2782" s="12" t="str">
        <f>B2782&amp;"_"&amp;A2782</f>
        <v>Cuevo_Santa Cruz</v>
      </c>
      <c r="D2782" s="20"/>
      <c r="E2782" s="48">
        <v>218</v>
      </c>
      <c r="F2782" s="14">
        <f t="shared" ref="F2782:H2782" si="234">SUM(F2783:F2792)</f>
        <v>160.5230610039799</v>
      </c>
      <c r="G2782" s="14">
        <f t="shared" si="234"/>
        <v>49.538277924584996</v>
      </c>
      <c r="H2782" s="14">
        <f t="shared" si="234"/>
        <v>7.9266736668729738</v>
      </c>
    </row>
    <row r="2783" spans="1:8" ht="15.75" hidden="1" customHeight="1" x14ac:dyDescent="0.25">
      <c r="A2783" s="20" t="s">
        <v>224</v>
      </c>
      <c r="B2783" s="47" t="s">
        <v>236</v>
      </c>
      <c r="C2783" s="49"/>
      <c r="D2783" s="19" t="s">
        <v>15</v>
      </c>
      <c r="E2783" s="23">
        <v>5</v>
      </c>
      <c r="F2783" s="18">
        <f>E2783* 0.932303048052446</f>
        <v>4.6615152402622302</v>
      </c>
      <c r="G2783" s="18">
        <f>E2783* 0.0217058280204555</f>
        <v>0.10852914010227749</v>
      </c>
      <c r="H2783" s="18">
        <f>E2783* 0.0459798598751943</f>
        <v>0.22989929937597148</v>
      </c>
    </row>
    <row r="2784" spans="1:8" ht="15.75" hidden="1" customHeight="1" x14ac:dyDescent="0.25">
      <c r="A2784" s="20" t="s">
        <v>224</v>
      </c>
      <c r="B2784" s="47" t="s">
        <v>236</v>
      </c>
      <c r="C2784" s="49"/>
      <c r="D2784" s="19" t="s">
        <v>11</v>
      </c>
      <c r="E2784" s="23">
        <v>31</v>
      </c>
      <c r="F2784" s="18">
        <f>E2784* 0.083479491676667</f>
        <v>2.5878642419766771</v>
      </c>
      <c r="G2784" s="18">
        <f>E2784* 0.913505030924029</f>
        <v>28.3186559586449</v>
      </c>
      <c r="H2784" s="18">
        <f>E2784* 0.00292316686667282</f>
        <v>9.0618172866857416E-2</v>
      </c>
    </row>
    <row r="2785" spans="1:8" ht="15.75" hidden="1" customHeight="1" x14ac:dyDescent="0.25">
      <c r="A2785" s="20" t="s">
        <v>224</v>
      </c>
      <c r="B2785" s="47" t="s">
        <v>236</v>
      </c>
      <c r="C2785" s="49"/>
      <c r="D2785" s="19" t="s">
        <v>17</v>
      </c>
      <c r="E2785" s="23">
        <v>47</v>
      </c>
      <c r="F2785" s="18">
        <f>E2785* 0.752045572242362</f>
        <v>35.346141895391014</v>
      </c>
      <c r="G2785" s="18">
        <f>E2785* 0.185827723114103</f>
        <v>8.7339029863628408</v>
      </c>
      <c r="H2785" s="18">
        <f>E2785* 0.0620921802175039</f>
        <v>2.9183324702226834</v>
      </c>
    </row>
    <row r="2786" spans="1:8" ht="15.75" hidden="1" customHeight="1" x14ac:dyDescent="0.25">
      <c r="A2786" s="20" t="s">
        <v>224</v>
      </c>
      <c r="B2786" s="47" t="s">
        <v>236</v>
      </c>
      <c r="C2786" s="49"/>
      <c r="D2786" s="19" t="s">
        <v>31</v>
      </c>
      <c r="E2786" s="23">
        <v>1</v>
      </c>
      <c r="F2786" s="18">
        <f>E2786* 0.929131175468484</f>
        <v>0.92913117546848401</v>
      </c>
      <c r="G2786" s="18">
        <f>E2786* 0.0477001703577513</f>
        <v>4.7700170357751301E-2</v>
      </c>
      <c r="H2786" s="18">
        <f>E2786* 0.0231686541737649</f>
        <v>2.3168654173764899E-2</v>
      </c>
    </row>
    <row r="2787" spans="1:8" ht="15.75" hidden="1" customHeight="1" x14ac:dyDescent="0.25">
      <c r="A2787" s="20" t="s">
        <v>224</v>
      </c>
      <c r="B2787" s="47" t="s">
        <v>236</v>
      </c>
      <c r="C2787" s="49"/>
      <c r="D2787" s="19" t="s">
        <v>18</v>
      </c>
      <c r="E2787" s="23">
        <v>8</v>
      </c>
      <c r="F2787" s="18">
        <f>E2787* 0.893702527830246</f>
        <v>7.1496202226419676</v>
      </c>
      <c r="G2787" s="18">
        <f>E2787* 0.0946831169875015</f>
        <v>0.75746493590001196</v>
      </c>
      <c r="H2787" s="18">
        <f>E2787* 0.0116143551822529</f>
        <v>9.2914841458023201E-2</v>
      </c>
    </row>
    <row r="2788" spans="1:8" ht="15.75" hidden="1" customHeight="1" x14ac:dyDescent="0.25">
      <c r="A2788" s="20" t="s">
        <v>224</v>
      </c>
      <c r="B2788" s="47" t="s">
        <v>236</v>
      </c>
      <c r="C2788" s="49"/>
      <c r="D2788" s="19" t="s">
        <v>19</v>
      </c>
      <c r="E2788" s="23">
        <v>2</v>
      </c>
      <c r="F2788" s="18">
        <f>E2788* 0.0299845873616365</f>
        <v>5.9969174723272997E-2</v>
      </c>
      <c r="G2788" s="18">
        <f>E2788* 0.96385035729298</f>
        <v>1.9277007145859599</v>
      </c>
      <c r="H2788" s="18">
        <f>E2788* 0.00616505534538321</f>
        <v>1.233011069076642E-2</v>
      </c>
    </row>
    <row r="2789" spans="1:8" ht="15.75" hidden="1" customHeight="1" x14ac:dyDescent="0.25">
      <c r="A2789" s="20" t="s">
        <v>224</v>
      </c>
      <c r="B2789" s="47" t="s">
        <v>236</v>
      </c>
      <c r="C2789" s="49"/>
      <c r="D2789" s="19" t="s">
        <v>20</v>
      </c>
      <c r="E2789" s="23">
        <v>5</v>
      </c>
      <c r="F2789" s="18">
        <f>E2789* 0.734251968503937</f>
        <v>3.6712598425196852</v>
      </c>
      <c r="G2789" s="18">
        <f>E2789* 0.158017179670723</f>
        <v>0.79008589835361509</v>
      </c>
      <c r="H2789" s="18">
        <f>E2789* 0.107551896921976</f>
        <v>0.53775948460987999</v>
      </c>
    </row>
    <row r="2790" spans="1:8" ht="15.75" hidden="1" customHeight="1" x14ac:dyDescent="0.25">
      <c r="A2790" s="20" t="s">
        <v>224</v>
      </c>
      <c r="B2790" s="47" t="s">
        <v>236</v>
      </c>
      <c r="C2790" s="49"/>
      <c r="D2790" s="19" t="s">
        <v>21</v>
      </c>
      <c r="E2790" s="23">
        <v>62</v>
      </c>
      <c r="F2790" s="18">
        <f>E2790* 0.999727092353423</f>
        <v>61.983079725912226</v>
      </c>
      <c r="G2790" s="18">
        <f>E2790* 0.0000516311763794744</f>
        <v>3.2011329355274131E-3</v>
      </c>
      <c r="H2790" s="18">
        <f>E2790* 0.000132765882118648</f>
        <v>8.2314846913561762E-3</v>
      </c>
    </row>
    <row r="2791" spans="1:8" ht="15.75" hidden="1" customHeight="1" x14ac:dyDescent="0.25">
      <c r="A2791" s="20" t="s">
        <v>224</v>
      </c>
      <c r="B2791" s="47" t="s">
        <v>236</v>
      </c>
      <c r="C2791" s="49"/>
      <c r="D2791" s="19" t="s">
        <v>148</v>
      </c>
      <c r="E2791" s="23">
        <v>2</v>
      </c>
      <c r="F2791" s="18">
        <f>E2791* 0.00302222222222222</f>
        <v>6.04444444444444E-3</v>
      </c>
      <c r="G2791" s="18">
        <f>E2791* 0.996622222222222</f>
        <v>1.9932444444444439</v>
      </c>
      <c r="H2791" s="18">
        <f>E2791* 0.000355555555555556</f>
        <v>7.1111111111111201E-4</v>
      </c>
    </row>
    <row r="2792" spans="1:8" ht="15.75" hidden="1" customHeight="1" x14ac:dyDescent="0.25">
      <c r="A2792" s="20" t="s">
        <v>224</v>
      </c>
      <c r="B2792" s="47" t="s">
        <v>236</v>
      </c>
      <c r="C2792" s="49"/>
      <c r="D2792" s="19" t="s">
        <v>12</v>
      </c>
      <c r="E2792" s="23">
        <v>55</v>
      </c>
      <c r="F2792" s="18">
        <f>E2792* 0.802335182557089</f>
        <v>44.128435040639893</v>
      </c>
      <c r="G2792" s="18">
        <f>E2792* 0.124687137143594</f>
        <v>6.8577925428976698</v>
      </c>
      <c r="H2792" s="18">
        <f>E2792* 0.0729583279576829</f>
        <v>4.0127080376725592</v>
      </c>
    </row>
    <row r="2793" spans="1:8" ht="15.75" hidden="1" customHeight="1" x14ac:dyDescent="0.25">
      <c r="A2793" s="20" t="s">
        <v>224</v>
      </c>
      <c r="B2793" s="20"/>
      <c r="C2793" s="20"/>
      <c r="D2793" s="46"/>
      <c r="E2793" s="35"/>
    </row>
    <row r="2794" spans="1:8" ht="15.75" hidden="1" customHeight="1" x14ac:dyDescent="0.25">
      <c r="A2794" s="20" t="s">
        <v>224</v>
      </c>
      <c r="B2794" s="47" t="s">
        <v>237</v>
      </c>
      <c r="C2794" s="12" t="str">
        <f>B2794&amp;"_"&amp;A2794</f>
        <v>El Torno_Santa Cruz</v>
      </c>
      <c r="D2794" s="20"/>
      <c r="E2794" s="48">
        <v>62703</v>
      </c>
      <c r="F2794" s="14">
        <f t="shared" ref="F2794:H2794" si="235">SUM(F2795:F2809)</f>
        <v>58937.906793746726</v>
      </c>
      <c r="G2794" s="14">
        <f t="shared" si="235"/>
        <v>3119.5493767178873</v>
      </c>
      <c r="H2794" s="14">
        <f t="shared" si="235"/>
        <v>640.71779048307917</v>
      </c>
    </row>
    <row r="2795" spans="1:8" ht="15.75" hidden="1" customHeight="1" x14ac:dyDescent="0.25">
      <c r="A2795" s="20" t="s">
        <v>224</v>
      </c>
      <c r="B2795" s="47" t="s">
        <v>237</v>
      </c>
      <c r="C2795" s="49"/>
      <c r="D2795" s="29" t="s">
        <v>620</v>
      </c>
      <c r="E2795" s="23">
        <v>17</v>
      </c>
      <c r="F2795" s="20">
        <v>0</v>
      </c>
      <c r="G2795" s="24">
        <f>E2795</f>
        <v>17</v>
      </c>
      <c r="H2795" s="20">
        <v>0</v>
      </c>
    </row>
    <row r="2796" spans="1:8" ht="15.75" hidden="1" customHeight="1" x14ac:dyDescent="0.25">
      <c r="A2796" s="20" t="s">
        <v>224</v>
      </c>
      <c r="B2796" s="47" t="s">
        <v>237</v>
      </c>
      <c r="C2796" s="49"/>
      <c r="D2796" s="19" t="s">
        <v>15</v>
      </c>
      <c r="E2796" s="23">
        <v>2086</v>
      </c>
      <c r="F2796" s="18">
        <f>E2796* 0.932303048052446</f>
        <v>1944.7841582374024</v>
      </c>
      <c r="G2796" s="18">
        <f>E2796* 0.0217058280204555</f>
        <v>45.278357250670169</v>
      </c>
      <c r="H2796" s="18">
        <f>E2796* 0.0459798598751943</f>
        <v>95.913987699655308</v>
      </c>
    </row>
    <row r="2797" spans="1:8" ht="15.75" hidden="1" customHeight="1" x14ac:dyDescent="0.25">
      <c r="A2797" s="20" t="s">
        <v>224</v>
      </c>
      <c r="B2797" s="47" t="s">
        <v>237</v>
      </c>
      <c r="C2797" s="49"/>
      <c r="D2797" s="29" t="s">
        <v>621</v>
      </c>
      <c r="E2797" s="23">
        <v>96</v>
      </c>
      <c r="F2797" s="18">
        <f>E2797* 0.293894936109797</f>
        <v>28.213913866540512</v>
      </c>
      <c r="G2797" s="18">
        <f>E2797* 0.663038334122101</f>
        <v>63.6516800757217</v>
      </c>
      <c r="H2797" s="18">
        <f>E2797* 0.0430667297681022</f>
        <v>4.1344060577378112</v>
      </c>
    </row>
    <row r="2798" spans="1:8" ht="15.75" hidden="1" customHeight="1" x14ac:dyDescent="0.25">
      <c r="A2798" s="20" t="s">
        <v>224</v>
      </c>
      <c r="B2798" s="47" t="s">
        <v>237</v>
      </c>
      <c r="C2798" s="49"/>
      <c r="D2798" s="19" t="s">
        <v>11</v>
      </c>
      <c r="E2798" s="23">
        <v>1491</v>
      </c>
      <c r="F2798" s="18">
        <f>E2798* 0.083479491676667</f>
        <v>124.4679220899105</v>
      </c>
      <c r="G2798" s="18">
        <f>E2798* 0.913505030924029</f>
        <v>1362.0360011077273</v>
      </c>
      <c r="H2798" s="18">
        <f>E2798* 0.00292316686667282</f>
        <v>4.3584417982091743</v>
      </c>
    </row>
    <row r="2799" spans="1:8" ht="15.75" hidden="1" customHeight="1" x14ac:dyDescent="0.25">
      <c r="A2799" s="20" t="s">
        <v>224</v>
      </c>
      <c r="B2799" s="47" t="s">
        <v>237</v>
      </c>
      <c r="C2799" s="49"/>
      <c r="D2799" s="19" t="s">
        <v>17</v>
      </c>
      <c r="E2799" s="23">
        <v>1954</v>
      </c>
      <c r="F2799" s="18">
        <f>E2799* 0.752045572242362</f>
        <v>1469.4970481615753</v>
      </c>
      <c r="G2799" s="18">
        <f>E2799* 0.185827723114103</f>
        <v>363.10737096495728</v>
      </c>
      <c r="H2799" s="18">
        <f>E2799* 0.0620921802175039</f>
        <v>121.32812014500263</v>
      </c>
    </row>
    <row r="2800" spans="1:8" ht="15.75" hidden="1" customHeight="1" x14ac:dyDescent="0.25">
      <c r="A2800" s="20" t="s">
        <v>224</v>
      </c>
      <c r="B2800" s="47" t="s">
        <v>237</v>
      </c>
      <c r="C2800" s="49"/>
      <c r="D2800" s="19" t="s">
        <v>31</v>
      </c>
      <c r="E2800" s="23">
        <v>62</v>
      </c>
      <c r="F2800" s="18">
        <f>E2800* 0.929131175468484</f>
        <v>57.606132879046008</v>
      </c>
      <c r="G2800" s="18">
        <f>E2800* 0.0477001703577513</f>
        <v>2.9574105621805806</v>
      </c>
      <c r="H2800" s="18">
        <f>E2800* 0.0231686541737649</f>
        <v>1.4364565587734237</v>
      </c>
    </row>
    <row r="2801" spans="1:8" ht="15.75" hidden="1" customHeight="1" x14ac:dyDescent="0.25">
      <c r="A2801" s="20" t="s">
        <v>224</v>
      </c>
      <c r="B2801" s="47" t="s">
        <v>237</v>
      </c>
      <c r="C2801" s="49"/>
      <c r="D2801" s="19" t="s">
        <v>18</v>
      </c>
      <c r="E2801" s="23">
        <v>584</v>
      </c>
      <c r="F2801" s="18">
        <f>E2801* 0.893702527830246</f>
        <v>521.92227625286364</v>
      </c>
      <c r="G2801" s="18">
        <f>E2801* 0.0946831169875015</f>
        <v>55.294940320700874</v>
      </c>
      <c r="H2801" s="18">
        <f>E2801* 0.0116143551822529</f>
        <v>6.7827834264356941</v>
      </c>
    </row>
    <row r="2802" spans="1:8" ht="15.75" hidden="1" customHeight="1" x14ac:dyDescent="0.25">
      <c r="A2802" s="20" t="s">
        <v>224</v>
      </c>
      <c r="B2802" s="47" t="s">
        <v>237</v>
      </c>
      <c r="C2802" s="49"/>
      <c r="D2802" s="29" t="s">
        <v>622</v>
      </c>
      <c r="E2802" s="23">
        <v>1</v>
      </c>
      <c r="F2802" s="20">
        <v>0</v>
      </c>
      <c r="G2802" s="24">
        <f>E2802</f>
        <v>1</v>
      </c>
      <c r="H2802" s="20">
        <v>0</v>
      </c>
    </row>
    <row r="2803" spans="1:8" ht="15.75" hidden="1" customHeight="1" x14ac:dyDescent="0.25">
      <c r="A2803" s="20" t="s">
        <v>224</v>
      </c>
      <c r="B2803" s="47" t="s">
        <v>237</v>
      </c>
      <c r="C2803" s="49"/>
      <c r="D2803" s="19" t="s">
        <v>19</v>
      </c>
      <c r="E2803" s="23">
        <v>116</v>
      </c>
      <c r="F2803" s="18">
        <f>E2803* 0.0299845873616365</f>
        <v>3.478212133949834</v>
      </c>
      <c r="G2803" s="18">
        <f>E2803* 0.96385035729298</f>
        <v>111.80664144598568</v>
      </c>
      <c r="H2803" s="18">
        <f>E2803* 0.00616505534538321</f>
        <v>0.71514642006445239</v>
      </c>
    </row>
    <row r="2804" spans="1:8" ht="15.75" hidden="1" customHeight="1" x14ac:dyDescent="0.25">
      <c r="A2804" s="20" t="s">
        <v>224</v>
      </c>
      <c r="B2804" s="47" t="s">
        <v>237</v>
      </c>
      <c r="C2804" s="49"/>
      <c r="D2804" s="19" t="s">
        <v>20</v>
      </c>
      <c r="E2804" s="23">
        <v>209</v>
      </c>
      <c r="F2804" s="18">
        <f>E2804* 0.734251968503937</f>
        <v>153.45866141732284</v>
      </c>
      <c r="G2804" s="18">
        <f>E2804* 0.158017179670723</f>
        <v>33.025590551181111</v>
      </c>
      <c r="H2804" s="18">
        <f>E2804* 0.107551896921976</f>
        <v>22.478346456692986</v>
      </c>
    </row>
    <row r="2805" spans="1:8" ht="15.75" hidden="1" customHeight="1" x14ac:dyDescent="0.25">
      <c r="A2805" s="20" t="s">
        <v>224</v>
      </c>
      <c r="B2805" s="47" t="s">
        <v>237</v>
      </c>
      <c r="C2805" s="49"/>
      <c r="D2805" s="19" t="s">
        <v>21</v>
      </c>
      <c r="E2805" s="23">
        <v>50392</v>
      </c>
      <c r="F2805" s="18">
        <f>E2805* 0.999727092353423</f>
        <v>50378.247637873697</v>
      </c>
      <c r="G2805" s="18">
        <f>E2805* 0.0000516311763794744</f>
        <v>2.6017982401144741</v>
      </c>
      <c r="H2805" s="18">
        <f>E2805* 0.000132765882118648</f>
        <v>6.6903383317229101</v>
      </c>
    </row>
    <row r="2806" spans="1:8" ht="15.75" hidden="1" customHeight="1" x14ac:dyDescent="0.25">
      <c r="A2806" s="20" t="s">
        <v>224</v>
      </c>
      <c r="B2806" s="47" t="s">
        <v>237</v>
      </c>
      <c r="C2806" s="49"/>
      <c r="D2806" s="19" t="s">
        <v>36</v>
      </c>
      <c r="E2806" s="23">
        <v>117</v>
      </c>
      <c r="F2806" s="18">
        <f>E2806* 0.995894428152493</f>
        <v>116.51964809384168</v>
      </c>
      <c r="G2806" s="18">
        <f>E2806* 0.000586510263929619</f>
        <v>6.8621700879765421E-2</v>
      </c>
      <c r="H2806" s="18">
        <f>E2806* 0.00351906158357771</f>
        <v>0.41173020527859205</v>
      </c>
    </row>
    <row r="2807" spans="1:8" ht="15.75" hidden="1" customHeight="1" x14ac:dyDescent="0.25">
      <c r="A2807" s="20" t="s">
        <v>224</v>
      </c>
      <c r="B2807" s="47" t="s">
        <v>237</v>
      </c>
      <c r="C2807" s="49"/>
      <c r="D2807" s="19" t="s">
        <v>37</v>
      </c>
      <c r="E2807" s="23">
        <v>1</v>
      </c>
      <c r="F2807" s="20">
        <v>0</v>
      </c>
      <c r="G2807" s="24">
        <f>E2807</f>
        <v>1</v>
      </c>
      <c r="H2807" s="20">
        <v>0</v>
      </c>
    </row>
    <row r="2808" spans="1:8" ht="15.75" hidden="1" customHeight="1" x14ac:dyDescent="0.25">
      <c r="A2808" s="20" t="s">
        <v>224</v>
      </c>
      <c r="B2808" s="47" t="s">
        <v>237</v>
      </c>
      <c r="C2808" s="49"/>
      <c r="D2808" s="19" t="s">
        <v>28</v>
      </c>
      <c r="E2808" s="23">
        <v>419</v>
      </c>
      <c r="F2808" s="18">
        <f>E2808* 0.00302222222222222</f>
        <v>1.2663111111111103</v>
      </c>
      <c r="G2808" s="18">
        <f>E2808* 0.996622222222222</f>
        <v>417.58471111111101</v>
      </c>
      <c r="H2808" s="18">
        <f>E2808* 0.000355555555555556</f>
        <v>0.14897777777777796</v>
      </c>
    </row>
    <row r="2809" spans="1:8" ht="15.75" hidden="1" customHeight="1" x14ac:dyDescent="0.25">
      <c r="A2809" s="20" t="s">
        <v>224</v>
      </c>
      <c r="B2809" s="47" t="s">
        <v>237</v>
      </c>
      <c r="C2809" s="49"/>
      <c r="D2809" s="19" t="s">
        <v>12</v>
      </c>
      <c r="E2809" s="23">
        <v>5158</v>
      </c>
      <c r="F2809" s="18">
        <f>E2809* 0.802335182557089</f>
        <v>4138.4448716294655</v>
      </c>
      <c r="G2809" s="18">
        <f>E2809* 0.124687137143594</f>
        <v>643.13625338665781</v>
      </c>
      <c r="H2809" s="18">
        <f>E2809* 0.0729583279576829</f>
        <v>376.31905560572835</v>
      </c>
    </row>
    <row r="2810" spans="1:8" ht="15.75" hidden="1" customHeight="1" x14ac:dyDescent="0.25">
      <c r="A2810" s="20" t="s">
        <v>224</v>
      </c>
      <c r="B2810" s="20"/>
      <c r="C2810" s="20"/>
      <c r="D2810" s="46"/>
      <c r="E2810" s="35"/>
    </row>
    <row r="2811" spans="1:8" ht="15.75" hidden="1" customHeight="1" x14ac:dyDescent="0.25">
      <c r="A2811" s="20" t="s">
        <v>224</v>
      </c>
      <c r="B2811" s="47" t="s">
        <v>238</v>
      </c>
      <c r="C2811" s="12" t="str">
        <f>B2811&amp;"_"&amp;A2811</f>
        <v>Fernández Alonso_Santa Cruz</v>
      </c>
      <c r="D2811" s="20"/>
      <c r="E2811" s="48">
        <v>5095</v>
      </c>
      <c r="F2811" s="14">
        <f t="shared" ref="F2811:H2811" si="236">SUM(F2812:F2824)</f>
        <v>3820.526128247197</v>
      </c>
      <c r="G2811" s="14">
        <f t="shared" si="236"/>
        <v>1087.9636159184267</v>
      </c>
      <c r="H2811" s="14">
        <f t="shared" si="236"/>
        <v>186.28447603710012</v>
      </c>
    </row>
    <row r="2812" spans="1:8" ht="15.75" hidden="1" customHeight="1" x14ac:dyDescent="0.25">
      <c r="A2812" s="20" t="s">
        <v>224</v>
      </c>
      <c r="B2812" s="47" t="s">
        <v>238</v>
      </c>
      <c r="C2812" s="49"/>
      <c r="D2812" s="29" t="s">
        <v>623</v>
      </c>
      <c r="E2812" s="23">
        <v>0</v>
      </c>
      <c r="F2812" s="20">
        <v>0</v>
      </c>
      <c r="G2812" s="24">
        <f>E2812</f>
        <v>0</v>
      </c>
      <c r="H2812" s="20">
        <v>0</v>
      </c>
    </row>
    <row r="2813" spans="1:8" ht="15.75" hidden="1" customHeight="1" x14ac:dyDescent="0.25">
      <c r="A2813" s="20" t="s">
        <v>224</v>
      </c>
      <c r="B2813" s="47" t="s">
        <v>238</v>
      </c>
      <c r="C2813" s="49"/>
      <c r="D2813" s="19" t="s">
        <v>15</v>
      </c>
      <c r="E2813" s="23">
        <v>715</v>
      </c>
      <c r="F2813" s="18">
        <f>E2813* 0.932303048052446</f>
        <v>666.59667935749894</v>
      </c>
      <c r="G2813" s="18">
        <f>E2813* 0.0217058280204555</f>
        <v>15.519667034625682</v>
      </c>
      <c r="H2813" s="18">
        <f>E2813* 0.0459798598751943</f>
        <v>32.875599810763923</v>
      </c>
    </row>
    <row r="2814" spans="1:8" ht="15.75" hidden="1" customHeight="1" x14ac:dyDescent="0.25">
      <c r="A2814" s="20" t="s">
        <v>224</v>
      </c>
      <c r="B2814" s="47" t="s">
        <v>238</v>
      </c>
      <c r="C2814" s="49"/>
      <c r="D2814" s="29" t="s">
        <v>624</v>
      </c>
      <c r="E2814" s="23">
        <v>61</v>
      </c>
      <c r="F2814" s="18">
        <f>E2814* 0.293894936109797</f>
        <v>17.927591102697615</v>
      </c>
      <c r="G2814" s="18">
        <f>E2814* 0.663038334122101</f>
        <v>40.44533838144816</v>
      </c>
      <c r="H2814" s="18">
        <f>E2814* 0.0430667297681022</f>
        <v>2.6270705158542342</v>
      </c>
    </row>
    <row r="2815" spans="1:8" ht="15.75" hidden="1" customHeight="1" x14ac:dyDescent="0.25">
      <c r="A2815" s="20" t="s">
        <v>224</v>
      </c>
      <c r="B2815" s="47" t="s">
        <v>238</v>
      </c>
      <c r="C2815" s="49"/>
      <c r="D2815" s="19" t="s">
        <v>11</v>
      </c>
      <c r="E2815" s="23">
        <v>482</v>
      </c>
      <c r="F2815" s="18">
        <f>E2815* 0.083479491676667</f>
        <v>40.237114988153493</v>
      </c>
      <c r="G2815" s="18">
        <f>E2815* 0.913505030924029</f>
        <v>440.309424905382</v>
      </c>
      <c r="H2815" s="18">
        <f>E2815* 0.00292316686667282</f>
        <v>1.4089664297362992</v>
      </c>
    </row>
    <row r="2816" spans="1:8" ht="15.75" hidden="1" customHeight="1" x14ac:dyDescent="0.25">
      <c r="A2816" s="20" t="s">
        <v>224</v>
      </c>
      <c r="B2816" s="47" t="s">
        <v>238</v>
      </c>
      <c r="C2816" s="49"/>
      <c r="D2816" s="19" t="s">
        <v>17</v>
      </c>
      <c r="E2816" s="23">
        <v>737</v>
      </c>
      <c r="F2816" s="18">
        <f>E2816* 0.752045572242362</f>
        <v>554.25758674262079</v>
      </c>
      <c r="G2816" s="18">
        <f>E2816* 0.185827723114103</f>
        <v>136.95503193509393</v>
      </c>
      <c r="H2816" s="18">
        <f>E2816* 0.0620921802175039</f>
        <v>45.761936820300377</v>
      </c>
    </row>
    <row r="2817" spans="1:8" ht="15.75" hidden="1" customHeight="1" x14ac:dyDescent="0.25">
      <c r="A2817" s="20" t="s">
        <v>224</v>
      </c>
      <c r="B2817" s="47" t="s">
        <v>238</v>
      </c>
      <c r="C2817" s="49"/>
      <c r="D2817" s="19" t="s">
        <v>31</v>
      </c>
      <c r="E2817" s="23">
        <v>26</v>
      </c>
      <c r="F2817" s="18">
        <f>E2817* 0.929131175468484</f>
        <v>24.157410562180583</v>
      </c>
      <c r="G2817" s="18">
        <f>E2817* 0.0477001703577513</f>
        <v>1.2402044293015337</v>
      </c>
      <c r="H2817" s="18">
        <f>E2817* 0.0231686541737649</f>
        <v>0.60238500851788734</v>
      </c>
    </row>
    <row r="2818" spans="1:8" ht="15.75" hidden="1" customHeight="1" x14ac:dyDescent="0.25">
      <c r="A2818" s="20" t="s">
        <v>224</v>
      </c>
      <c r="B2818" s="47" t="s">
        <v>238</v>
      </c>
      <c r="C2818" s="49"/>
      <c r="D2818" s="19" t="s">
        <v>18</v>
      </c>
      <c r="E2818" s="23">
        <v>141</v>
      </c>
      <c r="F2818" s="18">
        <f>E2818* 0.893702527830246</f>
        <v>126.01205642406468</v>
      </c>
      <c r="G2818" s="18">
        <f>E2818* 0.0946831169875015</f>
        <v>13.350319495237711</v>
      </c>
      <c r="H2818" s="18">
        <f>E2818* 0.0116143551822529</f>
        <v>1.637624080697659</v>
      </c>
    </row>
    <row r="2819" spans="1:8" ht="15.75" hidden="1" customHeight="1" x14ac:dyDescent="0.25">
      <c r="A2819" s="20" t="s">
        <v>224</v>
      </c>
      <c r="B2819" s="47" t="s">
        <v>238</v>
      </c>
      <c r="C2819" s="49"/>
      <c r="D2819" s="19" t="s">
        <v>19</v>
      </c>
      <c r="E2819" s="23">
        <v>37</v>
      </c>
      <c r="F2819" s="18">
        <f>E2819* 0.0299845873616365</f>
        <v>1.1094297323805504</v>
      </c>
      <c r="G2819" s="18">
        <f>E2819* 0.96385035729298</f>
        <v>35.662463219840262</v>
      </c>
      <c r="H2819" s="18">
        <f>E2819* 0.00616505534538321</f>
        <v>0.22810704777917876</v>
      </c>
    </row>
    <row r="2820" spans="1:8" ht="15.75" hidden="1" customHeight="1" x14ac:dyDescent="0.25">
      <c r="A2820" s="20" t="s">
        <v>224</v>
      </c>
      <c r="B2820" s="47" t="s">
        <v>238</v>
      </c>
      <c r="C2820" s="49"/>
      <c r="D2820" s="19" t="s">
        <v>20</v>
      </c>
      <c r="E2820" s="23">
        <v>45</v>
      </c>
      <c r="F2820" s="18">
        <f>E2820* 0.734251968503937</f>
        <v>33.04133858267717</v>
      </c>
      <c r="G2820" s="18">
        <f>E2820* 0.158017179670723</f>
        <v>7.1107730851825357</v>
      </c>
      <c r="H2820" s="18">
        <f>E2820* 0.107551896921976</f>
        <v>4.8398353614889205</v>
      </c>
    </row>
    <row r="2821" spans="1:8" ht="15.75" hidden="1" customHeight="1" x14ac:dyDescent="0.25">
      <c r="A2821" s="20" t="s">
        <v>224</v>
      </c>
      <c r="B2821" s="47" t="s">
        <v>238</v>
      </c>
      <c r="C2821" s="49"/>
      <c r="D2821" s="19" t="s">
        <v>21</v>
      </c>
      <c r="E2821" s="23">
        <v>1291</v>
      </c>
      <c r="F2821" s="18">
        <f>E2821* 0.999727092353423</f>
        <v>1290.6476762282691</v>
      </c>
      <c r="G2821" s="18">
        <f>E2821* 0.0000516311763794744</f>
        <v>6.6655848705901452E-2</v>
      </c>
      <c r="H2821" s="18">
        <f>E2821* 0.000132765882118648</f>
        <v>0.17140075381517458</v>
      </c>
    </row>
    <row r="2822" spans="1:8" ht="15.75" hidden="1" customHeight="1" x14ac:dyDescent="0.25">
      <c r="A2822" s="20" t="s">
        <v>224</v>
      </c>
      <c r="B2822" s="47" t="s">
        <v>238</v>
      </c>
      <c r="C2822" s="49"/>
      <c r="D2822" s="19" t="s">
        <v>36</v>
      </c>
      <c r="E2822" s="23">
        <v>10</v>
      </c>
      <c r="F2822" s="18">
        <f>E2822* 0.995894428152493</f>
        <v>9.9589442815249303</v>
      </c>
      <c r="G2822" s="18">
        <f>E2822* 0.000586510263929619</f>
        <v>5.8651026392961894E-3</v>
      </c>
      <c r="H2822" s="18">
        <f>E2822* 0.00351906158357771</f>
        <v>3.5190615835777102E-2</v>
      </c>
    </row>
    <row r="2823" spans="1:8" ht="15.75" hidden="1" customHeight="1" x14ac:dyDescent="0.25">
      <c r="A2823" s="20" t="s">
        <v>224</v>
      </c>
      <c r="B2823" s="47" t="s">
        <v>238</v>
      </c>
      <c r="C2823" s="49"/>
      <c r="D2823" s="19" t="s">
        <v>148</v>
      </c>
      <c r="E2823" s="23">
        <v>234</v>
      </c>
      <c r="F2823" s="18">
        <f>E2823* 0.00302222222222222</f>
        <v>0.7071999999999995</v>
      </c>
      <c r="G2823" s="18">
        <f>E2823* 0.996622222222222</f>
        <v>233.20959999999994</v>
      </c>
      <c r="H2823" s="18">
        <f>E2823* 0.000355555555555556</f>
        <v>8.3200000000000107E-2</v>
      </c>
    </row>
    <row r="2824" spans="1:8" ht="15.75" hidden="1" customHeight="1" x14ac:dyDescent="0.25">
      <c r="A2824" s="20" t="s">
        <v>224</v>
      </c>
      <c r="B2824" s="47" t="s">
        <v>238</v>
      </c>
      <c r="C2824" s="49"/>
      <c r="D2824" s="19" t="s">
        <v>12</v>
      </c>
      <c r="E2824" s="23">
        <v>1316</v>
      </c>
      <c r="F2824" s="18">
        <f>E2824* 0.802335182557089</f>
        <v>1055.8731002451291</v>
      </c>
      <c r="G2824" s="18">
        <f>E2824* 0.124687137143594</f>
        <v>164.08827248096969</v>
      </c>
      <c r="H2824" s="18">
        <f>E2824* 0.0729583279576829</f>
        <v>96.013159592310686</v>
      </c>
    </row>
    <row r="2825" spans="1:8" ht="15.75" hidden="1" customHeight="1" x14ac:dyDescent="0.25">
      <c r="A2825" s="20" t="s">
        <v>224</v>
      </c>
      <c r="B2825" s="20"/>
      <c r="C2825" s="20"/>
      <c r="D2825" s="46"/>
      <c r="E2825" s="35"/>
    </row>
    <row r="2826" spans="1:8" ht="15.75" hidden="1" customHeight="1" x14ac:dyDescent="0.25">
      <c r="A2826" s="20" t="s">
        <v>224</v>
      </c>
      <c r="B2826" s="47" t="s">
        <v>239</v>
      </c>
      <c r="C2826" s="12" t="str">
        <f>B2826&amp;"_"&amp;A2826</f>
        <v>Gral. Saavedra_Santa Cruz</v>
      </c>
      <c r="D2826" s="20"/>
      <c r="E2826" s="48">
        <v>19621</v>
      </c>
      <c r="F2826" s="14">
        <f t="shared" ref="F2826:H2826" si="237">SUM(F2827:F2840)</f>
        <v>18865.984021210505</v>
      </c>
      <c r="G2826" s="14">
        <f t="shared" si="237"/>
        <v>672.35268853352193</v>
      </c>
      <c r="H2826" s="14">
        <f t="shared" si="237"/>
        <v>81.020864238961309</v>
      </c>
    </row>
    <row r="2827" spans="1:8" ht="15.75" hidden="1" customHeight="1" x14ac:dyDescent="0.25">
      <c r="A2827" s="20" t="s">
        <v>224</v>
      </c>
      <c r="B2827" s="47" t="s">
        <v>239</v>
      </c>
      <c r="C2827" s="49"/>
      <c r="D2827" s="29" t="s">
        <v>625</v>
      </c>
      <c r="E2827" s="23">
        <v>0</v>
      </c>
      <c r="F2827" s="20">
        <v>0</v>
      </c>
      <c r="G2827" s="24">
        <f>E2827</f>
        <v>0</v>
      </c>
      <c r="H2827" s="20">
        <v>0</v>
      </c>
    </row>
    <row r="2828" spans="1:8" ht="15.75" hidden="1" customHeight="1" x14ac:dyDescent="0.25">
      <c r="A2828" s="20" t="s">
        <v>224</v>
      </c>
      <c r="B2828" s="47" t="s">
        <v>239</v>
      </c>
      <c r="C2828" s="49"/>
      <c r="D2828" s="19" t="s">
        <v>15</v>
      </c>
      <c r="E2828" s="23">
        <v>246</v>
      </c>
      <c r="F2828" s="18">
        <f>E2828* 0.932303048052446</f>
        <v>229.34654982090171</v>
      </c>
      <c r="G2828" s="18">
        <f>E2828* 0.0217058280204555</f>
        <v>5.3396336930320523</v>
      </c>
      <c r="H2828" s="18">
        <f>E2828* 0.0459798598751943</f>
        <v>11.311045529297797</v>
      </c>
    </row>
    <row r="2829" spans="1:8" ht="15.75" hidden="1" customHeight="1" x14ac:dyDescent="0.25">
      <c r="A2829" s="20" t="s">
        <v>224</v>
      </c>
      <c r="B2829" s="47" t="s">
        <v>239</v>
      </c>
      <c r="C2829" s="49"/>
      <c r="D2829" s="29" t="s">
        <v>626</v>
      </c>
      <c r="E2829" s="23">
        <v>6</v>
      </c>
      <c r="F2829" s="18">
        <f>E2829* 0.293894936109797</f>
        <v>1.763369616658782</v>
      </c>
      <c r="G2829" s="18">
        <f>E2829* 0.663038334122101</f>
        <v>3.9782300047326062</v>
      </c>
      <c r="H2829" s="18">
        <f>E2829* 0.0430667297681022</f>
        <v>0.2584003786086132</v>
      </c>
    </row>
    <row r="2830" spans="1:8" ht="15.75" hidden="1" customHeight="1" x14ac:dyDescent="0.25">
      <c r="A2830" s="20" t="s">
        <v>224</v>
      </c>
      <c r="B2830" s="47" t="s">
        <v>239</v>
      </c>
      <c r="C2830" s="49"/>
      <c r="D2830" s="19" t="s">
        <v>11</v>
      </c>
      <c r="E2830" s="23">
        <v>445</v>
      </c>
      <c r="F2830" s="18">
        <f>E2830* 0.083479491676667</f>
        <v>37.148373796116815</v>
      </c>
      <c r="G2830" s="18">
        <f>E2830* 0.913505030924029</f>
        <v>406.50973876119292</v>
      </c>
      <c r="H2830" s="18">
        <f>E2830* 0.00292316686667282</f>
        <v>1.3008092556694049</v>
      </c>
    </row>
    <row r="2831" spans="1:8" ht="15.75" hidden="1" customHeight="1" x14ac:dyDescent="0.25">
      <c r="A2831" s="20" t="s">
        <v>224</v>
      </c>
      <c r="B2831" s="47" t="s">
        <v>239</v>
      </c>
      <c r="C2831" s="49"/>
      <c r="D2831" s="19" t="s">
        <v>17</v>
      </c>
      <c r="E2831" s="23">
        <v>370</v>
      </c>
      <c r="F2831" s="18">
        <f>E2831* 0.752045572242362</f>
        <v>278.25686172967397</v>
      </c>
      <c r="G2831" s="18">
        <f>E2831* 0.185827723114103</f>
        <v>68.756257552218116</v>
      </c>
      <c r="H2831" s="18">
        <f>E2831* 0.0620921802175039</f>
        <v>22.974106680476442</v>
      </c>
    </row>
    <row r="2832" spans="1:8" ht="15.75" hidden="1" customHeight="1" x14ac:dyDescent="0.25">
      <c r="A2832" s="20" t="s">
        <v>224</v>
      </c>
      <c r="B2832" s="47" t="s">
        <v>239</v>
      </c>
      <c r="C2832" s="49"/>
      <c r="D2832" s="19" t="s">
        <v>31</v>
      </c>
      <c r="E2832" s="23">
        <v>5</v>
      </c>
      <c r="F2832" s="18">
        <f>E2832* 0.929131175468484</f>
        <v>4.6456558773424197</v>
      </c>
      <c r="G2832" s="18">
        <f>E2832* 0.0477001703577513</f>
        <v>0.23850085178875652</v>
      </c>
      <c r="H2832" s="18">
        <f>E2832* 0.0231686541737649</f>
        <v>0.1158432708688245</v>
      </c>
    </row>
    <row r="2833" spans="1:8" ht="15.75" hidden="1" customHeight="1" x14ac:dyDescent="0.25">
      <c r="A2833" s="20" t="s">
        <v>224</v>
      </c>
      <c r="B2833" s="47" t="s">
        <v>239</v>
      </c>
      <c r="C2833" s="49"/>
      <c r="D2833" s="19" t="s">
        <v>18</v>
      </c>
      <c r="E2833" s="23">
        <v>79</v>
      </c>
      <c r="F2833" s="18">
        <f>E2833* 0.893702527830246</f>
        <v>70.602499698589426</v>
      </c>
      <c r="G2833" s="18">
        <f>E2833* 0.0946831169875015</f>
        <v>7.4799662420126181</v>
      </c>
      <c r="H2833" s="18">
        <f>E2833* 0.0116143551822529</f>
        <v>0.91753405939797905</v>
      </c>
    </row>
    <row r="2834" spans="1:8" ht="15.75" hidden="1" customHeight="1" x14ac:dyDescent="0.25">
      <c r="A2834" s="20" t="s">
        <v>224</v>
      </c>
      <c r="B2834" s="47" t="s">
        <v>239</v>
      </c>
      <c r="C2834" s="49"/>
      <c r="D2834" s="29" t="s">
        <v>627</v>
      </c>
      <c r="E2834" s="23">
        <v>1</v>
      </c>
      <c r="F2834" s="20">
        <v>0</v>
      </c>
      <c r="G2834" s="24">
        <f>E2834</f>
        <v>1</v>
      </c>
      <c r="H2834" s="20">
        <v>0</v>
      </c>
    </row>
    <row r="2835" spans="1:8" ht="15.75" hidden="1" customHeight="1" x14ac:dyDescent="0.25">
      <c r="A2835" s="20" t="s">
        <v>224</v>
      </c>
      <c r="B2835" s="47" t="s">
        <v>239</v>
      </c>
      <c r="C2835" s="49"/>
      <c r="D2835" s="19" t="s">
        <v>19</v>
      </c>
      <c r="E2835" s="23">
        <v>5</v>
      </c>
      <c r="F2835" s="18">
        <f>E2835* 0.0299845873616365</f>
        <v>0.1499229368081825</v>
      </c>
      <c r="G2835" s="18">
        <f>E2835* 0.96385035729298</f>
        <v>4.8192517864648998</v>
      </c>
      <c r="H2835" s="18">
        <f>E2835* 0.00616505534538321</f>
        <v>3.082527672691605E-2</v>
      </c>
    </row>
    <row r="2836" spans="1:8" ht="15.75" hidden="1" customHeight="1" x14ac:dyDescent="0.25">
      <c r="A2836" s="20" t="s">
        <v>224</v>
      </c>
      <c r="B2836" s="47" t="s">
        <v>239</v>
      </c>
      <c r="C2836" s="49"/>
      <c r="D2836" s="19" t="s">
        <v>20</v>
      </c>
      <c r="E2836" s="23">
        <v>17</v>
      </c>
      <c r="F2836" s="18">
        <f>E2836* 0.734251968503937</f>
        <v>12.48228346456693</v>
      </c>
      <c r="G2836" s="18">
        <f>E2836* 0.158017179670723</f>
        <v>2.686292054402291</v>
      </c>
      <c r="H2836" s="18">
        <f>E2836* 0.107551896921976</f>
        <v>1.828382247673592</v>
      </c>
    </row>
    <row r="2837" spans="1:8" ht="15.75" hidden="1" customHeight="1" x14ac:dyDescent="0.25">
      <c r="A2837" s="20" t="s">
        <v>224</v>
      </c>
      <c r="B2837" s="47" t="s">
        <v>239</v>
      </c>
      <c r="C2837" s="49"/>
      <c r="D2837" s="19" t="s">
        <v>21</v>
      </c>
      <c r="E2837" s="23">
        <v>17763</v>
      </c>
      <c r="F2837" s="18">
        <f>E2837* 0.999727092353423</f>
        <v>17758.152341473855</v>
      </c>
      <c r="G2837" s="18">
        <f>E2837* 0.0000516311763794744</f>
        <v>0.91712458602860381</v>
      </c>
      <c r="H2837" s="18">
        <f>E2837* 0.000132765882118648</f>
        <v>2.3583203640735446</v>
      </c>
    </row>
    <row r="2838" spans="1:8" ht="15.75" hidden="1" customHeight="1" x14ac:dyDescent="0.25">
      <c r="A2838" s="20" t="s">
        <v>224</v>
      </c>
      <c r="B2838" s="47" t="s">
        <v>239</v>
      </c>
      <c r="C2838" s="49"/>
      <c r="D2838" s="19" t="s">
        <v>36</v>
      </c>
      <c r="E2838" s="23">
        <v>36</v>
      </c>
      <c r="F2838" s="18">
        <f>E2838* 0.995894428152493</f>
        <v>35.85219941348975</v>
      </c>
      <c r="G2838" s="18">
        <f>E2838* 0.000586510263929619</f>
        <v>2.1114369501466283E-2</v>
      </c>
      <c r="H2838" s="18">
        <f>E2838* 0.00351906158357771</f>
        <v>0.12668621700879756</v>
      </c>
    </row>
    <row r="2839" spans="1:8" ht="15.75" hidden="1" customHeight="1" x14ac:dyDescent="0.25">
      <c r="A2839" s="20" t="s">
        <v>224</v>
      </c>
      <c r="B2839" s="47" t="s">
        <v>239</v>
      </c>
      <c r="C2839" s="49"/>
      <c r="D2839" s="19" t="s">
        <v>28</v>
      </c>
      <c r="E2839" s="23">
        <v>103</v>
      </c>
      <c r="F2839" s="18">
        <f>E2839* 0.00302222222222222</f>
        <v>0.31128888888888867</v>
      </c>
      <c r="G2839" s="18">
        <f>E2839* 0.996622222222222</f>
        <v>102.65208888888887</v>
      </c>
      <c r="H2839" s="18">
        <f>E2839* 0.000355555555555556</f>
        <v>3.6622222222222271E-2</v>
      </c>
    </row>
    <row r="2840" spans="1:8" ht="15.75" hidden="1" customHeight="1" x14ac:dyDescent="0.25">
      <c r="A2840" s="20" t="s">
        <v>224</v>
      </c>
      <c r="B2840" s="47" t="s">
        <v>239</v>
      </c>
      <c r="C2840" s="49"/>
      <c r="D2840" s="19" t="s">
        <v>12</v>
      </c>
      <c r="E2840" s="23">
        <v>545</v>
      </c>
      <c r="F2840" s="18">
        <f>E2840* 0.802335182557089</f>
        <v>437.27267449361352</v>
      </c>
      <c r="G2840" s="18">
        <f>E2840* 0.124687137143594</f>
        <v>67.954489743258733</v>
      </c>
      <c r="H2840" s="18">
        <f>E2840* 0.0729583279576829</f>
        <v>39.76228873693718</v>
      </c>
    </row>
    <row r="2841" spans="1:8" ht="15.75" hidden="1" customHeight="1" x14ac:dyDescent="0.25">
      <c r="A2841" s="20" t="s">
        <v>224</v>
      </c>
      <c r="B2841" s="20"/>
      <c r="C2841" s="20"/>
      <c r="D2841" s="46"/>
      <c r="E2841" s="35"/>
    </row>
    <row r="2842" spans="1:8" ht="15.75" hidden="1" customHeight="1" x14ac:dyDescent="0.25">
      <c r="A2842" s="20" t="s">
        <v>224</v>
      </c>
      <c r="B2842" s="47" t="s">
        <v>628</v>
      </c>
      <c r="C2842" s="12" t="str">
        <f>B2842&amp;"_"&amp;A2842</f>
        <v>Kereimba Iyaamba_Santa Cruz</v>
      </c>
      <c r="D2842" s="20"/>
      <c r="E2842" s="48">
        <v>1</v>
      </c>
      <c r="F2842" s="14">
        <f t="shared" ref="F2842:H2842" si="238">F2843</f>
        <v>0.75204557224236201</v>
      </c>
      <c r="G2842" s="14">
        <f t="shared" si="238"/>
        <v>0.18582772311410301</v>
      </c>
      <c r="H2842" s="14">
        <f t="shared" si="238"/>
        <v>6.2092180217503901E-2</v>
      </c>
    </row>
    <row r="2843" spans="1:8" ht="15.75" hidden="1" customHeight="1" x14ac:dyDescent="0.25">
      <c r="A2843" s="20" t="s">
        <v>224</v>
      </c>
      <c r="B2843" s="47" t="s">
        <v>628</v>
      </c>
      <c r="C2843" s="49"/>
      <c r="D2843" s="19" t="s">
        <v>17</v>
      </c>
      <c r="E2843" s="23">
        <v>1</v>
      </c>
      <c r="F2843" s="18">
        <f>E2843* 0.752045572242362</f>
        <v>0.75204557224236201</v>
      </c>
      <c r="G2843" s="18">
        <f>E2843* 0.185827723114103</f>
        <v>0.18582772311410301</v>
      </c>
      <c r="H2843" s="18">
        <f>E2843* 0.0620921802175039</f>
        <v>6.2092180217503901E-2</v>
      </c>
    </row>
    <row r="2844" spans="1:8" ht="15.75" hidden="1" customHeight="1" x14ac:dyDescent="0.25">
      <c r="A2844" s="20" t="s">
        <v>224</v>
      </c>
      <c r="B2844" s="20"/>
      <c r="C2844" s="20"/>
      <c r="D2844" s="46"/>
      <c r="E2844" s="35"/>
    </row>
    <row r="2845" spans="1:8" ht="15.75" hidden="1" customHeight="1" x14ac:dyDescent="0.25">
      <c r="A2845" s="20" t="s">
        <v>224</v>
      </c>
      <c r="B2845" s="47" t="s">
        <v>241</v>
      </c>
      <c r="C2845" s="12" t="str">
        <f>B2845&amp;"_"&amp;A2845</f>
        <v>La Guardia_Santa Cruz</v>
      </c>
      <c r="D2845" s="20"/>
      <c r="E2845" s="48">
        <v>42988</v>
      </c>
      <c r="F2845" s="14">
        <f t="shared" ref="F2845:H2845" si="239">SUM(F2846:F2858)</f>
        <v>35561.281101607856</v>
      </c>
      <c r="G2845" s="14">
        <f t="shared" si="239"/>
        <v>6025.6851764971234</v>
      </c>
      <c r="H2845" s="14">
        <f t="shared" si="239"/>
        <v>1398.5993603139918</v>
      </c>
    </row>
    <row r="2846" spans="1:8" ht="15.75" hidden="1" customHeight="1" x14ac:dyDescent="0.25">
      <c r="A2846" s="20" t="s">
        <v>224</v>
      </c>
      <c r="B2846" s="47" t="s">
        <v>241</v>
      </c>
      <c r="C2846" s="49"/>
      <c r="D2846" s="29" t="s">
        <v>629</v>
      </c>
      <c r="E2846" s="23">
        <v>10</v>
      </c>
      <c r="F2846" s="20">
        <v>0</v>
      </c>
      <c r="G2846" s="24">
        <f>E2846</f>
        <v>10</v>
      </c>
      <c r="H2846" s="20">
        <v>0</v>
      </c>
    </row>
    <row r="2847" spans="1:8" ht="15.75" hidden="1" customHeight="1" x14ac:dyDescent="0.25">
      <c r="A2847" s="20" t="s">
        <v>224</v>
      </c>
      <c r="B2847" s="47" t="s">
        <v>241</v>
      </c>
      <c r="C2847" s="49"/>
      <c r="D2847" s="19" t="s">
        <v>15</v>
      </c>
      <c r="E2847" s="23">
        <v>4910</v>
      </c>
      <c r="F2847" s="18">
        <f>E2847* 0.932303048052446</f>
        <v>4577.60796593751</v>
      </c>
      <c r="G2847" s="18">
        <f>E2847* 0.0217058280204555</f>
        <v>106.57561558043649</v>
      </c>
      <c r="H2847" s="18">
        <f>E2847* 0.0459798598751943</f>
        <v>225.761111987204</v>
      </c>
    </row>
    <row r="2848" spans="1:8" ht="15.75" hidden="1" customHeight="1" x14ac:dyDescent="0.25">
      <c r="A2848" s="20" t="s">
        <v>224</v>
      </c>
      <c r="B2848" s="47" t="s">
        <v>241</v>
      </c>
      <c r="C2848" s="49"/>
      <c r="D2848" s="29" t="s">
        <v>630</v>
      </c>
      <c r="E2848" s="23">
        <v>305</v>
      </c>
      <c r="F2848" s="18">
        <f>E2848* 0.293894936109797</f>
        <v>89.63795551348808</v>
      </c>
      <c r="G2848" s="18">
        <f>E2848* 0.663038334122101</f>
        <v>202.22669190724082</v>
      </c>
      <c r="H2848" s="18">
        <f>E2848* 0.0430667297681022</f>
        <v>13.135352579271171</v>
      </c>
    </row>
    <row r="2849" spans="1:8" ht="15.75" hidden="1" customHeight="1" x14ac:dyDescent="0.25">
      <c r="A2849" s="20" t="s">
        <v>224</v>
      </c>
      <c r="B2849" s="47" t="s">
        <v>241</v>
      </c>
      <c r="C2849" s="49"/>
      <c r="D2849" s="19" t="s">
        <v>11</v>
      </c>
      <c r="E2849" s="23">
        <v>2443</v>
      </c>
      <c r="F2849" s="18">
        <f>E2849* 0.083479491676667</f>
        <v>203.94039816609748</v>
      </c>
      <c r="G2849" s="18">
        <f>E2849* 0.913505030924029</f>
        <v>2231.6927905474031</v>
      </c>
      <c r="H2849" s="18">
        <f>E2849* 0.00292316686667282</f>
        <v>7.1412966552816988</v>
      </c>
    </row>
    <row r="2850" spans="1:8" ht="15.75" hidden="1" customHeight="1" x14ac:dyDescent="0.25">
      <c r="A2850" s="20" t="s">
        <v>224</v>
      </c>
      <c r="B2850" s="47" t="s">
        <v>241</v>
      </c>
      <c r="C2850" s="49"/>
      <c r="D2850" s="19" t="s">
        <v>17</v>
      </c>
      <c r="E2850" s="23">
        <v>4003</v>
      </c>
      <c r="F2850" s="18">
        <f>E2850* 0.752045572242362</f>
        <v>3010.4384256861749</v>
      </c>
      <c r="G2850" s="18">
        <f>E2850* 0.185827723114103</f>
        <v>743.86837562575431</v>
      </c>
      <c r="H2850" s="18">
        <f>E2850* 0.0620921802175039</f>
        <v>248.55499741066811</v>
      </c>
    </row>
    <row r="2851" spans="1:8" ht="15.75" hidden="1" customHeight="1" x14ac:dyDescent="0.25">
      <c r="A2851" s="20" t="s">
        <v>224</v>
      </c>
      <c r="B2851" s="47" t="s">
        <v>241</v>
      </c>
      <c r="C2851" s="49"/>
      <c r="D2851" s="19" t="s">
        <v>31</v>
      </c>
      <c r="E2851" s="23">
        <v>283</v>
      </c>
      <c r="F2851" s="18">
        <f>E2851* 0.929131175468484</f>
        <v>262.94412265758098</v>
      </c>
      <c r="G2851" s="18">
        <f>E2851* 0.0477001703577513</f>
        <v>13.499148211243618</v>
      </c>
      <c r="H2851" s="18">
        <f>E2851* 0.0231686541737649</f>
        <v>6.5567291311754667</v>
      </c>
    </row>
    <row r="2852" spans="1:8" ht="15.75" hidden="1" customHeight="1" x14ac:dyDescent="0.25">
      <c r="A2852" s="20" t="s">
        <v>224</v>
      </c>
      <c r="B2852" s="47" t="s">
        <v>241</v>
      </c>
      <c r="C2852" s="49"/>
      <c r="D2852" s="19" t="s">
        <v>18</v>
      </c>
      <c r="E2852" s="23">
        <v>1195</v>
      </c>
      <c r="F2852" s="18">
        <f>E2852* 0.893702527830246</f>
        <v>1067.9745207571439</v>
      </c>
      <c r="G2852" s="18">
        <f>E2852* 0.0946831169875015</f>
        <v>113.14632480006429</v>
      </c>
      <c r="H2852" s="18">
        <f>E2852* 0.0116143551822529</f>
        <v>13.879154442792215</v>
      </c>
    </row>
    <row r="2853" spans="1:8" ht="15.75" hidden="1" customHeight="1" x14ac:dyDescent="0.25">
      <c r="A2853" s="20" t="s">
        <v>224</v>
      </c>
      <c r="B2853" s="47" t="s">
        <v>241</v>
      </c>
      <c r="C2853" s="49"/>
      <c r="D2853" s="19" t="s">
        <v>19</v>
      </c>
      <c r="E2853" s="23">
        <v>352</v>
      </c>
      <c r="F2853" s="18">
        <f>E2853* 0.0299845873616365</f>
        <v>10.554574751296048</v>
      </c>
      <c r="G2853" s="18">
        <f>E2853* 0.96385035729298</f>
        <v>339.27532576712895</v>
      </c>
      <c r="H2853" s="18">
        <f>E2853* 0.00616505534538321</f>
        <v>2.1700994815748897</v>
      </c>
    </row>
    <row r="2854" spans="1:8" ht="15.75" hidden="1" customHeight="1" x14ac:dyDescent="0.25">
      <c r="A2854" s="20" t="s">
        <v>224</v>
      </c>
      <c r="B2854" s="47" t="s">
        <v>241</v>
      </c>
      <c r="C2854" s="49"/>
      <c r="D2854" s="19" t="s">
        <v>20</v>
      </c>
      <c r="E2854" s="23">
        <v>1667</v>
      </c>
      <c r="F2854" s="18">
        <f>E2854* 0.734251968503937</f>
        <v>1223.998031496063</v>
      </c>
      <c r="G2854" s="18">
        <f>E2854* 0.158017179670723</f>
        <v>263.41463851109523</v>
      </c>
      <c r="H2854" s="18">
        <f>E2854* 0.107551896921976</f>
        <v>179.28901216893399</v>
      </c>
    </row>
    <row r="2855" spans="1:8" ht="15.75" hidden="1" customHeight="1" x14ac:dyDescent="0.25">
      <c r="A2855" s="20" t="s">
        <v>224</v>
      </c>
      <c r="B2855" s="47" t="s">
        <v>241</v>
      </c>
      <c r="C2855" s="49"/>
      <c r="D2855" s="19" t="s">
        <v>21</v>
      </c>
      <c r="E2855" s="23">
        <v>17304</v>
      </c>
      <c r="F2855" s="18">
        <f>E2855* 0.999727092353423</f>
        <v>17299.277606083633</v>
      </c>
      <c r="G2855" s="18">
        <f>E2855* 0.0000516311763794744</f>
        <v>0.89342587607042501</v>
      </c>
      <c r="H2855" s="18">
        <f>E2855* 0.000132765882118648</f>
        <v>2.2973808241810851</v>
      </c>
    </row>
    <row r="2856" spans="1:8" ht="15.75" hidden="1" customHeight="1" x14ac:dyDescent="0.25">
      <c r="A2856" s="20" t="s">
        <v>224</v>
      </c>
      <c r="B2856" s="47" t="s">
        <v>241</v>
      </c>
      <c r="C2856" s="49"/>
      <c r="D2856" s="19" t="s">
        <v>36</v>
      </c>
      <c r="E2856" s="23">
        <v>125</v>
      </c>
      <c r="F2856" s="18">
        <f>E2856* 0.995894428152493</f>
        <v>124.48680351906162</v>
      </c>
      <c r="G2856" s="18">
        <f>E2856* 0.000586510263929619</f>
        <v>7.3313782991202378E-2</v>
      </c>
      <c r="H2856" s="18">
        <f>E2856* 0.00351906158357771</f>
        <v>0.43988269794721374</v>
      </c>
    </row>
    <row r="2857" spans="1:8" ht="15.75" hidden="1" customHeight="1" x14ac:dyDescent="0.25">
      <c r="A2857" s="20" t="s">
        <v>224</v>
      </c>
      <c r="B2857" s="47" t="s">
        <v>241</v>
      </c>
      <c r="C2857" s="49"/>
      <c r="D2857" s="19" t="s">
        <v>28</v>
      </c>
      <c r="E2857" s="23">
        <v>809</v>
      </c>
      <c r="F2857" s="18">
        <f>E2857* 0.00302222222222222</f>
        <v>2.4449777777777761</v>
      </c>
      <c r="G2857" s="18">
        <f>E2857* 0.996622222222222</f>
        <v>806.2673777777776</v>
      </c>
      <c r="H2857" s="18">
        <f>E2857* 0.000355555555555556</f>
        <v>0.28764444444444481</v>
      </c>
    </row>
    <row r="2858" spans="1:8" ht="15.75" hidden="1" customHeight="1" x14ac:dyDescent="0.25">
      <c r="A2858" s="20" t="s">
        <v>224</v>
      </c>
      <c r="B2858" s="47" t="s">
        <v>241</v>
      </c>
      <c r="C2858" s="49"/>
      <c r="D2858" s="19" t="s">
        <v>12</v>
      </c>
      <c r="E2858" s="23">
        <v>9582</v>
      </c>
      <c r="F2858" s="18">
        <f>E2858* 0.802335182557089</f>
        <v>7687.9757192620273</v>
      </c>
      <c r="G2858" s="18">
        <f>E2858* 0.124687137143594</f>
        <v>1194.7521481099177</v>
      </c>
      <c r="H2858" s="18">
        <f>E2858* 0.0729583279576829</f>
        <v>699.08669849051751</v>
      </c>
    </row>
    <row r="2859" spans="1:8" ht="15.75" hidden="1" customHeight="1" x14ac:dyDescent="0.25">
      <c r="A2859" s="20" t="s">
        <v>224</v>
      </c>
      <c r="B2859" s="20"/>
      <c r="C2859" s="20"/>
      <c r="D2859" s="46"/>
      <c r="E2859" s="35"/>
    </row>
    <row r="2860" spans="1:8" ht="15.75" hidden="1" customHeight="1" x14ac:dyDescent="0.25">
      <c r="A2860" s="20" t="s">
        <v>224</v>
      </c>
      <c r="B2860" s="47" t="s">
        <v>242</v>
      </c>
      <c r="C2860" s="12" t="str">
        <f>B2860&amp;"_"&amp;A2860</f>
        <v>Lagunillas_Santa Cruz</v>
      </c>
      <c r="D2860" s="20"/>
      <c r="E2860" s="48">
        <v>295</v>
      </c>
      <c r="F2860" s="14">
        <f t="shared" ref="F2860:H2860" si="240">SUM(F2861:F2872)</f>
        <v>167.45657259216608</v>
      </c>
      <c r="G2860" s="14">
        <f t="shared" si="240"/>
        <v>119.64161104255547</v>
      </c>
      <c r="H2860" s="14">
        <f t="shared" si="240"/>
        <v>7.8828367559534671</v>
      </c>
    </row>
    <row r="2861" spans="1:8" ht="15.75" hidden="1" customHeight="1" x14ac:dyDescent="0.25">
      <c r="A2861" s="20" t="s">
        <v>224</v>
      </c>
      <c r="B2861" s="47" t="s">
        <v>242</v>
      </c>
      <c r="C2861" s="49"/>
      <c r="D2861" s="29" t="s">
        <v>631</v>
      </c>
      <c r="E2861" s="23">
        <v>2</v>
      </c>
      <c r="F2861" s="20">
        <v>0</v>
      </c>
      <c r="G2861" s="24">
        <f>E2861</f>
        <v>2</v>
      </c>
      <c r="H2861" s="20">
        <v>0</v>
      </c>
    </row>
    <row r="2862" spans="1:8" ht="15.75" hidden="1" customHeight="1" x14ac:dyDescent="0.25">
      <c r="A2862" s="20" t="s">
        <v>224</v>
      </c>
      <c r="B2862" s="47" t="s">
        <v>242</v>
      </c>
      <c r="C2862" s="49"/>
      <c r="D2862" s="19" t="s">
        <v>15</v>
      </c>
      <c r="E2862" s="23">
        <v>19</v>
      </c>
      <c r="F2862" s="18">
        <f>E2862* 0.932303048052446</f>
        <v>17.713757912996474</v>
      </c>
      <c r="G2862" s="18">
        <f>E2862* 0.0217058280204555</f>
        <v>0.41241073238865444</v>
      </c>
      <c r="H2862" s="18">
        <f>E2862* 0.0459798598751943</f>
        <v>0.87361733762869165</v>
      </c>
    </row>
    <row r="2863" spans="1:8" ht="15.75" hidden="1" customHeight="1" x14ac:dyDescent="0.25">
      <c r="A2863" s="20" t="s">
        <v>224</v>
      </c>
      <c r="B2863" s="47" t="s">
        <v>242</v>
      </c>
      <c r="C2863" s="49"/>
      <c r="D2863" s="29" t="s">
        <v>632</v>
      </c>
      <c r="E2863" s="23">
        <v>6</v>
      </c>
      <c r="F2863" s="18">
        <f>E2863* 0.293894936109797</f>
        <v>1.763369616658782</v>
      </c>
      <c r="G2863" s="18">
        <f>E2863* 0.663038334122101</f>
        <v>3.9782300047326062</v>
      </c>
      <c r="H2863" s="18">
        <f>E2863* 0.0430667297681022</f>
        <v>0.2584003786086132</v>
      </c>
    </row>
    <row r="2864" spans="1:8" ht="15.75" hidden="1" customHeight="1" x14ac:dyDescent="0.25">
      <c r="A2864" s="20" t="s">
        <v>224</v>
      </c>
      <c r="B2864" s="47" t="s">
        <v>242</v>
      </c>
      <c r="C2864" s="49"/>
      <c r="D2864" s="19" t="s">
        <v>11</v>
      </c>
      <c r="E2864" s="23">
        <v>92</v>
      </c>
      <c r="F2864" s="18">
        <f>E2864* 0.083479491676667</f>
        <v>7.6801132342533647</v>
      </c>
      <c r="G2864" s="18">
        <f>E2864* 0.913505030924029</f>
        <v>84.042462845010675</v>
      </c>
      <c r="H2864" s="18">
        <f>E2864* 0.00292316686667282</f>
        <v>0.26893135173389943</v>
      </c>
    </row>
    <row r="2865" spans="1:8" ht="15.75" hidden="1" customHeight="1" x14ac:dyDescent="0.25">
      <c r="A2865" s="20" t="s">
        <v>224</v>
      </c>
      <c r="B2865" s="47" t="s">
        <v>242</v>
      </c>
      <c r="C2865" s="49"/>
      <c r="D2865" s="19" t="s">
        <v>17</v>
      </c>
      <c r="E2865" s="23">
        <v>25</v>
      </c>
      <c r="F2865" s="18">
        <f>E2865* 0.752045572242362</f>
        <v>18.801139306059049</v>
      </c>
      <c r="G2865" s="18">
        <f>E2865* 0.185827723114103</f>
        <v>4.6456930778525756</v>
      </c>
      <c r="H2865" s="18">
        <f>E2865* 0.0620921802175039</f>
        <v>1.5523045054375975</v>
      </c>
    </row>
    <row r="2866" spans="1:8" ht="15.75" hidden="1" customHeight="1" x14ac:dyDescent="0.25">
      <c r="A2866" s="20" t="s">
        <v>224</v>
      </c>
      <c r="B2866" s="47" t="s">
        <v>242</v>
      </c>
      <c r="C2866" s="49"/>
      <c r="D2866" s="19" t="s">
        <v>31</v>
      </c>
      <c r="E2866" s="23">
        <v>2</v>
      </c>
      <c r="F2866" s="18">
        <f>E2866* 0.929131175468484</f>
        <v>1.858262350936968</v>
      </c>
      <c r="G2866" s="18">
        <f>E2866* 0.0477001703577513</f>
        <v>9.5400340715502602E-2</v>
      </c>
      <c r="H2866" s="18">
        <f>E2866* 0.0231686541737649</f>
        <v>4.6337308347529797E-2</v>
      </c>
    </row>
    <row r="2867" spans="1:8" ht="15.75" hidden="1" customHeight="1" x14ac:dyDescent="0.25">
      <c r="A2867" s="20" t="s">
        <v>224</v>
      </c>
      <c r="B2867" s="47" t="s">
        <v>242</v>
      </c>
      <c r="C2867" s="49"/>
      <c r="D2867" s="19" t="s">
        <v>18</v>
      </c>
      <c r="E2867" s="23">
        <v>11</v>
      </c>
      <c r="F2867" s="18">
        <f>E2867* 0.893702527830246</f>
        <v>9.830727806132705</v>
      </c>
      <c r="G2867" s="18">
        <f>E2867* 0.0946831169875015</f>
        <v>1.0415142868625165</v>
      </c>
      <c r="H2867" s="18">
        <f>E2867* 0.0116143551822529</f>
        <v>0.1277579070047819</v>
      </c>
    </row>
    <row r="2868" spans="1:8" ht="15.75" hidden="1" customHeight="1" x14ac:dyDescent="0.25">
      <c r="A2868" s="20" t="s">
        <v>224</v>
      </c>
      <c r="B2868" s="47" t="s">
        <v>242</v>
      </c>
      <c r="C2868" s="49"/>
      <c r="D2868" s="19" t="s">
        <v>19</v>
      </c>
      <c r="E2868" s="23">
        <v>5</v>
      </c>
      <c r="F2868" s="18">
        <f>E2868* 0.0299845873616365</f>
        <v>0.1499229368081825</v>
      </c>
      <c r="G2868" s="18">
        <f>E2868* 0.96385035729298</f>
        <v>4.8192517864648998</v>
      </c>
      <c r="H2868" s="18">
        <f>E2868* 0.00616505534538321</f>
        <v>3.082527672691605E-2</v>
      </c>
    </row>
    <row r="2869" spans="1:8" ht="15.75" hidden="1" customHeight="1" x14ac:dyDescent="0.25">
      <c r="A2869" s="20" t="s">
        <v>224</v>
      </c>
      <c r="B2869" s="47" t="s">
        <v>242</v>
      </c>
      <c r="C2869" s="49"/>
      <c r="D2869" s="19" t="s">
        <v>20</v>
      </c>
      <c r="E2869" s="23">
        <v>16</v>
      </c>
      <c r="F2869" s="18">
        <f>E2869* 0.734251968503937</f>
        <v>11.748031496062993</v>
      </c>
      <c r="G2869" s="18">
        <f>E2869* 0.158017179670723</f>
        <v>2.5282748747315682</v>
      </c>
      <c r="H2869" s="18">
        <f>E2869* 0.107551896921976</f>
        <v>1.7208303507516161</v>
      </c>
    </row>
    <row r="2870" spans="1:8" ht="15.75" hidden="1" customHeight="1" x14ac:dyDescent="0.25">
      <c r="A2870" s="20" t="s">
        <v>224</v>
      </c>
      <c r="B2870" s="47" t="s">
        <v>242</v>
      </c>
      <c r="C2870" s="49"/>
      <c r="D2870" s="19" t="s">
        <v>21</v>
      </c>
      <c r="E2870" s="23">
        <v>65</v>
      </c>
      <c r="F2870" s="18">
        <f>E2870* 0.999727092353423</f>
        <v>64.982261002972493</v>
      </c>
      <c r="G2870" s="18">
        <f>E2870* 0.0000516311763794744</f>
        <v>3.356026464665836E-3</v>
      </c>
      <c r="H2870" s="18">
        <f>E2870* 0.000132765882118648</f>
        <v>8.6297823377121195E-3</v>
      </c>
    </row>
    <row r="2871" spans="1:8" ht="15.75" hidden="1" customHeight="1" x14ac:dyDescent="0.25">
      <c r="A2871" s="20" t="s">
        <v>224</v>
      </c>
      <c r="B2871" s="47" t="s">
        <v>242</v>
      </c>
      <c r="C2871" s="49"/>
      <c r="D2871" s="19" t="s">
        <v>28</v>
      </c>
      <c r="E2871" s="23">
        <v>11</v>
      </c>
      <c r="F2871" s="18">
        <f>E2871* 0.00302222222222222</f>
        <v>3.3244444444444417E-2</v>
      </c>
      <c r="G2871" s="18">
        <f>E2871* 0.996622222222222</f>
        <v>10.962844444444441</v>
      </c>
      <c r="H2871" s="18">
        <f>E2871* 0.000355555555555556</f>
        <v>3.9111111111111161E-3</v>
      </c>
    </row>
    <row r="2872" spans="1:8" ht="15.75" hidden="1" customHeight="1" x14ac:dyDescent="0.25">
      <c r="A2872" s="20" t="s">
        <v>224</v>
      </c>
      <c r="B2872" s="47" t="s">
        <v>242</v>
      </c>
      <c r="C2872" s="49"/>
      <c r="D2872" s="19" t="s">
        <v>12</v>
      </c>
      <c r="E2872" s="23">
        <v>41</v>
      </c>
      <c r="F2872" s="18">
        <f>E2872* 0.802335182557089</f>
        <v>32.895742484840653</v>
      </c>
      <c r="G2872" s="18">
        <f>E2872* 0.124687137143594</f>
        <v>5.1121726228873543</v>
      </c>
      <c r="H2872" s="18">
        <f>E2872* 0.0729583279576829</f>
        <v>2.9912914462649987</v>
      </c>
    </row>
    <row r="2873" spans="1:8" ht="15.75" hidden="1" customHeight="1" x14ac:dyDescent="0.25">
      <c r="A2873" s="20" t="s">
        <v>224</v>
      </c>
      <c r="B2873" s="20"/>
      <c r="C2873" s="20"/>
      <c r="D2873" s="46"/>
      <c r="E2873" s="35"/>
    </row>
    <row r="2874" spans="1:8" ht="15.75" hidden="1" customHeight="1" x14ac:dyDescent="0.25">
      <c r="A2874" s="20" t="s">
        <v>224</v>
      </c>
      <c r="B2874" s="47" t="s">
        <v>243</v>
      </c>
      <c r="C2874" s="12" t="str">
        <f>B2874&amp;"_"&amp;A2874</f>
        <v>Mairana_Santa Cruz</v>
      </c>
      <c r="D2874" s="20"/>
      <c r="E2874" s="48">
        <v>692</v>
      </c>
      <c r="F2874" s="14">
        <f t="shared" ref="F2874:H2874" si="241">SUM(F2875:F2886)</f>
        <v>596.81187073635408</v>
      </c>
      <c r="G2874" s="14">
        <f t="shared" si="241"/>
        <v>85.474238796383361</v>
      </c>
      <c r="H2874" s="14">
        <f t="shared" si="241"/>
        <v>9.661138999979519</v>
      </c>
    </row>
    <row r="2875" spans="1:8" ht="15.75" hidden="1" customHeight="1" x14ac:dyDescent="0.25">
      <c r="A2875" s="20" t="s">
        <v>224</v>
      </c>
      <c r="B2875" s="47" t="s">
        <v>243</v>
      </c>
      <c r="C2875" s="49"/>
      <c r="D2875" s="29" t="s">
        <v>633</v>
      </c>
      <c r="E2875" s="23">
        <v>6</v>
      </c>
      <c r="F2875" s="20">
        <v>0</v>
      </c>
      <c r="G2875" s="24">
        <f>E2875</f>
        <v>6</v>
      </c>
      <c r="H2875" s="20">
        <v>0</v>
      </c>
    </row>
    <row r="2876" spans="1:8" ht="15.75" hidden="1" customHeight="1" x14ac:dyDescent="0.25">
      <c r="A2876" s="20" t="s">
        <v>224</v>
      </c>
      <c r="B2876" s="47" t="s">
        <v>243</v>
      </c>
      <c r="C2876" s="49"/>
      <c r="D2876" s="19" t="s">
        <v>15</v>
      </c>
      <c r="E2876" s="23">
        <v>11</v>
      </c>
      <c r="F2876" s="18">
        <f>E2876* 0.932303048052446</f>
        <v>10.255333528576907</v>
      </c>
      <c r="G2876" s="18">
        <f>E2876* 0.0217058280204555</f>
        <v>0.23876410822501049</v>
      </c>
      <c r="H2876" s="18">
        <f>E2876* 0.0459798598751943</f>
        <v>0.50577845862713722</v>
      </c>
    </row>
    <row r="2877" spans="1:8" ht="15.75" hidden="1" customHeight="1" x14ac:dyDescent="0.25">
      <c r="A2877" s="20" t="s">
        <v>224</v>
      </c>
      <c r="B2877" s="47" t="s">
        <v>243</v>
      </c>
      <c r="C2877" s="49"/>
      <c r="D2877" s="29" t="s">
        <v>634</v>
      </c>
      <c r="E2877" s="23">
        <v>3</v>
      </c>
      <c r="F2877" s="18">
        <f>E2877* 0.293894936109797</f>
        <v>0.881684808329391</v>
      </c>
      <c r="G2877" s="18">
        <f>E2877* 0.663038334122101</f>
        <v>1.9891150023663031</v>
      </c>
      <c r="H2877" s="18">
        <f>E2877* 0.0430667297681022</f>
        <v>0.1292001893043066</v>
      </c>
    </row>
    <row r="2878" spans="1:8" ht="15.75" hidden="1" customHeight="1" x14ac:dyDescent="0.25">
      <c r="A2878" s="20" t="s">
        <v>224</v>
      </c>
      <c r="B2878" s="47" t="s">
        <v>243</v>
      </c>
      <c r="C2878" s="49"/>
      <c r="D2878" s="19" t="s">
        <v>11</v>
      </c>
      <c r="E2878" s="23">
        <v>65</v>
      </c>
      <c r="F2878" s="18">
        <f>E2878* 0.083479491676667</f>
        <v>5.4261669589833552</v>
      </c>
      <c r="G2878" s="18">
        <f>E2878* 0.913505030924029</f>
        <v>59.377827010061885</v>
      </c>
      <c r="H2878" s="18">
        <f>E2878* 0.00292316686667282</f>
        <v>0.1900058463337333</v>
      </c>
    </row>
    <row r="2879" spans="1:8" ht="15.75" hidden="1" customHeight="1" x14ac:dyDescent="0.25">
      <c r="A2879" s="20" t="s">
        <v>224</v>
      </c>
      <c r="B2879" s="47" t="s">
        <v>243</v>
      </c>
      <c r="C2879" s="49"/>
      <c r="D2879" s="19" t="s">
        <v>17</v>
      </c>
      <c r="E2879" s="23">
        <v>22</v>
      </c>
      <c r="F2879" s="18">
        <f>E2879* 0.752045572242362</f>
        <v>16.545002589331965</v>
      </c>
      <c r="G2879" s="18">
        <f>E2879* 0.185827723114103</f>
        <v>4.0882099085102661</v>
      </c>
      <c r="H2879" s="18">
        <f>E2879* 0.0620921802175039</f>
        <v>1.3660279647850859</v>
      </c>
    </row>
    <row r="2880" spans="1:8" ht="15.75" hidden="1" customHeight="1" x14ac:dyDescent="0.25">
      <c r="A2880" s="20" t="s">
        <v>224</v>
      </c>
      <c r="B2880" s="47" t="s">
        <v>243</v>
      </c>
      <c r="C2880" s="49"/>
      <c r="D2880" s="19" t="s">
        <v>31</v>
      </c>
      <c r="E2880" s="23">
        <v>1</v>
      </c>
      <c r="F2880" s="18">
        <f>E2880* 0.929131175468484</f>
        <v>0.92913117546848401</v>
      </c>
      <c r="G2880" s="18">
        <f>E2880* 0.0477001703577513</f>
        <v>4.7700170357751301E-2</v>
      </c>
      <c r="H2880" s="18">
        <f>E2880* 0.0231686541737649</f>
        <v>2.3168654173764899E-2</v>
      </c>
    </row>
    <row r="2881" spans="1:8" ht="15.75" hidden="1" customHeight="1" x14ac:dyDescent="0.25">
      <c r="A2881" s="20" t="s">
        <v>224</v>
      </c>
      <c r="B2881" s="47" t="s">
        <v>243</v>
      </c>
      <c r="C2881" s="49"/>
      <c r="D2881" s="19" t="s">
        <v>18</v>
      </c>
      <c r="E2881" s="23">
        <v>5</v>
      </c>
      <c r="F2881" s="18">
        <f>E2881* 0.893702527830246</f>
        <v>4.4685126391512302</v>
      </c>
      <c r="G2881" s="18">
        <f>E2881* 0.0946831169875015</f>
        <v>0.47341558493750746</v>
      </c>
      <c r="H2881" s="18">
        <f>E2881* 0.0116143551822529</f>
        <v>5.80717759112645E-2</v>
      </c>
    </row>
    <row r="2882" spans="1:8" ht="15.75" hidden="1" customHeight="1" x14ac:dyDescent="0.25">
      <c r="A2882" s="20" t="s">
        <v>224</v>
      </c>
      <c r="B2882" s="47" t="s">
        <v>243</v>
      </c>
      <c r="C2882" s="49"/>
      <c r="D2882" s="19" t="s">
        <v>19</v>
      </c>
      <c r="E2882" s="23">
        <v>1</v>
      </c>
      <c r="F2882" s="18">
        <f>E2882* 0.0299845873616365</f>
        <v>2.9984587361636499E-2</v>
      </c>
      <c r="G2882" s="18">
        <f>E2882* 0.96385035729298</f>
        <v>0.96385035729297996</v>
      </c>
      <c r="H2882" s="18">
        <f>E2882* 0.00616505534538321</f>
        <v>6.1650553453832099E-3</v>
      </c>
    </row>
    <row r="2883" spans="1:8" ht="15.75" hidden="1" customHeight="1" x14ac:dyDescent="0.25">
      <c r="A2883" s="20" t="s">
        <v>224</v>
      </c>
      <c r="B2883" s="47" t="s">
        <v>243</v>
      </c>
      <c r="C2883" s="49"/>
      <c r="D2883" s="19" t="s">
        <v>20</v>
      </c>
      <c r="E2883" s="23">
        <v>9</v>
      </c>
      <c r="F2883" s="18">
        <f>E2883* 0.734251968503937</f>
        <v>6.6082677165354333</v>
      </c>
      <c r="G2883" s="18">
        <f>E2883* 0.158017179670723</f>
        <v>1.4221546170365071</v>
      </c>
      <c r="H2883" s="18">
        <f>E2883* 0.107551896921976</f>
        <v>0.967967072297784</v>
      </c>
    </row>
    <row r="2884" spans="1:8" ht="15.75" hidden="1" customHeight="1" x14ac:dyDescent="0.25">
      <c r="A2884" s="20" t="s">
        <v>224</v>
      </c>
      <c r="B2884" s="47" t="s">
        <v>243</v>
      </c>
      <c r="C2884" s="49"/>
      <c r="D2884" s="19" t="s">
        <v>21</v>
      </c>
      <c r="E2884" s="23">
        <v>481</v>
      </c>
      <c r="F2884" s="18">
        <f>E2884* 0.999727092353423</f>
        <v>480.86873142199647</v>
      </c>
      <c r="G2884" s="18">
        <f>E2884* 0.0000516311763794744</f>
        <v>2.4834595838527186E-2</v>
      </c>
      <c r="H2884" s="18">
        <f>E2884* 0.000132765882118648</f>
        <v>6.3860389299069689E-2</v>
      </c>
    </row>
    <row r="2885" spans="1:8" ht="15.75" hidden="1" customHeight="1" x14ac:dyDescent="0.25">
      <c r="A2885" s="20" t="s">
        <v>224</v>
      </c>
      <c r="B2885" s="47" t="s">
        <v>243</v>
      </c>
      <c r="C2885" s="49"/>
      <c r="D2885" s="19" t="s">
        <v>36</v>
      </c>
      <c r="E2885" s="23">
        <v>1</v>
      </c>
      <c r="F2885" s="18">
        <f>E2885* 0.995894428152493</f>
        <v>0.99589442815249296</v>
      </c>
      <c r="G2885" s="18">
        <f>E2885* 0.000586510263929619</f>
        <v>5.8651026392961898E-4</v>
      </c>
      <c r="H2885" s="18">
        <f>E2885* 0.00351906158357771</f>
        <v>3.51906158357771E-3</v>
      </c>
    </row>
    <row r="2886" spans="1:8" ht="15.75" hidden="1" customHeight="1" x14ac:dyDescent="0.25">
      <c r="A2886" s="20" t="s">
        <v>224</v>
      </c>
      <c r="B2886" s="47" t="s">
        <v>243</v>
      </c>
      <c r="C2886" s="49"/>
      <c r="D2886" s="19" t="s">
        <v>12</v>
      </c>
      <c r="E2886" s="23">
        <v>87</v>
      </c>
      <c r="F2886" s="18">
        <f>E2886* 0.802335182557089</f>
        <v>69.803160882466742</v>
      </c>
      <c r="G2886" s="18">
        <f>E2886* 0.124687137143594</f>
        <v>10.847780931492679</v>
      </c>
      <c r="H2886" s="18">
        <f>E2886* 0.0729583279576829</f>
        <v>6.3473745323184119</v>
      </c>
    </row>
    <row r="2887" spans="1:8" ht="15.75" hidden="1" customHeight="1" x14ac:dyDescent="0.25">
      <c r="A2887" s="20" t="s">
        <v>224</v>
      </c>
      <c r="B2887" s="20"/>
      <c r="C2887" s="20"/>
      <c r="D2887" s="46"/>
      <c r="E2887" s="35"/>
    </row>
    <row r="2888" spans="1:8" ht="15.75" hidden="1" customHeight="1" x14ac:dyDescent="0.25">
      <c r="A2888" s="20" t="s">
        <v>224</v>
      </c>
      <c r="B2888" s="47" t="s">
        <v>244</v>
      </c>
      <c r="C2888" s="12" t="str">
        <f>B2888&amp;"_"&amp;A2888</f>
        <v>Mineros_Santa Cruz</v>
      </c>
      <c r="D2888" s="20"/>
      <c r="E2888" s="48">
        <v>6020</v>
      </c>
      <c r="F2888" s="14">
        <f t="shared" ref="F2888:H2888" si="242">SUM(F2889:F2902)</f>
        <v>5382.1825680192642</v>
      </c>
      <c r="G2888" s="14">
        <f t="shared" si="242"/>
        <v>562.58970731432316</v>
      </c>
      <c r="H2888" s="14">
        <f t="shared" si="242"/>
        <v>74.780753439973537</v>
      </c>
    </row>
    <row r="2889" spans="1:8" ht="15.75" hidden="1" customHeight="1" x14ac:dyDescent="0.25">
      <c r="A2889" s="20" t="s">
        <v>224</v>
      </c>
      <c r="B2889" s="47" t="s">
        <v>244</v>
      </c>
      <c r="C2889" s="49"/>
      <c r="D2889" s="29" t="s">
        <v>635</v>
      </c>
      <c r="E2889" s="23">
        <v>0</v>
      </c>
      <c r="F2889" s="20">
        <v>0</v>
      </c>
      <c r="G2889" s="24">
        <f>E2889</f>
        <v>0</v>
      </c>
      <c r="H2889" s="20">
        <v>0</v>
      </c>
    </row>
    <row r="2890" spans="1:8" ht="15.75" hidden="1" customHeight="1" x14ac:dyDescent="0.25">
      <c r="A2890" s="20" t="s">
        <v>224</v>
      </c>
      <c r="B2890" s="47" t="s">
        <v>244</v>
      </c>
      <c r="C2890" s="49"/>
      <c r="D2890" s="19" t="s">
        <v>15</v>
      </c>
      <c r="E2890" s="23">
        <v>193</v>
      </c>
      <c r="F2890" s="18">
        <f>E2890* 0.932303048052446</f>
        <v>179.93448827412209</v>
      </c>
      <c r="G2890" s="18">
        <f>E2890* 0.0217058280204555</f>
        <v>4.1892248079479115</v>
      </c>
      <c r="H2890" s="18">
        <f>E2890* 0.0459798598751943</f>
        <v>8.8741129559124996</v>
      </c>
    </row>
    <row r="2891" spans="1:8" ht="15.75" hidden="1" customHeight="1" x14ac:dyDescent="0.25">
      <c r="A2891" s="20" t="s">
        <v>224</v>
      </c>
      <c r="B2891" s="47" t="s">
        <v>244</v>
      </c>
      <c r="C2891" s="49"/>
      <c r="D2891" s="29" t="s">
        <v>636</v>
      </c>
      <c r="E2891" s="23">
        <v>5</v>
      </c>
      <c r="F2891" s="18">
        <f>E2891* 0.293894936109797</f>
        <v>1.4694746805489851</v>
      </c>
      <c r="G2891" s="18">
        <f>E2891* 0.663038334122101</f>
        <v>3.3151916706105049</v>
      </c>
      <c r="H2891" s="18">
        <f>E2891* 0.0430667297681022</f>
        <v>0.21533364884051098</v>
      </c>
    </row>
    <row r="2892" spans="1:8" ht="15.75" hidden="1" customHeight="1" x14ac:dyDescent="0.25">
      <c r="A2892" s="20" t="s">
        <v>224</v>
      </c>
      <c r="B2892" s="47" t="s">
        <v>244</v>
      </c>
      <c r="C2892" s="49"/>
      <c r="D2892" s="19" t="s">
        <v>11</v>
      </c>
      <c r="E2892" s="23">
        <v>370</v>
      </c>
      <c r="F2892" s="18">
        <f>E2892* 0.083479491676667</f>
        <v>30.887411920366791</v>
      </c>
      <c r="G2892" s="18">
        <f>E2892* 0.913505030924029</f>
        <v>337.99686144189076</v>
      </c>
      <c r="H2892" s="18">
        <f>E2892* 0.00292316686667282</f>
        <v>1.0815717406689433</v>
      </c>
    </row>
    <row r="2893" spans="1:8" ht="15.75" hidden="1" customHeight="1" x14ac:dyDescent="0.25">
      <c r="A2893" s="20" t="s">
        <v>224</v>
      </c>
      <c r="B2893" s="47" t="s">
        <v>244</v>
      </c>
      <c r="C2893" s="49"/>
      <c r="D2893" s="19" t="s">
        <v>17</v>
      </c>
      <c r="E2893" s="23">
        <v>292</v>
      </c>
      <c r="F2893" s="18">
        <f>E2893* 0.752045572242362</f>
        <v>219.59730709476972</v>
      </c>
      <c r="G2893" s="18">
        <f>E2893* 0.185827723114103</f>
        <v>54.261695149318079</v>
      </c>
      <c r="H2893" s="18">
        <f>E2893* 0.0620921802175039</f>
        <v>18.130916623511141</v>
      </c>
    </row>
    <row r="2894" spans="1:8" ht="15.75" hidden="1" customHeight="1" x14ac:dyDescent="0.25">
      <c r="A2894" s="20" t="s">
        <v>224</v>
      </c>
      <c r="B2894" s="47" t="s">
        <v>244</v>
      </c>
      <c r="C2894" s="49"/>
      <c r="D2894" s="19" t="s">
        <v>31</v>
      </c>
      <c r="E2894" s="23">
        <v>1</v>
      </c>
      <c r="F2894" s="18">
        <f>E2894* 0.929131175468484</f>
        <v>0.92913117546848401</v>
      </c>
      <c r="G2894" s="18">
        <f>E2894* 0.0477001703577513</f>
        <v>4.7700170357751301E-2</v>
      </c>
      <c r="H2894" s="18">
        <f>E2894* 0.0231686541737649</f>
        <v>2.3168654173764899E-2</v>
      </c>
    </row>
    <row r="2895" spans="1:8" ht="15.75" hidden="1" customHeight="1" x14ac:dyDescent="0.25">
      <c r="A2895" s="20" t="s">
        <v>224</v>
      </c>
      <c r="B2895" s="47" t="s">
        <v>244</v>
      </c>
      <c r="C2895" s="49"/>
      <c r="D2895" s="19" t="s">
        <v>18</v>
      </c>
      <c r="E2895" s="23">
        <v>83</v>
      </c>
      <c r="F2895" s="18">
        <f>E2895* 0.893702527830246</f>
        <v>74.177309809910412</v>
      </c>
      <c r="G2895" s="18">
        <f>E2895* 0.0946831169875015</f>
        <v>7.8586987099626242</v>
      </c>
      <c r="H2895" s="18">
        <f>E2895* 0.0116143551822529</f>
        <v>0.96399148012699065</v>
      </c>
    </row>
    <row r="2896" spans="1:8" ht="15.75" hidden="1" customHeight="1" x14ac:dyDescent="0.25">
      <c r="A2896" s="20" t="s">
        <v>224</v>
      </c>
      <c r="B2896" s="47" t="s">
        <v>244</v>
      </c>
      <c r="C2896" s="49"/>
      <c r="D2896" s="29" t="s">
        <v>637</v>
      </c>
      <c r="E2896" s="23">
        <v>1</v>
      </c>
      <c r="F2896" s="20">
        <v>0</v>
      </c>
      <c r="G2896" s="24">
        <f>E2896</f>
        <v>1</v>
      </c>
      <c r="H2896" s="20">
        <v>0</v>
      </c>
    </row>
    <row r="2897" spans="1:8" ht="15.75" hidden="1" customHeight="1" x14ac:dyDescent="0.25">
      <c r="A2897" s="20" t="s">
        <v>224</v>
      </c>
      <c r="B2897" s="47" t="s">
        <v>244</v>
      </c>
      <c r="C2897" s="49"/>
      <c r="D2897" s="19" t="s">
        <v>19</v>
      </c>
      <c r="E2897" s="23">
        <v>8</v>
      </c>
      <c r="F2897" s="18">
        <f>E2897* 0.0299845873616365</f>
        <v>0.23987669889309199</v>
      </c>
      <c r="G2897" s="18">
        <f>E2897* 0.96385035729298</f>
        <v>7.7108028583438397</v>
      </c>
      <c r="H2897" s="18">
        <f>E2897* 0.00616505534538321</f>
        <v>4.9320442763065679E-2</v>
      </c>
    </row>
    <row r="2898" spans="1:8" ht="15.75" hidden="1" customHeight="1" x14ac:dyDescent="0.25">
      <c r="A2898" s="20" t="s">
        <v>224</v>
      </c>
      <c r="B2898" s="47" t="s">
        <v>244</v>
      </c>
      <c r="C2898" s="49"/>
      <c r="D2898" s="19" t="s">
        <v>20</v>
      </c>
      <c r="E2898" s="23">
        <v>12</v>
      </c>
      <c r="F2898" s="18">
        <f>E2898* 0.734251968503937</f>
        <v>8.8110236220472444</v>
      </c>
      <c r="G2898" s="18">
        <f>E2898* 0.158017179670723</f>
        <v>1.896206156048676</v>
      </c>
      <c r="H2898" s="18">
        <f>E2898* 0.107551896921976</f>
        <v>1.2906227630637122</v>
      </c>
    </row>
    <row r="2899" spans="1:8" ht="15.75" hidden="1" customHeight="1" x14ac:dyDescent="0.25">
      <c r="A2899" s="20" t="s">
        <v>224</v>
      </c>
      <c r="B2899" s="47" t="s">
        <v>244</v>
      </c>
      <c r="C2899" s="49"/>
      <c r="D2899" s="19" t="s">
        <v>21</v>
      </c>
      <c r="E2899" s="23">
        <v>4371</v>
      </c>
      <c r="F2899" s="18">
        <f>E2899* 0.999727092353423</f>
        <v>4369.8071206768118</v>
      </c>
      <c r="G2899" s="18">
        <f>E2899* 0.0000516311763794744</f>
        <v>0.22567987195468261</v>
      </c>
      <c r="H2899" s="18">
        <f>E2899* 0.000132765882118648</f>
        <v>0.58031967074061042</v>
      </c>
    </row>
    <row r="2900" spans="1:8" ht="15.75" hidden="1" customHeight="1" x14ac:dyDescent="0.25">
      <c r="A2900" s="20" t="s">
        <v>224</v>
      </c>
      <c r="B2900" s="47" t="s">
        <v>244</v>
      </c>
      <c r="C2900" s="49"/>
      <c r="D2900" s="19" t="s">
        <v>36</v>
      </c>
      <c r="E2900" s="23">
        <v>18</v>
      </c>
      <c r="F2900" s="18">
        <f>E2900* 0.995894428152493</f>
        <v>17.926099706744875</v>
      </c>
      <c r="G2900" s="18">
        <f>E2900* 0.000586510263929619</f>
        <v>1.0557184750733141E-2</v>
      </c>
      <c r="H2900" s="18">
        <f>E2900* 0.00351906158357771</f>
        <v>6.3343108504398782E-2</v>
      </c>
    </row>
    <row r="2901" spans="1:8" ht="15.75" hidden="1" customHeight="1" x14ac:dyDescent="0.25">
      <c r="A2901" s="20" t="s">
        <v>224</v>
      </c>
      <c r="B2901" s="47" t="s">
        <v>244</v>
      </c>
      <c r="C2901" s="49"/>
      <c r="D2901" s="19" t="s">
        <v>28</v>
      </c>
      <c r="E2901" s="23">
        <v>70</v>
      </c>
      <c r="F2901" s="18">
        <f>E2901* 0.00302222222222222</f>
        <v>0.21155555555555539</v>
      </c>
      <c r="G2901" s="18">
        <f>E2901* 0.996622222222222</f>
        <v>69.763555555555541</v>
      </c>
      <c r="H2901" s="18">
        <f>E2901* 0.000355555555555556</f>
        <v>2.4888888888888919E-2</v>
      </c>
    </row>
    <row r="2902" spans="1:8" ht="15.75" hidden="1" customHeight="1" x14ac:dyDescent="0.25">
      <c r="A2902" s="20" t="s">
        <v>224</v>
      </c>
      <c r="B2902" s="47" t="s">
        <v>244</v>
      </c>
      <c r="C2902" s="49"/>
      <c r="D2902" s="19" t="s">
        <v>12</v>
      </c>
      <c r="E2902" s="23">
        <v>596</v>
      </c>
      <c r="F2902" s="18">
        <f>E2902* 0.802335182557089</f>
        <v>478.19176880402506</v>
      </c>
      <c r="G2902" s="18">
        <f>E2902* 0.124687137143594</f>
        <v>74.31353373758202</v>
      </c>
      <c r="H2902" s="18">
        <f>E2902* 0.0729583279576829</f>
        <v>43.483163462779004</v>
      </c>
    </row>
    <row r="2903" spans="1:8" ht="15.75" hidden="1" customHeight="1" x14ac:dyDescent="0.25">
      <c r="A2903" s="20" t="s">
        <v>224</v>
      </c>
      <c r="B2903" s="20"/>
      <c r="C2903" s="20"/>
      <c r="D2903" s="46"/>
      <c r="E2903" s="35"/>
    </row>
    <row r="2904" spans="1:8" ht="15.75" hidden="1" customHeight="1" x14ac:dyDescent="0.25">
      <c r="A2904" s="20" t="s">
        <v>224</v>
      </c>
      <c r="B2904" s="47" t="s">
        <v>245</v>
      </c>
      <c r="C2904" s="12" t="str">
        <f>B2904&amp;"_"&amp;A2904</f>
        <v>Montero_Santa Cruz</v>
      </c>
      <c r="D2904" s="20"/>
      <c r="E2904" s="48">
        <v>131837</v>
      </c>
      <c r="F2904" s="14">
        <f t="shared" ref="F2904:H2904" si="243">SUM(F2905:F2919)</f>
        <v>124150.76523652814</v>
      </c>
      <c r="G2904" s="14">
        <f t="shared" si="243"/>
        <v>6209.390311198671</v>
      </c>
      <c r="H2904" s="14">
        <f t="shared" si="243"/>
        <v>1466.6457436642736</v>
      </c>
    </row>
    <row r="2905" spans="1:8" ht="15.75" hidden="1" customHeight="1" x14ac:dyDescent="0.25">
      <c r="A2905" s="20" t="s">
        <v>224</v>
      </c>
      <c r="B2905" s="47" t="s">
        <v>245</v>
      </c>
      <c r="C2905" s="49"/>
      <c r="D2905" s="29" t="s">
        <v>638</v>
      </c>
      <c r="E2905" s="23">
        <v>12</v>
      </c>
      <c r="F2905" s="20">
        <v>0</v>
      </c>
      <c r="G2905" s="24">
        <f>E2905</f>
        <v>12</v>
      </c>
      <c r="H2905" s="20">
        <v>0</v>
      </c>
    </row>
    <row r="2906" spans="1:8" ht="15.75" hidden="1" customHeight="1" x14ac:dyDescent="0.25">
      <c r="A2906" s="20" t="s">
        <v>224</v>
      </c>
      <c r="B2906" s="47" t="s">
        <v>245</v>
      </c>
      <c r="C2906" s="49"/>
      <c r="D2906" s="19" t="s">
        <v>15</v>
      </c>
      <c r="E2906" s="23">
        <v>4803</v>
      </c>
      <c r="F2906" s="18">
        <f>E2906* 0.932303048052446</f>
        <v>4477.8515397958981</v>
      </c>
      <c r="G2906" s="18">
        <f>E2906* 0.0217058280204555</f>
        <v>104.25309198224775</v>
      </c>
      <c r="H2906" s="18">
        <f>E2906* 0.0459798598751943</f>
        <v>220.8412669805582</v>
      </c>
    </row>
    <row r="2907" spans="1:8" ht="15.75" hidden="1" customHeight="1" x14ac:dyDescent="0.25">
      <c r="A2907" s="20" t="s">
        <v>224</v>
      </c>
      <c r="B2907" s="47" t="s">
        <v>245</v>
      </c>
      <c r="C2907" s="49"/>
      <c r="D2907" s="29" t="s">
        <v>639</v>
      </c>
      <c r="E2907" s="23">
        <v>110</v>
      </c>
      <c r="F2907" s="18">
        <f>E2907* 0.293894936109797</f>
        <v>32.328442972077667</v>
      </c>
      <c r="G2907" s="18">
        <f>E2907* 0.663038334122101</f>
        <v>72.934216753431116</v>
      </c>
      <c r="H2907" s="18">
        <f>E2907* 0.0430667297681022</f>
        <v>4.7373402744912418</v>
      </c>
    </row>
    <row r="2908" spans="1:8" ht="15.75" hidden="1" customHeight="1" x14ac:dyDescent="0.25">
      <c r="A2908" s="20" t="s">
        <v>224</v>
      </c>
      <c r="B2908" s="47" t="s">
        <v>245</v>
      </c>
      <c r="C2908" s="49"/>
      <c r="D2908" s="19" t="s">
        <v>11</v>
      </c>
      <c r="E2908" s="23">
        <v>3094</v>
      </c>
      <c r="F2908" s="18">
        <f>E2908* 0.083479491676667</f>
        <v>258.28554724760772</v>
      </c>
      <c r="G2908" s="18">
        <f>E2908* 0.913505030924029</f>
        <v>2826.3845656789458</v>
      </c>
      <c r="H2908" s="18">
        <f>E2908* 0.00292316686667282</f>
        <v>9.0442782854857047</v>
      </c>
    </row>
    <row r="2909" spans="1:8" ht="15.75" hidden="1" customHeight="1" x14ac:dyDescent="0.25">
      <c r="A2909" s="20" t="s">
        <v>224</v>
      </c>
      <c r="B2909" s="47" t="s">
        <v>245</v>
      </c>
      <c r="C2909" s="49"/>
      <c r="D2909" s="19" t="s">
        <v>17</v>
      </c>
      <c r="E2909" s="23">
        <v>4779</v>
      </c>
      <c r="F2909" s="18">
        <f>E2909* 0.752045572242362</f>
        <v>3594.0257897462479</v>
      </c>
      <c r="G2909" s="18">
        <f>E2909* 0.185827723114103</f>
        <v>888.07068876229823</v>
      </c>
      <c r="H2909" s="18">
        <f>E2909* 0.0620921802175039</f>
        <v>296.73852925945113</v>
      </c>
    </row>
    <row r="2910" spans="1:8" ht="15.75" hidden="1" customHeight="1" x14ac:dyDescent="0.25">
      <c r="A2910" s="20" t="s">
        <v>224</v>
      </c>
      <c r="B2910" s="47" t="s">
        <v>245</v>
      </c>
      <c r="C2910" s="49"/>
      <c r="D2910" s="19" t="s">
        <v>31</v>
      </c>
      <c r="E2910" s="23">
        <v>94</v>
      </c>
      <c r="F2910" s="18">
        <f>E2910* 0.929131175468484</f>
        <v>87.338330494037493</v>
      </c>
      <c r="G2910" s="18">
        <f>E2910* 0.0477001703577513</f>
        <v>4.4838160136286227</v>
      </c>
      <c r="H2910" s="18">
        <f>E2910* 0.0231686541737649</f>
        <v>2.1778534923339006</v>
      </c>
    </row>
    <row r="2911" spans="1:8" ht="15.75" hidden="1" customHeight="1" x14ac:dyDescent="0.25">
      <c r="A2911" s="20" t="s">
        <v>224</v>
      </c>
      <c r="B2911" s="47" t="s">
        <v>245</v>
      </c>
      <c r="C2911" s="49"/>
      <c r="D2911" s="19" t="s">
        <v>18</v>
      </c>
      <c r="E2911" s="23">
        <v>1060</v>
      </c>
      <c r="F2911" s="18">
        <f>E2911* 0.893702527830246</f>
        <v>947.32467950006071</v>
      </c>
      <c r="G2911" s="18">
        <f>E2911* 0.0946831169875015</f>
        <v>100.36410400675159</v>
      </c>
      <c r="H2911" s="18">
        <f>E2911* 0.0116143551822529</f>
        <v>12.311216493188073</v>
      </c>
    </row>
    <row r="2912" spans="1:8" ht="15.75" hidden="1" customHeight="1" x14ac:dyDescent="0.25">
      <c r="A2912" s="20" t="s">
        <v>224</v>
      </c>
      <c r="B2912" s="47" t="s">
        <v>245</v>
      </c>
      <c r="C2912" s="49"/>
      <c r="D2912" s="19" t="s">
        <v>19</v>
      </c>
      <c r="E2912" s="23">
        <v>191</v>
      </c>
      <c r="F2912" s="18">
        <f>E2912* 0.0299845873616365</f>
        <v>5.7270561860725708</v>
      </c>
      <c r="G2912" s="18">
        <f>E2912* 0.96385035729298</f>
        <v>184.09541824295917</v>
      </c>
      <c r="H2912" s="18">
        <f>E2912* 0.00616505534538321</f>
        <v>1.1775255709681931</v>
      </c>
    </row>
    <row r="2913" spans="1:8" ht="15.75" hidden="1" customHeight="1" x14ac:dyDescent="0.25">
      <c r="A2913" s="20" t="s">
        <v>224</v>
      </c>
      <c r="B2913" s="47" t="s">
        <v>245</v>
      </c>
      <c r="C2913" s="49"/>
      <c r="D2913" s="19" t="s">
        <v>20</v>
      </c>
      <c r="E2913" s="23">
        <v>990</v>
      </c>
      <c r="F2913" s="18">
        <f>E2913* 0.734251968503937</f>
        <v>726.90944881889766</v>
      </c>
      <c r="G2913" s="18">
        <f>E2913* 0.158017179670723</f>
        <v>156.43700787401579</v>
      </c>
      <c r="H2913" s="18">
        <f>E2913* 0.107551896921976</f>
        <v>106.47637795275624</v>
      </c>
    </row>
    <row r="2914" spans="1:8" ht="15.75" hidden="1" customHeight="1" x14ac:dyDescent="0.25">
      <c r="A2914" s="20" t="s">
        <v>224</v>
      </c>
      <c r="B2914" s="47" t="s">
        <v>245</v>
      </c>
      <c r="C2914" s="49"/>
      <c r="D2914" s="19" t="s">
        <v>21</v>
      </c>
      <c r="E2914" s="23">
        <v>105129</v>
      </c>
      <c r="F2914" s="18">
        <f>E2914* 0.999727092353423</f>
        <v>105100.30949202301</v>
      </c>
      <c r="G2914" s="18">
        <f>E2914* 0.0000516311763794744</f>
        <v>5.4279339415977645</v>
      </c>
      <c r="H2914" s="18">
        <f>E2914* 0.000132765882118648</f>
        <v>13.957544421251345</v>
      </c>
    </row>
    <row r="2915" spans="1:8" ht="15.75" hidden="1" customHeight="1" x14ac:dyDescent="0.25">
      <c r="A2915" s="20" t="s">
        <v>224</v>
      </c>
      <c r="B2915" s="47" t="s">
        <v>245</v>
      </c>
      <c r="C2915" s="49"/>
      <c r="D2915" s="19" t="s">
        <v>36</v>
      </c>
      <c r="E2915" s="23">
        <v>137</v>
      </c>
      <c r="F2915" s="18">
        <f>E2915* 0.995894428152493</f>
        <v>136.43753665689152</v>
      </c>
      <c r="G2915" s="18">
        <f>E2915* 0.000586510263929619</f>
        <v>8.03519061583578E-2</v>
      </c>
      <c r="H2915" s="18">
        <f>E2915* 0.00351906158357771</f>
        <v>0.48211143695014624</v>
      </c>
    </row>
    <row r="2916" spans="1:8" ht="15.75" hidden="1" customHeight="1" x14ac:dyDescent="0.25">
      <c r="A2916" s="20" t="s">
        <v>224</v>
      </c>
      <c r="B2916" s="47" t="s">
        <v>245</v>
      </c>
      <c r="C2916" s="49"/>
      <c r="D2916" s="19" t="s">
        <v>37</v>
      </c>
      <c r="E2916" s="23">
        <v>1</v>
      </c>
      <c r="F2916" s="20">
        <v>0</v>
      </c>
      <c r="G2916" s="24">
        <f>E2916</f>
        <v>1</v>
      </c>
      <c r="H2916" s="20">
        <v>0</v>
      </c>
    </row>
    <row r="2917" spans="1:8" ht="15.75" hidden="1" customHeight="1" x14ac:dyDescent="0.25">
      <c r="A2917" s="20" t="s">
        <v>224</v>
      </c>
      <c r="B2917" s="47" t="s">
        <v>245</v>
      </c>
      <c r="C2917" s="49"/>
      <c r="D2917" s="19" t="s">
        <v>28</v>
      </c>
      <c r="E2917" s="23">
        <v>486</v>
      </c>
      <c r="F2917" s="18">
        <f>E2917* 0.00302222222222222</f>
        <v>1.468799999999999</v>
      </c>
      <c r="G2917" s="18">
        <f>E2917* 0.996622222222222</f>
        <v>484.35839999999985</v>
      </c>
      <c r="H2917" s="18">
        <f>E2917* 0.000355555555555556</f>
        <v>0.17280000000000023</v>
      </c>
    </row>
    <row r="2918" spans="1:8" ht="15.75" hidden="1" customHeight="1" x14ac:dyDescent="0.25">
      <c r="A2918" s="20" t="s">
        <v>224</v>
      </c>
      <c r="B2918" s="47" t="s">
        <v>245</v>
      </c>
      <c r="C2918" s="49"/>
      <c r="D2918" s="19" t="s">
        <v>84</v>
      </c>
      <c r="E2918" s="23">
        <v>6</v>
      </c>
      <c r="F2918" s="20">
        <f>E2918*0.2</f>
        <v>1.2000000000000002</v>
      </c>
      <c r="G2918" s="20">
        <f>E2918*0.8</f>
        <v>4.8000000000000007</v>
      </c>
      <c r="H2918" s="20">
        <v>0</v>
      </c>
    </row>
    <row r="2919" spans="1:8" ht="15.75" hidden="1" customHeight="1" x14ac:dyDescent="0.25">
      <c r="A2919" s="20" t="s">
        <v>224</v>
      </c>
      <c r="B2919" s="47" t="s">
        <v>245</v>
      </c>
      <c r="C2919" s="49"/>
      <c r="D2919" s="19" t="s">
        <v>12</v>
      </c>
      <c r="E2919" s="23">
        <v>10945</v>
      </c>
      <c r="F2919" s="18">
        <f>E2919* 0.802335182557089</f>
        <v>8781.558573087339</v>
      </c>
      <c r="G2919" s="18">
        <f>E2919* 0.124687137143594</f>
        <v>1364.7007160366363</v>
      </c>
      <c r="H2919" s="18">
        <f>E2919* 0.0729583279576829</f>
        <v>798.52889949683924</v>
      </c>
    </row>
    <row r="2920" spans="1:8" ht="15.75" hidden="1" customHeight="1" x14ac:dyDescent="0.25">
      <c r="A2920" s="20" t="s">
        <v>224</v>
      </c>
      <c r="B2920" s="20"/>
      <c r="C2920" s="20"/>
      <c r="D2920" s="46"/>
      <c r="E2920" s="35"/>
    </row>
    <row r="2921" spans="1:8" ht="15.75" hidden="1" customHeight="1" x14ac:dyDescent="0.25">
      <c r="A2921" s="20" t="s">
        <v>224</v>
      </c>
      <c r="B2921" s="47" t="s">
        <v>246</v>
      </c>
      <c r="C2921" s="12" t="str">
        <f>B2921&amp;"_"&amp;A2921</f>
        <v>Moromoro_Santa Cruz</v>
      </c>
      <c r="D2921" s="20"/>
      <c r="E2921" s="48">
        <v>127</v>
      </c>
      <c r="F2921" s="14">
        <f t="shared" ref="F2921:H2921" si="244">SUM(F2922:F2931)</f>
        <v>61.872720363346026</v>
      </c>
      <c r="G2921" s="14">
        <f t="shared" si="244"/>
        <v>61.749209067100502</v>
      </c>
      <c r="H2921" s="14">
        <f t="shared" si="244"/>
        <v>3.370359723096926</v>
      </c>
    </row>
    <row r="2922" spans="1:8" ht="15.75" hidden="1" customHeight="1" x14ac:dyDescent="0.25">
      <c r="A2922" s="20" t="s">
        <v>224</v>
      </c>
      <c r="B2922" s="47" t="s">
        <v>246</v>
      </c>
      <c r="C2922" s="49"/>
      <c r="D2922" s="29" t="s">
        <v>640</v>
      </c>
      <c r="E2922" s="23">
        <v>2</v>
      </c>
      <c r="F2922" s="20">
        <v>0</v>
      </c>
      <c r="G2922" s="24">
        <f>E2922</f>
        <v>2</v>
      </c>
      <c r="H2922" s="20">
        <v>0</v>
      </c>
    </row>
    <row r="2923" spans="1:8" ht="15.75" hidden="1" customHeight="1" x14ac:dyDescent="0.25">
      <c r="A2923" s="20" t="s">
        <v>224</v>
      </c>
      <c r="B2923" s="47" t="s">
        <v>246</v>
      </c>
      <c r="C2923" s="49"/>
      <c r="D2923" s="19" t="s">
        <v>15</v>
      </c>
      <c r="E2923" s="23">
        <v>5</v>
      </c>
      <c r="F2923" s="18">
        <f>E2923* 0.932303048052446</f>
        <v>4.6615152402622302</v>
      </c>
      <c r="G2923" s="18">
        <f>E2923* 0.0217058280204555</f>
        <v>0.10852914010227749</v>
      </c>
      <c r="H2923" s="18">
        <f>E2923* 0.0459798598751943</f>
        <v>0.22989929937597148</v>
      </c>
    </row>
    <row r="2924" spans="1:8" ht="15.75" hidden="1" customHeight="1" x14ac:dyDescent="0.25">
      <c r="A2924" s="20" t="s">
        <v>224</v>
      </c>
      <c r="B2924" s="47" t="s">
        <v>246</v>
      </c>
      <c r="C2924" s="49"/>
      <c r="D2924" s="29" t="s">
        <v>641</v>
      </c>
      <c r="E2924" s="23">
        <v>3</v>
      </c>
      <c r="F2924" s="18">
        <f>E2924* 0.293894936109797</f>
        <v>0.881684808329391</v>
      </c>
      <c r="G2924" s="18">
        <f>E2924* 0.663038334122101</f>
        <v>1.9891150023663031</v>
      </c>
      <c r="H2924" s="18">
        <f>E2924* 0.0430667297681022</f>
        <v>0.1292001893043066</v>
      </c>
    </row>
    <row r="2925" spans="1:8" ht="15.75" hidden="1" customHeight="1" x14ac:dyDescent="0.25">
      <c r="A2925" s="20" t="s">
        <v>224</v>
      </c>
      <c r="B2925" s="47" t="s">
        <v>246</v>
      </c>
      <c r="C2925" s="49"/>
      <c r="D2925" s="19" t="s">
        <v>11</v>
      </c>
      <c r="E2925" s="23">
        <v>55</v>
      </c>
      <c r="F2925" s="18">
        <f>E2925* 0.083479491676667</f>
        <v>4.591372042216685</v>
      </c>
      <c r="G2925" s="18">
        <f>E2925* 0.913505030924029</f>
        <v>50.242776700821594</v>
      </c>
      <c r="H2925" s="18">
        <f>E2925* 0.00292316686667282</f>
        <v>0.16077417766700511</v>
      </c>
    </row>
    <row r="2926" spans="1:8" ht="15.75" hidden="1" customHeight="1" x14ac:dyDescent="0.25">
      <c r="A2926" s="20" t="s">
        <v>224</v>
      </c>
      <c r="B2926" s="47" t="s">
        <v>246</v>
      </c>
      <c r="C2926" s="49"/>
      <c r="D2926" s="19" t="s">
        <v>17</v>
      </c>
      <c r="E2926" s="23">
        <v>15</v>
      </c>
      <c r="F2926" s="18">
        <f>E2926* 0.752045572242362</f>
        <v>11.28068358363543</v>
      </c>
      <c r="G2926" s="18">
        <f>E2926* 0.185827723114103</f>
        <v>2.7874158467115451</v>
      </c>
      <c r="H2926" s="18">
        <f>E2926* 0.0620921802175039</f>
        <v>0.93138270326255856</v>
      </c>
    </row>
    <row r="2927" spans="1:8" ht="15.75" hidden="1" customHeight="1" x14ac:dyDescent="0.25">
      <c r="A2927" s="20" t="s">
        <v>224</v>
      </c>
      <c r="B2927" s="47" t="s">
        <v>246</v>
      </c>
      <c r="C2927" s="49"/>
      <c r="D2927" s="19" t="s">
        <v>18</v>
      </c>
      <c r="E2927" s="23">
        <v>5</v>
      </c>
      <c r="F2927" s="18">
        <f>E2927* 0.893702527830246</f>
        <v>4.4685126391512302</v>
      </c>
      <c r="G2927" s="18">
        <f>E2927* 0.0946831169875015</f>
        <v>0.47341558493750746</v>
      </c>
      <c r="H2927" s="18">
        <f>E2927* 0.0116143551822529</f>
        <v>5.80717759112645E-2</v>
      </c>
    </row>
    <row r="2928" spans="1:8" ht="15.75" hidden="1" customHeight="1" x14ac:dyDescent="0.25">
      <c r="A2928" s="20" t="s">
        <v>224</v>
      </c>
      <c r="B2928" s="47" t="s">
        <v>246</v>
      </c>
      <c r="C2928" s="49"/>
      <c r="D2928" s="19" t="s">
        <v>20</v>
      </c>
      <c r="E2928" s="23">
        <v>1</v>
      </c>
      <c r="F2928" s="18">
        <f>E2928* 0.734251968503937</f>
        <v>0.73425196850393704</v>
      </c>
      <c r="G2928" s="18">
        <f>E2928* 0.158017179670723</f>
        <v>0.15801717967072301</v>
      </c>
      <c r="H2928" s="18">
        <f>E2928* 0.107551896921976</f>
        <v>0.107551896921976</v>
      </c>
    </row>
    <row r="2929" spans="1:8" ht="15.75" hidden="1" customHeight="1" x14ac:dyDescent="0.25">
      <c r="A2929" s="20" t="s">
        <v>224</v>
      </c>
      <c r="B2929" s="47" t="s">
        <v>246</v>
      </c>
      <c r="C2929" s="49"/>
      <c r="D2929" s="19" t="s">
        <v>21</v>
      </c>
      <c r="E2929" s="23">
        <v>16</v>
      </c>
      <c r="F2929" s="18">
        <f>E2929* 0.999727092353423</f>
        <v>15.995633477654769</v>
      </c>
      <c r="G2929" s="18">
        <f>E2929* 0.0000516311763794744</f>
        <v>8.2609882207159042E-4</v>
      </c>
      <c r="H2929" s="18">
        <f>E2929* 0.000132765882118648</f>
        <v>2.1242541138983681E-3</v>
      </c>
    </row>
    <row r="2930" spans="1:8" ht="15.75" hidden="1" customHeight="1" x14ac:dyDescent="0.25">
      <c r="A2930" s="20" t="s">
        <v>224</v>
      </c>
      <c r="B2930" s="47" t="s">
        <v>246</v>
      </c>
      <c r="C2930" s="49"/>
      <c r="D2930" s="19" t="s">
        <v>28</v>
      </c>
      <c r="E2930" s="23">
        <v>1</v>
      </c>
      <c r="F2930" s="18">
        <f>E2930* 0.00302222222222222</f>
        <v>3.02222222222222E-3</v>
      </c>
      <c r="G2930" s="18">
        <f>E2930* 0.996622222222222</f>
        <v>0.99662222222222197</v>
      </c>
      <c r="H2930" s="18">
        <f>E2930* 0.000355555555555556</f>
        <v>3.5555555555555601E-4</v>
      </c>
    </row>
    <row r="2931" spans="1:8" ht="15.75" hidden="1" customHeight="1" x14ac:dyDescent="0.25">
      <c r="A2931" s="20" t="s">
        <v>224</v>
      </c>
      <c r="B2931" s="47" t="s">
        <v>246</v>
      </c>
      <c r="C2931" s="49"/>
      <c r="D2931" s="19" t="s">
        <v>12</v>
      </c>
      <c r="E2931" s="23">
        <v>24</v>
      </c>
      <c r="F2931" s="18">
        <f>E2931* 0.802335182557089</f>
        <v>19.256044381370138</v>
      </c>
      <c r="G2931" s="18">
        <f>E2931* 0.124687137143594</f>
        <v>2.9924912914462558</v>
      </c>
      <c r="H2931" s="18">
        <f>E2931* 0.0729583279576829</f>
        <v>1.7509998709843895</v>
      </c>
    </row>
    <row r="2932" spans="1:8" ht="15.75" hidden="1" customHeight="1" x14ac:dyDescent="0.25">
      <c r="A2932" s="20" t="s">
        <v>224</v>
      </c>
      <c r="B2932" s="20"/>
      <c r="C2932" s="20"/>
      <c r="D2932" s="46"/>
      <c r="E2932" s="35"/>
    </row>
    <row r="2933" spans="1:8" ht="15.75" hidden="1" customHeight="1" x14ac:dyDescent="0.25">
      <c r="A2933" s="20" t="s">
        <v>224</v>
      </c>
      <c r="B2933" s="47" t="s">
        <v>247</v>
      </c>
      <c r="C2933" s="12" t="str">
        <f>B2933&amp;"_"&amp;A2933</f>
        <v>Okinawa_Santa Cruz</v>
      </c>
      <c r="D2933" s="20"/>
      <c r="E2933" s="48">
        <v>5811</v>
      </c>
      <c r="F2933" s="14">
        <f t="shared" ref="F2933:H2933" si="245">SUM(F2934:F2947)</f>
        <v>4839.9909825915356</v>
      </c>
      <c r="G2933" s="14">
        <f t="shared" si="245"/>
        <v>844.15489749642029</v>
      </c>
      <c r="H2933" s="14">
        <f t="shared" si="245"/>
        <v>126.49102723723985</v>
      </c>
    </row>
    <row r="2934" spans="1:8" ht="15.75" hidden="1" customHeight="1" x14ac:dyDescent="0.25">
      <c r="A2934" s="20" t="s">
        <v>224</v>
      </c>
      <c r="B2934" s="47" t="s">
        <v>247</v>
      </c>
      <c r="C2934" s="49"/>
      <c r="D2934" s="29" t="s">
        <v>642</v>
      </c>
      <c r="E2934" s="23">
        <v>0</v>
      </c>
      <c r="F2934" s="20">
        <v>0</v>
      </c>
      <c r="G2934" s="24">
        <f>E2934</f>
        <v>0</v>
      </c>
      <c r="H2934" s="20">
        <v>0</v>
      </c>
    </row>
    <row r="2935" spans="1:8" ht="15.75" hidden="1" customHeight="1" x14ac:dyDescent="0.25">
      <c r="A2935" s="20" t="s">
        <v>224</v>
      </c>
      <c r="B2935" s="47" t="s">
        <v>247</v>
      </c>
      <c r="C2935" s="49"/>
      <c r="D2935" s="19" t="s">
        <v>15</v>
      </c>
      <c r="E2935" s="23">
        <v>394</v>
      </c>
      <c r="F2935" s="18">
        <f>E2935* 0.932303048052446</f>
        <v>367.32740093266375</v>
      </c>
      <c r="G2935" s="18">
        <f>E2935* 0.0217058280204555</f>
        <v>8.5520962400594662</v>
      </c>
      <c r="H2935" s="18">
        <f>E2935* 0.0459798598751943</f>
        <v>18.116064790826552</v>
      </c>
    </row>
    <row r="2936" spans="1:8" ht="15.75" hidden="1" customHeight="1" x14ac:dyDescent="0.25">
      <c r="A2936" s="20" t="s">
        <v>224</v>
      </c>
      <c r="B2936" s="47" t="s">
        <v>247</v>
      </c>
      <c r="C2936" s="49"/>
      <c r="D2936" s="29" t="s">
        <v>643</v>
      </c>
      <c r="E2936" s="23">
        <v>36</v>
      </c>
      <c r="F2936" s="18">
        <f>E2936* 0.293894936109797</f>
        <v>10.580217699952692</v>
      </c>
      <c r="G2936" s="18">
        <f>E2936* 0.663038334122101</f>
        <v>23.869380028395636</v>
      </c>
      <c r="H2936" s="18">
        <f>E2936* 0.0430667297681022</f>
        <v>1.5504022716516792</v>
      </c>
    </row>
    <row r="2937" spans="1:8" ht="15.75" hidden="1" customHeight="1" x14ac:dyDescent="0.25">
      <c r="A2937" s="20" t="s">
        <v>224</v>
      </c>
      <c r="B2937" s="47" t="s">
        <v>247</v>
      </c>
      <c r="C2937" s="49"/>
      <c r="D2937" s="19" t="s">
        <v>11</v>
      </c>
      <c r="E2937" s="23">
        <v>454</v>
      </c>
      <c r="F2937" s="18">
        <f>E2937* 0.083479491676667</f>
        <v>37.89968922120682</v>
      </c>
      <c r="G2937" s="18">
        <f>E2937* 0.913505030924029</f>
        <v>414.73128403950915</v>
      </c>
      <c r="H2937" s="18">
        <f>E2937* 0.00292316686667282</f>
        <v>1.3271177574694601</v>
      </c>
    </row>
    <row r="2938" spans="1:8" ht="15.75" hidden="1" customHeight="1" x14ac:dyDescent="0.25">
      <c r="A2938" s="20" t="s">
        <v>224</v>
      </c>
      <c r="B2938" s="47" t="s">
        <v>247</v>
      </c>
      <c r="C2938" s="49"/>
      <c r="D2938" s="19" t="s">
        <v>17</v>
      </c>
      <c r="E2938" s="23">
        <v>520</v>
      </c>
      <c r="F2938" s="18">
        <f>E2938* 0.752045572242362</f>
        <v>391.06369756602822</v>
      </c>
      <c r="G2938" s="18">
        <f>E2938* 0.185827723114103</f>
        <v>96.630416019333566</v>
      </c>
      <c r="H2938" s="18">
        <f>E2938* 0.0620921802175039</f>
        <v>32.287933713102028</v>
      </c>
    </row>
    <row r="2939" spans="1:8" ht="15.75" hidden="1" customHeight="1" x14ac:dyDescent="0.25">
      <c r="A2939" s="20" t="s">
        <v>224</v>
      </c>
      <c r="B2939" s="47" t="s">
        <v>247</v>
      </c>
      <c r="C2939" s="49"/>
      <c r="D2939" s="19" t="s">
        <v>31</v>
      </c>
      <c r="E2939" s="23">
        <v>10</v>
      </c>
      <c r="F2939" s="18">
        <f>E2939* 0.929131175468484</f>
        <v>9.2913117546848394</v>
      </c>
      <c r="G2939" s="18">
        <f>E2939* 0.0477001703577513</f>
        <v>0.47700170357751304</v>
      </c>
      <c r="H2939" s="18">
        <f>E2939* 0.0231686541737649</f>
        <v>0.23168654173764899</v>
      </c>
    </row>
    <row r="2940" spans="1:8" ht="15.75" hidden="1" customHeight="1" x14ac:dyDescent="0.25">
      <c r="A2940" s="20" t="s">
        <v>224</v>
      </c>
      <c r="B2940" s="47" t="s">
        <v>247</v>
      </c>
      <c r="C2940" s="49"/>
      <c r="D2940" s="19" t="s">
        <v>18</v>
      </c>
      <c r="E2940" s="23">
        <v>122</v>
      </c>
      <c r="F2940" s="18">
        <f>E2940* 0.893702527830246</f>
        <v>109.03170839529001</v>
      </c>
      <c r="G2940" s="18">
        <f>E2940* 0.0946831169875015</f>
        <v>11.551340272475182</v>
      </c>
      <c r="H2940" s="18">
        <f>E2940* 0.0116143551822529</f>
        <v>1.4169513322348539</v>
      </c>
    </row>
    <row r="2941" spans="1:8" ht="15.75" hidden="1" customHeight="1" x14ac:dyDescent="0.25">
      <c r="A2941" s="20" t="s">
        <v>224</v>
      </c>
      <c r="B2941" s="47" t="s">
        <v>247</v>
      </c>
      <c r="C2941" s="49"/>
      <c r="D2941" s="29" t="s">
        <v>644</v>
      </c>
      <c r="E2941" s="23">
        <v>1</v>
      </c>
      <c r="F2941" s="20">
        <v>0</v>
      </c>
      <c r="G2941" s="24">
        <f>E2941</f>
        <v>1</v>
      </c>
      <c r="H2941" s="20">
        <v>0</v>
      </c>
    </row>
    <row r="2942" spans="1:8" ht="15.75" hidden="1" customHeight="1" x14ac:dyDescent="0.25">
      <c r="A2942" s="20" t="s">
        <v>224</v>
      </c>
      <c r="B2942" s="47" t="s">
        <v>247</v>
      </c>
      <c r="C2942" s="49"/>
      <c r="D2942" s="19" t="s">
        <v>19</v>
      </c>
      <c r="E2942" s="23">
        <v>25</v>
      </c>
      <c r="F2942" s="18">
        <f>E2942* 0.0299845873616365</f>
        <v>0.74961468404091247</v>
      </c>
      <c r="G2942" s="18">
        <f>E2942* 0.96385035729298</f>
        <v>24.096258932324499</v>
      </c>
      <c r="H2942" s="18">
        <f>E2942* 0.00616505534538321</f>
        <v>0.15412638363458026</v>
      </c>
    </row>
    <row r="2943" spans="1:8" ht="15.75" hidden="1" customHeight="1" x14ac:dyDescent="0.25">
      <c r="A2943" s="20" t="s">
        <v>224</v>
      </c>
      <c r="B2943" s="47" t="s">
        <v>247</v>
      </c>
      <c r="C2943" s="49"/>
      <c r="D2943" s="19" t="s">
        <v>20</v>
      </c>
      <c r="E2943" s="23">
        <v>22</v>
      </c>
      <c r="F2943" s="18">
        <f>E2943* 0.734251968503937</f>
        <v>16.153543307086615</v>
      </c>
      <c r="G2943" s="18">
        <f>E2943* 0.158017179670723</f>
        <v>3.4763779527559064</v>
      </c>
      <c r="H2943" s="18">
        <f>E2943* 0.107551896921976</f>
        <v>2.3661417322834719</v>
      </c>
    </row>
    <row r="2944" spans="1:8" ht="15.75" hidden="1" customHeight="1" x14ac:dyDescent="0.25">
      <c r="A2944" s="20" t="s">
        <v>224</v>
      </c>
      <c r="B2944" s="47" t="s">
        <v>247</v>
      </c>
      <c r="C2944" s="49"/>
      <c r="D2944" s="19" t="s">
        <v>21</v>
      </c>
      <c r="E2944" s="23">
        <v>3126</v>
      </c>
      <c r="F2944" s="18">
        <f>E2944* 0.999727092353423</f>
        <v>3125.1468906968003</v>
      </c>
      <c r="G2944" s="18">
        <f>E2944* 0.0000516311763794744</f>
        <v>0.16139905736223698</v>
      </c>
      <c r="H2944" s="18">
        <f>E2944* 0.000132765882118648</f>
        <v>0.41502614750289368</v>
      </c>
    </row>
    <row r="2945" spans="1:8" ht="15.75" hidden="1" customHeight="1" x14ac:dyDescent="0.25">
      <c r="A2945" s="20" t="s">
        <v>224</v>
      </c>
      <c r="B2945" s="47" t="s">
        <v>247</v>
      </c>
      <c r="C2945" s="49"/>
      <c r="D2945" s="19" t="s">
        <v>36</v>
      </c>
      <c r="E2945" s="23">
        <v>19</v>
      </c>
      <c r="F2945" s="18">
        <f>E2945* 0.995894428152493</f>
        <v>18.921994134897368</v>
      </c>
      <c r="G2945" s="18">
        <f>E2945* 0.000586510263929619</f>
        <v>1.1143695014662761E-2</v>
      </c>
      <c r="H2945" s="18">
        <f>E2945* 0.00351906158357771</f>
        <v>6.6862170087976486E-2</v>
      </c>
    </row>
    <row r="2946" spans="1:8" ht="15.75" hidden="1" customHeight="1" x14ac:dyDescent="0.25">
      <c r="A2946" s="20" t="s">
        <v>224</v>
      </c>
      <c r="B2946" s="47" t="s">
        <v>247</v>
      </c>
      <c r="C2946" s="49"/>
      <c r="D2946" s="19" t="s">
        <v>28</v>
      </c>
      <c r="E2946" s="23">
        <v>143</v>
      </c>
      <c r="F2946" s="18">
        <f>E2946* 0.00302222222222222</f>
        <v>0.43217777777777744</v>
      </c>
      <c r="G2946" s="18">
        <f>E2946* 0.996622222222222</f>
        <v>142.51697777777775</v>
      </c>
      <c r="H2946" s="18">
        <f>E2946* 0.000355555555555556</f>
        <v>5.0844444444444511E-2</v>
      </c>
    </row>
    <row r="2947" spans="1:8" ht="15.75" hidden="1" customHeight="1" x14ac:dyDescent="0.25">
      <c r="A2947" s="20" t="s">
        <v>224</v>
      </c>
      <c r="B2947" s="47" t="s">
        <v>247</v>
      </c>
      <c r="C2947" s="49"/>
      <c r="D2947" s="19" t="s">
        <v>12</v>
      </c>
      <c r="E2947" s="23">
        <v>939</v>
      </c>
      <c r="F2947" s="18">
        <f>E2947* 0.802335182557089</f>
        <v>753.39273642110663</v>
      </c>
      <c r="G2947" s="18">
        <f>E2947* 0.124687137143594</f>
        <v>117.08122177783477</v>
      </c>
      <c r="H2947" s="18">
        <f>E2947* 0.0729583279576829</f>
        <v>68.507869952264244</v>
      </c>
    </row>
    <row r="2948" spans="1:8" ht="15.75" hidden="1" customHeight="1" x14ac:dyDescent="0.25">
      <c r="A2948" s="20" t="s">
        <v>224</v>
      </c>
      <c r="B2948" s="20"/>
      <c r="C2948" s="20"/>
      <c r="D2948" s="46"/>
      <c r="E2948" s="35"/>
    </row>
    <row r="2949" spans="1:8" ht="15.75" hidden="1" customHeight="1" x14ac:dyDescent="0.25">
      <c r="A2949" s="20" t="s">
        <v>224</v>
      </c>
      <c r="B2949" s="47" t="s">
        <v>248</v>
      </c>
      <c r="C2949" s="12" t="str">
        <f>B2949&amp;"_"&amp;A2949</f>
        <v>Pailón_Santa Cruz</v>
      </c>
      <c r="D2949" s="20"/>
      <c r="E2949" s="48">
        <v>4046</v>
      </c>
      <c r="F2949" s="14">
        <f t="shared" ref="F2949:H2949" si="246">SUM(F2950:F2963)</f>
        <v>3720.6854939941518</v>
      </c>
      <c r="G2949" s="14">
        <f t="shared" si="246"/>
        <v>254.81755915520438</v>
      </c>
      <c r="H2949" s="14">
        <f t="shared" si="246"/>
        <v>70.200267259534627</v>
      </c>
    </row>
    <row r="2950" spans="1:8" ht="15.75" hidden="1" customHeight="1" x14ac:dyDescent="0.25">
      <c r="A2950" s="20" t="s">
        <v>224</v>
      </c>
      <c r="B2950" s="47" t="s">
        <v>248</v>
      </c>
      <c r="C2950" s="49"/>
      <c r="D2950" s="29" t="s">
        <v>645</v>
      </c>
      <c r="E2950" s="23">
        <v>0</v>
      </c>
      <c r="F2950" s="20">
        <v>0</v>
      </c>
      <c r="G2950" s="24">
        <f>E2950</f>
        <v>0</v>
      </c>
      <c r="H2950" s="20">
        <v>0</v>
      </c>
    </row>
    <row r="2951" spans="1:8" ht="15.75" hidden="1" customHeight="1" x14ac:dyDescent="0.25">
      <c r="A2951" s="20" t="s">
        <v>224</v>
      </c>
      <c r="B2951" s="47" t="s">
        <v>248</v>
      </c>
      <c r="C2951" s="49"/>
      <c r="D2951" s="19" t="s">
        <v>15</v>
      </c>
      <c r="E2951" s="23">
        <v>122</v>
      </c>
      <c r="F2951" s="18">
        <f>E2951* 0.932303048052446</f>
        <v>113.74097186239841</v>
      </c>
      <c r="G2951" s="18">
        <f>E2951* 0.0217058280204555</f>
        <v>2.648111018495571</v>
      </c>
      <c r="H2951" s="18">
        <f>E2951* 0.0459798598751943</f>
        <v>5.6095429047737042</v>
      </c>
    </row>
    <row r="2952" spans="1:8" ht="15.75" hidden="1" customHeight="1" x14ac:dyDescent="0.25">
      <c r="A2952" s="20" t="s">
        <v>224</v>
      </c>
      <c r="B2952" s="47" t="s">
        <v>248</v>
      </c>
      <c r="C2952" s="49"/>
      <c r="D2952" s="29" t="s">
        <v>646</v>
      </c>
      <c r="E2952" s="35"/>
      <c r="F2952" s="18">
        <f>E2952* 0.293894936109797</f>
        <v>0</v>
      </c>
      <c r="G2952" s="18">
        <f>E2952* 0.663038334122101</f>
        <v>0</v>
      </c>
      <c r="H2952" s="18">
        <f>E2952* 0.0430667297681022</f>
        <v>0</v>
      </c>
    </row>
    <row r="2953" spans="1:8" ht="15.75" hidden="1" customHeight="1" x14ac:dyDescent="0.25">
      <c r="A2953" s="20" t="s">
        <v>224</v>
      </c>
      <c r="B2953" s="47" t="s">
        <v>248</v>
      </c>
      <c r="C2953" s="49"/>
      <c r="D2953" s="19" t="s">
        <v>11</v>
      </c>
      <c r="E2953" s="23">
        <v>101</v>
      </c>
      <c r="F2953" s="18">
        <f>E2953* 0.083479491676667</f>
        <v>8.4314286593433678</v>
      </c>
      <c r="G2953" s="18">
        <f>E2953* 0.913505030924029</f>
        <v>92.264008123326931</v>
      </c>
      <c r="H2953" s="18">
        <f>E2953* 0.00292316686667282</f>
        <v>0.29523985353395482</v>
      </c>
    </row>
    <row r="2954" spans="1:8" ht="15.75" hidden="1" customHeight="1" x14ac:dyDescent="0.25">
      <c r="A2954" s="20" t="s">
        <v>224</v>
      </c>
      <c r="B2954" s="47" t="s">
        <v>248</v>
      </c>
      <c r="C2954" s="49"/>
      <c r="D2954" s="19" t="s">
        <v>17</v>
      </c>
      <c r="E2954" s="23">
        <v>283</v>
      </c>
      <c r="F2954" s="18">
        <f>E2954* 0.752045572242362</f>
        <v>212.82889694458845</v>
      </c>
      <c r="G2954" s="18">
        <f>E2954* 0.185827723114103</f>
        <v>52.58924564129115</v>
      </c>
      <c r="H2954" s="18">
        <f>E2954* 0.0620921802175039</f>
        <v>17.572087001553605</v>
      </c>
    </row>
    <row r="2955" spans="1:8" ht="15.75" hidden="1" customHeight="1" x14ac:dyDescent="0.25">
      <c r="A2955" s="20" t="s">
        <v>224</v>
      </c>
      <c r="B2955" s="47" t="s">
        <v>248</v>
      </c>
      <c r="C2955" s="49"/>
      <c r="D2955" s="19" t="s">
        <v>31</v>
      </c>
      <c r="E2955" s="23">
        <v>10</v>
      </c>
      <c r="F2955" s="18">
        <f>E2955* 0.929131175468484</f>
        <v>9.2913117546848394</v>
      </c>
      <c r="G2955" s="18">
        <f>E2955* 0.0477001703577513</f>
        <v>0.47700170357751304</v>
      </c>
      <c r="H2955" s="18">
        <f>E2955* 0.0231686541737649</f>
        <v>0.23168654173764899</v>
      </c>
    </row>
    <row r="2956" spans="1:8" ht="15.75" hidden="1" customHeight="1" x14ac:dyDescent="0.25">
      <c r="A2956" s="20" t="s">
        <v>224</v>
      </c>
      <c r="B2956" s="47" t="s">
        <v>248</v>
      </c>
      <c r="C2956" s="49"/>
      <c r="D2956" s="19" t="s">
        <v>18</v>
      </c>
      <c r="E2956" s="23">
        <v>39</v>
      </c>
      <c r="F2956" s="18">
        <f>E2956* 0.893702527830246</f>
        <v>34.854398585379592</v>
      </c>
      <c r="G2956" s="18">
        <f>E2956* 0.0946831169875015</f>
        <v>3.6926415625125584</v>
      </c>
      <c r="H2956" s="18">
        <f>E2956* 0.0116143551822529</f>
        <v>0.4529598521078631</v>
      </c>
    </row>
    <row r="2957" spans="1:8" ht="15.75" hidden="1" customHeight="1" x14ac:dyDescent="0.25">
      <c r="A2957" s="20" t="s">
        <v>224</v>
      </c>
      <c r="B2957" s="47" t="s">
        <v>248</v>
      </c>
      <c r="C2957" s="49"/>
      <c r="D2957" s="19" t="s">
        <v>19</v>
      </c>
      <c r="E2957" s="23">
        <v>2</v>
      </c>
      <c r="F2957" s="18">
        <f>E2957* 0.0299845873616365</f>
        <v>5.9969174723272997E-2</v>
      </c>
      <c r="G2957" s="18">
        <f>E2957* 0.96385035729298</f>
        <v>1.9277007145859599</v>
      </c>
      <c r="H2957" s="18">
        <f>E2957* 0.00616505534538321</f>
        <v>1.233011069076642E-2</v>
      </c>
    </row>
    <row r="2958" spans="1:8" ht="15.75" hidden="1" customHeight="1" x14ac:dyDescent="0.25">
      <c r="A2958" s="20" t="s">
        <v>224</v>
      </c>
      <c r="B2958" s="47" t="s">
        <v>248</v>
      </c>
      <c r="C2958" s="49"/>
      <c r="D2958" s="19" t="s">
        <v>20</v>
      </c>
      <c r="E2958" s="23">
        <v>70</v>
      </c>
      <c r="F2958" s="18">
        <f>E2958* 0.734251968503937</f>
        <v>51.397637795275593</v>
      </c>
      <c r="G2958" s="18">
        <f>E2958* 0.158017179670723</f>
        <v>11.061202576950611</v>
      </c>
      <c r="H2958" s="18">
        <f>E2958* 0.107551896921976</f>
        <v>7.5286327845383205</v>
      </c>
    </row>
    <row r="2959" spans="1:8" ht="15.75" hidden="1" customHeight="1" x14ac:dyDescent="0.25">
      <c r="A2959" s="20" t="s">
        <v>224</v>
      </c>
      <c r="B2959" s="47" t="s">
        <v>248</v>
      </c>
      <c r="C2959" s="49"/>
      <c r="D2959" s="19" t="s">
        <v>21</v>
      </c>
      <c r="E2959" s="23">
        <v>2865</v>
      </c>
      <c r="F2959" s="18">
        <f>E2959* 0.999727092353423</f>
        <v>2864.2181195925568</v>
      </c>
      <c r="G2959" s="18">
        <f>E2959* 0.0000516311763794744</f>
        <v>0.14792332032719416</v>
      </c>
      <c r="H2959" s="18">
        <f>E2959* 0.000132765882118648</f>
        <v>0.38037425226992655</v>
      </c>
    </row>
    <row r="2960" spans="1:8" ht="15.75" hidden="1" customHeight="1" x14ac:dyDescent="0.25">
      <c r="A2960" s="20" t="s">
        <v>224</v>
      </c>
      <c r="B2960" s="47" t="s">
        <v>248</v>
      </c>
      <c r="C2960" s="49"/>
      <c r="D2960" s="19" t="s">
        <v>36</v>
      </c>
      <c r="E2960" s="23">
        <v>7</v>
      </c>
      <c r="F2960" s="18">
        <f>E2960* 0.995894428152493</f>
        <v>6.9712609970674508</v>
      </c>
      <c r="G2960" s="18">
        <f>E2960* 0.000586510263929619</f>
        <v>4.1055718475073331E-3</v>
      </c>
      <c r="H2960" s="18">
        <f>E2960* 0.00351906158357771</f>
        <v>2.4633431085043969E-2</v>
      </c>
    </row>
    <row r="2961" spans="1:8" ht="15.75" hidden="1" customHeight="1" x14ac:dyDescent="0.25">
      <c r="A2961" s="20" t="s">
        <v>224</v>
      </c>
      <c r="B2961" s="47" t="s">
        <v>248</v>
      </c>
      <c r="C2961" s="49"/>
      <c r="D2961" s="19" t="s">
        <v>37</v>
      </c>
      <c r="E2961" s="23">
        <v>1</v>
      </c>
      <c r="F2961" s="20">
        <v>0</v>
      </c>
      <c r="G2961" s="24">
        <f>E2961</f>
        <v>1</v>
      </c>
      <c r="H2961" s="20">
        <v>0</v>
      </c>
    </row>
    <row r="2962" spans="1:8" ht="15.75" hidden="1" customHeight="1" x14ac:dyDescent="0.25">
      <c r="A2962" s="20" t="s">
        <v>224</v>
      </c>
      <c r="B2962" s="47" t="s">
        <v>248</v>
      </c>
      <c r="C2962" s="49"/>
      <c r="D2962" s="19" t="s">
        <v>28</v>
      </c>
      <c r="E2962" s="23">
        <v>24</v>
      </c>
      <c r="F2962" s="18">
        <f>E2962* 0.00302222222222222</f>
        <v>7.2533333333333283E-2</v>
      </c>
      <c r="G2962" s="18">
        <f>E2962* 0.996622222222222</f>
        <v>23.918933333333328</v>
      </c>
      <c r="H2962" s="18">
        <f>E2962* 0.000355555555555556</f>
        <v>8.5333333333333442E-3</v>
      </c>
    </row>
    <row r="2963" spans="1:8" ht="15.75" hidden="1" customHeight="1" x14ac:dyDescent="0.25">
      <c r="A2963" s="20" t="s">
        <v>224</v>
      </c>
      <c r="B2963" s="47" t="s">
        <v>248</v>
      </c>
      <c r="C2963" s="49"/>
      <c r="D2963" s="19" t="s">
        <v>12</v>
      </c>
      <c r="E2963" s="23">
        <v>522</v>
      </c>
      <c r="F2963" s="18">
        <f>E2963* 0.802335182557089</f>
        <v>418.81896529480048</v>
      </c>
      <c r="G2963" s="18">
        <f>E2963* 0.124687137143594</f>
        <v>65.086685588956072</v>
      </c>
      <c r="H2963" s="18">
        <f>E2963* 0.0729583279576829</f>
        <v>38.084247193910471</v>
      </c>
    </row>
    <row r="2964" spans="1:8" ht="15.75" hidden="1" customHeight="1" x14ac:dyDescent="0.25">
      <c r="A2964" s="20" t="s">
        <v>224</v>
      </c>
      <c r="B2964" s="20"/>
      <c r="C2964" s="20"/>
      <c r="D2964" s="46"/>
      <c r="E2964" s="35"/>
    </row>
    <row r="2965" spans="1:8" ht="15.75" hidden="1" customHeight="1" x14ac:dyDescent="0.25">
      <c r="A2965" s="20" t="s">
        <v>224</v>
      </c>
      <c r="B2965" s="47" t="s">
        <v>249</v>
      </c>
      <c r="C2965" s="12" t="str">
        <f>B2965&amp;"_"&amp;A2965</f>
        <v>Pampa Grande_Santa Cruz</v>
      </c>
      <c r="D2965" s="20"/>
      <c r="E2965" s="48">
        <v>141</v>
      </c>
      <c r="F2965" s="14">
        <f t="shared" ref="F2965:H2965" si="247">SUM(F2966:F2974)</f>
        <v>106.3845381373437</v>
      </c>
      <c r="G2965" s="14">
        <f t="shared" si="247"/>
        <v>31.76084243690276</v>
      </c>
      <c r="H2965" s="14">
        <f t="shared" si="247"/>
        <v>2.8454131274616863</v>
      </c>
    </row>
    <row r="2966" spans="1:8" ht="15.75" hidden="1" customHeight="1" x14ac:dyDescent="0.25">
      <c r="A2966" s="20" t="s">
        <v>224</v>
      </c>
      <c r="B2966" s="47" t="s">
        <v>249</v>
      </c>
      <c r="C2966" s="49"/>
      <c r="D2966" s="29" t="s">
        <v>647</v>
      </c>
      <c r="E2966" s="23">
        <v>4</v>
      </c>
      <c r="F2966" s="20">
        <v>0</v>
      </c>
      <c r="G2966" s="24">
        <f>E2966</f>
        <v>4</v>
      </c>
      <c r="H2966" s="20">
        <v>0</v>
      </c>
    </row>
    <row r="2967" spans="1:8" ht="15.75" hidden="1" customHeight="1" x14ac:dyDescent="0.25">
      <c r="A2967" s="20" t="s">
        <v>224</v>
      </c>
      <c r="B2967" s="47" t="s">
        <v>249</v>
      </c>
      <c r="C2967" s="49"/>
      <c r="D2967" s="19" t="s">
        <v>15</v>
      </c>
      <c r="E2967" s="23">
        <v>4</v>
      </c>
      <c r="F2967" s="18">
        <f>E2967* 0.932303048052446</f>
        <v>3.7292121922097841</v>
      </c>
      <c r="G2967" s="18">
        <f>E2967* 0.0217058280204555</f>
        <v>8.6823312081821993E-2</v>
      </c>
      <c r="H2967" s="18">
        <f>E2967* 0.0459798598751943</f>
        <v>0.18391943950077719</v>
      </c>
    </row>
    <row r="2968" spans="1:8" ht="15.75" hidden="1" customHeight="1" x14ac:dyDescent="0.25">
      <c r="A2968" s="20" t="s">
        <v>224</v>
      </c>
      <c r="B2968" s="47" t="s">
        <v>249</v>
      </c>
      <c r="C2968" s="49"/>
      <c r="D2968" s="19" t="s">
        <v>11</v>
      </c>
      <c r="E2968" s="23">
        <v>22</v>
      </c>
      <c r="F2968" s="18">
        <f>E2968* 0.083479491676667</f>
        <v>1.8365488168866742</v>
      </c>
      <c r="G2968" s="18">
        <f>E2968* 0.913505030924029</f>
        <v>20.097110680328637</v>
      </c>
      <c r="H2968" s="18">
        <f>E2968* 0.00292316686667282</f>
        <v>6.4309671066802035E-2</v>
      </c>
    </row>
    <row r="2969" spans="1:8" ht="15.75" hidden="1" customHeight="1" x14ac:dyDescent="0.25">
      <c r="A2969" s="20" t="s">
        <v>224</v>
      </c>
      <c r="B2969" s="47" t="s">
        <v>249</v>
      </c>
      <c r="C2969" s="49"/>
      <c r="D2969" s="19" t="s">
        <v>17</v>
      </c>
      <c r="E2969" s="23">
        <v>11</v>
      </c>
      <c r="F2969" s="18">
        <f>E2969* 0.752045572242362</f>
        <v>8.2725012946659824</v>
      </c>
      <c r="G2969" s="18">
        <f>E2969* 0.185827723114103</f>
        <v>2.0441049542551331</v>
      </c>
      <c r="H2969" s="18">
        <f>E2969* 0.0620921802175039</f>
        <v>0.68301398239254296</v>
      </c>
    </row>
    <row r="2970" spans="1:8" ht="15.75" hidden="1" customHeight="1" x14ac:dyDescent="0.25">
      <c r="A2970" s="20" t="s">
        <v>224</v>
      </c>
      <c r="B2970" s="47" t="s">
        <v>249</v>
      </c>
      <c r="C2970" s="49"/>
      <c r="D2970" s="19" t="s">
        <v>18</v>
      </c>
      <c r="E2970" s="23">
        <v>4</v>
      </c>
      <c r="F2970" s="18">
        <f>E2970* 0.893702527830246</f>
        <v>3.5748101113209838</v>
      </c>
      <c r="G2970" s="18">
        <f>E2970* 0.0946831169875015</f>
        <v>0.37873246795000598</v>
      </c>
      <c r="H2970" s="18">
        <f>E2970* 0.0116143551822529</f>
        <v>4.64574207290116E-2</v>
      </c>
    </row>
    <row r="2971" spans="1:8" ht="15.75" hidden="1" customHeight="1" x14ac:dyDescent="0.25">
      <c r="A2971" s="20" t="s">
        <v>224</v>
      </c>
      <c r="B2971" s="47" t="s">
        <v>249</v>
      </c>
      <c r="C2971" s="49"/>
      <c r="D2971" s="29" t="s">
        <v>648</v>
      </c>
      <c r="E2971" s="23">
        <v>2</v>
      </c>
      <c r="F2971" s="20">
        <v>0</v>
      </c>
      <c r="G2971" s="24">
        <f>E2971</f>
        <v>2</v>
      </c>
      <c r="H2971" s="20">
        <v>0</v>
      </c>
    </row>
    <row r="2972" spans="1:8" ht="15.75" hidden="1" customHeight="1" x14ac:dyDescent="0.25">
      <c r="A2972" s="20" t="s">
        <v>224</v>
      </c>
      <c r="B2972" s="47" t="s">
        <v>249</v>
      </c>
      <c r="C2972" s="49"/>
      <c r="D2972" s="19" t="s">
        <v>20</v>
      </c>
      <c r="E2972" s="23">
        <v>1</v>
      </c>
      <c r="F2972" s="18">
        <f>E2972* 0.734251968503937</f>
        <v>0.73425196850393704</v>
      </c>
      <c r="G2972" s="18">
        <f>E2972* 0.158017179670723</f>
        <v>0.15801717967072301</v>
      </c>
      <c r="H2972" s="18">
        <f>E2972* 0.107551896921976</f>
        <v>0.107551896921976</v>
      </c>
    </row>
    <row r="2973" spans="1:8" ht="15.75" hidden="1" customHeight="1" x14ac:dyDescent="0.25">
      <c r="A2973" s="20" t="s">
        <v>224</v>
      </c>
      <c r="B2973" s="47" t="s">
        <v>249</v>
      </c>
      <c r="C2973" s="49"/>
      <c r="D2973" s="19" t="s">
        <v>21</v>
      </c>
      <c r="E2973" s="23">
        <v>69</v>
      </c>
      <c r="F2973" s="18">
        <f>E2973* 0.999727092353423</f>
        <v>68.981169372386191</v>
      </c>
      <c r="G2973" s="18">
        <f>E2973* 0.0000516311763794744</f>
        <v>3.5625511701837336E-3</v>
      </c>
      <c r="H2973" s="18">
        <f>E2973* 0.000132765882118648</f>
        <v>9.1608458661867117E-3</v>
      </c>
    </row>
    <row r="2974" spans="1:8" ht="15.75" hidden="1" customHeight="1" x14ac:dyDescent="0.25">
      <c r="A2974" s="20" t="s">
        <v>224</v>
      </c>
      <c r="B2974" s="47" t="s">
        <v>249</v>
      </c>
      <c r="C2974" s="49"/>
      <c r="D2974" s="19" t="s">
        <v>12</v>
      </c>
      <c r="E2974" s="23">
        <v>24</v>
      </c>
      <c r="F2974" s="18">
        <f>E2974* 0.802335182557089</f>
        <v>19.256044381370138</v>
      </c>
      <c r="G2974" s="18">
        <f>E2974* 0.124687137143594</f>
        <v>2.9924912914462558</v>
      </c>
      <c r="H2974" s="18">
        <f>E2974* 0.0729583279576829</f>
        <v>1.7509998709843895</v>
      </c>
    </row>
    <row r="2975" spans="1:8" ht="15.75" hidden="1" customHeight="1" x14ac:dyDescent="0.25">
      <c r="A2975" s="20" t="s">
        <v>224</v>
      </c>
      <c r="B2975" s="20"/>
      <c r="C2975" s="20"/>
      <c r="D2975" s="46"/>
      <c r="E2975" s="35"/>
    </row>
    <row r="2976" spans="1:8" ht="15.75" hidden="1" customHeight="1" x14ac:dyDescent="0.25">
      <c r="A2976" s="20" t="s">
        <v>224</v>
      </c>
      <c r="B2976" s="47" t="s">
        <v>250</v>
      </c>
      <c r="C2976" s="12" t="str">
        <f>B2976&amp;"_"&amp;A2976</f>
        <v>Porongo (Ayacucho)_Santa Cruz</v>
      </c>
      <c r="D2976" s="20"/>
      <c r="E2976" s="48">
        <v>63008</v>
      </c>
      <c r="F2976" s="14">
        <f t="shared" ref="F2976:H2976" si="248">SUM(F2977:F2990)</f>
        <v>56028.240325765568</v>
      </c>
      <c r="G2976" s="14">
        <f t="shared" si="248"/>
        <v>5578.4450142111045</v>
      </c>
      <c r="H2976" s="14">
        <f t="shared" si="248"/>
        <v>1397.2465225009951</v>
      </c>
    </row>
    <row r="2977" spans="1:8" ht="15.75" hidden="1" customHeight="1" x14ac:dyDescent="0.25">
      <c r="A2977" s="20" t="s">
        <v>224</v>
      </c>
      <c r="B2977" s="47" t="s">
        <v>250</v>
      </c>
      <c r="C2977" s="49"/>
      <c r="D2977" s="29" t="s">
        <v>649</v>
      </c>
      <c r="E2977" s="23">
        <v>0</v>
      </c>
      <c r="F2977" s="20">
        <v>0</v>
      </c>
      <c r="G2977" s="24">
        <f>E2977</f>
        <v>0</v>
      </c>
      <c r="H2977" s="20">
        <v>0</v>
      </c>
    </row>
    <row r="2978" spans="1:8" ht="15.75" hidden="1" customHeight="1" x14ac:dyDescent="0.25">
      <c r="A2978" s="20" t="s">
        <v>224</v>
      </c>
      <c r="B2978" s="47" t="s">
        <v>250</v>
      </c>
      <c r="C2978" s="49"/>
      <c r="D2978" s="19" t="s">
        <v>15</v>
      </c>
      <c r="E2978" s="23">
        <v>3618</v>
      </c>
      <c r="F2978" s="18">
        <f>E2978* 0.932303048052446</f>
        <v>3373.0724278537496</v>
      </c>
      <c r="G2978" s="18">
        <f>E2978* 0.0217058280204555</f>
        <v>78.531685778007997</v>
      </c>
      <c r="H2978" s="18">
        <f>E2978* 0.0459798598751943</f>
        <v>166.35513302845297</v>
      </c>
    </row>
    <row r="2979" spans="1:8" ht="15.75" hidden="1" customHeight="1" x14ac:dyDescent="0.25">
      <c r="A2979" s="20" t="s">
        <v>224</v>
      </c>
      <c r="B2979" s="47" t="s">
        <v>250</v>
      </c>
      <c r="C2979" s="49"/>
      <c r="D2979" s="29" t="s">
        <v>650</v>
      </c>
      <c r="E2979" s="23">
        <v>166</v>
      </c>
      <c r="F2979" s="18">
        <f>E2979* 0.293894936109797</f>
        <v>48.786559394226302</v>
      </c>
      <c r="G2979" s="18">
        <f>E2979* 0.663038334122101</f>
        <v>110.06436346426877</v>
      </c>
      <c r="H2979" s="18">
        <f>E2979* 0.0430667297681022</f>
        <v>7.1490771415049652</v>
      </c>
    </row>
    <row r="2980" spans="1:8" ht="15.75" hidden="1" customHeight="1" x14ac:dyDescent="0.25">
      <c r="A2980" s="20" t="s">
        <v>224</v>
      </c>
      <c r="B2980" s="47" t="s">
        <v>250</v>
      </c>
      <c r="C2980" s="49"/>
      <c r="D2980" s="19" t="s">
        <v>11</v>
      </c>
      <c r="E2980" s="23">
        <v>1822</v>
      </c>
      <c r="F2980" s="18">
        <f>E2980* 0.083479491676667</f>
        <v>152.09963383488727</v>
      </c>
      <c r="G2980" s="18">
        <f>E2980* 0.913505030924029</f>
        <v>1664.4061663435809</v>
      </c>
      <c r="H2980" s="18">
        <f>E2980* 0.00292316686667282</f>
        <v>5.3260100310778782</v>
      </c>
    </row>
    <row r="2981" spans="1:8" ht="15.75" hidden="1" customHeight="1" x14ac:dyDescent="0.25">
      <c r="A2981" s="20" t="s">
        <v>224</v>
      </c>
      <c r="B2981" s="47" t="s">
        <v>250</v>
      </c>
      <c r="C2981" s="49"/>
      <c r="D2981" s="19" t="s">
        <v>17</v>
      </c>
      <c r="E2981" s="23">
        <v>5946</v>
      </c>
      <c r="F2981" s="18">
        <f>E2981* 0.752045572242362</f>
        <v>4471.6629725530847</v>
      </c>
      <c r="G2981" s="18">
        <f>E2981* 0.185827723114103</f>
        <v>1104.9316416364566</v>
      </c>
      <c r="H2981" s="18">
        <f>E2981* 0.0620921802175039</f>
        <v>369.20010357327817</v>
      </c>
    </row>
    <row r="2982" spans="1:8" ht="15.75" hidden="1" customHeight="1" x14ac:dyDescent="0.25">
      <c r="A2982" s="20" t="s">
        <v>224</v>
      </c>
      <c r="B2982" s="47" t="s">
        <v>250</v>
      </c>
      <c r="C2982" s="49"/>
      <c r="D2982" s="19" t="s">
        <v>31</v>
      </c>
      <c r="E2982" s="23">
        <v>230</v>
      </c>
      <c r="F2982" s="18">
        <f>E2982* 0.929131175468484</f>
        <v>213.70017035775132</v>
      </c>
      <c r="G2982" s="18">
        <f>E2982* 0.0477001703577513</f>
        <v>10.9710391822828</v>
      </c>
      <c r="H2982" s="18">
        <f>E2982* 0.0231686541737649</f>
        <v>5.3287904599659264</v>
      </c>
    </row>
    <row r="2983" spans="1:8" ht="15.75" hidden="1" customHeight="1" x14ac:dyDescent="0.25">
      <c r="A2983" s="20" t="s">
        <v>224</v>
      </c>
      <c r="B2983" s="47" t="s">
        <v>250</v>
      </c>
      <c r="C2983" s="49"/>
      <c r="D2983" s="19" t="s">
        <v>18</v>
      </c>
      <c r="E2983" s="23">
        <v>630</v>
      </c>
      <c r="F2983" s="18">
        <f>E2983* 0.893702527830246</f>
        <v>563.03259253305498</v>
      </c>
      <c r="G2983" s="18">
        <f>E2983* 0.0946831169875015</f>
        <v>59.650363702125944</v>
      </c>
      <c r="H2983" s="18">
        <f>E2983* 0.0116143551822529</f>
        <v>7.3170437648193269</v>
      </c>
    </row>
    <row r="2984" spans="1:8" ht="15.75" hidden="1" customHeight="1" x14ac:dyDescent="0.25">
      <c r="A2984" s="20" t="s">
        <v>224</v>
      </c>
      <c r="B2984" s="47" t="s">
        <v>250</v>
      </c>
      <c r="C2984" s="49"/>
      <c r="D2984" s="19" t="s">
        <v>19</v>
      </c>
      <c r="E2984" s="23">
        <v>83</v>
      </c>
      <c r="F2984" s="18">
        <f>E2984* 0.0299845873616365</f>
        <v>2.4887207510158293</v>
      </c>
      <c r="G2984" s="18">
        <f>E2984* 0.96385035729298</f>
        <v>79.999579655317334</v>
      </c>
      <c r="H2984" s="18">
        <f>E2984* 0.00616505534538321</f>
        <v>0.5116995936668064</v>
      </c>
    </row>
    <row r="2985" spans="1:8" ht="15.75" hidden="1" customHeight="1" x14ac:dyDescent="0.25">
      <c r="A2985" s="20" t="s">
        <v>224</v>
      </c>
      <c r="B2985" s="47" t="s">
        <v>250</v>
      </c>
      <c r="C2985" s="49"/>
      <c r="D2985" s="19" t="s">
        <v>20</v>
      </c>
      <c r="E2985" s="23">
        <v>568</v>
      </c>
      <c r="F2985" s="18">
        <f>E2985* 0.734251968503937</f>
        <v>417.05511811023621</v>
      </c>
      <c r="G2985" s="18">
        <f>E2985* 0.158017179670723</f>
        <v>89.753758052970667</v>
      </c>
      <c r="H2985" s="18">
        <f>E2985* 0.107551896921976</f>
        <v>61.08947745168237</v>
      </c>
    </row>
    <row r="2986" spans="1:8" ht="15.75" hidden="1" customHeight="1" x14ac:dyDescent="0.25">
      <c r="A2986" s="20" t="s">
        <v>224</v>
      </c>
      <c r="B2986" s="47" t="s">
        <v>250</v>
      </c>
      <c r="C2986" s="49"/>
      <c r="D2986" s="19" t="s">
        <v>21</v>
      </c>
      <c r="E2986" s="23">
        <v>37833</v>
      </c>
      <c r="F2986" s="18">
        <f>E2986* 0.999727092353423</f>
        <v>37822.675085007053</v>
      </c>
      <c r="G2986" s="18">
        <f>E2986* 0.0000516311763794744</f>
        <v>1.953362295964655</v>
      </c>
      <c r="H2986" s="18">
        <f>E2986* 0.000132765882118648</f>
        <v>5.0229316181948098</v>
      </c>
    </row>
    <row r="2987" spans="1:8" ht="15.75" hidden="1" customHeight="1" x14ac:dyDescent="0.25">
      <c r="A2987" s="20" t="s">
        <v>224</v>
      </c>
      <c r="B2987" s="47" t="s">
        <v>250</v>
      </c>
      <c r="C2987" s="49"/>
      <c r="D2987" s="19" t="s">
        <v>36</v>
      </c>
      <c r="E2987" s="23">
        <v>519</v>
      </c>
      <c r="F2987" s="18">
        <f>E2987* 0.995894428152493</f>
        <v>516.86920821114381</v>
      </c>
      <c r="G2987" s="18">
        <f>E2987* 0.000586510263929619</f>
        <v>0.30439882697947224</v>
      </c>
      <c r="H2987" s="18">
        <f>E2987* 0.00351906158357771</f>
        <v>1.8263929618768315</v>
      </c>
    </row>
    <row r="2988" spans="1:8" ht="15.75" hidden="1" customHeight="1" x14ac:dyDescent="0.25">
      <c r="A2988" s="20" t="s">
        <v>224</v>
      </c>
      <c r="B2988" s="47" t="s">
        <v>250</v>
      </c>
      <c r="C2988" s="49"/>
      <c r="D2988" s="19" t="s">
        <v>28</v>
      </c>
      <c r="E2988" s="23">
        <v>1067</v>
      </c>
      <c r="F2988" s="18">
        <f>E2988* 0.00302222222222222</f>
        <v>3.2247111111111089</v>
      </c>
      <c r="G2988" s="18">
        <f>E2988* 0.996622222222222</f>
        <v>1063.3959111111108</v>
      </c>
      <c r="H2988" s="18">
        <f>E2988* 0.000355555555555556</f>
        <v>0.37937777777777826</v>
      </c>
    </row>
    <row r="2989" spans="1:8" ht="15.75" hidden="1" customHeight="1" x14ac:dyDescent="0.25">
      <c r="A2989" s="20" t="s">
        <v>224</v>
      </c>
      <c r="B2989" s="47" t="s">
        <v>250</v>
      </c>
      <c r="C2989" s="49"/>
      <c r="D2989" s="19" t="s">
        <v>84</v>
      </c>
      <c r="E2989" s="23">
        <v>3</v>
      </c>
      <c r="F2989" s="20">
        <f>E2989*0.2</f>
        <v>0.60000000000000009</v>
      </c>
      <c r="G2989" s="20">
        <f>E2989*0.8</f>
        <v>2.4000000000000004</v>
      </c>
      <c r="H2989" s="20">
        <v>0</v>
      </c>
    </row>
    <row r="2990" spans="1:8" ht="15.75" hidden="1" customHeight="1" x14ac:dyDescent="0.25">
      <c r="A2990" s="20" t="s">
        <v>224</v>
      </c>
      <c r="B2990" s="47" t="s">
        <v>250</v>
      </c>
      <c r="C2990" s="49"/>
      <c r="D2990" s="19" t="s">
        <v>12</v>
      </c>
      <c r="E2990" s="23">
        <v>10523</v>
      </c>
      <c r="F2990" s="18">
        <f>E2990* 0.802335182557089</f>
        <v>8442.9731260482477</v>
      </c>
      <c r="G2990" s="18">
        <f>E2990* 0.124687137143594</f>
        <v>1312.0827441620397</v>
      </c>
      <c r="H2990" s="18">
        <f>E2990* 0.0729583279576829</f>
        <v>767.74048509869715</v>
      </c>
    </row>
    <row r="2991" spans="1:8" ht="15.75" hidden="1" customHeight="1" x14ac:dyDescent="0.25">
      <c r="A2991" s="20" t="s">
        <v>224</v>
      </c>
      <c r="B2991" s="20"/>
      <c r="C2991" s="20"/>
      <c r="D2991" s="46"/>
      <c r="E2991" s="35"/>
    </row>
    <row r="2992" spans="1:8" ht="15.75" hidden="1" customHeight="1" x14ac:dyDescent="0.25">
      <c r="A2992" s="20" t="s">
        <v>224</v>
      </c>
      <c r="B2992" s="47" t="s">
        <v>251</v>
      </c>
      <c r="C2992" s="12" t="str">
        <f>B2992&amp;"_"&amp;A2992</f>
        <v>Portachuelo_Santa Cruz</v>
      </c>
      <c r="D2992" s="20"/>
      <c r="E2992" s="48">
        <v>12825</v>
      </c>
      <c r="F2992" s="14">
        <f t="shared" ref="F2992:H2992" si="249">SUM(F2993:F3007)</f>
        <v>11067.853185270389</v>
      </c>
      <c r="G2992" s="14">
        <f t="shared" si="249"/>
        <v>1423.4953565673907</v>
      </c>
      <c r="H2992" s="14">
        <f t="shared" si="249"/>
        <v>332.88666227652027</v>
      </c>
    </row>
    <row r="2993" spans="1:8" ht="15.75" hidden="1" customHeight="1" x14ac:dyDescent="0.25">
      <c r="A2993" s="20" t="s">
        <v>224</v>
      </c>
      <c r="B2993" s="47" t="s">
        <v>251</v>
      </c>
      <c r="C2993" s="49"/>
      <c r="D2993" s="29" t="s">
        <v>651</v>
      </c>
      <c r="E2993" s="23">
        <v>0</v>
      </c>
      <c r="F2993" s="20">
        <v>0</v>
      </c>
      <c r="G2993" s="24">
        <f>E2993</f>
        <v>0</v>
      </c>
      <c r="H2993" s="20">
        <v>0</v>
      </c>
    </row>
    <row r="2994" spans="1:8" ht="15.75" hidden="1" customHeight="1" x14ac:dyDescent="0.25">
      <c r="A2994" s="20" t="s">
        <v>224</v>
      </c>
      <c r="B2994" s="47" t="s">
        <v>251</v>
      </c>
      <c r="C2994" s="49"/>
      <c r="D2994" s="19" t="s">
        <v>15</v>
      </c>
      <c r="E2994" s="23">
        <v>1329</v>
      </c>
      <c r="F2994" s="18">
        <f>E2994* 0.932303048052446</f>
        <v>1239.0307508617007</v>
      </c>
      <c r="G2994" s="18">
        <f>E2994* 0.0217058280204555</f>
        <v>28.847045439185358</v>
      </c>
      <c r="H2994" s="18">
        <f>E2994* 0.0459798598751943</f>
        <v>61.107233774133221</v>
      </c>
    </row>
    <row r="2995" spans="1:8" ht="15.75" hidden="1" customHeight="1" x14ac:dyDescent="0.25">
      <c r="A2995" s="20" t="s">
        <v>224</v>
      </c>
      <c r="B2995" s="47" t="s">
        <v>251</v>
      </c>
      <c r="C2995" s="49"/>
      <c r="D2995" s="29" t="s">
        <v>652</v>
      </c>
      <c r="E2995" s="23">
        <v>53</v>
      </c>
      <c r="F2995" s="18">
        <f>E2995* 0.293894936109797</f>
        <v>15.57643161381924</v>
      </c>
      <c r="G2995" s="18">
        <f>E2995* 0.663038334122101</f>
        <v>35.141031708471353</v>
      </c>
      <c r="H2995" s="18">
        <f>E2995* 0.0430667297681022</f>
        <v>2.2825366777094165</v>
      </c>
    </row>
    <row r="2996" spans="1:8" ht="15.75" hidden="1" customHeight="1" x14ac:dyDescent="0.25">
      <c r="A2996" s="20" t="s">
        <v>224</v>
      </c>
      <c r="B2996" s="47" t="s">
        <v>251</v>
      </c>
      <c r="C2996" s="49"/>
      <c r="D2996" s="19" t="s">
        <v>11</v>
      </c>
      <c r="E2996" s="23">
        <v>520</v>
      </c>
      <c r="F2996" s="18">
        <f>E2996* 0.083479491676667</f>
        <v>43.409335671866842</v>
      </c>
      <c r="G2996" s="18">
        <f>E2996* 0.913505030924029</f>
        <v>475.02261608049508</v>
      </c>
      <c r="H2996" s="18">
        <f>E2996* 0.00292316686667282</f>
        <v>1.5200467706698664</v>
      </c>
    </row>
    <row r="2997" spans="1:8" ht="15.75" hidden="1" customHeight="1" x14ac:dyDescent="0.25">
      <c r="A2997" s="20" t="s">
        <v>224</v>
      </c>
      <c r="B2997" s="47" t="s">
        <v>251</v>
      </c>
      <c r="C2997" s="49"/>
      <c r="D2997" s="19" t="s">
        <v>17</v>
      </c>
      <c r="E2997" s="23">
        <v>1156</v>
      </c>
      <c r="F2997" s="18">
        <f>E2997* 0.752045572242362</f>
        <v>869.36468151217048</v>
      </c>
      <c r="G2997" s="18">
        <f>E2997* 0.185827723114103</f>
        <v>214.81684791990307</v>
      </c>
      <c r="H2997" s="18">
        <f>E2997* 0.0620921802175039</f>
        <v>71.778560331434505</v>
      </c>
    </row>
    <row r="2998" spans="1:8" ht="15.75" hidden="1" customHeight="1" x14ac:dyDescent="0.25">
      <c r="A2998" s="20" t="s">
        <v>224</v>
      </c>
      <c r="B2998" s="47" t="s">
        <v>251</v>
      </c>
      <c r="C2998" s="49"/>
      <c r="D2998" s="19" t="s">
        <v>31</v>
      </c>
      <c r="E2998" s="23">
        <v>46</v>
      </c>
      <c r="F2998" s="18">
        <f>E2998* 0.929131175468484</f>
        <v>42.740034071550262</v>
      </c>
      <c r="G2998" s="18">
        <f>E2998* 0.0477001703577513</f>
        <v>2.19420783645656</v>
      </c>
      <c r="H2998" s="18">
        <f>E2998* 0.0231686541737649</f>
        <v>1.0657580919931853</v>
      </c>
    </row>
    <row r="2999" spans="1:8" ht="15.75" hidden="1" customHeight="1" x14ac:dyDescent="0.25">
      <c r="A2999" s="20" t="s">
        <v>224</v>
      </c>
      <c r="B2999" s="47" t="s">
        <v>251</v>
      </c>
      <c r="C2999" s="49"/>
      <c r="D2999" s="19" t="s">
        <v>18</v>
      </c>
      <c r="E2999" s="23">
        <v>327</v>
      </c>
      <c r="F2999" s="18">
        <f>E2999* 0.893702527830246</f>
        <v>292.2407266004904</v>
      </c>
      <c r="G2999" s="18">
        <f>E2999* 0.0946831169875015</f>
        <v>30.961379254912988</v>
      </c>
      <c r="H2999" s="18">
        <f>E2999* 0.0116143551822529</f>
        <v>3.7978941445966985</v>
      </c>
    </row>
    <row r="3000" spans="1:8" ht="15.75" hidden="1" customHeight="1" x14ac:dyDescent="0.25">
      <c r="A3000" s="20" t="s">
        <v>224</v>
      </c>
      <c r="B3000" s="47" t="s">
        <v>251</v>
      </c>
      <c r="C3000" s="49"/>
      <c r="D3000" s="19" t="s">
        <v>19</v>
      </c>
      <c r="E3000" s="23">
        <v>27</v>
      </c>
      <c r="F3000" s="18">
        <f>E3000* 0.0299845873616365</f>
        <v>0.80958385876418548</v>
      </c>
      <c r="G3000" s="18">
        <f>E3000* 0.96385035729298</f>
        <v>26.023959646910459</v>
      </c>
      <c r="H3000" s="18">
        <f>E3000* 0.00616505534538321</f>
        <v>0.16645649432534668</v>
      </c>
    </row>
    <row r="3001" spans="1:8" ht="15.75" hidden="1" customHeight="1" x14ac:dyDescent="0.25">
      <c r="A3001" s="20" t="s">
        <v>224</v>
      </c>
      <c r="B3001" s="47" t="s">
        <v>251</v>
      </c>
      <c r="C3001" s="49"/>
      <c r="D3001" s="19" t="s">
        <v>20</v>
      </c>
      <c r="E3001" s="23">
        <v>242</v>
      </c>
      <c r="F3001" s="18">
        <f>E3001* 0.734251968503937</f>
        <v>177.68897637795277</v>
      </c>
      <c r="G3001" s="18">
        <f>E3001* 0.158017179670723</f>
        <v>38.24015748031497</v>
      </c>
      <c r="H3001" s="18">
        <f>E3001* 0.107551896921976</f>
        <v>26.027559055118193</v>
      </c>
    </row>
    <row r="3002" spans="1:8" ht="15.75" hidden="1" customHeight="1" x14ac:dyDescent="0.25">
      <c r="A3002" s="20" t="s">
        <v>224</v>
      </c>
      <c r="B3002" s="47" t="s">
        <v>251</v>
      </c>
      <c r="C3002" s="49"/>
      <c r="D3002" s="19" t="s">
        <v>21</v>
      </c>
      <c r="E3002" s="23">
        <v>6498</v>
      </c>
      <c r="F3002" s="18">
        <f>E3002* 0.999727092353423</f>
        <v>6496.2266461125428</v>
      </c>
      <c r="G3002" s="18">
        <f>E3002* 0.0000516311763794744</f>
        <v>0.33549938411382468</v>
      </c>
      <c r="H3002" s="18">
        <f>E3002* 0.000132765882118648</f>
        <v>0.8627127020069747</v>
      </c>
    </row>
    <row r="3003" spans="1:8" ht="15.75" hidden="1" customHeight="1" x14ac:dyDescent="0.25">
      <c r="A3003" s="20" t="s">
        <v>224</v>
      </c>
      <c r="B3003" s="47" t="s">
        <v>251</v>
      </c>
      <c r="C3003" s="49"/>
      <c r="D3003" s="19" t="s">
        <v>36</v>
      </c>
      <c r="E3003" s="23">
        <v>88</v>
      </c>
      <c r="F3003" s="18">
        <f>E3003* 0.995894428152493</f>
        <v>87.638709677419385</v>
      </c>
      <c r="G3003" s="18">
        <f>E3003* 0.000586510263929619</f>
        <v>5.1612903225806472E-2</v>
      </c>
      <c r="H3003" s="18">
        <f>E3003* 0.00351906158357771</f>
        <v>0.3096774193548385</v>
      </c>
    </row>
    <row r="3004" spans="1:8" ht="15.75" hidden="1" customHeight="1" x14ac:dyDescent="0.25">
      <c r="A3004" s="20" t="s">
        <v>224</v>
      </c>
      <c r="B3004" s="47" t="s">
        <v>251</v>
      </c>
      <c r="C3004" s="49"/>
      <c r="D3004" s="19" t="s">
        <v>37</v>
      </c>
      <c r="E3004" s="23">
        <v>0</v>
      </c>
      <c r="F3004" s="20">
        <v>0</v>
      </c>
      <c r="G3004" s="24">
        <f>E3004</f>
        <v>0</v>
      </c>
      <c r="H3004" s="20">
        <v>0</v>
      </c>
    </row>
    <row r="3005" spans="1:8" ht="15.75" hidden="1" customHeight="1" x14ac:dyDescent="0.25">
      <c r="A3005" s="20" t="s">
        <v>224</v>
      </c>
      <c r="B3005" s="47" t="s">
        <v>251</v>
      </c>
      <c r="C3005" s="49"/>
      <c r="D3005" s="19" t="s">
        <v>28</v>
      </c>
      <c r="E3005" s="23">
        <v>292</v>
      </c>
      <c r="F3005" s="18">
        <f>E3005* 0.00302222222222222</f>
        <v>0.88248888888888821</v>
      </c>
      <c r="G3005" s="18">
        <f>E3005* 0.996622222222222</f>
        <v>291.01368888888879</v>
      </c>
      <c r="H3005" s="18">
        <f>E3005* 0.000355555555555556</f>
        <v>0.10382222222222236</v>
      </c>
    </row>
    <row r="3006" spans="1:8" ht="15.75" hidden="1" customHeight="1" x14ac:dyDescent="0.25">
      <c r="A3006" s="20" t="s">
        <v>224</v>
      </c>
      <c r="B3006" s="47" t="s">
        <v>251</v>
      </c>
      <c r="C3006" s="49"/>
      <c r="D3006" s="19" t="s">
        <v>84</v>
      </c>
      <c r="E3006" s="23">
        <v>1</v>
      </c>
      <c r="F3006" s="20">
        <f>E3006*0.2</f>
        <v>0.2</v>
      </c>
      <c r="G3006" s="20">
        <f>E3006*0.8</f>
        <v>0.8</v>
      </c>
      <c r="H3006" s="20">
        <v>0</v>
      </c>
    </row>
    <row r="3007" spans="1:8" ht="15.75" hidden="1" customHeight="1" x14ac:dyDescent="0.25">
      <c r="A3007" s="20" t="s">
        <v>224</v>
      </c>
      <c r="B3007" s="47" t="s">
        <v>251</v>
      </c>
      <c r="C3007" s="49"/>
      <c r="D3007" s="19" t="s">
        <v>12</v>
      </c>
      <c r="E3007" s="23">
        <v>2246</v>
      </c>
      <c r="F3007" s="18">
        <f>E3007* 0.802335182557089</f>
        <v>1802.044820023222</v>
      </c>
      <c r="G3007" s="18">
        <f>E3007* 0.124687137143594</f>
        <v>280.04731002451211</v>
      </c>
      <c r="H3007" s="18">
        <f>E3007* 0.0729583279576829</f>
        <v>163.86440459295579</v>
      </c>
    </row>
    <row r="3008" spans="1:8" ht="15.75" hidden="1" customHeight="1" x14ac:dyDescent="0.25">
      <c r="A3008" s="20" t="s">
        <v>224</v>
      </c>
      <c r="B3008" s="20"/>
      <c r="C3008" s="20"/>
      <c r="D3008" s="46"/>
      <c r="E3008" s="35"/>
    </row>
    <row r="3009" spans="1:8" ht="15.75" hidden="1" customHeight="1" x14ac:dyDescent="0.25">
      <c r="A3009" s="20" t="s">
        <v>224</v>
      </c>
      <c r="B3009" s="47" t="s">
        <v>252</v>
      </c>
      <c r="C3009" s="12" t="str">
        <f>B3009&amp;"_"&amp;A3009</f>
        <v>Puerto Quijarro_Santa Cruz</v>
      </c>
      <c r="D3009" s="20"/>
      <c r="E3009" s="48">
        <v>1567</v>
      </c>
      <c r="F3009" s="14">
        <f t="shared" ref="F3009:H3009" si="250">SUM(F3010:F3020)</f>
        <v>1366.517970990662</v>
      </c>
      <c r="G3009" s="14">
        <f t="shared" si="250"/>
        <v>154.83948750496899</v>
      </c>
      <c r="H3009" s="14">
        <f t="shared" si="250"/>
        <v>45.553789164393379</v>
      </c>
    </row>
    <row r="3010" spans="1:8" ht="15.75" hidden="1" customHeight="1" x14ac:dyDescent="0.25">
      <c r="A3010" s="20" t="s">
        <v>224</v>
      </c>
      <c r="B3010" s="47" t="s">
        <v>252</v>
      </c>
      <c r="C3010" s="49"/>
      <c r="D3010" s="29" t="s">
        <v>653</v>
      </c>
      <c r="E3010" s="23">
        <v>4</v>
      </c>
      <c r="F3010" s="20">
        <v>0</v>
      </c>
      <c r="G3010" s="24">
        <f>E3010</f>
        <v>4</v>
      </c>
      <c r="H3010" s="20">
        <v>0</v>
      </c>
    </row>
    <row r="3011" spans="1:8" ht="15.75" hidden="1" customHeight="1" x14ac:dyDescent="0.25">
      <c r="A3011" s="20" t="s">
        <v>224</v>
      </c>
      <c r="B3011" s="47" t="s">
        <v>252</v>
      </c>
      <c r="C3011" s="49"/>
      <c r="D3011" s="19" t="s">
        <v>15</v>
      </c>
      <c r="E3011" s="23">
        <v>170</v>
      </c>
      <c r="F3011" s="18">
        <f>E3011* 0.932303048052446</f>
        <v>158.49151816891583</v>
      </c>
      <c r="G3011" s="18">
        <f>E3011* 0.0217058280204555</f>
        <v>3.6899907634774349</v>
      </c>
      <c r="H3011" s="18">
        <f>E3011* 0.0459798598751943</f>
        <v>7.8165761787830306</v>
      </c>
    </row>
    <row r="3012" spans="1:8" ht="15.75" hidden="1" customHeight="1" x14ac:dyDescent="0.25">
      <c r="A3012" s="20" t="s">
        <v>224</v>
      </c>
      <c r="B3012" s="47" t="s">
        <v>252</v>
      </c>
      <c r="C3012" s="49"/>
      <c r="D3012" s="29" t="s">
        <v>654</v>
      </c>
      <c r="E3012" s="23">
        <v>13</v>
      </c>
      <c r="F3012" s="18">
        <f>E3012* 0.293894936109797</f>
        <v>3.8206341694273611</v>
      </c>
      <c r="G3012" s="18">
        <f>E3012* 0.663038334122101</f>
        <v>8.6194983435873134</v>
      </c>
      <c r="H3012" s="18">
        <f>E3012* 0.0430667297681022</f>
        <v>0.55986748698532862</v>
      </c>
    </row>
    <row r="3013" spans="1:8" ht="15.75" hidden="1" customHeight="1" x14ac:dyDescent="0.25">
      <c r="A3013" s="20" t="s">
        <v>224</v>
      </c>
      <c r="B3013" s="47" t="s">
        <v>252</v>
      </c>
      <c r="C3013" s="49"/>
      <c r="D3013" s="19" t="s">
        <v>11</v>
      </c>
      <c r="E3013" s="23">
        <v>56</v>
      </c>
      <c r="F3013" s="18">
        <f>E3013* 0.083479491676667</f>
        <v>4.6748515338933521</v>
      </c>
      <c r="G3013" s="18">
        <f>E3013* 0.913505030924029</f>
        <v>51.156281731745622</v>
      </c>
      <c r="H3013" s="18">
        <f>E3013* 0.00292316686667282</f>
        <v>0.1636973445336779</v>
      </c>
    </row>
    <row r="3014" spans="1:8" ht="15.75" hidden="1" customHeight="1" x14ac:dyDescent="0.25">
      <c r="A3014" s="20" t="s">
        <v>224</v>
      </c>
      <c r="B3014" s="47" t="s">
        <v>252</v>
      </c>
      <c r="C3014" s="49"/>
      <c r="D3014" s="19" t="s">
        <v>17</v>
      </c>
      <c r="E3014" s="23">
        <v>95</v>
      </c>
      <c r="F3014" s="18">
        <f>E3014* 0.752045572242362</f>
        <v>71.444329363024394</v>
      </c>
      <c r="G3014" s="18">
        <f>E3014* 0.185827723114103</f>
        <v>17.653633695839787</v>
      </c>
      <c r="H3014" s="18">
        <f>E3014* 0.0620921802175039</f>
        <v>5.8987571206628706</v>
      </c>
    </row>
    <row r="3015" spans="1:8" ht="15.75" hidden="1" customHeight="1" x14ac:dyDescent="0.25">
      <c r="A3015" s="20" t="s">
        <v>224</v>
      </c>
      <c r="B3015" s="47" t="s">
        <v>252</v>
      </c>
      <c r="C3015" s="49"/>
      <c r="D3015" s="19" t="s">
        <v>31</v>
      </c>
      <c r="E3015" s="23">
        <v>7</v>
      </c>
      <c r="F3015" s="18">
        <f>E3015* 0.929131175468484</f>
        <v>6.5039182282793879</v>
      </c>
      <c r="G3015" s="18">
        <f>E3015* 0.0477001703577513</f>
        <v>0.33390119250425909</v>
      </c>
      <c r="H3015" s="18">
        <f>E3015* 0.0231686541737649</f>
        <v>0.16218057921635429</v>
      </c>
    </row>
    <row r="3016" spans="1:8" ht="15.75" hidden="1" customHeight="1" x14ac:dyDescent="0.25">
      <c r="A3016" s="20" t="s">
        <v>224</v>
      </c>
      <c r="B3016" s="47" t="s">
        <v>252</v>
      </c>
      <c r="C3016" s="49"/>
      <c r="D3016" s="19" t="s">
        <v>18</v>
      </c>
      <c r="E3016" s="23">
        <v>43</v>
      </c>
      <c r="F3016" s="18">
        <f>E3016* 0.893702527830246</f>
        <v>38.429208696700577</v>
      </c>
      <c r="G3016" s="18">
        <f>E3016* 0.0946831169875015</f>
        <v>4.0713740304625645</v>
      </c>
      <c r="H3016" s="18">
        <f>E3016* 0.0116143551822529</f>
        <v>0.4994172728368747</v>
      </c>
    </row>
    <row r="3017" spans="1:8" ht="15.75" hidden="1" customHeight="1" x14ac:dyDescent="0.25">
      <c r="A3017" s="20" t="s">
        <v>224</v>
      </c>
      <c r="B3017" s="47" t="s">
        <v>252</v>
      </c>
      <c r="C3017" s="49"/>
      <c r="D3017" s="19" t="s">
        <v>20</v>
      </c>
      <c r="E3017" s="23">
        <v>21</v>
      </c>
      <c r="F3017" s="18">
        <f>E3017* 0.734251968503937</f>
        <v>15.419291338582678</v>
      </c>
      <c r="G3017" s="18">
        <f>E3017* 0.158017179670723</f>
        <v>3.3183607730851832</v>
      </c>
      <c r="H3017" s="18">
        <f>E3017* 0.107551896921976</f>
        <v>2.2585898353614962</v>
      </c>
    </row>
    <row r="3018" spans="1:8" ht="15.75" hidden="1" customHeight="1" x14ac:dyDescent="0.25">
      <c r="A3018" s="20" t="s">
        <v>224</v>
      </c>
      <c r="B3018" s="47" t="s">
        <v>252</v>
      </c>
      <c r="C3018" s="49"/>
      <c r="D3018" s="19" t="s">
        <v>21</v>
      </c>
      <c r="E3018" s="23">
        <v>759</v>
      </c>
      <c r="F3018" s="18">
        <f>E3018* 0.999727092353423</f>
        <v>758.79286309624808</v>
      </c>
      <c r="G3018" s="18">
        <f>E3018* 0.0000516311763794744</f>
        <v>3.9188062872021069E-2</v>
      </c>
      <c r="H3018" s="18">
        <f>E3018* 0.000132765882118648</f>
        <v>0.10076930452805384</v>
      </c>
    </row>
    <row r="3019" spans="1:8" ht="15.75" hidden="1" customHeight="1" x14ac:dyDescent="0.25">
      <c r="A3019" s="20" t="s">
        <v>224</v>
      </c>
      <c r="B3019" s="47" t="s">
        <v>252</v>
      </c>
      <c r="C3019" s="49"/>
      <c r="D3019" s="19" t="s">
        <v>28</v>
      </c>
      <c r="E3019" s="23">
        <v>14</v>
      </c>
      <c r="F3019" s="18">
        <f>E3019* 0.00302222222222222</f>
        <v>4.2311111111111077E-2</v>
      </c>
      <c r="G3019" s="18">
        <f>E3019* 0.996622222222222</f>
        <v>13.952711111111107</v>
      </c>
      <c r="H3019" s="18">
        <f>E3019* 0.000355555555555556</f>
        <v>4.9777777777777841E-3</v>
      </c>
    </row>
    <row r="3020" spans="1:8" ht="15.75" hidden="1" customHeight="1" x14ac:dyDescent="0.25">
      <c r="A3020" s="20" t="s">
        <v>224</v>
      </c>
      <c r="B3020" s="47" t="s">
        <v>252</v>
      </c>
      <c r="C3020" s="49"/>
      <c r="D3020" s="19" t="s">
        <v>12</v>
      </c>
      <c r="E3020" s="23">
        <v>385</v>
      </c>
      <c r="F3020" s="18">
        <f>E3020* 0.802335182557089</f>
        <v>308.89904528447926</v>
      </c>
      <c r="G3020" s="18">
        <f>E3020* 0.124687137143594</f>
        <v>48.004547800283689</v>
      </c>
      <c r="H3020" s="18">
        <f>E3020* 0.0729583279576829</f>
        <v>28.088956263707914</v>
      </c>
    </row>
    <row r="3021" spans="1:8" ht="15.75" hidden="1" customHeight="1" x14ac:dyDescent="0.25">
      <c r="A3021" s="20" t="s">
        <v>224</v>
      </c>
      <c r="B3021" s="20"/>
      <c r="C3021" s="20"/>
      <c r="D3021" s="46"/>
      <c r="E3021" s="35"/>
    </row>
    <row r="3022" spans="1:8" ht="15.75" hidden="1" customHeight="1" x14ac:dyDescent="0.25">
      <c r="A3022" s="20" t="s">
        <v>224</v>
      </c>
      <c r="B3022" s="47" t="s">
        <v>253</v>
      </c>
      <c r="C3022" s="12" t="str">
        <f>B3022&amp;"_"&amp;A3022</f>
        <v>Puerto Suárez_Santa Cruz</v>
      </c>
      <c r="D3022" s="20"/>
      <c r="E3022" s="48">
        <v>393</v>
      </c>
      <c r="F3022" s="14">
        <f t="shared" ref="F3022:H3022" si="251">SUM(F3023:F3034)</f>
        <v>336.36860203683227</v>
      </c>
      <c r="G3022" s="14">
        <f t="shared" si="251"/>
        <v>43.752951127030215</v>
      </c>
      <c r="H3022" s="14">
        <f t="shared" si="251"/>
        <v>12.860116542369113</v>
      </c>
    </row>
    <row r="3023" spans="1:8" ht="15.75" hidden="1" customHeight="1" x14ac:dyDescent="0.25">
      <c r="A3023" s="20" t="s">
        <v>224</v>
      </c>
      <c r="B3023" s="47" t="s">
        <v>253</v>
      </c>
      <c r="C3023" s="49"/>
      <c r="D3023" s="29" t="s">
        <v>655</v>
      </c>
      <c r="E3023" s="23">
        <v>2</v>
      </c>
      <c r="F3023" s="20">
        <v>0</v>
      </c>
      <c r="G3023" s="24">
        <f>E3023</f>
        <v>2</v>
      </c>
      <c r="H3023" s="20">
        <v>0</v>
      </c>
    </row>
    <row r="3024" spans="1:8" ht="15.75" hidden="1" customHeight="1" x14ac:dyDescent="0.25">
      <c r="A3024" s="20" t="s">
        <v>224</v>
      </c>
      <c r="B3024" s="47" t="s">
        <v>253</v>
      </c>
      <c r="C3024" s="49"/>
      <c r="D3024" s="19" t="s">
        <v>15</v>
      </c>
      <c r="E3024" s="23">
        <v>80</v>
      </c>
      <c r="F3024" s="18">
        <f>E3024* 0.932303048052446</f>
        <v>74.584243844195683</v>
      </c>
      <c r="G3024" s="18">
        <f>E3024* 0.0217058280204555</f>
        <v>1.7364662416364398</v>
      </c>
      <c r="H3024" s="18">
        <f>E3024* 0.0459798598751943</f>
        <v>3.6783887900155436</v>
      </c>
    </row>
    <row r="3025" spans="1:8" ht="15.75" hidden="1" customHeight="1" x14ac:dyDescent="0.25">
      <c r="A3025" s="20" t="s">
        <v>224</v>
      </c>
      <c r="B3025" s="47" t="s">
        <v>253</v>
      </c>
      <c r="C3025" s="49"/>
      <c r="D3025" s="29" t="s">
        <v>656</v>
      </c>
      <c r="E3025" s="23">
        <v>1</v>
      </c>
      <c r="F3025" s="18">
        <f>E3025* 0.293894936109797</f>
        <v>0.293894936109797</v>
      </c>
      <c r="G3025" s="18">
        <f>E3025* 0.663038334122101</f>
        <v>0.663038334122101</v>
      </c>
      <c r="H3025" s="18">
        <f>E3025* 0.0430667297681022</f>
        <v>4.3066729768102198E-2</v>
      </c>
    </row>
    <row r="3026" spans="1:8" ht="15.75" hidden="1" customHeight="1" x14ac:dyDescent="0.25">
      <c r="A3026" s="20" t="s">
        <v>224</v>
      </c>
      <c r="B3026" s="47" t="s">
        <v>253</v>
      </c>
      <c r="C3026" s="49"/>
      <c r="D3026" s="19" t="s">
        <v>11</v>
      </c>
      <c r="E3026" s="23">
        <v>20</v>
      </c>
      <c r="F3026" s="18">
        <f>E3026* 0.083479491676667</f>
        <v>1.6695898335333401</v>
      </c>
      <c r="G3026" s="18">
        <f>E3026* 0.913505030924029</f>
        <v>18.27010061848058</v>
      </c>
      <c r="H3026" s="18">
        <f>E3026* 0.00292316686667282</f>
        <v>5.8463337333456399E-2</v>
      </c>
    </row>
    <row r="3027" spans="1:8" ht="15.75" hidden="1" customHeight="1" x14ac:dyDescent="0.25">
      <c r="A3027" s="20" t="s">
        <v>224</v>
      </c>
      <c r="B3027" s="47" t="s">
        <v>253</v>
      </c>
      <c r="C3027" s="49"/>
      <c r="D3027" s="19" t="s">
        <v>17</v>
      </c>
      <c r="E3027" s="23">
        <v>30</v>
      </c>
      <c r="F3027" s="18">
        <f>E3027* 0.752045572242362</f>
        <v>22.561367167270859</v>
      </c>
      <c r="G3027" s="18">
        <f>E3027* 0.185827723114103</f>
        <v>5.5748316934230902</v>
      </c>
      <c r="H3027" s="18">
        <f>E3027* 0.0620921802175039</f>
        <v>1.8627654065251171</v>
      </c>
    </row>
    <row r="3028" spans="1:8" ht="15.75" hidden="1" customHeight="1" x14ac:dyDescent="0.25">
      <c r="A3028" s="20" t="s">
        <v>224</v>
      </c>
      <c r="B3028" s="47" t="s">
        <v>253</v>
      </c>
      <c r="C3028" s="49"/>
      <c r="D3028" s="19" t="s">
        <v>31</v>
      </c>
      <c r="E3028" s="23">
        <v>5</v>
      </c>
      <c r="F3028" s="18">
        <f>E3028* 0.929131175468484</f>
        <v>4.6456558773424197</v>
      </c>
      <c r="G3028" s="18">
        <f>E3028* 0.0477001703577513</f>
        <v>0.23850085178875652</v>
      </c>
      <c r="H3028" s="18">
        <f>E3028* 0.0231686541737649</f>
        <v>0.1158432708688245</v>
      </c>
    </row>
    <row r="3029" spans="1:8" ht="15.75" hidden="1" customHeight="1" x14ac:dyDescent="0.25">
      <c r="A3029" s="20" t="s">
        <v>224</v>
      </c>
      <c r="B3029" s="47" t="s">
        <v>253</v>
      </c>
      <c r="C3029" s="49"/>
      <c r="D3029" s="19" t="s">
        <v>18</v>
      </c>
      <c r="E3029" s="23">
        <v>16</v>
      </c>
      <c r="F3029" s="18">
        <f>E3029* 0.893702527830246</f>
        <v>14.299240445283935</v>
      </c>
      <c r="G3029" s="18">
        <f>E3029* 0.0946831169875015</f>
        <v>1.5149298718000239</v>
      </c>
      <c r="H3029" s="18">
        <f>E3029* 0.0116143551822529</f>
        <v>0.1858296829160464</v>
      </c>
    </row>
    <row r="3030" spans="1:8" ht="15.75" hidden="1" customHeight="1" x14ac:dyDescent="0.25">
      <c r="A3030" s="20" t="s">
        <v>224</v>
      </c>
      <c r="B3030" s="47" t="s">
        <v>253</v>
      </c>
      <c r="C3030" s="49"/>
      <c r="D3030" s="19" t="s">
        <v>20</v>
      </c>
      <c r="E3030" s="23">
        <v>1</v>
      </c>
      <c r="F3030" s="18">
        <f>E3030* 0.734251968503937</f>
        <v>0.73425196850393704</v>
      </c>
      <c r="G3030" s="18">
        <f>E3030* 0.158017179670723</f>
        <v>0.15801717967072301</v>
      </c>
      <c r="H3030" s="18">
        <f>E3030* 0.107551896921976</f>
        <v>0.107551896921976</v>
      </c>
    </row>
    <row r="3031" spans="1:8" ht="15.75" hidden="1" customHeight="1" x14ac:dyDescent="0.25">
      <c r="A3031" s="20" t="s">
        <v>224</v>
      </c>
      <c r="B3031" s="47" t="s">
        <v>253</v>
      </c>
      <c r="C3031" s="49"/>
      <c r="D3031" s="19" t="s">
        <v>21</v>
      </c>
      <c r="E3031" s="23">
        <v>142</v>
      </c>
      <c r="F3031" s="18">
        <f>E3031* 0.999727092353423</f>
        <v>141.96124711418608</v>
      </c>
      <c r="G3031" s="18">
        <f>E3031* 0.0000516311763794744</f>
        <v>7.3316270458853652E-3</v>
      </c>
      <c r="H3031" s="18">
        <f>E3031* 0.000132765882118648</f>
        <v>1.8852755260848016E-2</v>
      </c>
    </row>
    <row r="3032" spans="1:8" ht="15.75" hidden="1" customHeight="1" x14ac:dyDescent="0.25">
      <c r="A3032" s="20" t="s">
        <v>224</v>
      </c>
      <c r="B3032" s="47" t="s">
        <v>253</v>
      </c>
      <c r="C3032" s="49"/>
      <c r="D3032" s="19" t="s">
        <v>36</v>
      </c>
      <c r="E3032" s="23">
        <v>1</v>
      </c>
      <c r="F3032" s="18">
        <f>E3032* 0.995894428152493</f>
        <v>0.99589442815249296</v>
      </c>
      <c r="G3032" s="18">
        <f>E3032* 0.000586510263929619</f>
        <v>5.8651026392961898E-4</v>
      </c>
      <c r="H3032" s="18">
        <f>E3032* 0.00351906158357771</f>
        <v>3.51906158357771E-3</v>
      </c>
    </row>
    <row r="3033" spans="1:8" ht="15.75" hidden="1" customHeight="1" x14ac:dyDescent="0.25">
      <c r="A3033" s="20" t="s">
        <v>224</v>
      </c>
      <c r="B3033" s="47" t="s">
        <v>253</v>
      </c>
      <c r="C3033" s="49"/>
      <c r="D3033" s="19" t="s">
        <v>148</v>
      </c>
      <c r="E3033" s="23">
        <v>2</v>
      </c>
      <c r="F3033" s="18">
        <f>E3033* 0.00302222222222222</f>
        <v>6.04444444444444E-3</v>
      </c>
      <c r="G3033" s="18">
        <f>E3033* 0.996622222222222</f>
        <v>1.9932444444444439</v>
      </c>
      <c r="H3033" s="18">
        <f>E3033* 0.000355555555555556</f>
        <v>7.1111111111111201E-4</v>
      </c>
    </row>
    <row r="3034" spans="1:8" ht="15.75" hidden="1" customHeight="1" x14ac:dyDescent="0.25">
      <c r="A3034" s="20" t="s">
        <v>224</v>
      </c>
      <c r="B3034" s="47" t="s">
        <v>253</v>
      </c>
      <c r="C3034" s="49"/>
      <c r="D3034" s="19" t="s">
        <v>12</v>
      </c>
      <c r="E3034" s="23">
        <v>93</v>
      </c>
      <c r="F3034" s="18">
        <f>E3034* 0.802335182557089</f>
        <v>74.617171977809278</v>
      </c>
      <c r="G3034" s="18">
        <f>E3034* 0.124687137143594</f>
        <v>11.595903754354243</v>
      </c>
      <c r="H3034" s="18">
        <f>E3034* 0.0729583279576829</f>
        <v>6.7851245000645095</v>
      </c>
    </row>
    <row r="3035" spans="1:8" ht="15.75" hidden="1" customHeight="1" x14ac:dyDescent="0.25">
      <c r="A3035" s="20" t="s">
        <v>224</v>
      </c>
      <c r="B3035" s="20"/>
      <c r="C3035" s="20"/>
      <c r="D3035" s="46"/>
      <c r="E3035" s="35"/>
    </row>
    <row r="3036" spans="1:8" ht="15.75" hidden="1" customHeight="1" x14ac:dyDescent="0.25">
      <c r="A3036" s="20" t="s">
        <v>224</v>
      </c>
      <c r="B3036" s="47" t="s">
        <v>254</v>
      </c>
      <c r="C3036" s="12" t="str">
        <f>B3036&amp;"_"&amp;A3036</f>
        <v>Roboré_Santa Cruz</v>
      </c>
      <c r="D3036" s="20"/>
      <c r="E3036" s="48">
        <v>1</v>
      </c>
      <c r="F3036" s="14">
        <f t="shared" ref="F3036:H3036" si="252">SUM(F3037:F3040)</f>
        <v>8.3479491676667003E-2</v>
      </c>
      <c r="G3036" s="14">
        <f t="shared" si="252"/>
        <v>0.91350503092402902</v>
      </c>
      <c r="H3036" s="14">
        <f t="shared" si="252"/>
        <v>2.9231668666728199E-3</v>
      </c>
    </row>
    <row r="3037" spans="1:8" ht="15.75" hidden="1" customHeight="1" x14ac:dyDescent="0.25">
      <c r="A3037" s="20" t="s">
        <v>224</v>
      </c>
      <c r="B3037" s="47" t="s">
        <v>254</v>
      </c>
      <c r="C3037" s="49"/>
      <c r="D3037" s="19" t="s">
        <v>15</v>
      </c>
      <c r="E3037" s="23">
        <v>0</v>
      </c>
      <c r="F3037" s="18">
        <f>E3037* 0.932303048052446</f>
        <v>0</v>
      </c>
      <c r="G3037" s="18">
        <f>E3037* 0.0217058280204555</f>
        <v>0</v>
      </c>
      <c r="H3037" s="18">
        <f>E3037* 0.0459798598751943</f>
        <v>0</v>
      </c>
    </row>
    <row r="3038" spans="1:8" ht="15.75" hidden="1" customHeight="1" x14ac:dyDescent="0.25">
      <c r="A3038" s="20" t="s">
        <v>224</v>
      </c>
      <c r="B3038" s="47" t="s">
        <v>254</v>
      </c>
      <c r="C3038" s="49"/>
      <c r="D3038" s="19" t="s">
        <v>11</v>
      </c>
      <c r="E3038" s="23">
        <v>1</v>
      </c>
      <c r="F3038" s="18">
        <f>E3038* 0.083479491676667</f>
        <v>8.3479491676667003E-2</v>
      </c>
      <c r="G3038" s="18">
        <f>E3038* 0.913505030924029</f>
        <v>0.91350503092402902</v>
      </c>
      <c r="H3038" s="18">
        <f>E3038* 0.00292316686667282</f>
        <v>2.9231668666728199E-3</v>
      </c>
    </row>
    <row r="3039" spans="1:8" ht="15.75" hidden="1" customHeight="1" x14ac:dyDescent="0.25">
      <c r="A3039" s="20" t="s">
        <v>224</v>
      </c>
      <c r="B3039" s="47" t="s">
        <v>254</v>
      </c>
      <c r="C3039" s="49"/>
      <c r="D3039" s="19" t="s">
        <v>17</v>
      </c>
      <c r="E3039" s="23">
        <v>0</v>
      </c>
      <c r="F3039" s="18">
        <f>E3039* 0.752045572242362</f>
        <v>0</v>
      </c>
      <c r="G3039" s="18">
        <f>E3039* 0.185827723114103</f>
        <v>0</v>
      </c>
      <c r="H3039" s="18">
        <f>E3039* 0.0620921802175039</f>
        <v>0</v>
      </c>
    </row>
    <row r="3040" spans="1:8" ht="15.75" hidden="1" customHeight="1" x14ac:dyDescent="0.25">
      <c r="A3040" s="20" t="s">
        <v>224</v>
      </c>
      <c r="B3040" s="47" t="s">
        <v>254</v>
      </c>
      <c r="C3040" s="49"/>
      <c r="D3040" s="19" t="s">
        <v>18</v>
      </c>
      <c r="E3040" s="23">
        <v>0</v>
      </c>
      <c r="F3040" s="18">
        <f>E3040* 0.893702527830246</f>
        <v>0</v>
      </c>
      <c r="G3040" s="18">
        <f>E3040* 0.0946831169875015</f>
        <v>0</v>
      </c>
      <c r="H3040" s="18">
        <f>E3040* 0.0116143551822529</f>
        <v>0</v>
      </c>
    </row>
    <row r="3041" spans="1:8" ht="15.75" hidden="1" customHeight="1" x14ac:dyDescent="0.25">
      <c r="A3041" s="20" t="s">
        <v>224</v>
      </c>
      <c r="B3041" s="20"/>
      <c r="C3041" s="20"/>
      <c r="D3041" s="46"/>
      <c r="E3041" s="35"/>
    </row>
    <row r="3042" spans="1:8" ht="15.75" hidden="1" customHeight="1" x14ac:dyDescent="0.25">
      <c r="A3042" s="20" t="s">
        <v>224</v>
      </c>
      <c r="B3042" s="47" t="s">
        <v>255</v>
      </c>
      <c r="C3042" s="12" t="str">
        <f>B3042&amp;"_"&amp;A3042</f>
        <v>Saipina_Santa Cruz</v>
      </c>
      <c r="D3042" s="20"/>
      <c r="E3042" s="48">
        <v>68</v>
      </c>
      <c r="F3042" s="14">
        <f t="shared" ref="F3042:H3042" si="253">SUM(F3043:F3050)</f>
        <v>49.593257283564895</v>
      </c>
      <c r="G3042" s="14">
        <f t="shared" si="253"/>
        <v>15.8571957994846</v>
      </c>
      <c r="H3042" s="14">
        <f t="shared" si="253"/>
        <v>2.546019087471532</v>
      </c>
    </row>
    <row r="3043" spans="1:8" ht="15.75" hidden="1" customHeight="1" x14ac:dyDescent="0.25">
      <c r="A3043" s="20" t="s">
        <v>224</v>
      </c>
      <c r="B3043" s="47" t="s">
        <v>255</v>
      </c>
      <c r="C3043" s="49"/>
      <c r="D3043" s="19" t="s">
        <v>15</v>
      </c>
      <c r="E3043" s="23">
        <v>1</v>
      </c>
      <c r="F3043" s="18">
        <f>E3043* 0.932303048052446</f>
        <v>0.93230304805244602</v>
      </c>
      <c r="G3043" s="18">
        <f>E3043* 0.0217058280204555</f>
        <v>2.1705828020455498E-2</v>
      </c>
      <c r="H3043" s="18">
        <f>E3043* 0.0459798598751943</f>
        <v>4.5979859875194297E-2</v>
      </c>
    </row>
    <row r="3044" spans="1:8" ht="15.75" hidden="1" customHeight="1" x14ac:dyDescent="0.25">
      <c r="A3044" s="20" t="s">
        <v>224</v>
      </c>
      <c r="B3044" s="47" t="s">
        <v>255</v>
      </c>
      <c r="C3044" s="49"/>
      <c r="D3044" s="29" t="s">
        <v>657</v>
      </c>
      <c r="E3044" s="23">
        <v>1</v>
      </c>
      <c r="F3044" s="18">
        <f>E3044* 0.293894936109797</f>
        <v>0.293894936109797</v>
      </c>
      <c r="G3044" s="18">
        <f>E3044* 0.663038334122101</f>
        <v>0.663038334122101</v>
      </c>
      <c r="H3044" s="18">
        <f>E3044* 0.0430667297681022</f>
        <v>4.3066729768102198E-2</v>
      </c>
    </row>
    <row r="3045" spans="1:8" ht="15.75" hidden="1" customHeight="1" x14ac:dyDescent="0.25">
      <c r="A3045" s="20" t="s">
        <v>224</v>
      </c>
      <c r="B3045" s="47" t="s">
        <v>255</v>
      </c>
      <c r="C3045" s="49"/>
      <c r="D3045" s="19" t="s">
        <v>11</v>
      </c>
      <c r="E3045" s="23">
        <v>12</v>
      </c>
      <c r="F3045" s="18">
        <f>E3045* 0.083479491676667</f>
        <v>1.001753900120004</v>
      </c>
      <c r="G3045" s="18">
        <f>E3045* 0.913505030924029</f>
        <v>10.962060371088349</v>
      </c>
      <c r="H3045" s="18">
        <f>E3045* 0.00292316686667282</f>
        <v>3.5078002400073839E-2</v>
      </c>
    </row>
    <row r="3046" spans="1:8" ht="15.75" hidden="1" customHeight="1" x14ac:dyDescent="0.25">
      <c r="A3046" s="20" t="s">
        <v>224</v>
      </c>
      <c r="B3046" s="47" t="s">
        <v>255</v>
      </c>
      <c r="C3046" s="49"/>
      <c r="D3046" s="19" t="s">
        <v>17</v>
      </c>
      <c r="E3046" s="23">
        <v>0</v>
      </c>
      <c r="F3046" s="18">
        <f>E3046* 0.752045572242362</f>
        <v>0</v>
      </c>
      <c r="G3046" s="18">
        <f>E3046* 0.185827723114103</f>
        <v>0</v>
      </c>
      <c r="H3046" s="18">
        <f>E3046* 0.0620921802175039</f>
        <v>0</v>
      </c>
    </row>
    <row r="3047" spans="1:8" ht="15.75" hidden="1" customHeight="1" x14ac:dyDescent="0.25">
      <c r="A3047" s="20" t="s">
        <v>224</v>
      </c>
      <c r="B3047" s="47" t="s">
        <v>255</v>
      </c>
      <c r="C3047" s="49"/>
      <c r="D3047" s="19" t="s">
        <v>18</v>
      </c>
      <c r="E3047" s="23">
        <v>1</v>
      </c>
      <c r="F3047" s="18">
        <f>E3047* 0.893702527830246</f>
        <v>0.89370252783024595</v>
      </c>
      <c r="G3047" s="18">
        <f>E3047* 0.0946831169875015</f>
        <v>9.4683116987501495E-2</v>
      </c>
      <c r="H3047" s="18">
        <f>E3047* 0.0116143551822529</f>
        <v>1.16143551822529E-2</v>
      </c>
    </row>
    <row r="3048" spans="1:8" ht="15.75" hidden="1" customHeight="1" x14ac:dyDescent="0.25">
      <c r="A3048" s="20" t="s">
        <v>224</v>
      </c>
      <c r="B3048" s="47" t="s">
        <v>255</v>
      </c>
      <c r="C3048" s="49"/>
      <c r="D3048" s="19" t="s">
        <v>19</v>
      </c>
      <c r="E3048" s="23">
        <v>0</v>
      </c>
      <c r="F3048" s="18">
        <f>E3048* 0.0299845873616365</f>
        <v>0</v>
      </c>
      <c r="G3048" s="18">
        <f>E3048* 0.96385035729298</f>
        <v>0</v>
      </c>
      <c r="H3048" s="18">
        <f>E3048* 0.00616505534538321</f>
        <v>0</v>
      </c>
    </row>
    <row r="3049" spans="1:8" ht="15.75" hidden="1" customHeight="1" x14ac:dyDescent="0.25">
      <c r="A3049" s="20" t="s">
        <v>224</v>
      </c>
      <c r="B3049" s="47" t="s">
        <v>255</v>
      </c>
      <c r="C3049" s="49"/>
      <c r="D3049" s="19" t="s">
        <v>21</v>
      </c>
      <c r="E3049" s="23">
        <v>20</v>
      </c>
      <c r="F3049" s="18">
        <f>E3049* 0.999727092353423</f>
        <v>19.994541847068461</v>
      </c>
      <c r="G3049" s="18">
        <f>E3049* 0.0000516311763794744</f>
        <v>1.032623527589488E-3</v>
      </c>
      <c r="H3049" s="18">
        <f>E3049* 0.000132765882118648</f>
        <v>2.6553176423729603E-3</v>
      </c>
    </row>
    <row r="3050" spans="1:8" ht="15.75" hidden="1" customHeight="1" x14ac:dyDescent="0.25">
      <c r="A3050" s="20" t="s">
        <v>224</v>
      </c>
      <c r="B3050" s="47" t="s">
        <v>255</v>
      </c>
      <c r="C3050" s="49"/>
      <c r="D3050" s="19" t="s">
        <v>12</v>
      </c>
      <c r="E3050" s="23">
        <v>33</v>
      </c>
      <c r="F3050" s="18">
        <f>E3050* 0.802335182557089</f>
        <v>26.477061024383939</v>
      </c>
      <c r="G3050" s="18">
        <f>E3050* 0.124687137143594</f>
        <v>4.1146755257386021</v>
      </c>
      <c r="H3050" s="18">
        <f>E3050* 0.0729583279576829</f>
        <v>2.4076248226035357</v>
      </c>
    </row>
    <row r="3051" spans="1:8" ht="15.75" hidden="1" customHeight="1" x14ac:dyDescent="0.25">
      <c r="A3051" s="20" t="s">
        <v>224</v>
      </c>
      <c r="B3051" s="20"/>
      <c r="C3051" s="20"/>
      <c r="D3051" s="46"/>
      <c r="E3051" s="35"/>
    </row>
    <row r="3052" spans="1:8" ht="15.75" hidden="1" customHeight="1" x14ac:dyDescent="0.25">
      <c r="A3052" s="20" t="s">
        <v>224</v>
      </c>
      <c r="B3052" s="47" t="s">
        <v>256</v>
      </c>
      <c r="C3052" s="12" t="str">
        <f>B3052&amp;"_"&amp;A3052</f>
        <v>Samaipata_Santa Cruz</v>
      </c>
      <c r="D3052" s="20"/>
      <c r="E3052" s="48">
        <v>54</v>
      </c>
      <c r="F3052" s="14">
        <f t="shared" ref="F3052:H3052" si="254">SUM(F3053:F3060)</f>
        <v>37.860174695362645</v>
      </c>
      <c r="G3052" s="14">
        <f t="shared" si="254"/>
        <v>14.229020683232148</v>
      </c>
      <c r="H3052" s="14">
        <f t="shared" si="254"/>
        <v>1.9080975755214991</v>
      </c>
    </row>
    <row r="3053" spans="1:8" ht="15.75" hidden="1" customHeight="1" x14ac:dyDescent="0.25">
      <c r="A3053" s="20" t="s">
        <v>224</v>
      </c>
      <c r="B3053" s="47" t="s">
        <v>256</v>
      </c>
      <c r="C3053" s="49"/>
      <c r="D3053" s="19" t="s">
        <v>15</v>
      </c>
      <c r="E3053" s="23">
        <v>5</v>
      </c>
      <c r="F3053" s="18">
        <f>E3053* 0.932303048052446</f>
        <v>4.6615152402622302</v>
      </c>
      <c r="G3053" s="18">
        <f>E3053* 0.0217058280204555</f>
        <v>0.10852914010227749</v>
      </c>
      <c r="H3053" s="18">
        <f>E3053* 0.0459798598751943</f>
        <v>0.22989929937597148</v>
      </c>
    </row>
    <row r="3054" spans="1:8" ht="15.75" hidden="1" customHeight="1" x14ac:dyDescent="0.25">
      <c r="A3054" s="20" t="s">
        <v>224</v>
      </c>
      <c r="B3054" s="47" t="s">
        <v>256</v>
      </c>
      <c r="C3054" s="49"/>
      <c r="D3054" s="19" t="s">
        <v>11</v>
      </c>
      <c r="E3054" s="23">
        <v>11</v>
      </c>
      <c r="F3054" s="18">
        <f>E3054* 0.083479491676667</f>
        <v>0.91827440844333708</v>
      </c>
      <c r="G3054" s="18">
        <f>E3054* 0.913505030924029</f>
        <v>10.048555340164318</v>
      </c>
      <c r="H3054" s="18">
        <f>E3054* 0.00292316686667282</f>
        <v>3.2154835533401017E-2</v>
      </c>
    </row>
    <row r="3055" spans="1:8" ht="15.75" hidden="1" customHeight="1" x14ac:dyDescent="0.25">
      <c r="A3055" s="20" t="s">
        <v>224</v>
      </c>
      <c r="B3055" s="47" t="s">
        <v>256</v>
      </c>
      <c r="C3055" s="49"/>
      <c r="D3055" s="19" t="s">
        <v>17</v>
      </c>
      <c r="E3055" s="23">
        <v>13</v>
      </c>
      <c r="F3055" s="18">
        <f>E3055* 0.752045572242362</f>
        <v>9.776592439150706</v>
      </c>
      <c r="G3055" s="18">
        <f>E3055* 0.185827723114103</f>
        <v>2.4157604004833391</v>
      </c>
      <c r="H3055" s="18">
        <f>E3055* 0.0620921802175039</f>
        <v>0.80719834282755065</v>
      </c>
    </row>
    <row r="3056" spans="1:8" ht="15.75" hidden="1" customHeight="1" x14ac:dyDescent="0.25">
      <c r="A3056" s="20" t="s">
        <v>224</v>
      </c>
      <c r="B3056" s="47" t="s">
        <v>256</v>
      </c>
      <c r="C3056" s="49"/>
      <c r="D3056" s="19" t="s">
        <v>18</v>
      </c>
      <c r="E3056" s="23">
        <v>3</v>
      </c>
      <c r="F3056" s="18">
        <f>E3056* 0.893702527830246</f>
        <v>2.6811075834907379</v>
      </c>
      <c r="G3056" s="18">
        <f>E3056* 0.0946831169875015</f>
        <v>0.2840493509625045</v>
      </c>
      <c r="H3056" s="18">
        <f>E3056* 0.0116143551822529</f>
        <v>3.48430655467587E-2</v>
      </c>
    </row>
    <row r="3057" spans="1:8" ht="15.75" hidden="1" customHeight="1" x14ac:dyDescent="0.25">
      <c r="A3057" s="20" t="s">
        <v>224</v>
      </c>
      <c r="B3057" s="47" t="s">
        <v>256</v>
      </c>
      <c r="C3057" s="49"/>
      <c r="D3057" s="19" t="s">
        <v>19</v>
      </c>
      <c r="E3057" s="23">
        <v>0</v>
      </c>
      <c r="F3057" s="18">
        <f>E3057* 0.0299845873616365</f>
        <v>0</v>
      </c>
      <c r="G3057" s="18">
        <f>E3057* 0.96385035729298</f>
        <v>0</v>
      </c>
      <c r="H3057" s="18">
        <f>E3057* 0.00616505534538321</f>
        <v>0</v>
      </c>
    </row>
    <row r="3058" spans="1:8" ht="15.75" hidden="1" customHeight="1" x14ac:dyDescent="0.25">
      <c r="A3058" s="20" t="s">
        <v>224</v>
      </c>
      <c r="B3058" s="47" t="s">
        <v>256</v>
      </c>
      <c r="C3058" s="49"/>
      <c r="D3058" s="19" t="s">
        <v>20</v>
      </c>
      <c r="E3058" s="23">
        <v>0</v>
      </c>
      <c r="F3058" s="18">
        <f>E3058* 0.734251968503937</f>
        <v>0</v>
      </c>
      <c r="G3058" s="18">
        <f>E3058* 0.158017179670723</f>
        <v>0</v>
      </c>
      <c r="H3058" s="18">
        <f>E3058* 0.107551896921976</f>
        <v>0</v>
      </c>
    </row>
    <row r="3059" spans="1:8" ht="15.75" hidden="1" customHeight="1" x14ac:dyDescent="0.25">
      <c r="A3059" s="20" t="s">
        <v>224</v>
      </c>
      <c r="B3059" s="47" t="s">
        <v>256</v>
      </c>
      <c r="C3059" s="49"/>
      <c r="D3059" s="19" t="s">
        <v>21</v>
      </c>
      <c r="E3059" s="23">
        <v>11</v>
      </c>
      <c r="F3059" s="18">
        <f>E3059* 0.999727092353423</f>
        <v>10.996998015887653</v>
      </c>
      <c r="G3059" s="18">
        <f>E3059* 0.0000516311763794744</f>
        <v>5.6794294017421842E-4</v>
      </c>
      <c r="H3059" s="18">
        <f>E3059* 0.000132765882118648</f>
        <v>1.460424703305128E-3</v>
      </c>
    </row>
    <row r="3060" spans="1:8" ht="15.75" hidden="1" customHeight="1" x14ac:dyDescent="0.25">
      <c r="A3060" s="20" t="s">
        <v>224</v>
      </c>
      <c r="B3060" s="47" t="s">
        <v>256</v>
      </c>
      <c r="C3060" s="49"/>
      <c r="D3060" s="19" t="s">
        <v>12</v>
      </c>
      <c r="E3060" s="23">
        <v>11</v>
      </c>
      <c r="F3060" s="18">
        <f>E3060* 0.802335182557089</f>
        <v>8.8256870081279786</v>
      </c>
      <c r="G3060" s="18">
        <f>E3060* 0.124687137143594</f>
        <v>1.3715585085795341</v>
      </c>
      <c r="H3060" s="18">
        <f>E3060* 0.0729583279576829</f>
        <v>0.80254160753451187</v>
      </c>
    </row>
    <row r="3061" spans="1:8" ht="15.75" hidden="1" customHeight="1" x14ac:dyDescent="0.25">
      <c r="A3061" s="20" t="s">
        <v>224</v>
      </c>
      <c r="B3061" s="20"/>
      <c r="C3061" s="20"/>
      <c r="D3061" s="46"/>
      <c r="E3061" s="35"/>
    </row>
    <row r="3062" spans="1:8" ht="15.75" hidden="1" customHeight="1" x14ac:dyDescent="0.25">
      <c r="A3062" s="20" t="s">
        <v>224</v>
      </c>
      <c r="B3062" s="47" t="s">
        <v>257</v>
      </c>
      <c r="C3062" s="12" t="str">
        <f>B3062&amp;"_"&amp;A3062</f>
        <v>San Carlos_Santa Cruz</v>
      </c>
      <c r="D3062" s="20"/>
      <c r="E3062" s="48">
        <v>2340</v>
      </c>
      <c r="F3062" s="14">
        <f t="shared" ref="F3062:H3062" si="255">SUM(F3063:F3076)</f>
        <v>1893.1915557884236</v>
      </c>
      <c r="G3062" s="14">
        <f t="shared" si="255"/>
        <v>371.21642806471084</v>
      </c>
      <c r="H3062" s="14">
        <f t="shared" si="255"/>
        <v>75.474147142048764</v>
      </c>
    </row>
    <row r="3063" spans="1:8" ht="15.75" hidden="1" customHeight="1" x14ac:dyDescent="0.25">
      <c r="A3063" s="20" t="s">
        <v>224</v>
      </c>
      <c r="B3063" s="47" t="s">
        <v>257</v>
      </c>
      <c r="C3063" s="49"/>
      <c r="D3063" s="29" t="s">
        <v>658</v>
      </c>
      <c r="E3063" s="23">
        <v>0</v>
      </c>
      <c r="F3063" s="20">
        <v>0</v>
      </c>
      <c r="G3063" s="24">
        <f>E3063</f>
        <v>0</v>
      </c>
      <c r="H3063" s="20">
        <v>0</v>
      </c>
    </row>
    <row r="3064" spans="1:8" ht="15.75" hidden="1" customHeight="1" x14ac:dyDescent="0.25">
      <c r="A3064" s="20" t="s">
        <v>224</v>
      </c>
      <c r="B3064" s="47" t="s">
        <v>257</v>
      </c>
      <c r="C3064" s="49"/>
      <c r="D3064" s="19" t="s">
        <v>15</v>
      </c>
      <c r="E3064" s="23">
        <v>228</v>
      </c>
      <c r="F3064" s="18">
        <f>E3064* 0.932303048052446</f>
        <v>212.5650949559577</v>
      </c>
      <c r="G3064" s="18">
        <f>E3064* 0.0217058280204555</f>
        <v>4.9489287886638538</v>
      </c>
      <c r="H3064" s="18">
        <f>E3064* 0.0459798598751943</f>
        <v>10.4834080515443</v>
      </c>
    </row>
    <row r="3065" spans="1:8" ht="15.75" hidden="1" customHeight="1" x14ac:dyDescent="0.25">
      <c r="A3065" s="20" t="s">
        <v>224</v>
      </c>
      <c r="B3065" s="47" t="s">
        <v>257</v>
      </c>
      <c r="C3065" s="49"/>
      <c r="D3065" s="29" t="s">
        <v>659</v>
      </c>
      <c r="E3065" s="23">
        <v>5</v>
      </c>
      <c r="F3065" s="18">
        <f>E3065* 0.293894936109797</f>
        <v>1.4694746805489851</v>
      </c>
      <c r="G3065" s="18">
        <f>E3065* 0.663038334122101</f>
        <v>3.3151916706105049</v>
      </c>
      <c r="H3065" s="18">
        <f>E3065* 0.0430667297681022</f>
        <v>0.21533364884051098</v>
      </c>
    </row>
    <row r="3066" spans="1:8" ht="15.75" hidden="1" customHeight="1" x14ac:dyDescent="0.25">
      <c r="A3066" s="20" t="s">
        <v>224</v>
      </c>
      <c r="B3066" s="47" t="s">
        <v>257</v>
      </c>
      <c r="C3066" s="49"/>
      <c r="D3066" s="19" t="s">
        <v>11</v>
      </c>
      <c r="E3066" s="23">
        <v>142</v>
      </c>
      <c r="F3066" s="18">
        <f>E3066* 0.083479491676667</f>
        <v>11.854087818086715</v>
      </c>
      <c r="G3066" s="18">
        <f>E3066* 0.913505030924029</f>
        <v>129.71771439121213</v>
      </c>
      <c r="H3066" s="18">
        <f>E3066* 0.00292316686667282</f>
        <v>0.41508969506754045</v>
      </c>
    </row>
    <row r="3067" spans="1:8" ht="15.75" hidden="1" customHeight="1" x14ac:dyDescent="0.25">
      <c r="A3067" s="20" t="s">
        <v>224</v>
      </c>
      <c r="B3067" s="47" t="s">
        <v>257</v>
      </c>
      <c r="C3067" s="49"/>
      <c r="D3067" s="19" t="s">
        <v>17</v>
      </c>
      <c r="E3067" s="23">
        <v>325</v>
      </c>
      <c r="F3067" s="18">
        <f>E3067* 0.752045572242362</f>
        <v>244.41481097876766</v>
      </c>
      <c r="G3067" s="18">
        <f>E3067* 0.185827723114103</f>
        <v>60.394010012083477</v>
      </c>
      <c r="H3067" s="18">
        <f>E3067* 0.0620921802175039</f>
        <v>20.179958570688768</v>
      </c>
    </row>
    <row r="3068" spans="1:8" ht="15.75" hidden="1" customHeight="1" x14ac:dyDescent="0.25">
      <c r="A3068" s="20" t="s">
        <v>224</v>
      </c>
      <c r="B3068" s="47" t="s">
        <v>257</v>
      </c>
      <c r="C3068" s="49"/>
      <c r="D3068" s="19" t="s">
        <v>31</v>
      </c>
      <c r="E3068" s="23">
        <v>17</v>
      </c>
      <c r="F3068" s="18">
        <f>E3068* 0.929131175468484</f>
        <v>15.795229982964228</v>
      </c>
      <c r="G3068" s="18">
        <f>E3068* 0.0477001703577513</f>
        <v>0.81090289608177213</v>
      </c>
      <c r="H3068" s="18">
        <f>E3068* 0.0231686541737649</f>
        <v>0.39386712095400328</v>
      </c>
    </row>
    <row r="3069" spans="1:8" ht="15.75" hidden="1" customHeight="1" x14ac:dyDescent="0.25">
      <c r="A3069" s="20" t="s">
        <v>224</v>
      </c>
      <c r="B3069" s="47" t="s">
        <v>257</v>
      </c>
      <c r="C3069" s="49"/>
      <c r="D3069" s="19" t="s">
        <v>18</v>
      </c>
      <c r="E3069" s="23">
        <v>75</v>
      </c>
      <c r="F3069" s="18">
        <f>E3069* 0.893702527830246</f>
        <v>67.027689587268441</v>
      </c>
      <c r="G3069" s="18">
        <f>E3069* 0.0946831169875015</f>
        <v>7.1012337740626119</v>
      </c>
      <c r="H3069" s="18">
        <f>E3069* 0.0116143551822529</f>
        <v>0.87107663866896745</v>
      </c>
    </row>
    <row r="3070" spans="1:8" ht="15.75" hidden="1" customHeight="1" x14ac:dyDescent="0.25">
      <c r="A3070" s="20" t="s">
        <v>224</v>
      </c>
      <c r="B3070" s="47" t="s">
        <v>257</v>
      </c>
      <c r="C3070" s="49"/>
      <c r="D3070" s="29" t="s">
        <v>660</v>
      </c>
      <c r="E3070" s="23">
        <v>3</v>
      </c>
      <c r="F3070" s="20">
        <v>0</v>
      </c>
      <c r="G3070" s="24">
        <f>E3070</f>
        <v>3</v>
      </c>
      <c r="H3070" s="20">
        <v>0</v>
      </c>
    </row>
    <row r="3071" spans="1:8" ht="15.75" hidden="1" customHeight="1" x14ac:dyDescent="0.25">
      <c r="A3071" s="20" t="s">
        <v>224</v>
      </c>
      <c r="B3071" s="47" t="s">
        <v>257</v>
      </c>
      <c r="C3071" s="49"/>
      <c r="D3071" s="19" t="s">
        <v>19</v>
      </c>
      <c r="E3071" s="23">
        <v>10</v>
      </c>
      <c r="F3071" s="18">
        <f>E3071* 0.0299845873616365</f>
        <v>0.299845873616365</v>
      </c>
      <c r="G3071" s="18">
        <f>E3071* 0.96385035729298</f>
        <v>9.6385035729297996</v>
      </c>
      <c r="H3071" s="18">
        <f>E3071* 0.00616505534538321</f>
        <v>6.1650553453832101E-2</v>
      </c>
    </row>
    <row r="3072" spans="1:8" ht="15.75" hidden="1" customHeight="1" x14ac:dyDescent="0.25">
      <c r="A3072" s="20" t="s">
        <v>224</v>
      </c>
      <c r="B3072" s="47" t="s">
        <v>257</v>
      </c>
      <c r="C3072" s="49"/>
      <c r="D3072" s="19" t="s">
        <v>20</v>
      </c>
      <c r="E3072" s="23">
        <v>17</v>
      </c>
      <c r="F3072" s="18">
        <f>E3072* 0.734251968503937</f>
        <v>12.48228346456693</v>
      </c>
      <c r="G3072" s="18">
        <f>E3072* 0.158017179670723</f>
        <v>2.686292054402291</v>
      </c>
      <c r="H3072" s="18">
        <f>E3072* 0.107551896921976</f>
        <v>1.828382247673592</v>
      </c>
    </row>
    <row r="3073" spans="1:8" ht="15.75" hidden="1" customHeight="1" x14ac:dyDescent="0.25">
      <c r="A3073" s="20" t="s">
        <v>224</v>
      </c>
      <c r="B3073" s="47" t="s">
        <v>257</v>
      </c>
      <c r="C3073" s="49"/>
      <c r="D3073" s="19" t="s">
        <v>21</v>
      </c>
      <c r="E3073" s="23">
        <v>871</v>
      </c>
      <c r="F3073" s="18">
        <f>E3073* 0.999727092353423</f>
        <v>870.76229743983151</v>
      </c>
      <c r="G3073" s="18">
        <f>E3073* 0.0000516311763794744</f>
        <v>4.4970754626522204E-2</v>
      </c>
      <c r="H3073" s="18">
        <f>E3073* 0.000132765882118648</f>
        <v>0.11563908332534241</v>
      </c>
    </row>
    <row r="3074" spans="1:8" ht="15.75" hidden="1" customHeight="1" x14ac:dyDescent="0.25">
      <c r="A3074" s="20" t="s">
        <v>224</v>
      </c>
      <c r="B3074" s="47" t="s">
        <v>257</v>
      </c>
      <c r="C3074" s="49"/>
      <c r="D3074" s="19" t="s">
        <v>36</v>
      </c>
      <c r="E3074" s="23">
        <v>7</v>
      </c>
      <c r="F3074" s="18">
        <f>E3074* 0.995894428152493</f>
        <v>6.9712609970674508</v>
      </c>
      <c r="G3074" s="18">
        <f>E3074* 0.000586510263929619</f>
        <v>4.1055718475073331E-3</v>
      </c>
      <c r="H3074" s="18">
        <f>E3074* 0.00351906158357771</f>
        <v>2.4633431085043969E-2</v>
      </c>
    </row>
    <row r="3075" spans="1:8" ht="15.75" hidden="1" customHeight="1" x14ac:dyDescent="0.25">
      <c r="A3075" s="20" t="s">
        <v>224</v>
      </c>
      <c r="B3075" s="47" t="s">
        <v>257</v>
      </c>
      <c r="C3075" s="49"/>
      <c r="D3075" s="19" t="s">
        <v>28</v>
      </c>
      <c r="E3075" s="23">
        <v>80</v>
      </c>
      <c r="F3075" s="18">
        <f>E3075* 0.00302222222222222</f>
        <v>0.24177777777777759</v>
      </c>
      <c r="G3075" s="18">
        <f>E3075* 0.996622222222222</f>
        <v>79.729777777777755</v>
      </c>
      <c r="H3075" s="18">
        <f>E3075* 0.000355555555555556</f>
        <v>2.8444444444444481E-2</v>
      </c>
    </row>
    <row r="3076" spans="1:8" ht="15.75" hidden="1" customHeight="1" x14ac:dyDescent="0.25">
      <c r="A3076" s="20" t="s">
        <v>224</v>
      </c>
      <c r="B3076" s="47" t="s">
        <v>257</v>
      </c>
      <c r="C3076" s="49"/>
      <c r="D3076" s="19" t="s">
        <v>12</v>
      </c>
      <c r="E3076" s="23">
        <v>560</v>
      </c>
      <c r="F3076" s="18">
        <f>E3076* 0.802335182557089</f>
        <v>449.30770223196987</v>
      </c>
      <c r="G3076" s="18">
        <f>E3076* 0.124687137143594</f>
        <v>69.824796800412642</v>
      </c>
      <c r="H3076" s="18">
        <f>E3076* 0.0729583279576829</f>
        <v>40.856663656302423</v>
      </c>
    </row>
    <row r="3077" spans="1:8" ht="15.75" hidden="1" customHeight="1" x14ac:dyDescent="0.25">
      <c r="A3077" s="20" t="s">
        <v>224</v>
      </c>
      <c r="B3077" s="20"/>
      <c r="C3077" s="20"/>
      <c r="D3077" s="46"/>
      <c r="E3077" s="35"/>
    </row>
    <row r="3078" spans="1:8" ht="15.75" hidden="1" customHeight="1" x14ac:dyDescent="0.25">
      <c r="A3078" s="20" t="s">
        <v>224</v>
      </c>
      <c r="B3078" s="47" t="s">
        <v>258</v>
      </c>
      <c r="C3078" s="12" t="str">
        <f>B3078&amp;"_"&amp;A3078</f>
        <v>San Ignacio (Santa Cruz)_Santa Cruz</v>
      </c>
      <c r="D3078" s="20"/>
      <c r="E3078" s="48">
        <v>2196</v>
      </c>
      <c r="F3078" s="14">
        <f t="shared" ref="F3078:H3078" si="256">SUM(F3079:F3091)</f>
        <v>2089.1701265532042</v>
      </c>
      <c r="G3078" s="14">
        <f t="shared" si="256"/>
        <v>87.791376021311493</v>
      </c>
      <c r="H3078" s="14">
        <f t="shared" si="256"/>
        <v>18.857615963332695</v>
      </c>
    </row>
    <row r="3079" spans="1:8" ht="15.75" hidden="1" customHeight="1" x14ac:dyDescent="0.25">
      <c r="A3079" s="20" t="s">
        <v>224</v>
      </c>
      <c r="B3079" s="47" t="s">
        <v>258</v>
      </c>
      <c r="C3079" s="49"/>
      <c r="D3079" s="29" t="s">
        <v>661</v>
      </c>
      <c r="E3079" s="23">
        <v>3</v>
      </c>
      <c r="F3079" s="20">
        <v>0</v>
      </c>
      <c r="G3079" s="24">
        <f>E3079</f>
        <v>3</v>
      </c>
      <c r="H3079" s="20">
        <v>0</v>
      </c>
    </row>
    <row r="3080" spans="1:8" ht="15.75" hidden="1" customHeight="1" x14ac:dyDescent="0.25">
      <c r="A3080" s="20" t="s">
        <v>224</v>
      </c>
      <c r="B3080" s="47" t="s">
        <v>258</v>
      </c>
      <c r="C3080" s="49"/>
      <c r="D3080" s="19" t="s">
        <v>15</v>
      </c>
      <c r="E3080" s="23">
        <v>23</v>
      </c>
      <c r="F3080" s="18">
        <f>E3080* 0.932303048052446</f>
        <v>21.442970105206257</v>
      </c>
      <c r="G3080" s="18">
        <f>E3080* 0.0217058280204555</f>
        <v>0.49923404447047648</v>
      </c>
      <c r="H3080" s="18">
        <f>E3080* 0.0459798598751943</f>
        <v>1.0575367771294688</v>
      </c>
    </row>
    <row r="3081" spans="1:8" ht="15.75" hidden="1" customHeight="1" x14ac:dyDescent="0.25">
      <c r="A3081" s="20" t="s">
        <v>224</v>
      </c>
      <c r="B3081" s="47" t="s">
        <v>258</v>
      </c>
      <c r="C3081" s="49"/>
      <c r="D3081" s="29" t="s">
        <v>662</v>
      </c>
      <c r="E3081" s="23">
        <v>2</v>
      </c>
      <c r="F3081" s="18">
        <f>E3081* 0.293894936109797</f>
        <v>0.587789872219594</v>
      </c>
      <c r="G3081" s="18">
        <f>E3081* 0.663038334122101</f>
        <v>1.326076668244202</v>
      </c>
      <c r="H3081" s="18">
        <f>E3081* 0.0430667297681022</f>
        <v>8.6133459536204396E-2</v>
      </c>
    </row>
    <row r="3082" spans="1:8" ht="15.75" hidden="1" customHeight="1" x14ac:dyDescent="0.25">
      <c r="A3082" s="20" t="s">
        <v>224</v>
      </c>
      <c r="B3082" s="47" t="s">
        <v>258</v>
      </c>
      <c r="C3082" s="49"/>
      <c r="D3082" s="19" t="s">
        <v>11</v>
      </c>
      <c r="E3082" s="23">
        <v>37</v>
      </c>
      <c r="F3082" s="18">
        <f>E3082* 0.083479491676667</f>
        <v>3.0887411920366792</v>
      </c>
      <c r="G3082" s="18">
        <f>E3082* 0.913505030924029</f>
        <v>33.799686144189074</v>
      </c>
      <c r="H3082" s="18">
        <f>E3082* 0.00292316686667282</f>
        <v>0.10815717406689433</v>
      </c>
    </row>
    <row r="3083" spans="1:8" ht="15.75" hidden="1" customHeight="1" x14ac:dyDescent="0.25">
      <c r="A3083" s="20" t="s">
        <v>224</v>
      </c>
      <c r="B3083" s="47" t="s">
        <v>258</v>
      </c>
      <c r="C3083" s="49"/>
      <c r="D3083" s="19" t="s">
        <v>17</v>
      </c>
      <c r="E3083" s="23">
        <v>108</v>
      </c>
      <c r="F3083" s="18">
        <f>E3083* 0.752045572242362</f>
        <v>81.220921802175098</v>
      </c>
      <c r="G3083" s="18">
        <f>E3083* 0.185827723114103</f>
        <v>20.069394096323123</v>
      </c>
      <c r="H3083" s="18">
        <f>E3083* 0.0620921802175039</f>
        <v>6.7059554634904215</v>
      </c>
    </row>
    <row r="3084" spans="1:8" ht="15.75" hidden="1" customHeight="1" x14ac:dyDescent="0.25">
      <c r="A3084" s="20" t="s">
        <v>224</v>
      </c>
      <c r="B3084" s="47" t="s">
        <v>258</v>
      </c>
      <c r="C3084" s="49"/>
      <c r="D3084" s="19" t="s">
        <v>31</v>
      </c>
      <c r="E3084" s="23">
        <v>6</v>
      </c>
      <c r="F3084" s="18">
        <f>E3084* 0.929131175468484</f>
        <v>5.5747870528109038</v>
      </c>
      <c r="G3084" s="18">
        <f>E3084* 0.0477001703577513</f>
        <v>0.28620102214650778</v>
      </c>
      <c r="H3084" s="18">
        <f>E3084* 0.0231686541737649</f>
        <v>0.13901192504258938</v>
      </c>
    </row>
    <row r="3085" spans="1:8" ht="15.75" hidden="1" customHeight="1" x14ac:dyDescent="0.25">
      <c r="A3085" s="20" t="s">
        <v>224</v>
      </c>
      <c r="B3085" s="47" t="s">
        <v>258</v>
      </c>
      <c r="C3085" s="49"/>
      <c r="D3085" s="19" t="s">
        <v>18</v>
      </c>
      <c r="E3085" s="23">
        <v>25</v>
      </c>
      <c r="F3085" s="18">
        <f>E3085* 0.893702527830246</f>
        <v>22.342563195756149</v>
      </c>
      <c r="G3085" s="18">
        <f>E3085* 0.0946831169875015</f>
        <v>2.3670779246875373</v>
      </c>
      <c r="H3085" s="18">
        <f>E3085* 0.0116143551822529</f>
        <v>0.2903588795563225</v>
      </c>
    </row>
    <row r="3086" spans="1:8" ht="15.75" hidden="1" customHeight="1" x14ac:dyDescent="0.25">
      <c r="A3086" s="20" t="s">
        <v>224</v>
      </c>
      <c r="B3086" s="47" t="s">
        <v>258</v>
      </c>
      <c r="C3086" s="49"/>
      <c r="D3086" s="29" t="s">
        <v>663</v>
      </c>
      <c r="E3086" s="23">
        <v>5</v>
      </c>
      <c r="F3086" s="20">
        <v>0</v>
      </c>
      <c r="G3086" s="24">
        <f>E3086</f>
        <v>5</v>
      </c>
      <c r="H3086" s="20">
        <v>0</v>
      </c>
    </row>
    <row r="3087" spans="1:8" ht="15.75" hidden="1" customHeight="1" x14ac:dyDescent="0.25">
      <c r="A3087" s="20" t="s">
        <v>224</v>
      </c>
      <c r="B3087" s="47" t="s">
        <v>258</v>
      </c>
      <c r="C3087" s="49"/>
      <c r="D3087" s="19" t="s">
        <v>20</v>
      </c>
      <c r="E3087" s="23">
        <v>42</v>
      </c>
      <c r="F3087" s="18">
        <f>E3087* 0.734251968503937</f>
        <v>30.838582677165356</v>
      </c>
      <c r="G3087" s="18">
        <f>E3087* 0.158017179670723</f>
        <v>6.6367215461703664</v>
      </c>
      <c r="H3087" s="18">
        <f>E3087* 0.107551896921976</f>
        <v>4.5171796707229923</v>
      </c>
    </row>
    <row r="3088" spans="1:8" ht="15.75" hidden="1" customHeight="1" x14ac:dyDescent="0.25">
      <c r="A3088" s="20" t="s">
        <v>224</v>
      </c>
      <c r="B3088" s="47" t="s">
        <v>258</v>
      </c>
      <c r="C3088" s="49"/>
      <c r="D3088" s="19" t="s">
        <v>21</v>
      </c>
      <c r="E3088" s="23">
        <v>1858</v>
      </c>
      <c r="F3088" s="18">
        <f>E3088* 0.999727092353423</f>
        <v>1857.4929375926599</v>
      </c>
      <c r="G3088" s="18">
        <f>E3088* 0.0000516311763794744</f>
        <v>9.5930725713063436E-2</v>
      </c>
      <c r="H3088" s="18">
        <f>E3088* 0.000132765882118648</f>
        <v>0.24667900897644798</v>
      </c>
    </row>
    <row r="3089" spans="1:8" ht="15.75" hidden="1" customHeight="1" x14ac:dyDescent="0.25">
      <c r="A3089" s="20" t="s">
        <v>224</v>
      </c>
      <c r="B3089" s="47" t="s">
        <v>258</v>
      </c>
      <c r="C3089" s="49"/>
      <c r="D3089" s="19" t="s">
        <v>36</v>
      </c>
      <c r="E3089" s="23">
        <v>4</v>
      </c>
      <c r="F3089" s="18">
        <f>E3089* 0.995894428152493</f>
        <v>3.9835777126099718</v>
      </c>
      <c r="G3089" s="18">
        <f>E3089* 0.000586510263929619</f>
        <v>2.3460410557184759E-3</v>
      </c>
      <c r="H3089" s="18">
        <f>E3089* 0.00351906158357771</f>
        <v>1.407624633431084E-2</v>
      </c>
    </row>
    <row r="3090" spans="1:8" ht="15.75" hidden="1" customHeight="1" x14ac:dyDescent="0.25">
      <c r="A3090" s="20" t="s">
        <v>224</v>
      </c>
      <c r="B3090" s="47" t="s">
        <v>258</v>
      </c>
      <c r="C3090" s="49"/>
      <c r="D3090" s="19" t="s">
        <v>28</v>
      </c>
      <c r="E3090" s="23">
        <v>5</v>
      </c>
      <c r="F3090" s="18">
        <f>E3090* 0.00302222222222222</f>
        <v>1.5111111111111099E-2</v>
      </c>
      <c r="G3090" s="18">
        <f>E3090* 0.996622222222222</f>
        <v>4.9831111111111097</v>
      </c>
      <c r="H3090" s="18">
        <f>E3090* 0.000355555555555556</f>
        <v>1.77777777777778E-3</v>
      </c>
    </row>
    <row r="3091" spans="1:8" ht="15.75" hidden="1" customHeight="1" x14ac:dyDescent="0.25">
      <c r="A3091" s="20" t="s">
        <v>224</v>
      </c>
      <c r="B3091" s="47" t="s">
        <v>258</v>
      </c>
      <c r="C3091" s="49"/>
      <c r="D3091" s="19" t="s">
        <v>12</v>
      </c>
      <c r="E3091" s="23">
        <v>78</v>
      </c>
      <c r="F3091" s="18">
        <f>E3091* 0.802335182557089</f>
        <v>62.582144239452944</v>
      </c>
      <c r="G3091" s="18">
        <f>E3091* 0.124687137143594</f>
        <v>9.7255966972003325</v>
      </c>
      <c r="H3091" s="18">
        <f>E3091* 0.0729583279576829</f>
        <v>5.6907495806992658</v>
      </c>
    </row>
    <row r="3092" spans="1:8" ht="15.75" hidden="1" customHeight="1" x14ac:dyDescent="0.25">
      <c r="A3092" s="20" t="s">
        <v>224</v>
      </c>
      <c r="B3092" s="20"/>
      <c r="C3092" s="20"/>
      <c r="D3092" s="46"/>
      <c r="E3092" s="35"/>
    </row>
    <row r="3093" spans="1:8" ht="15.75" hidden="1" customHeight="1" x14ac:dyDescent="0.25">
      <c r="A3093" s="20" t="s">
        <v>224</v>
      </c>
      <c r="B3093" s="47" t="s">
        <v>259</v>
      </c>
      <c r="C3093" s="12" t="str">
        <f>B3093&amp;"_"&amp;A3093</f>
        <v>San Javier (SCZ)_Santa Cruz</v>
      </c>
      <c r="D3093" s="20"/>
      <c r="E3093" s="48">
        <v>511</v>
      </c>
      <c r="F3093" s="14">
        <f t="shared" ref="F3093:H3093" si="257">SUM(F3094:F3105)</f>
        <v>432.76548158738899</v>
      </c>
      <c r="G3093" s="14">
        <f t="shared" si="257"/>
        <v>59.943713486215799</v>
      </c>
      <c r="H3093" s="14">
        <f t="shared" si="257"/>
        <v>18.264872721040071</v>
      </c>
    </row>
    <row r="3094" spans="1:8" ht="15.75" hidden="1" customHeight="1" x14ac:dyDescent="0.25">
      <c r="A3094" s="20" t="s">
        <v>224</v>
      </c>
      <c r="B3094" s="47" t="s">
        <v>259</v>
      </c>
      <c r="C3094" s="49"/>
      <c r="D3094" s="29" t="s">
        <v>664</v>
      </c>
      <c r="E3094" s="23">
        <v>3</v>
      </c>
      <c r="F3094" s="20">
        <v>0</v>
      </c>
      <c r="G3094" s="24">
        <f>E3094</f>
        <v>3</v>
      </c>
      <c r="H3094" s="20">
        <v>0</v>
      </c>
    </row>
    <row r="3095" spans="1:8" ht="15.75" hidden="1" customHeight="1" x14ac:dyDescent="0.25">
      <c r="A3095" s="20" t="s">
        <v>224</v>
      </c>
      <c r="B3095" s="47" t="s">
        <v>259</v>
      </c>
      <c r="C3095" s="49"/>
      <c r="D3095" s="19" t="s">
        <v>15</v>
      </c>
      <c r="E3095" s="23">
        <v>41</v>
      </c>
      <c r="F3095" s="18">
        <f>E3095* 0.932303048052446</f>
        <v>38.224424970150288</v>
      </c>
      <c r="G3095" s="18">
        <f>E3095* 0.0217058280204555</f>
        <v>0.88993894883867541</v>
      </c>
      <c r="H3095" s="18">
        <f>E3095* 0.0459798598751943</f>
        <v>1.8851742548829662</v>
      </c>
    </row>
    <row r="3096" spans="1:8" ht="15.75" hidden="1" customHeight="1" x14ac:dyDescent="0.25">
      <c r="A3096" s="20" t="s">
        <v>224</v>
      </c>
      <c r="B3096" s="47" t="s">
        <v>259</v>
      </c>
      <c r="C3096" s="49"/>
      <c r="D3096" s="29" t="s">
        <v>665</v>
      </c>
      <c r="E3096" s="23">
        <v>1</v>
      </c>
      <c r="F3096" s="18">
        <f>E3096* 0.293894936109797</f>
        <v>0.293894936109797</v>
      </c>
      <c r="G3096" s="18">
        <f>E3096* 0.663038334122101</f>
        <v>0.663038334122101</v>
      </c>
      <c r="H3096" s="18">
        <f>E3096* 0.0430667297681022</f>
        <v>4.3066729768102198E-2</v>
      </c>
    </row>
    <row r="3097" spans="1:8" ht="15.75" hidden="1" customHeight="1" x14ac:dyDescent="0.25">
      <c r="A3097" s="20" t="s">
        <v>224</v>
      </c>
      <c r="B3097" s="47" t="s">
        <v>259</v>
      </c>
      <c r="C3097" s="49"/>
      <c r="D3097" s="19" t="s">
        <v>11</v>
      </c>
      <c r="E3097" s="23">
        <v>15</v>
      </c>
      <c r="F3097" s="18">
        <f>E3097* 0.083479491676667</f>
        <v>1.252192375150005</v>
      </c>
      <c r="G3097" s="18">
        <f>E3097* 0.913505030924029</f>
        <v>13.702575463860436</v>
      </c>
      <c r="H3097" s="18">
        <f>E3097* 0.00292316686667282</f>
        <v>4.3847503000092297E-2</v>
      </c>
    </row>
    <row r="3098" spans="1:8" ht="15.75" hidden="1" customHeight="1" x14ac:dyDescent="0.25">
      <c r="A3098" s="20" t="s">
        <v>224</v>
      </c>
      <c r="B3098" s="47" t="s">
        <v>259</v>
      </c>
      <c r="C3098" s="49"/>
      <c r="D3098" s="19" t="s">
        <v>17</v>
      </c>
      <c r="E3098" s="23">
        <v>97</v>
      </c>
      <c r="F3098" s="18">
        <f>E3098* 0.752045572242362</f>
        <v>72.948420507509113</v>
      </c>
      <c r="G3098" s="18">
        <f>E3098* 0.185827723114103</f>
        <v>18.02528914206799</v>
      </c>
      <c r="H3098" s="18">
        <f>E3098* 0.0620921802175039</f>
        <v>6.0229414810978783</v>
      </c>
    </row>
    <row r="3099" spans="1:8" ht="15.75" hidden="1" customHeight="1" x14ac:dyDescent="0.25">
      <c r="A3099" s="20" t="s">
        <v>224</v>
      </c>
      <c r="B3099" s="47" t="s">
        <v>259</v>
      </c>
      <c r="C3099" s="49"/>
      <c r="D3099" s="19" t="s">
        <v>31</v>
      </c>
      <c r="E3099" s="23">
        <v>5</v>
      </c>
      <c r="F3099" s="18">
        <f>E3099* 0.929131175468484</f>
        <v>4.6456558773424197</v>
      </c>
      <c r="G3099" s="18">
        <f>E3099* 0.0477001703577513</f>
        <v>0.23850085178875652</v>
      </c>
      <c r="H3099" s="18">
        <f>E3099* 0.0231686541737649</f>
        <v>0.1158432708688245</v>
      </c>
    </row>
    <row r="3100" spans="1:8" ht="15.75" hidden="1" customHeight="1" x14ac:dyDescent="0.25">
      <c r="A3100" s="20" t="s">
        <v>224</v>
      </c>
      <c r="B3100" s="47" t="s">
        <v>259</v>
      </c>
      <c r="C3100" s="49"/>
      <c r="D3100" s="19" t="s">
        <v>18</v>
      </c>
      <c r="E3100" s="23">
        <v>18</v>
      </c>
      <c r="F3100" s="18">
        <f>E3100* 0.893702527830246</f>
        <v>16.086645500944428</v>
      </c>
      <c r="G3100" s="18">
        <f>E3100* 0.0946831169875015</f>
        <v>1.704296105775027</v>
      </c>
      <c r="H3100" s="18">
        <f>E3100* 0.0116143551822529</f>
        <v>0.2090583932805522</v>
      </c>
    </row>
    <row r="3101" spans="1:8" ht="15.75" hidden="1" customHeight="1" x14ac:dyDescent="0.25">
      <c r="A3101" s="20" t="s">
        <v>224</v>
      </c>
      <c r="B3101" s="47" t="s">
        <v>259</v>
      </c>
      <c r="C3101" s="49"/>
      <c r="D3101" s="19" t="s">
        <v>20</v>
      </c>
      <c r="E3101" s="23">
        <v>8</v>
      </c>
      <c r="F3101" s="18">
        <f>E3101* 0.734251968503937</f>
        <v>5.8740157480314963</v>
      </c>
      <c r="G3101" s="18">
        <f>E3101* 0.158017179670723</f>
        <v>1.2641374373657841</v>
      </c>
      <c r="H3101" s="18">
        <f>E3101* 0.107551896921976</f>
        <v>0.86041517537580803</v>
      </c>
    </row>
    <row r="3102" spans="1:8" ht="15.75" hidden="1" customHeight="1" x14ac:dyDescent="0.25">
      <c r="A3102" s="20" t="s">
        <v>224</v>
      </c>
      <c r="B3102" s="47" t="s">
        <v>259</v>
      </c>
      <c r="C3102" s="49"/>
      <c r="D3102" s="19" t="s">
        <v>21</v>
      </c>
      <c r="E3102" s="23">
        <v>191</v>
      </c>
      <c r="F3102" s="18">
        <f>E3102* 0.999727092353423</f>
        <v>190.94787463950379</v>
      </c>
      <c r="G3102" s="18">
        <f>E3102* 0.0000516311763794744</f>
        <v>9.8615546884796099E-3</v>
      </c>
      <c r="H3102" s="18">
        <f>E3102* 0.000132765882118648</f>
        <v>2.5358283484661768E-2</v>
      </c>
    </row>
    <row r="3103" spans="1:8" ht="15.75" hidden="1" customHeight="1" x14ac:dyDescent="0.25">
      <c r="A3103" s="20" t="s">
        <v>224</v>
      </c>
      <c r="B3103" s="47" t="s">
        <v>259</v>
      </c>
      <c r="C3103" s="49"/>
      <c r="D3103" s="19" t="s">
        <v>36</v>
      </c>
      <c r="E3103" s="23">
        <v>3</v>
      </c>
      <c r="F3103" s="18">
        <f>E3103* 0.995894428152493</f>
        <v>2.987683284457479</v>
      </c>
      <c r="G3103" s="18">
        <f>E3103* 0.000586510263929619</f>
        <v>1.759530791788857E-3</v>
      </c>
      <c r="H3103" s="18">
        <f>E3103* 0.00351906158357771</f>
        <v>1.0557184750733129E-2</v>
      </c>
    </row>
    <row r="3104" spans="1:8" ht="15.75" hidden="1" customHeight="1" x14ac:dyDescent="0.25">
      <c r="A3104" s="20" t="s">
        <v>224</v>
      </c>
      <c r="B3104" s="47" t="s">
        <v>259</v>
      </c>
      <c r="C3104" s="49"/>
      <c r="D3104" s="19" t="s">
        <v>28</v>
      </c>
      <c r="E3104" s="23">
        <v>5</v>
      </c>
      <c r="F3104" s="18">
        <f>E3104* 0.00302222222222222</f>
        <v>1.5111111111111099E-2</v>
      </c>
      <c r="G3104" s="18">
        <f>E3104* 0.996622222222222</f>
        <v>4.9831111111111097</v>
      </c>
      <c r="H3104" s="18">
        <f>E3104* 0.000355555555555556</f>
        <v>1.77777777777778E-3</v>
      </c>
    </row>
    <row r="3105" spans="1:8" ht="15.75" hidden="1" customHeight="1" x14ac:dyDescent="0.25">
      <c r="A3105" s="20" t="s">
        <v>224</v>
      </c>
      <c r="B3105" s="47" t="s">
        <v>259</v>
      </c>
      <c r="C3105" s="49"/>
      <c r="D3105" s="19" t="s">
        <v>12</v>
      </c>
      <c r="E3105" s="23">
        <v>124</v>
      </c>
      <c r="F3105" s="18">
        <f>E3105* 0.802335182557089</f>
        <v>99.489562637079032</v>
      </c>
      <c r="G3105" s="18">
        <f>E3105* 0.124687137143594</f>
        <v>15.461205005805656</v>
      </c>
      <c r="H3105" s="18">
        <f>E3105* 0.0729583279576829</f>
        <v>9.0468326667526782</v>
      </c>
    </row>
    <row r="3106" spans="1:8" ht="15.75" hidden="1" customHeight="1" x14ac:dyDescent="0.25">
      <c r="A3106" s="20" t="s">
        <v>224</v>
      </c>
      <c r="B3106" s="20"/>
      <c r="C3106" s="20"/>
      <c r="D3106" s="46"/>
      <c r="E3106" s="35"/>
    </row>
    <row r="3107" spans="1:8" ht="15.75" hidden="1" customHeight="1" x14ac:dyDescent="0.25">
      <c r="A3107" s="20" t="s">
        <v>224</v>
      </c>
      <c r="B3107" s="47" t="s">
        <v>260</v>
      </c>
      <c r="C3107" s="12" t="str">
        <f>B3107&amp;"_"&amp;A3107</f>
        <v>San José_Santa Cruz</v>
      </c>
      <c r="D3107" s="20"/>
      <c r="E3107" s="48">
        <v>1654</v>
      </c>
      <c r="F3107" s="14">
        <f t="shared" ref="F3107:H3107" si="258">SUM(F3108:F3120)</f>
        <v>1553.5555454444575</v>
      </c>
      <c r="G3107" s="14">
        <f t="shared" si="258"/>
        <v>76.952234440047462</v>
      </c>
      <c r="H3107" s="14">
        <f t="shared" si="258"/>
        <v>23.352777590941752</v>
      </c>
    </row>
    <row r="3108" spans="1:8" ht="15.75" hidden="1" customHeight="1" x14ac:dyDescent="0.25">
      <c r="A3108" s="20" t="s">
        <v>224</v>
      </c>
      <c r="B3108" s="47" t="s">
        <v>260</v>
      </c>
      <c r="C3108" s="49"/>
      <c r="D3108" s="29" t="s">
        <v>666</v>
      </c>
      <c r="E3108" s="23">
        <v>4</v>
      </c>
      <c r="F3108" s="20">
        <v>0</v>
      </c>
      <c r="G3108" s="24">
        <f>E3108</f>
        <v>4</v>
      </c>
      <c r="H3108" s="20">
        <v>0</v>
      </c>
    </row>
    <row r="3109" spans="1:8" ht="15.75" hidden="1" customHeight="1" x14ac:dyDescent="0.25">
      <c r="A3109" s="20" t="s">
        <v>224</v>
      </c>
      <c r="B3109" s="47" t="s">
        <v>260</v>
      </c>
      <c r="C3109" s="49"/>
      <c r="D3109" s="19" t="s">
        <v>15</v>
      </c>
      <c r="E3109" s="23">
        <v>10</v>
      </c>
      <c r="F3109" s="18">
        <f>E3109* 0.932303048052446</f>
        <v>9.3230304805244604</v>
      </c>
      <c r="G3109" s="18">
        <f>E3109* 0.0217058280204555</f>
        <v>0.21705828020455498</v>
      </c>
      <c r="H3109" s="18">
        <f>E3109* 0.0459798598751943</f>
        <v>0.45979859875194296</v>
      </c>
    </row>
    <row r="3110" spans="1:8" ht="15.75" hidden="1" customHeight="1" x14ac:dyDescent="0.25">
      <c r="A3110" s="20" t="s">
        <v>224</v>
      </c>
      <c r="B3110" s="47" t="s">
        <v>260</v>
      </c>
      <c r="C3110" s="49"/>
      <c r="D3110" s="29" t="s">
        <v>667</v>
      </c>
      <c r="E3110" s="23">
        <v>2</v>
      </c>
      <c r="F3110" s="18">
        <f>E3110* 0.293894936109797</f>
        <v>0.587789872219594</v>
      </c>
      <c r="G3110" s="18">
        <f>E3110* 0.663038334122101</f>
        <v>1.326076668244202</v>
      </c>
      <c r="H3110" s="18">
        <f>E3110* 0.0430667297681022</f>
        <v>8.6133459536204396E-2</v>
      </c>
    </row>
    <row r="3111" spans="1:8" ht="15.75" hidden="1" customHeight="1" x14ac:dyDescent="0.25">
      <c r="A3111" s="20" t="s">
        <v>224</v>
      </c>
      <c r="B3111" s="47" t="s">
        <v>260</v>
      </c>
      <c r="C3111" s="49"/>
      <c r="D3111" s="19" t="s">
        <v>11</v>
      </c>
      <c r="E3111" s="23">
        <v>33</v>
      </c>
      <c r="F3111" s="18">
        <f>E3111* 0.083479491676667</f>
        <v>2.7548232253300111</v>
      </c>
      <c r="G3111" s="18">
        <f>E3111* 0.913505030924029</f>
        <v>30.145666020492957</v>
      </c>
      <c r="H3111" s="18">
        <f>E3111* 0.00292316686667282</f>
        <v>9.6464506600203059E-2</v>
      </c>
    </row>
    <row r="3112" spans="1:8" ht="15.75" hidden="1" customHeight="1" x14ac:dyDescent="0.25">
      <c r="A3112" s="20" t="s">
        <v>224</v>
      </c>
      <c r="B3112" s="47" t="s">
        <v>260</v>
      </c>
      <c r="C3112" s="49"/>
      <c r="D3112" s="19" t="s">
        <v>17</v>
      </c>
      <c r="E3112" s="23">
        <v>41</v>
      </c>
      <c r="F3112" s="18">
        <f>E3112* 0.752045572242362</f>
        <v>30.833868461936841</v>
      </c>
      <c r="G3112" s="18">
        <f>E3112* 0.185827723114103</f>
        <v>7.6189366476782237</v>
      </c>
      <c r="H3112" s="18">
        <f>E3112* 0.0620921802175039</f>
        <v>2.5457793889176599</v>
      </c>
    </row>
    <row r="3113" spans="1:8" ht="15.75" hidden="1" customHeight="1" x14ac:dyDescent="0.25">
      <c r="A3113" s="20" t="s">
        <v>224</v>
      </c>
      <c r="B3113" s="47" t="s">
        <v>260</v>
      </c>
      <c r="C3113" s="49"/>
      <c r="D3113" s="19" t="s">
        <v>31</v>
      </c>
      <c r="E3113" s="23">
        <v>5</v>
      </c>
      <c r="F3113" s="18">
        <f>E3113* 0.929131175468484</f>
        <v>4.6456558773424197</v>
      </c>
      <c r="G3113" s="18">
        <f>E3113* 0.0477001703577513</f>
        <v>0.23850085178875652</v>
      </c>
      <c r="H3113" s="18">
        <f>E3113* 0.0231686541737649</f>
        <v>0.1158432708688245</v>
      </c>
    </row>
    <row r="3114" spans="1:8" ht="15.75" hidden="1" customHeight="1" x14ac:dyDescent="0.25">
      <c r="A3114" s="20" t="s">
        <v>224</v>
      </c>
      <c r="B3114" s="47" t="s">
        <v>260</v>
      </c>
      <c r="C3114" s="49"/>
      <c r="D3114" s="19" t="s">
        <v>18</v>
      </c>
      <c r="E3114" s="23">
        <v>9</v>
      </c>
      <c r="F3114" s="18">
        <f>E3114* 0.893702527830246</f>
        <v>8.043322750472214</v>
      </c>
      <c r="G3114" s="18">
        <f>E3114* 0.0946831169875015</f>
        <v>0.8521480528875135</v>
      </c>
      <c r="H3114" s="18">
        <f>E3114* 0.0116143551822529</f>
        <v>0.1045291966402761</v>
      </c>
    </row>
    <row r="3115" spans="1:8" ht="15.75" hidden="1" customHeight="1" x14ac:dyDescent="0.25">
      <c r="A3115" s="20" t="s">
        <v>224</v>
      </c>
      <c r="B3115" s="47" t="s">
        <v>260</v>
      </c>
      <c r="C3115" s="49"/>
      <c r="D3115" s="19" t="s">
        <v>19</v>
      </c>
      <c r="E3115" s="23">
        <v>0</v>
      </c>
      <c r="F3115" s="18">
        <f>E3115* 0.0299845873616365</f>
        <v>0</v>
      </c>
      <c r="G3115" s="18">
        <f>E3115* 0.96385035729298</f>
        <v>0</v>
      </c>
      <c r="H3115" s="18">
        <f>E3115* 0.00616505534538321</f>
        <v>0</v>
      </c>
    </row>
    <row r="3116" spans="1:8" ht="15.75" hidden="1" customHeight="1" x14ac:dyDescent="0.25">
      <c r="A3116" s="20" t="s">
        <v>224</v>
      </c>
      <c r="B3116" s="47" t="s">
        <v>260</v>
      </c>
      <c r="C3116" s="49"/>
      <c r="D3116" s="19" t="s">
        <v>20</v>
      </c>
      <c r="E3116" s="23">
        <v>88</v>
      </c>
      <c r="F3116" s="18">
        <f>E3116* 0.734251968503937</f>
        <v>64.614173228346459</v>
      </c>
      <c r="G3116" s="18">
        <f>E3116* 0.158017179670723</f>
        <v>13.905511811023626</v>
      </c>
      <c r="H3116" s="18">
        <f>E3116* 0.107551896921976</f>
        <v>9.4645669291338876</v>
      </c>
    </row>
    <row r="3117" spans="1:8" ht="15.75" hidden="1" customHeight="1" x14ac:dyDescent="0.25">
      <c r="A3117" s="20" t="s">
        <v>224</v>
      </c>
      <c r="B3117" s="47" t="s">
        <v>260</v>
      </c>
      <c r="C3117" s="49"/>
      <c r="D3117" s="19" t="s">
        <v>21</v>
      </c>
      <c r="E3117" s="23">
        <v>1315</v>
      </c>
      <c r="F3117" s="18">
        <f>E3117* 0.999727092353423</f>
        <v>1314.6411264447513</v>
      </c>
      <c r="G3117" s="18">
        <f>E3117* 0.0000516311763794744</f>
        <v>6.7894996939008842E-2</v>
      </c>
      <c r="H3117" s="18">
        <f>E3117* 0.000132765882118648</f>
        <v>0.17458713498602213</v>
      </c>
    </row>
    <row r="3118" spans="1:8" ht="15.75" hidden="1" customHeight="1" x14ac:dyDescent="0.25">
      <c r="A3118" s="20" t="s">
        <v>224</v>
      </c>
      <c r="B3118" s="47" t="s">
        <v>260</v>
      </c>
      <c r="C3118" s="49"/>
      <c r="D3118" s="19" t="s">
        <v>36</v>
      </c>
      <c r="E3118" s="23">
        <v>5</v>
      </c>
      <c r="F3118" s="18">
        <f>E3118* 0.995894428152493</f>
        <v>4.9794721407624651</v>
      </c>
      <c r="G3118" s="18">
        <f>E3118* 0.000586510263929619</f>
        <v>2.9325513196480947E-3</v>
      </c>
      <c r="H3118" s="18">
        <f>E3118* 0.00351906158357771</f>
        <v>1.7595307917888551E-2</v>
      </c>
    </row>
    <row r="3119" spans="1:8" ht="15.75" hidden="1" customHeight="1" x14ac:dyDescent="0.25">
      <c r="A3119" s="20" t="s">
        <v>224</v>
      </c>
      <c r="B3119" s="47" t="s">
        <v>260</v>
      </c>
      <c r="C3119" s="49"/>
      <c r="D3119" s="19" t="s">
        <v>28</v>
      </c>
      <c r="E3119" s="23">
        <v>1</v>
      </c>
      <c r="F3119" s="18">
        <f>E3119* 0.00302222222222222</f>
        <v>3.02222222222222E-3</v>
      </c>
      <c r="G3119" s="18">
        <f>E3119* 0.996622222222222</f>
        <v>0.99662222222222197</v>
      </c>
      <c r="H3119" s="18">
        <f>E3119* 0.000355555555555556</f>
        <v>3.5555555555555601E-4</v>
      </c>
    </row>
    <row r="3120" spans="1:8" ht="15.75" hidden="1" customHeight="1" x14ac:dyDescent="0.25">
      <c r="A3120" s="20" t="s">
        <v>224</v>
      </c>
      <c r="B3120" s="47" t="s">
        <v>260</v>
      </c>
      <c r="C3120" s="49"/>
      <c r="D3120" s="19" t="s">
        <v>12</v>
      </c>
      <c r="E3120" s="23">
        <v>141</v>
      </c>
      <c r="F3120" s="18">
        <f>E3120* 0.802335182557089</f>
        <v>113.12926074054955</v>
      </c>
      <c r="G3120" s="18">
        <f>E3120* 0.124687137143594</f>
        <v>17.580886337246753</v>
      </c>
      <c r="H3120" s="18">
        <f>E3120* 0.0729583279576829</f>
        <v>10.287124242033288</v>
      </c>
    </row>
    <row r="3121" spans="1:8" ht="15.75" hidden="1" customHeight="1" x14ac:dyDescent="0.25">
      <c r="A3121" s="20" t="s">
        <v>224</v>
      </c>
      <c r="B3121" s="20"/>
      <c r="C3121" s="20"/>
      <c r="D3121" s="46"/>
      <c r="E3121" s="35"/>
    </row>
    <row r="3122" spans="1:8" ht="15.75" hidden="1" customHeight="1" x14ac:dyDescent="0.25">
      <c r="A3122" s="20" t="s">
        <v>224</v>
      </c>
      <c r="B3122" s="47" t="s">
        <v>261</v>
      </c>
      <c r="C3122" s="12" t="str">
        <f>B3122&amp;"_"&amp;A3122</f>
        <v>San Juan_Santa Cruz</v>
      </c>
      <c r="D3122" s="20"/>
      <c r="E3122" s="48">
        <v>1190</v>
      </c>
      <c r="F3122" s="14">
        <f t="shared" ref="F3122:H3122" si="259">SUM(F3123:F3136)</f>
        <v>985.30904984993617</v>
      </c>
      <c r="G3122" s="14">
        <f t="shared" si="259"/>
        <v>169.75029871571024</v>
      </c>
      <c r="H3122" s="14">
        <f t="shared" si="259"/>
        <v>34.87249109241921</v>
      </c>
    </row>
    <row r="3123" spans="1:8" ht="15.75" hidden="1" customHeight="1" x14ac:dyDescent="0.25">
      <c r="A3123" s="20" t="s">
        <v>224</v>
      </c>
      <c r="B3123" s="47" t="s">
        <v>261</v>
      </c>
      <c r="C3123" s="49"/>
      <c r="D3123" s="29" t="s">
        <v>668</v>
      </c>
      <c r="E3123" s="23">
        <v>0</v>
      </c>
      <c r="F3123" s="20">
        <v>0</v>
      </c>
      <c r="G3123" s="24">
        <f>E3123</f>
        <v>0</v>
      </c>
      <c r="H3123" s="20">
        <v>0</v>
      </c>
    </row>
    <row r="3124" spans="1:8" ht="15.75" hidden="1" customHeight="1" x14ac:dyDescent="0.25">
      <c r="A3124" s="20" t="s">
        <v>224</v>
      </c>
      <c r="B3124" s="47" t="s">
        <v>261</v>
      </c>
      <c r="C3124" s="49"/>
      <c r="D3124" s="19" t="s">
        <v>15</v>
      </c>
      <c r="E3124" s="23">
        <v>59</v>
      </c>
      <c r="F3124" s="18">
        <f>E3124* 0.932303048052446</f>
        <v>55.005879835094312</v>
      </c>
      <c r="G3124" s="18">
        <f>E3124* 0.0217058280204555</f>
        <v>1.2806438532068745</v>
      </c>
      <c r="H3124" s="18">
        <f>E3124* 0.0459798598751943</f>
        <v>2.7128117326364634</v>
      </c>
    </row>
    <row r="3125" spans="1:8" ht="15.75" hidden="1" customHeight="1" x14ac:dyDescent="0.25">
      <c r="A3125" s="20" t="s">
        <v>224</v>
      </c>
      <c r="B3125" s="47" t="s">
        <v>261</v>
      </c>
      <c r="C3125" s="49"/>
      <c r="D3125" s="29" t="s">
        <v>669</v>
      </c>
      <c r="E3125" s="23">
        <v>6</v>
      </c>
      <c r="F3125" s="18">
        <f>E3125* 0.293894936109797</f>
        <v>1.763369616658782</v>
      </c>
      <c r="G3125" s="18">
        <f>E3125* 0.663038334122101</f>
        <v>3.9782300047326062</v>
      </c>
      <c r="H3125" s="18">
        <f>E3125* 0.0430667297681022</f>
        <v>0.2584003786086132</v>
      </c>
    </row>
    <row r="3126" spans="1:8" ht="15.75" hidden="1" customHeight="1" x14ac:dyDescent="0.25">
      <c r="A3126" s="20" t="s">
        <v>224</v>
      </c>
      <c r="B3126" s="47" t="s">
        <v>261</v>
      </c>
      <c r="C3126" s="49"/>
      <c r="D3126" s="19" t="s">
        <v>11</v>
      </c>
      <c r="E3126" s="23">
        <v>85</v>
      </c>
      <c r="F3126" s="18">
        <f>E3126* 0.083479491676667</f>
        <v>7.0957567925166956</v>
      </c>
      <c r="G3126" s="18">
        <f>E3126* 0.913505030924029</f>
        <v>77.647927628542462</v>
      </c>
      <c r="H3126" s="18">
        <f>E3126* 0.00292316686667282</f>
        <v>0.2484691836671897</v>
      </c>
    </row>
    <row r="3127" spans="1:8" ht="15.75" hidden="1" customHeight="1" x14ac:dyDescent="0.25">
      <c r="A3127" s="20" t="s">
        <v>224</v>
      </c>
      <c r="B3127" s="47" t="s">
        <v>261</v>
      </c>
      <c r="C3127" s="49"/>
      <c r="D3127" s="19" t="s">
        <v>17</v>
      </c>
      <c r="E3127" s="23">
        <v>232</v>
      </c>
      <c r="F3127" s="18">
        <f>E3127* 0.752045572242362</f>
        <v>174.474572760228</v>
      </c>
      <c r="G3127" s="18">
        <f>E3127* 0.185827723114103</f>
        <v>43.112031762471901</v>
      </c>
      <c r="H3127" s="18">
        <f>E3127* 0.0620921802175039</f>
        <v>14.405385810460904</v>
      </c>
    </row>
    <row r="3128" spans="1:8" ht="15.75" hidden="1" customHeight="1" x14ac:dyDescent="0.25">
      <c r="A3128" s="20" t="s">
        <v>224</v>
      </c>
      <c r="B3128" s="47" t="s">
        <v>261</v>
      </c>
      <c r="C3128" s="49"/>
      <c r="D3128" s="19" t="s">
        <v>31</v>
      </c>
      <c r="E3128" s="23">
        <v>3</v>
      </c>
      <c r="F3128" s="18">
        <f>E3128* 0.929131175468484</f>
        <v>2.7873935264054519</v>
      </c>
      <c r="G3128" s="18">
        <f>E3128* 0.0477001703577513</f>
        <v>0.14310051107325389</v>
      </c>
      <c r="H3128" s="18">
        <f>E3128* 0.0231686541737649</f>
        <v>6.9505962521294692E-2</v>
      </c>
    </row>
    <row r="3129" spans="1:8" ht="15.75" hidden="1" customHeight="1" x14ac:dyDescent="0.25">
      <c r="A3129" s="20" t="s">
        <v>224</v>
      </c>
      <c r="B3129" s="47" t="s">
        <v>261</v>
      </c>
      <c r="C3129" s="49"/>
      <c r="D3129" s="19" t="s">
        <v>18</v>
      </c>
      <c r="E3129" s="23">
        <v>35</v>
      </c>
      <c r="F3129" s="18">
        <f>E3129* 0.893702527830246</f>
        <v>31.27958847405861</v>
      </c>
      <c r="G3129" s="18">
        <f>E3129* 0.0946831169875015</f>
        <v>3.3139090945625522</v>
      </c>
      <c r="H3129" s="18">
        <f>E3129* 0.0116143551822529</f>
        <v>0.4065024313788515</v>
      </c>
    </row>
    <row r="3130" spans="1:8" ht="15.75" hidden="1" customHeight="1" x14ac:dyDescent="0.25">
      <c r="A3130" s="20" t="s">
        <v>224</v>
      </c>
      <c r="B3130" s="47" t="s">
        <v>261</v>
      </c>
      <c r="C3130" s="49"/>
      <c r="D3130" s="29" t="s">
        <v>670</v>
      </c>
      <c r="E3130" s="23">
        <v>1</v>
      </c>
      <c r="F3130" s="20">
        <v>0</v>
      </c>
      <c r="G3130" s="24">
        <f>E3130</f>
        <v>1</v>
      </c>
      <c r="H3130" s="20">
        <v>0</v>
      </c>
    </row>
    <row r="3131" spans="1:8" ht="15.75" hidden="1" customHeight="1" x14ac:dyDescent="0.25">
      <c r="A3131" s="20" t="s">
        <v>224</v>
      </c>
      <c r="B3131" s="47" t="s">
        <v>261</v>
      </c>
      <c r="C3131" s="49"/>
      <c r="D3131" s="19" t="s">
        <v>19</v>
      </c>
      <c r="E3131" s="23">
        <v>2</v>
      </c>
      <c r="F3131" s="18">
        <f>E3131* 0.0299845873616365</f>
        <v>5.9969174723272997E-2</v>
      </c>
      <c r="G3131" s="18">
        <f>E3131* 0.96385035729298</f>
        <v>1.9277007145859599</v>
      </c>
      <c r="H3131" s="18">
        <f>E3131* 0.00616505534538321</f>
        <v>1.233011069076642E-2</v>
      </c>
    </row>
    <row r="3132" spans="1:8" ht="15.75" hidden="1" customHeight="1" x14ac:dyDescent="0.25">
      <c r="A3132" s="20" t="s">
        <v>224</v>
      </c>
      <c r="B3132" s="47" t="s">
        <v>261</v>
      </c>
      <c r="C3132" s="49"/>
      <c r="D3132" s="19" t="s">
        <v>20</v>
      </c>
      <c r="E3132" s="23">
        <v>5</v>
      </c>
      <c r="F3132" s="18">
        <f>E3132* 0.734251968503937</f>
        <v>3.6712598425196852</v>
      </c>
      <c r="G3132" s="18">
        <f>E3132* 0.158017179670723</f>
        <v>0.79008589835361509</v>
      </c>
      <c r="H3132" s="18">
        <f>E3132* 0.107551896921976</f>
        <v>0.53775948460987999</v>
      </c>
    </row>
    <row r="3133" spans="1:8" ht="15.75" hidden="1" customHeight="1" x14ac:dyDescent="0.25">
      <c r="A3133" s="20" t="s">
        <v>224</v>
      </c>
      <c r="B3133" s="47" t="s">
        <v>261</v>
      </c>
      <c r="C3133" s="49"/>
      <c r="D3133" s="19" t="s">
        <v>21</v>
      </c>
      <c r="E3133" s="23">
        <v>525</v>
      </c>
      <c r="F3133" s="18">
        <f>E3133* 0.999727092353423</f>
        <v>524.85672348554715</v>
      </c>
      <c r="G3133" s="18">
        <f>E3133* 0.0000516311763794744</f>
        <v>2.7106367599224062E-2</v>
      </c>
      <c r="H3133" s="18">
        <f>E3133* 0.000132765882118648</f>
        <v>6.97020881122902E-2</v>
      </c>
    </row>
    <row r="3134" spans="1:8" ht="15.75" hidden="1" customHeight="1" x14ac:dyDescent="0.25">
      <c r="A3134" s="20" t="s">
        <v>224</v>
      </c>
      <c r="B3134" s="47" t="s">
        <v>261</v>
      </c>
      <c r="C3134" s="49"/>
      <c r="D3134" s="19" t="s">
        <v>36</v>
      </c>
      <c r="E3134" s="23">
        <v>7</v>
      </c>
      <c r="F3134" s="18">
        <f>E3134* 0.995894428152493</f>
        <v>6.9712609970674508</v>
      </c>
      <c r="G3134" s="18">
        <f>E3134* 0.000586510263929619</f>
        <v>4.1055718475073331E-3</v>
      </c>
      <c r="H3134" s="18">
        <f>E3134* 0.00351906158357771</f>
        <v>2.4633431085043969E-2</v>
      </c>
    </row>
    <row r="3135" spans="1:8" ht="15.75" hidden="1" customHeight="1" x14ac:dyDescent="0.25">
      <c r="A3135" s="20" t="s">
        <v>224</v>
      </c>
      <c r="B3135" s="47" t="s">
        <v>261</v>
      </c>
      <c r="C3135" s="49"/>
      <c r="D3135" s="19" t="s">
        <v>28</v>
      </c>
      <c r="E3135" s="23">
        <v>9</v>
      </c>
      <c r="F3135" s="18">
        <f>E3135* 0.00302222222222222</f>
        <v>2.7199999999999981E-2</v>
      </c>
      <c r="G3135" s="18">
        <f>E3135* 0.996622222222222</f>
        <v>8.969599999999998</v>
      </c>
      <c r="H3135" s="18">
        <f>E3135* 0.000355555555555556</f>
        <v>3.2000000000000041E-3</v>
      </c>
    </row>
    <row r="3136" spans="1:8" ht="15.75" hidden="1" customHeight="1" x14ac:dyDescent="0.25">
      <c r="A3136" s="20" t="s">
        <v>224</v>
      </c>
      <c r="B3136" s="47" t="s">
        <v>261</v>
      </c>
      <c r="C3136" s="49"/>
      <c r="D3136" s="19" t="s">
        <v>12</v>
      </c>
      <c r="E3136" s="23">
        <v>221</v>
      </c>
      <c r="F3136" s="18">
        <f>E3136* 0.802335182557089</f>
        <v>177.31607534511667</v>
      </c>
      <c r="G3136" s="18">
        <f>E3136* 0.124687137143594</f>
        <v>27.555857308734275</v>
      </c>
      <c r="H3136" s="18">
        <f>E3136* 0.0729583279576829</f>
        <v>16.123790478647919</v>
      </c>
    </row>
    <row r="3137" spans="1:8" ht="15.75" hidden="1" customHeight="1" x14ac:dyDescent="0.25">
      <c r="A3137" s="20" t="s">
        <v>224</v>
      </c>
      <c r="B3137" s="20"/>
      <c r="C3137" s="20"/>
      <c r="D3137" s="46"/>
      <c r="E3137" s="35"/>
    </row>
    <row r="3138" spans="1:8" ht="15.75" hidden="1" customHeight="1" x14ac:dyDescent="0.25">
      <c r="A3138" s="20" t="s">
        <v>224</v>
      </c>
      <c r="B3138" s="47" t="s">
        <v>262</v>
      </c>
      <c r="C3138" s="12" t="str">
        <f>B3138&amp;"_"&amp;A3138</f>
        <v>San Julián_Santa Cruz</v>
      </c>
      <c r="D3138" s="20"/>
      <c r="E3138" s="48">
        <v>7192</v>
      </c>
      <c r="F3138" s="14">
        <f t="shared" ref="F3138:H3138" si="260">SUM(F3139:F3150)</f>
        <v>6452.8263038901787</v>
      </c>
      <c r="G3138" s="14">
        <f t="shared" si="260"/>
        <v>616.46480378202227</v>
      </c>
      <c r="H3138" s="14">
        <f t="shared" si="260"/>
        <v>122.17207464224033</v>
      </c>
    </row>
    <row r="3139" spans="1:8" ht="15.75" hidden="1" customHeight="1" x14ac:dyDescent="0.25">
      <c r="A3139" s="20" t="s">
        <v>224</v>
      </c>
      <c r="B3139" s="47" t="s">
        <v>262</v>
      </c>
      <c r="C3139" s="49"/>
      <c r="D3139" s="19" t="s">
        <v>15</v>
      </c>
      <c r="E3139" s="23">
        <v>88</v>
      </c>
      <c r="F3139" s="18">
        <f>E3139* 0.932303048052446</f>
        <v>82.042668228615256</v>
      </c>
      <c r="G3139" s="18">
        <f>E3139* 0.0217058280204555</f>
        <v>1.9101128658000839</v>
      </c>
      <c r="H3139" s="18">
        <f>E3139* 0.0459798598751943</f>
        <v>4.0462276690170977</v>
      </c>
    </row>
    <row r="3140" spans="1:8" ht="15.75" hidden="1" customHeight="1" x14ac:dyDescent="0.25">
      <c r="A3140" s="20" t="s">
        <v>224</v>
      </c>
      <c r="B3140" s="47" t="s">
        <v>262</v>
      </c>
      <c r="C3140" s="49"/>
      <c r="D3140" s="29" t="s">
        <v>671</v>
      </c>
      <c r="E3140" s="23">
        <v>2</v>
      </c>
      <c r="F3140" s="18">
        <f>E3140* 0.293894936109797</f>
        <v>0.587789872219594</v>
      </c>
      <c r="G3140" s="18">
        <f>E3140* 0.663038334122101</f>
        <v>1.326076668244202</v>
      </c>
      <c r="H3140" s="18">
        <f>E3140* 0.0430667297681022</f>
        <v>8.6133459536204396E-2</v>
      </c>
    </row>
    <row r="3141" spans="1:8" ht="15.75" hidden="1" customHeight="1" x14ac:dyDescent="0.25">
      <c r="A3141" s="20" t="s">
        <v>224</v>
      </c>
      <c r="B3141" s="47" t="s">
        <v>262</v>
      </c>
      <c r="C3141" s="49"/>
      <c r="D3141" s="19" t="s">
        <v>11</v>
      </c>
      <c r="E3141" s="23">
        <v>339</v>
      </c>
      <c r="F3141" s="18">
        <f>E3141* 0.083479491676667</f>
        <v>28.299547678390113</v>
      </c>
      <c r="G3141" s="18">
        <f>E3141* 0.913505030924029</f>
        <v>309.67820548324585</v>
      </c>
      <c r="H3141" s="18">
        <f>E3141* 0.00292316686667282</f>
        <v>0.99095356780208599</v>
      </c>
    </row>
    <row r="3142" spans="1:8" ht="15.75" hidden="1" customHeight="1" x14ac:dyDescent="0.25">
      <c r="A3142" s="20" t="s">
        <v>224</v>
      </c>
      <c r="B3142" s="47" t="s">
        <v>262</v>
      </c>
      <c r="C3142" s="49"/>
      <c r="D3142" s="19" t="s">
        <v>17</v>
      </c>
      <c r="E3142" s="23">
        <v>489</v>
      </c>
      <c r="F3142" s="18">
        <f>E3142* 0.752045572242362</f>
        <v>367.75028482651504</v>
      </c>
      <c r="G3142" s="18">
        <f>E3142* 0.185827723114103</f>
        <v>90.869756602796372</v>
      </c>
      <c r="H3142" s="18">
        <f>E3142* 0.0620921802175039</f>
        <v>30.363076126359406</v>
      </c>
    </row>
    <row r="3143" spans="1:8" ht="15.75" hidden="1" customHeight="1" x14ac:dyDescent="0.25">
      <c r="A3143" s="20" t="s">
        <v>224</v>
      </c>
      <c r="B3143" s="47" t="s">
        <v>262</v>
      </c>
      <c r="C3143" s="49"/>
      <c r="D3143" s="19" t="s">
        <v>31</v>
      </c>
      <c r="E3143" s="23">
        <v>33</v>
      </c>
      <c r="F3143" s="18">
        <f>E3143* 0.929131175468484</f>
        <v>30.661328790459972</v>
      </c>
      <c r="G3143" s="18">
        <f>E3143* 0.0477001703577513</f>
        <v>1.5741056218057929</v>
      </c>
      <c r="H3143" s="18">
        <f>E3143* 0.0231686541737649</f>
        <v>0.76456558773424166</v>
      </c>
    </row>
    <row r="3144" spans="1:8" ht="15.75" hidden="1" customHeight="1" x14ac:dyDescent="0.25">
      <c r="A3144" s="20" t="s">
        <v>224</v>
      </c>
      <c r="B3144" s="47" t="s">
        <v>262</v>
      </c>
      <c r="C3144" s="49"/>
      <c r="D3144" s="19" t="s">
        <v>18</v>
      </c>
      <c r="E3144" s="23">
        <v>73</v>
      </c>
      <c r="F3144" s="18">
        <f>E3144* 0.893702527830246</f>
        <v>65.240284531607955</v>
      </c>
      <c r="G3144" s="18">
        <f>E3144* 0.0946831169875015</f>
        <v>6.9118675400876093</v>
      </c>
      <c r="H3144" s="18">
        <f>E3144* 0.0116143551822529</f>
        <v>0.84784792830446176</v>
      </c>
    </row>
    <row r="3145" spans="1:8" ht="15.75" hidden="1" customHeight="1" x14ac:dyDescent="0.25">
      <c r="A3145" s="20" t="s">
        <v>224</v>
      </c>
      <c r="B3145" s="47" t="s">
        <v>262</v>
      </c>
      <c r="C3145" s="49"/>
      <c r="D3145" s="19" t="s">
        <v>19</v>
      </c>
      <c r="E3145" s="23">
        <v>5</v>
      </c>
      <c r="F3145" s="18">
        <f>E3145* 0.0299845873616365</f>
        <v>0.1499229368081825</v>
      </c>
      <c r="G3145" s="18">
        <f>E3145* 0.96385035729298</f>
        <v>4.8192517864648998</v>
      </c>
      <c r="H3145" s="18">
        <f>E3145* 0.00616505534538321</f>
        <v>3.082527672691605E-2</v>
      </c>
    </row>
    <row r="3146" spans="1:8" ht="15.75" hidden="1" customHeight="1" x14ac:dyDescent="0.25">
      <c r="A3146" s="20" t="s">
        <v>224</v>
      </c>
      <c r="B3146" s="47" t="s">
        <v>262</v>
      </c>
      <c r="C3146" s="49"/>
      <c r="D3146" s="19" t="s">
        <v>20</v>
      </c>
      <c r="E3146" s="23">
        <v>147</v>
      </c>
      <c r="F3146" s="18">
        <f>E3146* 0.734251968503937</f>
        <v>107.93503937007874</v>
      </c>
      <c r="G3146" s="18">
        <f>E3146* 0.158017179670723</f>
        <v>23.228525411596284</v>
      </c>
      <c r="H3146" s="18">
        <f>E3146* 0.107551896921976</f>
        <v>15.810128847530473</v>
      </c>
    </row>
    <row r="3147" spans="1:8" ht="15.75" hidden="1" customHeight="1" x14ac:dyDescent="0.25">
      <c r="A3147" s="20" t="s">
        <v>224</v>
      </c>
      <c r="B3147" s="47" t="s">
        <v>262</v>
      </c>
      <c r="C3147" s="49"/>
      <c r="D3147" s="19" t="s">
        <v>21</v>
      </c>
      <c r="E3147" s="23">
        <v>5007</v>
      </c>
      <c r="F3147" s="18">
        <f>E3147* 0.999727092353423</f>
        <v>5005.633551413589</v>
      </c>
      <c r="G3147" s="18">
        <f>E3147* 0.0000516311763794744</f>
        <v>0.25851730013202834</v>
      </c>
      <c r="H3147" s="18">
        <f>E3147* 0.000132765882118648</f>
        <v>0.66475877176807052</v>
      </c>
    </row>
    <row r="3148" spans="1:8" ht="15.75" hidden="1" customHeight="1" x14ac:dyDescent="0.25">
      <c r="A3148" s="20" t="s">
        <v>224</v>
      </c>
      <c r="B3148" s="47" t="s">
        <v>262</v>
      </c>
      <c r="C3148" s="49"/>
      <c r="D3148" s="19" t="s">
        <v>36</v>
      </c>
      <c r="E3148" s="23">
        <v>11</v>
      </c>
      <c r="F3148" s="18">
        <f>E3148* 0.995894428152493</f>
        <v>10.954838709677423</v>
      </c>
      <c r="G3148" s="18">
        <f>E3148* 0.000586510263929619</f>
        <v>6.451612903225809E-3</v>
      </c>
      <c r="H3148" s="18">
        <f>E3148* 0.00351906158357771</f>
        <v>3.8709677419354813E-2</v>
      </c>
    </row>
    <row r="3149" spans="1:8" ht="15.75" hidden="1" customHeight="1" x14ac:dyDescent="0.25">
      <c r="A3149" s="20" t="s">
        <v>224</v>
      </c>
      <c r="B3149" s="47" t="s">
        <v>262</v>
      </c>
      <c r="C3149" s="49"/>
      <c r="D3149" s="19" t="s">
        <v>148</v>
      </c>
      <c r="E3149" s="23">
        <v>59</v>
      </c>
      <c r="F3149" s="18">
        <f>E3149* 0.00302222222222222</f>
        <v>0.17831111111111098</v>
      </c>
      <c r="G3149" s="18">
        <f>E3149* 0.996622222222222</f>
        <v>58.800711111111099</v>
      </c>
      <c r="H3149" s="18">
        <f>E3149* 0.000355555555555556</f>
        <v>2.0977777777777804E-2</v>
      </c>
    </row>
    <row r="3150" spans="1:8" ht="15.75" hidden="1" customHeight="1" x14ac:dyDescent="0.25">
      <c r="A3150" s="20" t="s">
        <v>224</v>
      </c>
      <c r="B3150" s="47" t="s">
        <v>262</v>
      </c>
      <c r="C3150" s="49"/>
      <c r="D3150" s="19" t="s">
        <v>12</v>
      </c>
      <c r="E3150" s="23">
        <v>939</v>
      </c>
      <c r="F3150" s="18">
        <f>E3150* 0.802335182557089</f>
        <v>753.39273642110663</v>
      </c>
      <c r="G3150" s="18">
        <f>E3150* 0.124687137143594</f>
        <v>117.08122177783477</v>
      </c>
      <c r="H3150" s="18">
        <f>E3150* 0.0729583279576829</f>
        <v>68.507869952264244</v>
      </c>
    </row>
    <row r="3151" spans="1:8" ht="15.75" hidden="1" customHeight="1" x14ac:dyDescent="0.25">
      <c r="A3151" s="20" t="s">
        <v>224</v>
      </c>
      <c r="B3151" s="20"/>
      <c r="C3151" s="20"/>
      <c r="D3151" s="46"/>
      <c r="E3151" s="35"/>
    </row>
    <row r="3152" spans="1:8" ht="15.75" hidden="1" customHeight="1" x14ac:dyDescent="0.25">
      <c r="A3152" s="20" t="s">
        <v>224</v>
      </c>
      <c r="B3152" s="47" t="s">
        <v>263</v>
      </c>
      <c r="C3152" s="12" t="str">
        <f>B3152&amp;"_"&amp;A3152</f>
        <v>San Matías_Santa Cruz</v>
      </c>
      <c r="D3152" s="20"/>
      <c r="E3152" s="48">
        <v>1</v>
      </c>
      <c r="F3152" s="14">
        <f t="shared" ref="F3152:H3152" si="261">F3153</f>
        <v>0.75204557224236201</v>
      </c>
      <c r="G3152" s="14">
        <f t="shared" si="261"/>
        <v>0.18582772311410301</v>
      </c>
      <c r="H3152" s="14">
        <f t="shared" si="261"/>
        <v>6.2092180217503901E-2</v>
      </c>
    </row>
    <row r="3153" spans="1:8" ht="15.75" hidden="1" customHeight="1" x14ac:dyDescent="0.25">
      <c r="A3153" s="20" t="s">
        <v>224</v>
      </c>
      <c r="B3153" s="47" t="s">
        <v>263</v>
      </c>
      <c r="C3153" s="49"/>
      <c r="D3153" s="19" t="s">
        <v>17</v>
      </c>
      <c r="E3153" s="23">
        <v>1</v>
      </c>
      <c r="F3153" s="18">
        <f>E3153* 0.752045572242362</f>
        <v>0.75204557224236201</v>
      </c>
      <c r="G3153" s="18">
        <f>E3153* 0.185827723114103</f>
        <v>0.18582772311410301</v>
      </c>
      <c r="H3153" s="18">
        <f>E3153* 0.0620921802175039</f>
        <v>6.2092180217503901E-2</v>
      </c>
    </row>
    <row r="3154" spans="1:8" ht="15.75" hidden="1" customHeight="1" x14ac:dyDescent="0.25">
      <c r="A3154" s="20" t="s">
        <v>224</v>
      </c>
      <c r="B3154" s="20"/>
      <c r="C3154" s="20"/>
      <c r="D3154" s="46"/>
      <c r="E3154" s="35"/>
    </row>
    <row r="3155" spans="1:8" ht="15.75" hidden="1" customHeight="1" x14ac:dyDescent="0.25">
      <c r="A3155" s="20" t="s">
        <v>224</v>
      </c>
      <c r="B3155" s="47" t="s">
        <v>264</v>
      </c>
      <c r="C3155" s="12" t="str">
        <f>B3155&amp;"_"&amp;A3155</f>
        <v>San Miguel_Santa Cruz</v>
      </c>
      <c r="D3155" s="20"/>
      <c r="E3155" s="48">
        <v>37</v>
      </c>
      <c r="F3155" s="14">
        <f t="shared" ref="F3155:H3155" si="262">SUM(F3156:F3161)</f>
        <v>31.14686665678132</v>
      </c>
      <c r="G3155" s="14">
        <f t="shared" si="262"/>
        <v>5.055783322073208</v>
      </c>
      <c r="H3155" s="14">
        <f t="shared" si="262"/>
        <v>0.79503021140400099</v>
      </c>
    </row>
    <row r="3156" spans="1:8" ht="15.75" hidden="1" customHeight="1" x14ac:dyDescent="0.25">
      <c r="A3156" s="20" t="s">
        <v>224</v>
      </c>
      <c r="B3156" s="47" t="s">
        <v>264</v>
      </c>
      <c r="C3156" s="49"/>
      <c r="D3156" s="29" t="s">
        <v>672</v>
      </c>
      <c r="E3156" s="23">
        <v>2</v>
      </c>
      <c r="F3156" s="20">
        <v>0</v>
      </c>
      <c r="G3156" s="24">
        <f>E3156</f>
        <v>2</v>
      </c>
      <c r="H3156" s="20">
        <v>0</v>
      </c>
    </row>
    <row r="3157" spans="1:8" ht="15.75" hidden="1" customHeight="1" x14ac:dyDescent="0.25">
      <c r="A3157" s="20" t="s">
        <v>224</v>
      </c>
      <c r="B3157" s="47" t="s">
        <v>264</v>
      </c>
      <c r="C3157" s="49"/>
      <c r="D3157" s="19" t="s">
        <v>11</v>
      </c>
      <c r="E3157" s="23">
        <v>1</v>
      </c>
      <c r="F3157" s="18">
        <f>E3157* 0.083479491676667</f>
        <v>8.3479491676667003E-2</v>
      </c>
      <c r="G3157" s="18">
        <f>E3157* 0.913505030924029</f>
        <v>0.91350503092402902</v>
      </c>
      <c r="H3157" s="18">
        <f>E3157* 0.00292316686667282</f>
        <v>2.9231668666728199E-3</v>
      </c>
    </row>
    <row r="3158" spans="1:8" ht="15.75" hidden="1" customHeight="1" x14ac:dyDescent="0.25">
      <c r="A3158" s="20" t="s">
        <v>224</v>
      </c>
      <c r="B3158" s="47" t="s">
        <v>264</v>
      </c>
      <c r="C3158" s="49"/>
      <c r="D3158" s="19" t="s">
        <v>17</v>
      </c>
      <c r="E3158" s="23">
        <v>9</v>
      </c>
      <c r="F3158" s="18">
        <f>E3158* 0.752045572242362</f>
        <v>6.7684101501812579</v>
      </c>
      <c r="G3158" s="18">
        <f>E3158* 0.185827723114103</f>
        <v>1.672449508026927</v>
      </c>
      <c r="H3158" s="18">
        <f>E3158* 0.0620921802175039</f>
        <v>0.55882962195753505</v>
      </c>
    </row>
    <row r="3159" spans="1:8" ht="15.75" hidden="1" customHeight="1" x14ac:dyDescent="0.25">
      <c r="A3159" s="20" t="s">
        <v>224</v>
      </c>
      <c r="B3159" s="47" t="s">
        <v>264</v>
      </c>
      <c r="C3159" s="49"/>
      <c r="D3159" s="19" t="s">
        <v>18</v>
      </c>
      <c r="E3159" s="23">
        <v>1</v>
      </c>
      <c r="F3159" s="18">
        <f>E3159* 0.893702527830246</f>
        <v>0.89370252783024595</v>
      </c>
      <c r="G3159" s="18">
        <f>E3159* 0.0946831169875015</f>
        <v>9.4683116987501495E-2</v>
      </c>
      <c r="H3159" s="18">
        <f>E3159* 0.0116143551822529</f>
        <v>1.16143551822529E-2</v>
      </c>
    </row>
    <row r="3160" spans="1:8" ht="15.75" hidden="1" customHeight="1" x14ac:dyDescent="0.25">
      <c r="A3160" s="20" t="s">
        <v>224</v>
      </c>
      <c r="B3160" s="47" t="s">
        <v>264</v>
      </c>
      <c r="C3160" s="49"/>
      <c r="D3160" s="19" t="s">
        <v>21</v>
      </c>
      <c r="E3160" s="23">
        <v>21</v>
      </c>
      <c r="F3160" s="18">
        <f>E3160* 0.999727092353423</f>
        <v>20.994268939421882</v>
      </c>
      <c r="G3160" s="18">
        <f>E3160* 0.0000516311763794744</f>
        <v>1.0842547039689623E-3</v>
      </c>
      <c r="H3160" s="18">
        <f>E3160* 0.000132765882118648</f>
        <v>2.7880835244916079E-3</v>
      </c>
    </row>
    <row r="3161" spans="1:8" ht="15.75" hidden="1" customHeight="1" x14ac:dyDescent="0.25">
      <c r="A3161" s="20" t="s">
        <v>224</v>
      </c>
      <c r="B3161" s="47" t="s">
        <v>264</v>
      </c>
      <c r="C3161" s="49"/>
      <c r="D3161" s="19" t="s">
        <v>12</v>
      </c>
      <c r="E3161" s="23">
        <v>3</v>
      </c>
      <c r="F3161" s="18">
        <f>E3161* 0.802335182557089</f>
        <v>2.4070055476712673</v>
      </c>
      <c r="G3161" s="18">
        <f>E3161* 0.124687137143594</f>
        <v>0.37406141143078198</v>
      </c>
      <c r="H3161" s="18">
        <f>E3161* 0.0729583279576829</f>
        <v>0.21887498387304868</v>
      </c>
    </row>
    <row r="3162" spans="1:8" ht="15.75" hidden="1" customHeight="1" x14ac:dyDescent="0.25">
      <c r="A3162" s="20" t="s">
        <v>224</v>
      </c>
      <c r="B3162" s="20"/>
      <c r="C3162" s="20"/>
      <c r="D3162" s="46"/>
      <c r="E3162" s="35"/>
    </row>
    <row r="3163" spans="1:8" ht="15.75" hidden="1" customHeight="1" x14ac:dyDescent="0.25">
      <c r="A3163" s="20" t="s">
        <v>224</v>
      </c>
      <c r="B3163" s="47" t="s">
        <v>265</v>
      </c>
      <c r="C3163" s="12" t="str">
        <f>B3163&amp;"_"&amp;A3163</f>
        <v>San Pedro_Santa Cruz</v>
      </c>
      <c r="D3163" s="20"/>
      <c r="E3163" s="48">
        <v>1372</v>
      </c>
      <c r="F3163" s="14">
        <f t="shared" ref="F3163:H3163" si="263">SUM(F3164:F3176)</f>
        <v>1205.2182055555611</v>
      </c>
      <c r="G3163" s="14">
        <f t="shared" si="263"/>
        <v>140.7126509244338</v>
      </c>
      <c r="H3163" s="14">
        <f t="shared" si="263"/>
        <v>25.97278209168104</v>
      </c>
    </row>
    <row r="3164" spans="1:8" ht="15.75" hidden="1" customHeight="1" x14ac:dyDescent="0.25">
      <c r="A3164" s="20" t="s">
        <v>224</v>
      </c>
      <c r="B3164" s="47" t="s">
        <v>265</v>
      </c>
      <c r="C3164" s="49"/>
      <c r="D3164" s="29" t="s">
        <v>673</v>
      </c>
      <c r="E3164" s="23">
        <v>0</v>
      </c>
      <c r="F3164" s="20">
        <v>0</v>
      </c>
      <c r="G3164" s="24">
        <f>E3164</f>
        <v>0</v>
      </c>
      <c r="H3164" s="20">
        <v>0</v>
      </c>
    </row>
    <row r="3165" spans="1:8" ht="15.75" hidden="1" customHeight="1" x14ac:dyDescent="0.25">
      <c r="A3165" s="20" t="s">
        <v>224</v>
      </c>
      <c r="B3165" s="47" t="s">
        <v>265</v>
      </c>
      <c r="C3165" s="49"/>
      <c r="D3165" s="19" t="s">
        <v>15</v>
      </c>
      <c r="E3165" s="23">
        <v>12</v>
      </c>
      <c r="F3165" s="18">
        <f>E3165* 0.932303048052446</f>
        <v>11.187636576629352</v>
      </c>
      <c r="G3165" s="18">
        <f>E3165* 0.0217058280204555</f>
        <v>0.26046993624546599</v>
      </c>
      <c r="H3165" s="18">
        <f>E3165* 0.0459798598751943</f>
        <v>0.55175831850233159</v>
      </c>
    </row>
    <row r="3166" spans="1:8" ht="15.75" hidden="1" customHeight="1" x14ac:dyDescent="0.25">
      <c r="A3166" s="20" t="s">
        <v>224</v>
      </c>
      <c r="B3166" s="47" t="s">
        <v>265</v>
      </c>
      <c r="C3166" s="49"/>
      <c r="D3166" s="29" t="s">
        <v>674</v>
      </c>
      <c r="E3166" s="23">
        <v>1</v>
      </c>
      <c r="F3166" s="18">
        <f>E3166* 0.293894936109797</f>
        <v>0.293894936109797</v>
      </c>
      <c r="G3166" s="18">
        <f>E3166* 0.663038334122101</f>
        <v>0.663038334122101</v>
      </c>
      <c r="H3166" s="18">
        <f>E3166* 0.0430667297681022</f>
        <v>4.3066729768102198E-2</v>
      </c>
    </row>
    <row r="3167" spans="1:8" ht="15.75" hidden="1" customHeight="1" x14ac:dyDescent="0.25">
      <c r="A3167" s="20" t="s">
        <v>224</v>
      </c>
      <c r="B3167" s="47" t="s">
        <v>265</v>
      </c>
      <c r="C3167" s="49"/>
      <c r="D3167" s="19" t="s">
        <v>11</v>
      </c>
      <c r="E3167" s="23">
        <v>66</v>
      </c>
      <c r="F3167" s="18">
        <f>E3167* 0.083479491676667</f>
        <v>5.5096464506600222</v>
      </c>
      <c r="G3167" s="18">
        <f>E3167* 0.913505030924029</f>
        <v>60.291332040985914</v>
      </c>
      <c r="H3167" s="18">
        <f>E3167* 0.00292316686667282</f>
        <v>0.19292901320040612</v>
      </c>
    </row>
    <row r="3168" spans="1:8" ht="15.75" hidden="1" customHeight="1" x14ac:dyDescent="0.25">
      <c r="A3168" s="20" t="s">
        <v>224</v>
      </c>
      <c r="B3168" s="47" t="s">
        <v>265</v>
      </c>
      <c r="C3168" s="49"/>
      <c r="D3168" s="19" t="s">
        <v>17</v>
      </c>
      <c r="E3168" s="23">
        <v>154</v>
      </c>
      <c r="F3168" s="18">
        <f>E3168* 0.752045572242362</f>
        <v>115.81501812532375</v>
      </c>
      <c r="G3168" s="18">
        <f>E3168* 0.185827723114103</f>
        <v>28.617469359571864</v>
      </c>
      <c r="H3168" s="18">
        <f>E3168* 0.0620921802175039</f>
        <v>9.562195753495601</v>
      </c>
    </row>
    <row r="3169" spans="1:8" ht="15.75" hidden="1" customHeight="1" x14ac:dyDescent="0.25">
      <c r="A3169" s="20" t="s">
        <v>224</v>
      </c>
      <c r="B3169" s="47" t="s">
        <v>265</v>
      </c>
      <c r="C3169" s="49"/>
      <c r="D3169" s="19" t="s">
        <v>31</v>
      </c>
      <c r="E3169" s="23">
        <v>1</v>
      </c>
      <c r="F3169" s="18">
        <f>E3169* 0.929131175468484</f>
        <v>0.92913117546848401</v>
      </c>
      <c r="G3169" s="18">
        <f>E3169* 0.0477001703577513</f>
        <v>4.7700170357751301E-2</v>
      </c>
      <c r="H3169" s="18">
        <f>E3169* 0.0231686541737649</f>
        <v>2.3168654173764899E-2</v>
      </c>
    </row>
    <row r="3170" spans="1:8" ht="15.75" hidden="1" customHeight="1" x14ac:dyDescent="0.25">
      <c r="A3170" s="20" t="s">
        <v>224</v>
      </c>
      <c r="B3170" s="47" t="s">
        <v>265</v>
      </c>
      <c r="C3170" s="49"/>
      <c r="D3170" s="19" t="s">
        <v>18</v>
      </c>
      <c r="E3170" s="23">
        <v>10</v>
      </c>
      <c r="F3170" s="18">
        <f>E3170* 0.893702527830246</f>
        <v>8.9370252783024604</v>
      </c>
      <c r="G3170" s="18">
        <f>E3170* 0.0946831169875015</f>
        <v>0.94683116987501492</v>
      </c>
      <c r="H3170" s="18">
        <f>E3170* 0.0116143551822529</f>
        <v>0.116143551822529</v>
      </c>
    </row>
    <row r="3171" spans="1:8" ht="15.75" hidden="1" customHeight="1" x14ac:dyDescent="0.25">
      <c r="A3171" s="20" t="s">
        <v>224</v>
      </c>
      <c r="B3171" s="47" t="s">
        <v>265</v>
      </c>
      <c r="C3171" s="49"/>
      <c r="D3171" s="19" t="s">
        <v>19</v>
      </c>
      <c r="E3171" s="23">
        <v>2</v>
      </c>
      <c r="F3171" s="18">
        <f>E3171* 0.0299845873616365</f>
        <v>5.9969174723272997E-2</v>
      </c>
      <c r="G3171" s="18">
        <f>E3171* 0.96385035729298</f>
        <v>1.9277007145859599</v>
      </c>
      <c r="H3171" s="18">
        <f>E3171* 0.00616505534538321</f>
        <v>1.233011069076642E-2</v>
      </c>
    </row>
    <row r="3172" spans="1:8" ht="15.75" hidden="1" customHeight="1" x14ac:dyDescent="0.25">
      <c r="A3172" s="20" t="s">
        <v>224</v>
      </c>
      <c r="B3172" s="47" t="s">
        <v>265</v>
      </c>
      <c r="C3172" s="49"/>
      <c r="D3172" s="19" t="s">
        <v>20</v>
      </c>
      <c r="E3172" s="23">
        <v>9</v>
      </c>
      <c r="F3172" s="18">
        <f>E3172* 0.734251968503937</f>
        <v>6.6082677165354333</v>
      </c>
      <c r="G3172" s="18">
        <f>E3172* 0.158017179670723</f>
        <v>1.4221546170365071</v>
      </c>
      <c r="H3172" s="18">
        <f>E3172* 0.107551896921976</f>
        <v>0.967967072297784</v>
      </c>
    </row>
    <row r="3173" spans="1:8" ht="15.75" hidden="1" customHeight="1" x14ac:dyDescent="0.25">
      <c r="A3173" s="20" t="s">
        <v>224</v>
      </c>
      <c r="B3173" s="47" t="s">
        <v>265</v>
      </c>
      <c r="C3173" s="49"/>
      <c r="D3173" s="19" t="s">
        <v>21</v>
      </c>
      <c r="E3173" s="23">
        <v>897</v>
      </c>
      <c r="F3173" s="18">
        <f>E3173* 0.999727092353423</f>
        <v>896.75520184102049</v>
      </c>
      <c r="G3173" s="18">
        <f>E3173* 0.0000516311763794744</f>
        <v>4.6313165212388541E-2</v>
      </c>
      <c r="H3173" s="18">
        <f>E3173* 0.000132765882118648</f>
        <v>0.11909099626042725</v>
      </c>
    </row>
    <row r="3174" spans="1:8" ht="15.75" hidden="1" customHeight="1" x14ac:dyDescent="0.25">
      <c r="A3174" s="20" t="s">
        <v>224</v>
      </c>
      <c r="B3174" s="47" t="s">
        <v>265</v>
      </c>
      <c r="C3174" s="49"/>
      <c r="D3174" s="19" t="s">
        <v>36</v>
      </c>
      <c r="E3174" s="23">
        <v>1</v>
      </c>
      <c r="F3174" s="18">
        <f>E3174* 0.995894428152493</f>
        <v>0.99589442815249296</v>
      </c>
      <c r="G3174" s="18">
        <f>E3174* 0.000586510263929619</f>
        <v>5.8651026392961898E-4</v>
      </c>
      <c r="H3174" s="18">
        <f>E3174* 0.00351906158357771</f>
        <v>3.51906158357771E-3</v>
      </c>
    </row>
    <row r="3175" spans="1:8" ht="15.75" hidden="1" customHeight="1" x14ac:dyDescent="0.25">
      <c r="A3175" s="20" t="s">
        <v>224</v>
      </c>
      <c r="B3175" s="47" t="s">
        <v>265</v>
      </c>
      <c r="C3175" s="49"/>
      <c r="D3175" s="19" t="s">
        <v>28</v>
      </c>
      <c r="E3175" s="23">
        <v>22</v>
      </c>
      <c r="F3175" s="18">
        <f>E3175* 0.00302222222222222</f>
        <v>6.6488888888888834E-2</v>
      </c>
      <c r="G3175" s="18">
        <f>E3175* 0.996622222222222</f>
        <v>21.925688888888882</v>
      </c>
      <c r="H3175" s="18">
        <f>E3175* 0.000355555555555556</f>
        <v>7.8222222222222321E-3</v>
      </c>
    </row>
    <row r="3176" spans="1:8" ht="15.75" hidden="1" customHeight="1" x14ac:dyDescent="0.25">
      <c r="A3176" s="20" t="s">
        <v>224</v>
      </c>
      <c r="B3176" s="47" t="s">
        <v>265</v>
      </c>
      <c r="C3176" s="49"/>
      <c r="D3176" s="19" t="s">
        <v>12</v>
      </c>
      <c r="E3176" s="23">
        <v>197</v>
      </c>
      <c r="F3176" s="18">
        <f>E3176* 0.802335182557089</f>
        <v>158.06003096374653</v>
      </c>
      <c r="G3176" s="18">
        <f>E3176* 0.124687137143594</f>
        <v>24.563366017288018</v>
      </c>
      <c r="H3176" s="18">
        <f>E3176* 0.0729583279576829</f>
        <v>14.37279060766353</v>
      </c>
    </row>
    <row r="3177" spans="1:8" ht="15.75" hidden="1" customHeight="1" x14ac:dyDescent="0.25">
      <c r="A3177" s="20" t="s">
        <v>224</v>
      </c>
      <c r="B3177" s="20"/>
      <c r="C3177" s="20"/>
      <c r="D3177" s="46"/>
      <c r="E3177" s="35"/>
    </row>
    <row r="3178" spans="1:8" ht="15.75" hidden="1" customHeight="1" x14ac:dyDescent="0.25">
      <c r="A3178" s="20" t="s">
        <v>224</v>
      </c>
      <c r="B3178" s="47" t="s">
        <v>266</v>
      </c>
      <c r="C3178" s="12" t="str">
        <f>B3178&amp;"_"&amp;A3178</f>
        <v>San Ramón_Santa Cruz</v>
      </c>
      <c r="D3178" s="20"/>
      <c r="E3178" s="48">
        <v>274</v>
      </c>
      <c r="F3178" s="14">
        <f t="shared" ref="F3178:H3178" si="264">SUM(F3179:F3186)</f>
        <v>257.9985949764108</v>
      </c>
      <c r="G3178" s="14">
        <f t="shared" si="264"/>
        <v>12.424163226656134</v>
      </c>
      <c r="H3178" s="14">
        <f t="shared" si="264"/>
        <v>3.5561136522236851</v>
      </c>
    </row>
    <row r="3179" spans="1:8" ht="15.75" hidden="1" customHeight="1" x14ac:dyDescent="0.25">
      <c r="A3179" s="20" t="s">
        <v>224</v>
      </c>
      <c r="B3179" s="47" t="s">
        <v>266</v>
      </c>
      <c r="C3179" s="49"/>
      <c r="D3179" s="19" t="s">
        <v>15</v>
      </c>
      <c r="E3179" s="23">
        <v>3</v>
      </c>
      <c r="F3179" s="18">
        <f>E3179* 0.932303048052446</f>
        <v>2.7969091441573379</v>
      </c>
      <c r="G3179" s="18">
        <f>E3179* 0.0217058280204555</f>
        <v>6.5117484061366498E-2</v>
      </c>
      <c r="H3179" s="18">
        <f>E3179* 0.0459798598751943</f>
        <v>0.1379395796255829</v>
      </c>
    </row>
    <row r="3180" spans="1:8" ht="15.75" hidden="1" customHeight="1" x14ac:dyDescent="0.25">
      <c r="A3180" s="20" t="s">
        <v>224</v>
      </c>
      <c r="B3180" s="47" t="s">
        <v>266</v>
      </c>
      <c r="C3180" s="49"/>
      <c r="D3180" s="19" t="s">
        <v>11</v>
      </c>
      <c r="E3180" s="23">
        <v>5</v>
      </c>
      <c r="F3180" s="18">
        <f>E3180* 0.083479491676667</f>
        <v>0.41739745838333503</v>
      </c>
      <c r="G3180" s="18">
        <f>E3180* 0.913505030924029</f>
        <v>4.567525154620145</v>
      </c>
      <c r="H3180" s="18">
        <f>E3180* 0.00292316686667282</f>
        <v>1.46158343333641E-2</v>
      </c>
    </row>
    <row r="3181" spans="1:8" ht="15.75" hidden="1" customHeight="1" x14ac:dyDescent="0.25">
      <c r="A3181" s="20" t="s">
        <v>224</v>
      </c>
      <c r="B3181" s="47" t="s">
        <v>266</v>
      </c>
      <c r="C3181" s="49"/>
      <c r="D3181" s="19" t="s">
        <v>17</v>
      </c>
      <c r="E3181" s="23">
        <v>13</v>
      </c>
      <c r="F3181" s="18">
        <f>E3181* 0.752045572242362</f>
        <v>9.776592439150706</v>
      </c>
      <c r="G3181" s="18">
        <f>E3181* 0.185827723114103</f>
        <v>2.4157604004833391</v>
      </c>
      <c r="H3181" s="18">
        <f>E3181* 0.0620921802175039</f>
        <v>0.80719834282755065</v>
      </c>
    </row>
    <row r="3182" spans="1:8" ht="15.75" hidden="1" customHeight="1" x14ac:dyDescent="0.25">
      <c r="A3182" s="20" t="s">
        <v>224</v>
      </c>
      <c r="B3182" s="47" t="s">
        <v>266</v>
      </c>
      <c r="C3182" s="49"/>
      <c r="D3182" s="19" t="s">
        <v>18</v>
      </c>
      <c r="E3182" s="23">
        <v>1</v>
      </c>
      <c r="F3182" s="18">
        <f>E3182* 0.893702527830246</f>
        <v>0.89370252783024595</v>
      </c>
      <c r="G3182" s="18">
        <f>E3182* 0.0946831169875015</f>
        <v>9.4683116987501495E-2</v>
      </c>
      <c r="H3182" s="18">
        <f>E3182* 0.0116143551822529</f>
        <v>1.16143551822529E-2</v>
      </c>
    </row>
    <row r="3183" spans="1:8" ht="15.75" hidden="1" customHeight="1" x14ac:dyDescent="0.25">
      <c r="A3183" s="20" t="s">
        <v>224</v>
      </c>
      <c r="B3183" s="47" t="s">
        <v>266</v>
      </c>
      <c r="C3183" s="49"/>
      <c r="D3183" s="19" t="s">
        <v>19</v>
      </c>
      <c r="E3183" s="23">
        <v>1</v>
      </c>
      <c r="F3183" s="18">
        <f>E3183* 0.0299845873616365</f>
        <v>2.9984587361636499E-2</v>
      </c>
      <c r="G3183" s="18">
        <f>E3183* 0.96385035729298</f>
        <v>0.96385035729297996</v>
      </c>
      <c r="H3183" s="18">
        <f>E3183* 0.00616505534538321</f>
        <v>6.1650553453832099E-3</v>
      </c>
    </row>
    <row r="3184" spans="1:8" ht="15.75" hidden="1" customHeight="1" x14ac:dyDescent="0.25">
      <c r="A3184" s="20" t="s">
        <v>224</v>
      </c>
      <c r="B3184" s="47" t="s">
        <v>266</v>
      </c>
      <c r="C3184" s="49"/>
      <c r="D3184" s="19" t="s">
        <v>20</v>
      </c>
      <c r="E3184" s="23">
        <v>2</v>
      </c>
      <c r="F3184" s="18">
        <f>E3184* 0.734251968503937</f>
        <v>1.4685039370078741</v>
      </c>
      <c r="G3184" s="18">
        <f>E3184* 0.158017179670723</f>
        <v>0.31603435934144603</v>
      </c>
      <c r="H3184" s="18">
        <f>E3184* 0.107551896921976</f>
        <v>0.21510379384395201</v>
      </c>
    </row>
    <row r="3185" spans="1:8" ht="15.75" hidden="1" customHeight="1" x14ac:dyDescent="0.25">
      <c r="A3185" s="20" t="s">
        <v>224</v>
      </c>
      <c r="B3185" s="47" t="s">
        <v>266</v>
      </c>
      <c r="C3185" s="49"/>
      <c r="D3185" s="19" t="s">
        <v>21</v>
      </c>
      <c r="E3185" s="23">
        <v>217</v>
      </c>
      <c r="F3185" s="18">
        <f>E3185* 0.999727092353423</f>
        <v>216.9407790406928</v>
      </c>
      <c r="G3185" s="18">
        <f>E3185* 0.0000516311763794744</f>
        <v>1.1203965274345945E-2</v>
      </c>
      <c r="H3185" s="18">
        <f>E3185* 0.000132765882118648</f>
        <v>2.8810196419746616E-2</v>
      </c>
    </row>
    <row r="3186" spans="1:8" ht="15.75" hidden="1" customHeight="1" x14ac:dyDescent="0.25">
      <c r="A3186" s="20" t="s">
        <v>224</v>
      </c>
      <c r="B3186" s="47" t="s">
        <v>266</v>
      </c>
      <c r="C3186" s="49"/>
      <c r="D3186" s="19" t="s">
        <v>12</v>
      </c>
      <c r="E3186" s="23">
        <v>32</v>
      </c>
      <c r="F3186" s="18">
        <f>E3186* 0.802335182557089</f>
        <v>25.674725841826849</v>
      </c>
      <c r="G3186" s="18">
        <f>E3186* 0.124687137143594</f>
        <v>3.989988388595008</v>
      </c>
      <c r="H3186" s="18">
        <f>E3186* 0.0729583279576829</f>
        <v>2.3346664946458526</v>
      </c>
    </row>
    <row r="3187" spans="1:8" ht="15.75" hidden="1" customHeight="1" x14ac:dyDescent="0.25">
      <c r="A3187" s="20" t="s">
        <v>224</v>
      </c>
      <c r="B3187" s="20"/>
      <c r="C3187" s="20"/>
      <c r="D3187" s="46"/>
      <c r="E3187" s="35"/>
    </row>
    <row r="3188" spans="1:8" ht="15.75" hidden="1" customHeight="1" x14ac:dyDescent="0.25">
      <c r="A3188" s="20" t="s">
        <v>224</v>
      </c>
      <c r="B3188" s="47" t="s">
        <v>267</v>
      </c>
      <c r="C3188" s="12" t="str">
        <f>B3188&amp;"_"&amp;A3188</f>
        <v>Santa Cruz de la Sierra_Santa Cruz</v>
      </c>
      <c r="D3188" s="20"/>
      <c r="E3188" s="48">
        <v>389006</v>
      </c>
      <c r="F3188" s="14">
        <f t="shared" ref="F3188:H3188" si="265">SUM(F3189:F3204)</f>
        <v>313630.99753234279</v>
      </c>
      <c r="G3188" s="14">
        <f t="shared" si="265"/>
        <v>57325.875876119055</v>
      </c>
      <c r="H3188" s="14">
        <f t="shared" si="265"/>
        <v>18036.140002529803</v>
      </c>
    </row>
    <row r="3189" spans="1:8" ht="15.75" hidden="1" customHeight="1" x14ac:dyDescent="0.25">
      <c r="A3189" s="20" t="s">
        <v>224</v>
      </c>
      <c r="B3189" s="47" t="s">
        <v>267</v>
      </c>
      <c r="C3189" s="49"/>
      <c r="D3189" s="29" t="s">
        <v>675</v>
      </c>
      <c r="E3189" s="23">
        <v>76</v>
      </c>
      <c r="F3189" s="20">
        <v>0</v>
      </c>
      <c r="G3189" s="24">
        <f>E3189</f>
        <v>76</v>
      </c>
      <c r="H3189" s="20">
        <v>0</v>
      </c>
    </row>
    <row r="3190" spans="1:8" ht="15.75" hidden="1" customHeight="1" x14ac:dyDescent="0.25">
      <c r="A3190" s="20" t="s">
        <v>224</v>
      </c>
      <c r="B3190" s="47" t="s">
        <v>267</v>
      </c>
      <c r="C3190" s="49"/>
      <c r="D3190" s="19" t="s">
        <v>15</v>
      </c>
      <c r="E3190" s="23">
        <v>90943</v>
      </c>
      <c r="F3190" s="18">
        <f>E3190* 0.932303048052446</f>
        <v>84786.436099033599</v>
      </c>
      <c r="G3190" s="18">
        <f>E3190* 0.0217058280204555</f>
        <v>1973.9931176642845</v>
      </c>
      <c r="H3190" s="18">
        <f>E3190* 0.0459798598751943</f>
        <v>4181.5463966297948</v>
      </c>
    </row>
    <row r="3191" spans="1:8" ht="15.75" hidden="1" customHeight="1" x14ac:dyDescent="0.25">
      <c r="A3191" s="20" t="s">
        <v>224</v>
      </c>
      <c r="B3191" s="47" t="s">
        <v>267</v>
      </c>
      <c r="C3191" s="49"/>
      <c r="D3191" s="29" t="s">
        <v>676</v>
      </c>
      <c r="E3191" s="23">
        <v>2941</v>
      </c>
      <c r="F3191" s="18">
        <f>E3191* 0.293894936109797</f>
        <v>864.34500709891302</v>
      </c>
      <c r="G3191" s="18">
        <f>E3191* 0.663038334122101</f>
        <v>1949.9957406530991</v>
      </c>
      <c r="H3191" s="18">
        <f>E3191* 0.0430667297681022</f>
        <v>126.65925224798856</v>
      </c>
    </row>
    <row r="3192" spans="1:8" ht="15.75" hidden="1" customHeight="1" x14ac:dyDescent="0.25">
      <c r="A3192" s="20" t="s">
        <v>224</v>
      </c>
      <c r="B3192" s="47" t="s">
        <v>267</v>
      </c>
      <c r="C3192" s="49"/>
      <c r="D3192" s="19" t="s">
        <v>11</v>
      </c>
      <c r="E3192" s="23">
        <v>19372</v>
      </c>
      <c r="F3192" s="18">
        <f>E3192* 0.083479491676667</f>
        <v>1617.1647127603933</v>
      </c>
      <c r="G3192" s="18">
        <f>E3192* 0.913505030924029</f>
        <v>17696.419459060289</v>
      </c>
      <c r="H3192" s="18">
        <f>E3192* 0.00292316686667282</f>
        <v>56.627588541185865</v>
      </c>
    </row>
    <row r="3193" spans="1:8" ht="15.75" hidden="1" customHeight="1" x14ac:dyDescent="0.25">
      <c r="A3193" s="20" t="s">
        <v>224</v>
      </c>
      <c r="B3193" s="47" t="s">
        <v>267</v>
      </c>
      <c r="C3193" s="49"/>
      <c r="D3193" s="19" t="s">
        <v>17</v>
      </c>
      <c r="E3193" s="23">
        <v>49349</v>
      </c>
      <c r="F3193" s="18">
        <f>E3193* 0.752045572242362</f>
        <v>37112.696944588322</v>
      </c>
      <c r="G3193" s="18">
        <f>E3193* 0.185827723114103</f>
        <v>9170.4123079578694</v>
      </c>
      <c r="H3193" s="18">
        <f>E3193* 0.0620921802175039</f>
        <v>3064.1870015536001</v>
      </c>
    </row>
    <row r="3194" spans="1:8" ht="15.75" hidden="1" customHeight="1" x14ac:dyDescent="0.25">
      <c r="A3194" s="20" t="s">
        <v>224</v>
      </c>
      <c r="B3194" s="47" t="s">
        <v>267</v>
      </c>
      <c r="C3194" s="49"/>
      <c r="D3194" s="19" t="s">
        <v>31</v>
      </c>
      <c r="E3194" s="23">
        <v>3370</v>
      </c>
      <c r="F3194" s="18">
        <f>E3194* 0.929131175468484</f>
        <v>3131.1720613287912</v>
      </c>
      <c r="G3194" s="18">
        <f>E3194* 0.0477001703577513</f>
        <v>160.74957410562189</v>
      </c>
      <c r="H3194" s="18">
        <f>E3194* 0.0231686541737649</f>
        <v>78.078364565587705</v>
      </c>
    </row>
    <row r="3195" spans="1:8" ht="15.75" hidden="1" customHeight="1" x14ac:dyDescent="0.25">
      <c r="A3195" s="20" t="s">
        <v>224</v>
      </c>
      <c r="B3195" s="47" t="s">
        <v>267</v>
      </c>
      <c r="C3195" s="49"/>
      <c r="D3195" s="19" t="s">
        <v>18</v>
      </c>
      <c r="E3195" s="23">
        <v>18797</v>
      </c>
      <c r="F3195" s="18">
        <f>E3195* 0.893702527830246</f>
        <v>16798.926415625134</v>
      </c>
      <c r="G3195" s="18">
        <f>E3195* 0.0946831169875015</f>
        <v>1779.7585500140656</v>
      </c>
      <c r="H3195" s="18">
        <f>E3195* 0.0116143551822529</f>
        <v>218.31503436080777</v>
      </c>
    </row>
    <row r="3196" spans="1:8" ht="15.75" hidden="1" customHeight="1" x14ac:dyDescent="0.25">
      <c r="A3196" s="20" t="s">
        <v>224</v>
      </c>
      <c r="B3196" s="47" t="s">
        <v>267</v>
      </c>
      <c r="C3196" s="49"/>
      <c r="D3196" s="29" t="s">
        <v>677</v>
      </c>
      <c r="E3196" s="23">
        <v>1</v>
      </c>
      <c r="F3196" s="20">
        <v>0</v>
      </c>
      <c r="G3196" s="24">
        <f>E3196</f>
        <v>1</v>
      </c>
      <c r="H3196" s="20">
        <v>0</v>
      </c>
    </row>
    <row r="3197" spans="1:8" ht="15.75" hidden="1" customHeight="1" x14ac:dyDescent="0.25">
      <c r="A3197" s="20" t="s">
        <v>224</v>
      </c>
      <c r="B3197" s="47" t="s">
        <v>267</v>
      </c>
      <c r="C3197" s="49"/>
      <c r="D3197" s="19" t="s">
        <v>19</v>
      </c>
      <c r="E3197" s="23">
        <v>5405</v>
      </c>
      <c r="F3197" s="18">
        <f>E3197* 0.0299845873616365</f>
        <v>162.06669468964529</v>
      </c>
      <c r="G3197" s="18">
        <f>E3197* 0.96385035729298</f>
        <v>5209.6111811685569</v>
      </c>
      <c r="H3197" s="18">
        <f>E3197* 0.00616505534538321</f>
        <v>33.322124141796252</v>
      </c>
    </row>
    <row r="3198" spans="1:8" ht="15.75" hidden="1" customHeight="1" x14ac:dyDescent="0.25">
      <c r="A3198" s="20" t="s">
        <v>224</v>
      </c>
      <c r="B3198" s="47" t="s">
        <v>267</v>
      </c>
      <c r="C3198" s="49"/>
      <c r="D3198" s="19" t="s">
        <v>20</v>
      </c>
      <c r="E3198" s="23">
        <v>4760</v>
      </c>
      <c r="F3198" s="18">
        <f>E3198* 0.734251968503937</f>
        <v>3495.0393700787404</v>
      </c>
      <c r="G3198" s="18">
        <f>E3198* 0.158017179670723</f>
        <v>752.1617752326415</v>
      </c>
      <c r="H3198" s="18">
        <f>E3198* 0.107551896921976</f>
        <v>511.94702934860578</v>
      </c>
    </row>
    <row r="3199" spans="1:8" ht="15.75" hidden="1" customHeight="1" x14ac:dyDescent="0.25">
      <c r="A3199" s="20" t="s">
        <v>224</v>
      </c>
      <c r="B3199" s="47" t="s">
        <v>267</v>
      </c>
      <c r="C3199" s="49"/>
      <c r="D3199" s="19" t="s">
        <v>21</v>
      </c>
      <c r="E3199" s="23">
        <v>56842</v>
      </c>
      <c r="F3199" s="18">
        <f>E3199* 0.999727092353423</f>
        <v>56826.487383553271</v>
      </c>
      <c r="G3199" s="18">
        <f>E3199* 0.0000516311763794744</f>
        <v>2.9348193277620838</v>
      </c>
      <c r="H3199" s="18">
        <f>E3199* 0.000132765882118648</f>
        <v>7.5466782713881901</v>
      </c>
    </row>
    <row r="3200" spans="1:8" ht="15.75" hidden="1" customHeight="1" x14ac:dyDescent="0.25">
      <c r="A3200" s="20" t="s">
        <v>224</v>
      </c>
      <c r="B3200" s="47" t="s">
        <v>267</v>
      </c>
      <c r="C3200" s="49"/>
      <c r="D3200" s="19" t="s">
        <v>36</v>
      </c>
      <c r="E3200" s="23">
        <v>1106</v>
      </c>
      <c r="F3200" s="18">
        <f>E3200* 0.995894428152493</f>
        <v>1101.4592375366572</v>
      </c>
      <c r="G3200" s="18">
        <f>E3200* 0.000586510263929619</f>
        <v>0.64868035190615858</v>
      </c>
      <c r="H3200" s="18">
        <f>E3200* 0.00351906158357771</f>
        <v>3.892082111436947</v>
      </c>
    </row>
    <row r="3201" spans="1:8" ht="15.75" hidden="1" customHeight="1" x14ac:dyDescent="0.25">
      <c r="A3201" s="20" t="s">
        <v>224</v>
      </c>
      <c r="B3201" s="47" t="s">
        <v>267</v>
      </c>
      <c r="C3201" s="49"/>
      <c r="D3201" s="19" t="s">
        <v>37</v>
      </c>
      <c r="E3201" s="23">
        <v>6</v>
      </c>
      <c r="F3201" s="20">
        <v>0</v>
      </c>
      <c r="G3201" s="24">
        <f>E3201</f>
        <v>6</v>
      </c>
      <c r="H3201" s="20">
        <v>0</v>
      </c>
    </row>
    <row r="3202" spans="1:8" ht="15.75" hidden="1" customHeight="1" x14ac:dyDescent="0.25">
      <c r="A3202" s="20" t="s">
        <v>224</v>
      </c>
      <c r="B3202" s="47" t="s">
        <v>267</v>
      </c>
      <c r="C3202" s="49"/>
      <c r="D3202" s="19" t="s">
        <v>84</v>
      </c>
      <c r="E3202" s="23">
        <v>2343</v>
      </c>
      <c r="F3202" s="20">
        <f>E3202*0.2</f>
        <v>468.6</v>
      </c>
      <c r="G3202" s="20">
        <f>E3202*0.8</f>
        <v>1874.4</v>
      </c>
      <c r="H3202" s="20">
        <v>0</v>
      </c>
    </row>
    <row r="3203" spans="1:8" ht="15.75" hidden="1" customHeight="1" x14ac:dyDescent="0.25">
      <c r="A3203" s="20" t="s">
        <v>224</v>
      </c>
      <c r="B3203" s="47" t="s">
        <v>267</v>
      </c>
      <c r="C3203" s="49"/>
      <c r="D3203" s="19" t="s">
        <v>28</v>
      </c>
      <c r="E3203" s="23">
        <v>2</v>
      </c>
      <c r="F3203" s="18">
        <f>E3203* 0.00302222222222222</f>
        <v>6.04444444444444E-3</v>
      </c>
      <c r="G3203" s="18">
        <f>E3203* 0.996622222222222</f>
        <v>1.9932444444444439</v>
      </c>
      <c r="H3203" s="18">
        <f>E3203* 0.000355555555555556</f>
        <v>7.1111111111111201E-4</v>
      </c>
    </row>
    <row r="3204" spans="1:8" ht="15.75" hidden="1" customHeight="1" x14ac:dyDescent="0.25">
      <c r="A3204" s="20" t="s">
        <v>224</v>
      </c>
      <c r="B3204" s="47" t="s">
        <v>267</v>
      </c>
      <c r="C3204" s="49"/>
      <c r="D3204" s="19" t="s">
        <v>12</v>
      </c>
      <c r="E3204" s="23">
        <v>133693</v>
      </c>
      <c r="F3204" s="18">
        <f>E3204* 0.802335182557089</f>
        <v>107266.5975616049</v>
      </c>
      <c r="G3204" s="18">
        <f>E3204* 0.124687137143594</f>
        <v>16669.797426138513</v>
      </c>
      <c r="H3204" s="18">
        <f>E3204* 0.0729583279576829</f>
        <v>9754.0177396464987</v>
      </c>
    </row>
    <row r="3205" spans="1:8" ht="15.75" hidden="1" customHeight="1" x14ac:dyDescent="0.25">
      <c r="A3205" s="20" t="s">
        <v>224</v>
      </c>
      <c r="B3205" s="20"/>
      <c r="C3205" s="20"/>
      <c r="D3205" s="46"/>
      <c r="E3205" s="35"/>
    </row>
    <row r="3206" spans="1:8" ht="15.75" hidden="1" customHeight="1" x14ac:dyDescent="0.25">
      <c r="A3206" s="20" t="s">
        <v>224</v>
      </c>
      <c r="B3206" s="47" t="s">
        <v>678</v>
      </c>
      <c r="C3206" s="12" t="str">
        <f>B3206&amp;"_"&amp;A3206</f>
        <v>Santa Rosa del Sara _Santa Cruz</v>
      </c>
      <c r="D3206" s="20"/>
      <c r="E3206" s="48">
        <v>169</v>
      </c>
      <c r="F3206" s="14">
        <f t="shared" ref="F3206:H3206" si="266">SUM(F3207:F3216)</f>
        <v>137.46448103261611</v>
      </c>
      <c r="G3206" s="14">
        <f t="shared" si="266"/>
        <v>26.53763212792926</v>
      </c>
      <c r="H3206" s="14">
        <f t="shared" si="266"/>
        <v>4.9877569037963578</v>
      </c>
    </row>
    <row r="3207" spans="1:8" ht="15.75" hidden="1" customHeight="1" x14ac:dyDescent="0.25">
      <c r="A3207" s="20" t="s">
        <v>224</v>
      </c>
      <c r="B3207" s="47" t="s">
        <v>678</v>
      </c>
      <c r="C3207" s="49"/>
      <c r="D3207" s="29" t="s">
        <v>679</v>
      </c>
      <c r="E3207" s="23">
        <v>4</v>
      </c>
      <c r="F3207" s="20">
        <v>0</v>
      </c>
      <c r="G3207" s="24">
        <f>E3207</f>
        <v>4</v>
      </c>
      <c r="H3207" s="20">
        <v>0</v>
      </c>
    </row>
    <row r="3208" spans="1:8" ht="15.75" hidden="1" customHeight="1" x14ac:dyDescent="0.25">
      <c r="A3208" s="20" t="s">
        <v>224</v>
      </c>
      <c r="B3208" s="47" t="s">
        <v>678</v>
      </c>
      <c r="C3208" s="49"/>
      <c r="D3208" s="19" t="s">
        <v>15</v>
      </c>
      <c r="E3208" s="23">
        <v>4</v>
      </c>
      <c r="F3208" s="18">
        <f>E3208* 0.932303048052446</f>
        <v>3.7292121922097841</v>
      </c>
      <c r="G3208" s="18">
        <f>E3208* 0.0217058280204555</f>
        <v>8.6823312081821993E-2</v>
      </c>
      <c r="H3208" s="18">
        <f>E3208* 0.0459798598751943</f>
        <v>0.18391943950077719</v>
      </c>
    </row>
    <row r="3209" spans="1:8" ht="15.75" hidden="1" customHeight="1" x14ac:dyDescent="0.25">
      <c r="A3209" s="20" t="s">
        <v>224</v>
      </c>
      <c r="B3209" s="47" t="s">
        <v>678</v>
      </c>
      <c r="C3209" s="49"/>
      <c r="D3209" s="19" t="s">
        <v>11</v>
      </c>
      <c r="E3209" s="23">
        <v>14</v>
      </c>
      <c r="F3209" s="18">
        <f>E3209* 0.083479491676667</f>
        <v>1.168712883473338</v>
      </c>
      <c r="G3209" s="18">
        <f>E3209* 0.913505030924029</f>
        <v>12.789070432936406</v>
      </c>
      <c r="H3209" s="18">
        <f>E3209* 0.00292316686667282</f>
        <v>4.0924336133419476E-2</v>
      </c>
    </row>
    <row r="3210" spans="1:8" ht="15.75" hidden="1" customHeight="1" x14ac:dyDescent="0.25">
      <c r="A3210" s="20" t="s">
        <v>224</v>
      </c>
      <c r="B3210" s="47" t="s">
        <v>678</v>
      </c>
      <c r="C3210" s="49"/>
      <c r="D3210" s="19" t="s">
        <v>17</v>
      </c>
      <c r="E3210" s="23">
        <v>17</v>
      </c>
      <c r="F3210" s="18">
        <f>E3210* 0.752045572242362</f>
        <v>12.784774728120155</v>
      </c>
      <c r="G3210" s="18">
        <f>E3210* 0.185827723114103</f>
        <v>3.1590712929397511</v>
      </c>
      <c r="H3210" s="18">
        <f>E3210* 0.0620921802175039</f>
        <v>1.0555670636975663</v>
      </c>
    </row>
    <row r="3211" spans="1:8" ht="15.75" hidden="1" customHeight="1" x14ac:dyDescent="0.25">
      <c r="A3211" s="20" t="s">
        <v>224</v>
      </c>
      <c r="B3211" s="47" t="s">
        <v>678</v>
      </c>
      <c r="C3211" s="49"/>
      <c r="D3211" s="19" t="s">
        <v>31</v>
      </c>
      <c r="E3211" s="23">
        <v>0</v>
      </c>
      <c r="F3211" s="18">
        <f>E3211* 0.929131175468484</f>
        <v>0</v>
      </c>
      <c r="G3211" s="18">
        <f>E3211* 0.0477001703577513</f>
        <v>0</v>
      </c>
      <c r="H3211" s="18">
        <f>E3211* 0.0231686541737649</f>
        <v>0</v>
      </c>
    </row>
    <row r="3212" spans="1:8" ht="15.75" hidden="1" customHeight="1" x14ac:dyDescent="0.25">
      <c r="A3212" s="20" t="s">
        <v>224</v>
      </c>
      <c r="B3212" s="47" t="s">
        <v>678</v>
      </c>
      <c r="C3212" s="49"/>
      <c r="D3212" s="19" t="s">
        <v>18</v>
      </c>
      <c r="E3212" s="23">
        <v>4</v>
      </c>
      <c r="F3212" s="18">
        <f>E3212* 0.893702527830246</f>
        <v>3.5748101113209838</v>
      </c>
      <c r="G3212" s="18">
        <f>E3212* 0.0946831169875015</f>
        <v>0.37873246795000598</v>
      </c>
      <c r="H3212" s="18">
        <f>E3212* 0.0116143551822529</f>
        <v>4.64574207290116E-2</v>
      </c>
    </row>
    <row r="3213" spans="1:8" ht="15.75" hidden="1" customHeight="1" x14ac:dyDescent="0.25">
      <c r="A3213" s="20" t="s">
        <v>224</v>
      </c>
      <c r="B3213" s="47" t="s">
        <v>678</v>
      </c>
      <c r="C3213" s="49"/>
      <c r="D3213" s="19" t="s">
        <v>20</v>
      </c>
      <c r="E3213" s="23">
        <v>4</v>
      </c>
      <c r="F3213" s="18">
        <f>E3213* 0.734251968503937</f>
        <v>2.9370078740157481</v>
      </c>
      <c r="G3213" s="18">
        <f>E3213* 0.158017179670723</f>
        <v>0.63206871868289205</v>
      </c>
      <c r="H3213" s="18">
        <f>E3213* 0.107551896921976</f>
        <v>0.43020758768790401</v>
      </c>
    </row>
    <row r="3214" spans="1:8" ht="15.75" hidden="1" customHeight="1" x14ac:dyDescent="0.25">
      <c r="A3214" s="20" t="s">
        <v>224</v>
      </c>
      <c r="B3214" s="47" t="s">
        <v>678</v>
      </c>
      <c r="C3214" s="49"/>
      <c r="D3214" s="19" t="s">
        <v>21</v>
      </c>
      <c r="E3214" s="23">
        <v>75</v>
      </c>
      <c r="F3214" s="18">
        <f>E3214* 0.999727092353423</f>
        <v>74.979531926506723</v>
      </c>
      <c r="G3214" s="18">
        <f>E3214* 0.0000516311763794744</f>
        <v>3.8723382284605802E-3</v>
      </c>
      <c r="H3214" s="18">
        <f>E3214* 0.000132765882118648</f>
        <v>9.9574411588986E-3</v>
      </c>
    </row>
    <row r="3215" spans="1:8" ht="15.75" hidden="1" customHeight="1" x14ac:dyDescent="0.25">
      <c r="A3215" s="20" t="s">
        <v>224</v>
      </c>
      <c r="B3215" s="47" t="s">
        <v>678</v>
      </c>
      <c r="C3215" s="49"/>
      <c r="D3215" s="19" t="s">
        <v>36</v>
      </c>
      <c r="E3215" s="23">
        <v>3</v>
      </c>
      <c r="F3215" s="18">
        <f>E3215* 0.995894428152493</f>
        <v>2.987683284457479</v>
      </c>
      <c r="G3215" s="18">
        <f>E3215* 0.000586510263929619</f>
        <v>1.759530791788857E-3</v>
      </c>
      <c r="H3215" s="18">
        <f>E3215* 0.00351906158357771</f>
        <v>1.0557184750733129E-2</v>
      </c>
    </row>
    <row r="3216" spans="1:8" ht="15.75" hidden="1" customHeight="1" x14ac:dyDescent="0.25">
      <c r="A3216" s="20" t="s">
        <v>224</v>
      </c>
      <c r="B3216" s="47" t="s">
        <v>678</v>
      </c>
      <c r="C3216" s="49"/>
      <c r="D3216" s="19" t="s">
        <v>12</v>
      </c>
      <c r="E3216" s="23">
        <v>44</v>
      </c>
      <c r="F3216" s="18">
        <f>E3216* 0.802335182557089</f>
        <v>35.302748032511914</v>
      </c>
      <c r="G3216" s="18">
        <f>E3216* 0.124687137143594</f>
        <v>5.4862340343181364</v>
      </c>
      <c r="H3216" s="18">
        <f>E3216* 0.0729583279576829</f>
        <v>3.2101664301380475</v>
      </c>
    </row>
    <row r="3217" spans="1:8" ht="15.75" hidden="1" customHeight="1" x14ac:dyDescent="0.25">
      <c r="A3217" s="20" t="s">
        <v>224</v>
      </c>
      <c r="B3217" s="20"/>
      <c r="C3217" s="20"/>
      <c r="D3217" s="46"/>
      <c r="E3217" s="35"/>
    </row>
    <row r="3218" spans="1:8" ht="15.75" hidden="1" customHeight="1" x14ac:dyDescent="0.25">
      <c r="A3218" s="20" t="s">
        <v>224</v>
      </c>
      <c r="B3218" s="47" t="s">
        <v>269</v>
      </c>
      <c r="C3218" s="12" t="str">
        <f>B3218&amp;"_"&amp;A3218</f>
        <v>Trigal_Santa Cruz</v>
      </c>
      <c r="D3218" s="20"/>
      <c r="E3218" s="48">
        <v>17</v>
      </c>
      <c r="F3218" s="14">
        <f t="shared" ref="F3218:H3218" si="267">SUM(F3219:F3224)</f>
        <v>12.596272897349429</v>
      </c>
      <c r="G3218" s="14">
        <f t="shared" si="267"/>
        <v>3.5781899519921234</v>
      </c>
      <c r="H3218" s="14">
        <f t="shared" si="267"/>
        <v>0.82446526095141082</v>
      </c>
    </row>
    <row r="3219" spans="1:8" ht="15.75" hidden="1" customHeight="1" x14ac:dyDescent="0.25">
      <c r="A3219" s="20" t="s">
        <v>224</v>
      </c>
      <c r="B3219" s="47" t="s">
        <v>269</v>
      </c>
      <c r="C3219" s="49"/>
      <c r="D3219" s="29" t="s">
        <v>680</v>
      </c>
      <c r="E3219" s="23">
        <v>2</v>
      </c>
      <c r="F3219" s="20">
        <v>0</v>
      </c>
      <c r="G3219" s="24">
        <f>E3219</f>
        <v>2</v>
      </c>
      <c r="H3219" s="20">
        <v>0</v>
      </c>
    </row>
    <row r="3220" spans="1:8" ht="15.75" hidden="1" customHeight="1" x14ac:dyDescent="0.25">
      <c r="A3220" s="20" t="s">
        <v>224</v>
      </c>
      <c r="B3220" s="47" t="s">
        <v>269</v>
      </c>
      <c r="C3220" s="49"/>
      <c r="D3220" s="19" t="s">
        <v>17</v>
      </c>
      <c r="E3220" s="23">
        <v>3</v>
      </c>
      <c r="F3220" s="18">
        <f>E3220* 0.752045572242362</f>
        <v>2.2561367167270863</v>
      </c>
      <c r="G3220" s="18">
        <f>E3220* 0.185827723114103</f>
        <v>0.55748316934230902</v>
      </c>
      <c r="H3220" s="18">
        <f>E3220* 0.0620921802175039</f>
        <v>0.1862765406525117</v>
      </c>
    </row>
    <row r="3221" spans="1:8" ht="15.75" hidden="1" customHeight="1" x14ac:dyDescent="0.25">
      <c r="A3221" s="20" t="s">
        <v>224</v>
      </c>
      <c r="B3221" s="47" t="s">
        <v>269</v>
      </c>
      <c r="C3221" s="49"/>
      <c r="D3221" s="19" t="s">
        <v>31</v>
      </c>
      <c r="E3221" s="23">
        <v>1</v>
      </c>
      <c r="F3221" s="18">
        <f>E3221* 0.929131175468484</f>
        <v>0.92913117546848401</v>
      </c>
      <c r="G3221" s="18">
        <f>E3221* 0.0477001703577513</f>
        <v>4.7700170357751301E-2</v>
      </c>
      <c r="H3221" s="18">
        <f>E3221* 0.0231686541737649</f>
        <v>2.3168654173764899E-2</v>
      </c>
    </row>
    <row r="3222" spans="1:8" ht="15.75" hidden="1" customHeight="1" x14ac:dyDescent="0.25">
      <c r="A3222" s="20" t="s">
        <v>224</v>
      </c>
      <c r="B3222" s="47" t="s">
        <v>269</v>
      </c>
      <c r="C3222" s="49"/>
      <c r="D3222" s="19" t="s">
        <v>20</v>
      </c>
      <c r="E3222" s="23">
        <v>3</v>
      </c>
      <c r="F3222" s="18">
        <f>E3222* 0.734251968503937</f>
        <v>2.2027559055118111</v>
      </c>
      <c r="G3222" s="18">
        <f>E3222* 0.158017179670723</f>
        <v>0.47405153901216901</v>
      </c>
      <c r="H3222" s="18">
        <f>E3222* 0.107551896921976</f>
        <v>0.32265569076592804</v>
      </c>
    </row>
    <row r="3223" spans="1:8" ht="15.75" hidden="1" customHeight="1" x14ac:dyDescent="0.25">
      <c r="A3223" s="20" t="s">
        <v>224</v>
      </c>
      <c r="B3223" s="47" t="s">
        <v>269</v>
      </c>
      <c r="C3223" s="49"/>
      <c r="D3223" s="19" t="s">
        <v>21</v>
      </c>
      <c r="E3223" s="23">
        <v>4</v>
      </c>
      <c r="F3223" s="18">
        <f>E3223* 0.999727092353423</f>
        <v>3.9989083694136922</v>
      </c>
      <c r="G3223" s="18">
        <f>E3223* 0.0000516311763794744</f>
        <v>2.0652470551789761E-4</v>
      </c>
      <c r="H3223" s="18">
        <f>E3223* 0.000132765882118648</f>
        <v>5.3106352847459202E-4</v>
      </c>
    </row>
    <row r="3224" spans="1:8" ht="15.75" hidden="1" customHeight="1" x14ac:dyDescent="0.25">
      <c r="A3224" s="20" t="s">
        <v>224</v>
      </c>
      <c r="B3224" s="47" t="s">
        <v>269</v>
      </c>
      <c r="C3224" s="49"/>
      <c r="D3224" s="19" t="s">
        <v>12</v>
      </c>
      <c r="E3224" s="23">
        <v>4</v>
      </c>
      <c r="F3224" s="18">
        <f>E3224* 0.802335182557089</f>
        <v>3.2093407302283561</v>
      </c>
      <c r="G3224" s="18">
        <f>E3224* 0.124687137143594</f>
        <v>0.498748548574376</v>
      </c>
      <c r="H3224" s="18">
        <f>E3224* 0.0729583279576829</f>
        <v>0.29183331183073158</v>
      </c>
    </row>
    <row r="3225" spans="1:8" ht="15.75" hidden="1" customHeight="1" x14ac:dyDescent="0.25">
      <c r="A3225" s="20" t="s">
        <v>224</v>
      </c>
      <c r="B3225" s="20"/>
      <c r="C3225" s="20"/>
      <c r="D3225" s="46"/>
      <c r="E3225" s="35"/>
    </row>
    <row r="3226" spans="1:8" ht="15.75" hidden="1" customHeight="1" x14ac:dyDescent="0.25">
      <c r="A3226" s="20" t="s">
        <v>224</v>
      </c>
      <c r="B3226" s="47" t="s">
        <v>270</v>
      </c>
      <c r="C3226" s="12" t="str">
        <f>B3226&amp;"_"&amp;A3226</f>
        <v>Urubichá_Santa Cruz</v>
      </c>
      <c r="D3226" s="20"/>
      <c r="E3226" s="48">
        <v>1</v>
      </c>
      <c r="F3226" s="14">
        <f t="shared" ref="F3226:H3226" si="268">F3227</f>
        <v>0.99972709235342305</v>
      </c>
      <c r="G3226" s="14">
        <f t="shared" si="268"/>
        <v>5.1631176379474402E-5</v>
      </c>
      <c r="H3226" s="14">
        <f t="shared" si="268"/>
        <v>1.32765882118648E-4</v>
      </c>
    </row>
    <row r="3227" spans="1:8" ht="15.75" hidden="1" customHeight="1" x14ac:dyDescent="0.25">
      <c r="A3227" s="20" t="s">
        <v>224</v>
      </c>
      <c r="B3227" s="47" t="s">
        <v>270</v>
      </c>
      <c r="C3227" s="49"/>
      <c r="D3227" s="19" t="s">
        <v>21</v>
      </c>
      <c r="E3227" s="23">
        <v>1</v>
      </c>
      <c r="F3227" s="18">
        <f>E3227* 0.999727092353423</f>
        <v>0.99972709235342305</v>
      </c>
      <c r="G3227" s="18">
        <f>E3227* 0.0000516311763794744</f>
        <v>5.1631176379474402E-5</v>
      </c>
      <c r="H3227" s="18">
        <f>E3227* 0.000132765882118648</f>
        <v>1.32765882118648E-4</v>
      </c>
    </row>
    <row r="3228" spans="1:8" ht="15.75" hidden="1" customHeight="1" x14ac:dyDescent="0.25">
      <c r="A3228" s="20" t="s">
        <v>224</v>
      </c>
      <c r="B3228" s="20"/>
      <c r="C3228" s="20"/>
      <c r="D3228" s="46"/>
      <c r="E3228" s="35"/>
    </row>
    <row r="3229" spans="1:8" ht="15.75" hidden="1" customHeight="1" x14ac:dyDescent="0.25">
      <c r="A3229" s="20" t="s">
        <v>224</v>
      </c>
      <c r="B3229" s="47" t="s">
        <v>271</v>
      </c>
      <c r="C3229" s="12" t="str">
        <f>B3229&amp;"_"&amp;A3229</f>
        <v>Vallegrande_Santa Cruz</v>
      </c>
      <c r="D3229" s="20"/>
      <c r="E3229" s="48">
        <v>2769</v>
      </c>
      <c r="F3229" s="14">
        <f t="shared" ref="F3229:H3229" si="269">SUM(F3230:F3244)</f>
        <v>2314.3908272165604</v>
      </c>
      <c r="G3229" s="14">
        <f t="shared" si="269"/>
        <v>383.7487460691334</v>
      </c>
      <c r="H3229" s="14">
        <f t="shared" si="269"/>
        <v>70.687806763293636</v>
      </c>
    </row>
    <row r="3230" spans="1:8" ht="15.75" hidden="1" customHeight="1" x14ac:dyDescent="0.25">
      <c r="A3230" s="20" t="s">
        <v>224</v>
      </c>
      <c r="B3230" s="47" t="s">
        <v>271</v>
      </c>
      <c r="C3230" s="49"/>
      <c r="D3230" s="29" t="s">
        <v>681</v>
      </c>
      <c r="E3230" s="23">
        <v>0</v>
      </c>
      <c r="F3230" s="20">
        <v>0</v>
      </c>
      <c r="G3230" s="24">
        <f>E3230</f>
        <v>0</v>
      </c>
      <c r="H3230" s="20">
        <v>0</v>
      </c>
    </row>
    <row r="3231" spans="1:8" ht="15.75" hidden="1" customHeight="1" x14ac:dyDescent="0.25">
      <c r="A3231" s="20" t="s">
        <v>224</v>
      </c>
      <c r="B3231" s="47" t="s">
        <v>271</v>
      </c>
      <c r="C3231" s="49"/>
      <c r="D3231" s="19" t="s">
        <v>15</v>
      </c>
      <c r="E3231" s="23">
        <v>91</v>
      </c>
      <c r="F3231" s="18">
        <f>E3231* 0.932303048052446</f>
        <v>84.839577372772581</v>
      </c>
      <c r="G3231" s="18">
        <f>E3231* 0.0217058280204555</f>
        <v>1.9752303498614503</v>
      </c>
      <c r="H3231" s="18">
        <f>E3231* 0.0459798598751943</f>
        <v>4.1841672486426811</v>
      </c>
    </row>
    <row r="3232" spans="1:8" ht="15.75" hidden="1" customHeight="1" x14ac:dyDescent="0.25">
      <c r="A3232" s="20" t="s">
        <v>224</v>
      </c>
      <c r="B3232" s="47" t="s">
        <v>271</v>
      </c>
      <c r="C3232" s="49"/>
      <c r="D3232" s="29" t="s">
        <v>682</v>
      </c>
      <c r="E3232" s="23">
        <v>9</v>
      </c>
      <c r="F3232" s="18">
        <f>E3232* 0.293894936109797</f>
        <v>2.6450544249881731</v>
      </c>
      <c r="G3232" s="18">
        <f>E3232* 0.663038334122101</f>
        <v>5.9673450070989089</v>
      </c>
      <c r="H3232" s="18">
        <f>E3232* 0.0430667297681022</f>
        <v>0.3876005679129198</v>
      </c>
    </row>
    <row r="3233" spans="1:8" ht="15.75" hidden="1" customHeight="1" x14ac:dyDescent="0.25">
      <c r="A3233" s="20" t="s">
        <v>224</v>
      </c>
      <c r="B3233" s="47" t="s">
        <v>271</v>
      </c>
      <c r="C3233" s="49"/>
      <c r="D3233" s="19" t="s">
        <v>11</v>
      </c>
      <c r="E3233" s="23">
        <v>251</v>
      </c>
      <c r="F3233" s="18">
        <f>E3233* 0.083479491676667</f>
        <v>20.953352410843419</v>
      </c>
      <c r="G3233" s="18">
        <f>E3233* 0.913505030924029</f>
        <v>229.28976276193129</v>
      </c>
      <c r="H3233" s="18">
        <f>E3233* 0.00292316686667282</f>
        <v>0.73371488353487779</v>
      </c>
    </row>
    <row r="3234" spans="1:8" ht="15.75" hidden="1" customHeight="1" x14ac:dyDescent="0.25">
      <c r="A3234" s="20" t="s">
        <v>224</v>
      </c>
      <c r="B3234" s="47" t="s">
        <v>271</v>
      </c>
      <c r="C3234" s="49"/>
      <c r="D3234" s="19" t="s">
        <v>17</v>
      </c>
      <c r="E3234" s="23">
        <v>221</v>
      </c>
      <c r="F3234" s="18">
        <f>E3234* 0.752045572242362</f>
        <v>166.202071465562</v>
      </c>
      <c r="G3234" s="18">
        <f>E3234* 0.185827723114103</f>
        <v>41.067926808216761</v>
      </c>
      <c r="H3234" s="18">
        <f>E3234* 0.0620921802175039</f>
        <v>13.722371828068361</v>
      </c>
    </row>
    <row r="3235" spans="1:8" ht="15.75" hidden="1" customHeight="1" x14ac:dyDescent="0.25">
      <c r="A3235" s="20" t="s">
        <v>224</v>
      </c>
      <c r="B3235" s="47" t="s">
        <v>271</v>
      </c>
      <c r="C3235" s="49"/>
      <c r="D3235" s="19" t="s">
        <v>31</v>
      </c>
      <c r="E3235" s="23">
        <v>2</v>
      </c>
      <c r="F3235" s="18">
        <f>E3235* 0.929131175468484</f>
        <v>1.858262350936968</v>
      </c>
      <c r="G3235" s="18">
        <f>E3235* 0.0477001703577513</f>
        <v>9.5400340715502602E-2</v>
      </c>
      <c r="H3235" s="18">
        <f>E3235* 0.0231686541737649</f>
        <v>4.6337308347529797E-2</v>
      </c>
    </row>
    <row r="3236" spans="1:8" ht="15.75" hidden="1" customHeight="1" x14ac:dyDescent="0.25">
      <c r="A3236" s="20" t="s">
        <v>224</v>
      </c>
      <c r="B3236" s="47" t="s">
        <v>271</v>
      </c>
      <c r="C3236" s="49"/>
      <c r="D3236" s="19" t="s">
        <v>18</v>
      </c>
      <c r="E3236" s="23">
        <v>96</v>
      </c>
      <c r="F3236" s="18">
        <f>E3236* 0.893702527830246</f>
        <v>85.795442671703611</v>
      </c>
      <c r="G3236" s="18">
        <f>E3236* 0.0946831169875015</f>
        <v>9.089579230800144</v>
      </c>
      <c r="H3236" s="18">
        <f>E3236* 0.0116143551822529</f>
        <v>1.1149780974962784</v>
      </c>
    </row>
    <row r="3237" spans="1:8" ht="15.75" hidden="1" customHeight="1" x14ac:dyDescent="0.25">
      <c r="A3237" s="20" t="s">
        <v>224</v>
      </c>
      <c r="B3237" s="47" t="s">
        <v>271</v>
      </c>
      <c r="C3237" s="49"/>
      <c r="D3237" s="29" t="s">
        <v>683</v>
      </c>
      <c r="E3237" s="23">
        <v>4</v>
      </c>
      <c r="F3237" s="20">
        <v>0</v>
      </c>
      <c r="G3237" s="24">
        <f>E3237</f>
        <v>4</v>
      </c>
      <c r="H3237" s="20">
        <v>0</v>
      </c>
    </row>
    <row r="3238" spans="1:8" ht="15.75" hidden="1" customHeight="1" x14ac:dyDescent="0.25">
      <c r="A3238" s="20" t="s">
        <v>224</v>
      </c>
      <c r="B3238" s="47" t="s">
        <v>271</v>
      </c>
      <c r="C3238" s="49"/>
      <c r="D3238" s="19" t="s">
        <v>19</v>
      </c>
      <c r="E3238" s="23">
        <v>3</v>
      </c>
      <c r="F3238" s="18">
        <f>E3238* 0.0299845873616365</f>
        <v>8.9953762084909489E-2</v>
      </c>
      <c r="G3238" s="18">
        <f>E3238* 0.96385035729298</f>
        <v>2.8915510718789399</v>
      </c>
      <c r="H3238" s="18">
        <f>E3238* 0.00616505534538321</f>
        <v>1.8495166036149629E-2</v>
      </c>
    </row>
    <row r="3239" spans="1:8" ht="15.75" hidden="1" customHeight="1" x14ac:dyDescent="0.25">
      <c r="A3239" s="20" t="s">
        <v>224</v>
      </c>
      <c r="B3239" s="47" t="s">
        <v>271</v>
      </c>
      <c r="C3239" s="49"/>
      <c r="D3239" s="19" t="s">
        <v>20</v>
      </c>
      <c r="E3239" s="23">
        <v>23</v>
      </c>
      <c r="F3239" s="18">
        <f>E3239* 0.734251968503937</f>
        <v>16.887795275590552</v>
      </c>
      <c r="G3239" s="18">
        <f>E3239* 0.158017179670723</f>
        <v>3.6343951324266293</v>
      </c>
      <c r="H3239" s="18">
        <f>E3239* 0.107551896921976</f>
        <v>2.4736936292054481</v>
      </c>
    </row>
    <row r="3240" spans="1:8" ht="15.75" hidden="1" customHeight="1" x14ac:dyDescent="0.25">
      <c r="A3240" s="20" t="s">
        <v>224</v>
      </c>
      <c r="B3240" s="47" t="s">
        <v>271</v>
      </c>
      <c r="C3240" s="49"/>
      <c r="D3240" s="19" t="s">
        <v>21</v>
      </c>
      <c r="E3240" s="23">
        <v>1401</v>
      </c>
      <c r="F3240" s="18">
        <f>E3240* 0.999727092353423</f>
        <v>1400.6176563871456</v>
      </c>
      <c r="G3240" s="18">
        <f>E3240* 0.0000516311763794744</f>
        <v>7.2335278107643633E-2</v>
      </c>
      <c r="H3240" s="18">
        <f>E3240* 0.000132765882118648</f>
        <v>0.18600500084822585</v>
      </c>
    </row>
    <row r="3241" spans="1:8" ht="15.75" hidden="1" customHeight="1" x14ac:dyDescent="0.25">
      <c r="A3241" s="20" t="s">
        <v>224</v>
      </c>
      <c r="B3241" s="47" t="s">
        <v>271</v>
      </c>
      <c r="C3241" s="49"/>
      <c r="D3241" s="19" t="s">
        <v>36</v>
      </c>
      <c r="E3241" s="23">
        <v>9</v>
      </c>
      <c r="F3241" s="18">
        <f>E3241* 0.995894428152493</f>
        <v>8.9630498533724374</v>
      </c>
      <c r="G3241" s="18">
        <f>E3241* 0.000586510263929619</f>
        <v>5.2785923753665706E-3</v>
      </c>
      <c r="H3241" s="18">
        <f>E3241* 0.00351906158357771</f>
        <v>3.1671554252199391E-2</v>
      </c>
    </row>
    <row r="3242" spans="1:8" ht="15.75" hidden="1" customHeight="1" x14ac:dyDescent="0.25">
      <c r="A3242" s="20" t="s">
        <v>224</v>
      </c>
      <c r="B3242" s="47" t="s">
        <v>271</v>
      </c>
      <c r="C3242" s="49"/>
      <c r="D3242" s="19" t="s">
        <v>37</v>
      </c>
      <c r="E3242" s="23">
        <v>1</v>
      </c>
      <c r="F3242" s="20">
        <v>0</v>
      </c>
      <c r="G3242" s="24">
        <f>E3242</f>
        <v>1</v>
      </c>
      <c r="H3242" s="20">
        <v>0</v>
      </c>
    </row>
    <row r="3243" spans="1:8" ht="15.75" hidden="1" customHeight="1" x14ac:dyDescent="0.25">
      <c r="A3243" s="20" t="s">
        <v>224</v>
      </c>
      <c r="B3243" s="47" t="s">
        <v>271</v>
      </c>
      <c r="C3243" s="49"/>
      <c r="D3243" s="19" t="s">
        <v>28</v>
      </c>
      <c r="E3243" s="23">
        <v>3</v>
      </c>
      <c r="F3243" s="18">
        <f>E3243* 0.00302222222222222</f>
        <v>9.0666666666666604E-3</v>
      </c>
      <c r="G3243" s="18">
        <f>E3243* 0.996622222222222</f>
        <v>2.989866666666666</v>
      </c>
      <c r="H3243" s="18">
        <f>E3243* 0.000355555555555556</f>
        <v>1.066666666666668E-3</v>
      </c>
    </row>
    <row r="3244" spans="1:8" ht="15.75" hidden="1" customHeight="1" x14ac:dyDescent="0.25">
      <c r="A3244" s="20" t="s">
        <v>224</v>
      </c>
      <c r="B3244" s="47" t="s">
        <v>271</v>
      </c>
      <c r="C3244" s="49"/>
      <c r="D3244" s="19" t="s">
        <v>12</v>
      </c>
      <c r="E3244" s="23">
        <v>655</v>
      </c>
      <c r="F3244" s="18">
        <f>E3244* 0.802335182557089</f>
        <v>525.52954457489329</v>
      </c>
      <c r="G3244" s="18">
        <f>E3244* 0.124687137143594</f>
        <v>81.670074829054073</v>
      </c>
      <c r="H3244" s="18">
        <f>E3244* 0.0729583279576829</f>
        <v>47.787704812282293</v>
      </c>
    </row>
    <row r="3245" spans="1:8" ht="15.75" hidden="1" customHeight="1" x14ac:dyDescent="0.25">
      <c r="A3245" s="20" t="s">
        <v>224</v>
      </c>
      <c r="B3245" s="20"/>
      <c r="C3245" s="20"/>
      <c r="D3245" s="46"/>
      <c r="E3245" s="35"/>
    </row>
    <row r="3246" spans="1:8" ht="15.75" hidden="1" customHeight="1" x14ac:dyDescent="0.25">
      <c r="A3246" s="20" t="s">
        <v>224</v>
      </c>
      <c r="B3246" s="47" t="s">
        <v>272</v>
      </c>
      <c r="C3246" s="12" t="str">
        <f>B3246&amp;"_"&amp;A3246</f>
        <v>Warnes_Santa Cruz</v>
      </c>
      <c r="D3246" s="20"/>
      <c r="E3246" s="48">
        <v>84531</v>
      </c>
      <c r="F3246" s="14">
        <f t="shared" ref="F3246:H3246" si="270">SUM(F3247:F3261)</f>
        <v>71411.397932527645</v>
      </c>
      <c r="G3246" s="14">
        <f t="shared" si="270"/>
        <v>10781.209075913854</v>
      </c>
      <c r="H3246" s="14">
        <f t="shared" si="270"/>
        <v>2333.5028809267815</v>
      </c>
    </row>
    <row r="3247" spans="1:8" ht="15.75" hidden="1" customHeight="1" x14ac:dyDescent="0.25">
      <c r="A3247" s="20" t="s">
        <v>224</v>
      </c>
      <c r="B3247" s="47" t="s">
        <v>272</v>
      </c>
      <c r="C3247" s="49"/>
      <c r="D3247" s="29" t="s">
        <v>684</v>
      </c>
      <c r="E3247" s="23">
        <v>8</v>
      </c>
      <c r="F3247" s="20">
        <v>0</v>
      </c>
      <c r="G3247" s="24">
        <f>E3247</f>
        <v>8</v>
      </c>
      <c r="H3247" s="20">
        <v>0</v>
      </c>
    </row>
    <row r="3248" spans="1:8" ht="15.75" hidden="1" customHeight="1" x14ac:dyDescent="0.25">
      <c r="A3248" s="20" t="s">
        <v>224</v>
      </c>
      <c r="B3248" s="47" t="s">
        <v>272</v>
      </c>
      <c r="C3248" s="49"/>
      <c r="D3248" s="19" t="s">
        <v>15</v>
      </c>
      <c r="E3248" s="23">
        <v>9670</v>
      </c>
      <c r="F3248" s="18">
        <f>E3248* 0.932303048052446</f>
        <v>9015.3704746671538</v>
      </c>
      <c r="G3248" s="18">
        <f>E3248* 0.0217058280204555</f>
        <v>209.89535695780467</v>
      </c>
      <c r="H3248" s="18">
        <f>E3248* 0.0459798598751943</f>
        <v>444.62524499312883</v>
      </c>
    </row>
    <row r="3249" spans="1:8" ht="15.75" hidden="1" customHeight="1" x14ac:dyDescent="0.25">
      <c r="A3249" s="20" t="s">
        <v>224</v>
      </c>
      <c r="B3249" s="47" t="s">
        <v>272</v>
      </c>
      <c r="C3249" s="49"/>
      <c r="D3249" s="29" t="s">
        <v>685</v>
      </c>
      <c r="E3249" s="23">
        <v>411</v>
      </c>
      <c r="F3249" s="18">
        <f>E3249* 0.293894936109797</f>
        <v>120.79081874112657</v>
      </c>
      <c r="G3249" s="18">
        <f>E3249* 0.663038334122101</f>
        <v>272.50875532418354</v>
      </c>
      <c r="H3249" s="18">
        <f>E3249* 0.0430667297681022</f>
        <v>17.700425934690003</v>
      </c>
    </row>
    <row r="3250" spans="1:8" ht="15.75" hidden="1" customHeight="1" x14ac:dyDescent="0.25">
      <c r="A3250" s="20" t="s">
        <v>224</v>
      </c>
      <c r="B3250" s="47" t="s">
        <v>272</v>
      </c>
      <c r="C3250" s="49"/>
      <c r="D3250" s="19" t="s">
        <v>11</v>
      </c>
      <c r="E3250" s="23">
        <v>4614</v>
      </c>
      <c r="F3250" s="18">
        <f>E3250* 0.083479491676667</f>
        <v>385.17437459614155</v>
      </c>
      <c r="G3250" s="18">
        <f>E3250* 0.913505030924029</f>
        <v>4214.91221268347</v>
      </c>
      <c r="H3250" s="18">
        <f>E3250* 0.00292316686667282</f>
        <v>13.487491922828392</v>
      </c>
    </row>
    <row r="3251" spans="1:8" ht="15.75" hidden="1" customHeight="1" x14ac:dyDescent="0.25">
      <c r="A3251" s="20" t="s">
        <v>224</v>
      </c>
      <c r="B3251" s="47" t="s">
        <v>272</v>
      </c>
      <c r="C3251" s="49"/>
      <c r="D3251" s="19" t="s">
        <v>17</v>
      </c>
      <c r="E3251" s="23">
        <v>7259</v>
      </c>
      <c r="F3251" s="18">
        <f>E3251* 0.752045572242362</f>
        <v>5459.0988089073062</v>
      </c>
      <c r="G3251" s="18">
        <f>E3251* 0.185827723114103</f>
        <v>1348.9234420852738</v>
      </c>
      <c r="H3251" s="18">
        <f>E3251* 0.0620921802175039</f>
        <v>450.72713619886082</v>
      </c>
    </row>
    <row r="3252" spans="1:8" ht="15.75" hidden="1" customHeight="1" x14ac:dyDescent="0.25">
      <c r="A3252" s="20" t="s">
        <v>224</v>
      </c>
      <c r="B3252" s="47" t="s">
        <v>272</v>
      </c>
      <c r="C3252" s="49"/>
      <c r="D3252" s="19" t="s">
        <v>31</v>
      </c>
      <c r="E3252" s="23">
        <v>290</v>
      </c>
      <c r="F3252" s="18">
        <f>E3252* 0.929131175468484</f>
        <v>269.44804088586034</v>
      </c>
      <c r="G3252" s="18">
        <f>E3252* 0.0477001703577513</f>
        <v>13.833049403747877</v>
      </c>
      <c r="H3252" s="18">
        <f>E3252* 0.0231686541737649</f>
        <v>6.7189097103918209</v>
      </c>
    </row>
    <row r="3253" spans="1:8" ht="15.75" hidden="1" customHeight="1" x14ac:dyDescent="0.25">
      <c r="A3253" s="20" t="s">
        <v>224</v>
      </c>
      <c r="B3253" s="47" t="s">
        <v>272</v>
      </c>
      <c r="C3253" s="49"/>
      <c r="D3253" s="19" t="s">
        <v>18</v>
      </c>
      <c r="E3253" s="23">
        <v>2170</v>
      </c>
      <c r="F3253" s="18">
        <f>E3253* 0.893702527830246</f>
        <v>1939.3344853916337</v>
      </c>
      <c r="G3253" s="18">
        <f>E3253* 0.0946831169875015</f>
        <v>205.46236386287825</v>
      </c>
      <c r="H3253" s="18">
        <f>E3253* 0.0116143551822529</f>
        <v>25.203150745488792</v>
      </c>
    </row>
    <row r="3254" spans="1:8" ht="15.75" hidden="1" customHeight="1" x14ac:dyDescent="0.25">
      <c r="A3254" s="20" t="s">
        <v>224</v>
      </c>
      <c r="B3254" s="47" t="s">
        <v>272</v>
      </c>
      <c r="C3254" s="49"/>
      <c r="D3254" s="19" t="s">
        <v>19</v>
      </c>
      <c r="E3254" s="23">
        <v>526</v>
      </c>
      <c r="F3254" s="18">
        <f>E3254* 0.0299845873616365</f>
        <v>15.771892952220798</v>
      </c>
      <c r="G3254" s="18">
        <f>E3254* 0.96385035729298</f>
        <v>506.98528793610745</v>
      </c>
      <c r="H3254" s="18">
        <f>E3254* 0.00616505534538321</f>
        <v>3.2428191116715683</v>
      </c>
    </row>
    <row r="3255" spans="1:8" ht="15.75" hidden="1" customHeight="1" x14ac:dyDescent="0.25">
      <c r="A3255" s="20" t="s">
        <v>224</v>
      </c>
      <c r="B3255" s="47" t="s">
        <v>272</v>
      </c>
      <c r="C3255" s="49"/>
      <c r="D3255" s="19" t="s">
        <v>20</v>
      </c>
      <c r="E3255" s="23">
        <v>1706</v>
      </c>
      <c r="F3255" s="18">
        <f>E3255* 0.734251968503937</f>
        <v>1252.6338582677165</v>
      </c>
      <c r="G3255" s="18">
        <f>E3255* 0.158017179670723</f>
        <v>269.57730851825346</v>
      </c>
      <c r="H3255" s="18">
        <f>E3255* 0.107551896921976</f>
        <v>183.48353614889106</v>
      </c>
    </row>
    <row r="3256" spans="1:8" ht="15.75" hidden="1" customHeight="1" x14ac:dyDescent="0.25">
      <c r="A3256" s="20" t="s">
        <v>224</v>
      </c>
      <c r="B3256" s="47" t="s">
        <v>272</v>
      </c>
      <c r="C3256" s="49"/>
      <c r="D3256" s="19" t="s">
        <v>21</v>
      </c>
      <c r="E3256" s="23">
        <v>39388</v>
      </c>
      <c r="F3256" s="18">
        <f>E3256* 0.999727092353423</f>
        <v>39377.250713616624</v>
      </c>
      <c r="G3256" s="18">
        <f>E3256* 0.0000516311763794744</f>
        <v>2.0336487752347376</v>
      </c>
      <c r="H3256" s="18">
        <f>E3256* 0.000132765882118648</f>
        <v>5.229382564889308</v>
      </c>
    </row>
    <row r="3257" spans="1:8" ht="15.75" hidden="1" customHeight="1" x14ac:dyDescent="0.25">
      <c r="A3257" s="20" t="s">
        <v>224</v>
      </c>
      <c r="B3257" s="47" t="s">
        <v>272</v>
      </c>
      <c r="C3257" s="49"/>
      <c r="D3257" s="19" t="s">
        <v>36</v>
      </c>
      <c r="E3257" s="23">
        <v>592</v>
      </c>
      <c r="F3257" s="18">
        <f>E3257* 0.995894428152493</f>
        <v>589.56950146627582</v>
      </c>
      <c r="G3257" s="18">
        <f>E3257* 0.000586510263929619</f>
        <v>0.34721407624633444</v>
      </c>
      <c r="H3257" s="18">
        <f>E3257* 0.00351906158357771</f>
        <v>2.0832844574780043</v>
      </c>
    </row>
    <row r="3258" spans="1:8" ht="15.75" hidden="1" customHeight="1" x14ac:dyDescent="0.25">
      <c r="A3258" s="20" t="s">
        <v>224</v>
      </c>
      <c r="B3258" s="47" t="s">
        <v>272</v>
      </c>
      <c r="C3258" s="49"/>
      <c r="D3258" s="19" t="s">
        <v>37</v>
      </c>
      <c r="E3258" s="23">
        <v>2</v>
      </c>
      <c r="F3258" s="20">
        <v>0</v>
      </c>
      <c r="G3258" s="24">
        <f>E3258</f>
        <v>2</v>
      </c>
      <c r="H3258" s="20">
        <v>0</v>
      </c>
    </row>
    <row r="3259" spans="1:8" ht="15.75" hidden="1" customHeight="1" x14ac:dyDescent="0.25">
      <c r="A3259" s="20" t="s">
        <v>224</v>
      </c>
      <c r="B3259" s="47" t="s">
        <v>272</v>
      </c>
      <c r="C3259" s="49"/>
      <c r="D3259" s="19" t="s">
        <v>28</v>
      </c>
      <c r="E3259" s="23">
        <v>1712</v>
      </c>
      <c r="F3259" s="18">
        <f>E3259* 0.00302222222222222</f>
        <v>5.1740444444444407</v>
      </c>
      <c r="G3259" s="18">
        <f>E3259* 0.996622222222222</f>
        <v>1706.2172444444441</v>
      </c>
      <c r="H3259" s="18">
        <f>E3259* 0.000355555555555556</f>
        <v>0.60871111111111187</v>
      </c>
    </row>
    <row r="3260" spans="1:8" ht="15.75" hidden="1" customHeight="1" x14ac:dyDescent="0.25">
      <c r="A3260" s="20" t="s">
        <v>224</v>
      </c>
      <c r="B3260" s="47" t="s">
        <v>272</v>
      </c>
      <c r="C3260" s="49"/>
      <c r="D3260" s="19" t="s">
        <v>84</v>
      </c>
      <c r="E3260" s="23">
        <v>4</v>
      </c>
      <c r="F3260" s="20">
        <f>E3260*0.2</f>
        <v>0.8</v>
      </c>
      <c r="G3260" s="20">
        <f>E3260*0.8</f>
        <v>3.2</v>
      </c>
      <c r="H3260" s="20">
        <v>0</v>
      </c>
    </row>
    <row r="3261" spans="1:8" ht="15.75" hidden="1" customHeight="1" x14ac:dyDescent="0.25">
      <c r="A3261" s="20" t="s">
        <v>224</v>
      </c>
      <c r="B3261" s="47" t="s">
        <v>272</v>
      </c>
      <c r="C3261" s="49"/>
      <c r="D3261" s="19" t="s">
        <v>12</v>
      </c>
      <c r="E3261" s="23">
        <v>16179</v>
      </c>
      <c r="F3261" s="18">
        <f>E3261* 0.802335182557089</f>
        <v>12980.980918591144</v>
      </c>
      <c r="G3261" s="18">
        <f>E3261* 0.124687137143594</f>
        <v>2017.3131918462072</v>
      </c>
      <c r="H3261" s="18">
        <f>E3261* 0.0729583279576829</f>
        <v>1180.3927880273516</v>
      </c>
    </row>
    <row r="3262" spans="1:8" ht="15.75" hidden="1" customHeight="1" x14ac:dyDescent="0.25">
      <c r="A3262" s="20" t="s">
        <v>224</v>
      </c>
      <c r="B3262" s="20"/>
      <c r="C3262" s="20"/>
      <c r="D3262" s="46"/>
      <c r="E3262" s="35"/>
    </row>
    <row r="3263" spans="1:8" ht="15.75" hidden="1" customHeight="1" x14ac:dyDescent="0.25">
      <c r="A3263" s="20" t="s">
        <v>224</v>
      </c>
      <c r="B3263" s="47" t="s">
        <v>273</v>
      </c>
      <c r="C3263" s="12" t="str">
        <f>B3263&amp;"_"&amp;A3263</f>
        <v>Yapacaní_Santa Cruz</v>
      </c>
      <c r="D3263" s="20"/>
      <c r="E3263" s="48">
        <v>9223</v>
      </c>
      <c r="F3263" s="14">
        <f t="shared" ref="F3263:H3263" si="271">SUM(F3264:F3277)</f>
        <v>8263.7686371315904</v>
      </c>
      <c r="G3263" s="14">
        <f t="shared" si="271"/>
        <v>789.83205690500699</v>
      </c>
      <c r="H3263" s="14">
        <f t="shared" si="271"/>
        <v>168.74750083827911</v>
      </c>
    </row>
    <row r="3264" spans="1:8" ht="15.75" hidden="1" customHeight="1" x14ac:dyDescent="0.25">
      <c r="A3264" s="20" t="s">
        <v>224</v>
      </c>
      <c r="B3264" s="47" t="s">
        <v>273</v>
      </c>
      <c r="C3264" s="49"/>
      <c r="D3264" s="29" t="s">
        <v>686</v>
      </c>
      <c r="E3264" s="23">
        <v>5</v>
      </c>
      <c r="F3264" s="20">
        <v>0</v>
      </c>
      <c r="G3264" s="24">
        <f>E3264</f>
        <v>5</v>
      </c>
      <c r="H3264" s="20">
        <v>0</v>
      </c>
    </row>
    <row r="3265" spans="1:8" ht="15.75" hidden="1" customHeight="1" x14ac:dyDescent="0.25">
      <c r="A3265" s="20" t="s">
        <v>224</v>
      </c>
      <c r="B3265" s="47" t="s">
        <v>273</v>
      </c>
      <c r="C3265" s="49"/>
      <c r="D3265" s="19" t="s">
        <v>15</v>
      </c>
      <c r="E3265" s="23">
        <v>162</v>
      </c>
      <c r="F3265" s="18">
        <f>E3265* 0.932303048052446</f>
        <v>151.03309378449626</v>
      </c>
      <c r="G3265" s="18">
        <f>E3265* 0.0217058280204555</f>
        <v>3.5163441393137909</v>
      </c>
      <c r="H3265" s="18">
        <f>E3265* 0.0459798598751943</f>
        <v>7.4487372997814765</v>
      </c>
    </row>
    <row r="3266" spans="1:8" ht="15.75" hidden="1" customHeight="1" x14ac:dyDescent="0.25">
      <c r="A3266" s="20" t="s">
        <v>224</v>
      </c>
      <c r="B3266" s="47" t="s">
        <v>273</v>
      </c>
      <c r="C3266" s="49"/>
      <c r="D3266" s="29" t="s">
        <v>687</v>
      </c>
      <c r="E3266" s="23">
        <v>8</v>
      </c>
      <c r="F3266" s="18">
        <f>E3266* 0.293894936109797</f>
        <v>2.351159488878376</v>
      </c>
      <c r="G3266" s="18">
        <f>E3266* 0.663038334122101</f>
        <v>5.304306672976808</v>
      </c>
      <c r="H3266" s="18">
        <f>E3266* 0.0430667297681022</f>
        <v>0.34453383814481758</v>
      </c>
    </row>
    <row r="3267" spans="1:8" ht="15.75" hidden="1" customHeight="1" x14ac:dyDescent="0.25">
      <c r="A3267" s="20" t="s">
        <v>224</v>
      </c>
      <c r="B3267" s="47" t="s">
        <v>273</v>
      </c>
      <c r="C3267" s="49"/>
      <c r="D3267" s="19" t="s">
        <v>11</v>
      </c>
      <c r="E3267" s="23">
        <v>422</v>
      </c>
      <c r="F3267" s="18">
        <f>E3267* 0.083479491676667</f>
        <v>35.228345487553476</v>
      </c>
      <c r="G3267" s="18">
        <f>E3267* 0.913505030924029</f>
        <v>385.49912304994024</v>
      </c>
      <c r="H3267" s="18">
        <f>E3267* 0.00292316686667282</f>
        <v>1.2335764177359301</v>
      </c>
    </row>
    <row r="3268" spans="1:8" ht="15.75" hidden="1" customHeight="1" x14ac:dyDescent="0.25">
      <c r="A3268" s="20" t="s">
        <v>224</v>
      </c>
      <c r="B3268" s="47" t="s">
        <v>273</v>
      </c>
      <c r="C3268" s="49"/>
      <c r="D3268" s="19" t="s">
        <v>17</v>
      </c>
      <c r="E3268" s="23">
        <v>424</v>
      </c>
      <c r="F3268" s="18">
        <f>E3268* 0.752045572242362</f>
        <v>318.86732263076152</v>
      </c>
      <c r="G3268" s="18">
        <f>E3268* 0.185827723114103</f>
        <v>78.790954600379678</v>
      </c>
      <c r="H3268" s="18">
        <f>E3268* 0.0620921802175039</f>
        <v>26.327084412221655</v>
      </c>
    </row>
    <row r="3269" spans="1:8" ht="15.75" hidden="1" customHeight="1" x14ac:dyDescent="0.25">
      <c r="A3269" s="20" t="s">
        <v>224</v>
      </c>
      <c r="B3269" s="47" t="s">
        <v>273</v>
      </c>
      <c r="C3269" s="49"/>
      <c r="D3269" s="19" t="s">
        <v>31</v>
      </c>
      <c r="E3269" s="23">
        <v>14</v>
      </c>
      <c r="F3269" s="18">
        <f>E3269* 0.929131175468484</f>
        <v>13.007836456558776</v>
      </c>
      <c r="G3269" s="18">
        <f>E3269* 0.0477001703577513</f>
        <v>0.66780238500851818</v>
      </c>
      <c r="H3269" s="18">
        <f>E3269* 0.0231686541737649</f>
        <v>0.32436115843270857</v>
      </c>
    </row>
    <row r="3270" spans="1:8" ht="15.75" hidden="1" customHeight="1" x14ac:dyDescent="0.25">
      <c r="A3270" s="20" t="s">
        <v>224</v>
      </c>
      <c r="B3270" s="47" t="s">
        <v>273</v>
      </c>
      <c r="C3270" s="49"/>
      <c r="D3270" s="19" t="s">
        <v>18</v>
      </c>
      <c r="E3270" s="23">
        <v>79</v>
      </c>
      <c r="F3270" s="18">
        <f>E3270* 0.893702527830246</f>
        <v>70.602499698589426</v>
      </c>
      <c r="G3270" s="18">
        <f>E3270* 0.0946831169875015</f>
        <v>7.4799662420126181</v>
      </c>
      <c r="H3270" s="18">
        <f>E3270* 0.0116143551822529</f>
        <v>0.91753405939797905</v>
      </c>
    </row>
    <row r="3271" spans="1:8" ht="15.75" hidden="1" customHeight="1" x14ac:dyDescent="0.25">
      <c r="A3271" s="20" t="s">
        <v>224</v>
      </c>
      <c r="B3271" s="47" t="s">
        <v>273</v>
      </c>
      <c r="C3271" s="49"/>
      <c r="D3271" s="29" t="s">
        <v>688</v>
      </c>
      <c r="E3271" s="23">
        <v>4</v>
      </c>
      <c r="F3271" s="20">
        <v>0</v>
      </c>
      <c r="G3271" s="24">
        <f>E3271</f>
        <v>4</v>
      </c>
      <c r="H3271" s="20">
        <v>0</v>
      </c>
    </row>
    <row r="3272" spans="1:8" ht="15.75" hidden="1" customHeight="1" x14ac:dyDescent="0.25">
      <c r="A3272" s="20" t="s">
        <v>224</v>
      </c>
      <c r="B3272" s="47" t="s">
        <v>273</v>
      </c>
      <c r="C3272" s="49"/>
      <c r="D3272" s="19" t="s">
        <v>19</v>
      </c>
      <c r="E3272" s="23">
        <v>11</v>
      </c>
      <c r="F3272" s="18">
        <f>E3272* 0.0299845873616365</f>
        <v>0.32983046097800151</v>
      </c>
      <c r="G3272" s="18">
        <f>E3272* 0.96385035729298</f>
        <v>10.60235393022278</v>
      </c>
      <c r="H3272" s="18">
        <f>E3272* 0.00616505534538321</f>
        <v>6.7815608799215304E-2</v>
      </c>
    </row>
    <row r="3273" spans="1:8" ht="15.75" hidden="1" customHeight="1" x14ac:dyDescent="0.25">
      <c r="A3273" s="20" t="s">
        <v>224</v>
      </c>
      <c r="B3273" s="47" t="s">
        <v>273</v>
      </c>
      <c r="C3273" s="49"/>
      <c r="D3273" s="19" t="s">
        <v>20</v>
      </c>
      <c r="E3273" s="23">
        <v>54</v>
      </c>
      <c r="F3273" s="18">
        <f>E3273* 0.734251968503937</f>
        <v>39.6496062992126</v>
      </c>
      <c r="G3273" s="18">
        <f>E3273* 0.158017179670723</f>
        <v>8.5329277022190428</v>
      </c>
      <c r="H3273" s="18">
        <f>E3273* 0.107551896921976</f>
        <v>5.807802433786704</v>
      </c>
    </row>
    <row r="3274" spans="1:8" ht="15.75" hidden="1" customHeight="1" x14ac:dyDescent="0.25">
      <c r="A3274" s="20" t="s">
        <v>224</v>
      </c>
      <c r="B3274" s="47" t="s">
        <v>273</v>
      </c>
      <c r="C3274" s="49"/>
      <c r="D3274" s="19" t="s">
        <v>21</v>
      </c>
      <c r="E3274" s="23">
        <v>6253</v>
      </c>
      <c r="F3274" s="18">
        <f>E3274* 0.999727092353423</f>
        <v>6251.2935084859546</v>
      </c>
      <c r="G3274" s="18">
        <f>E3274* 0.0000516311763794744</f>
        <v>0.32284974590085341</v>
      </c>
      <c r="H3274" s="18">
        <f>E3274* 0.000132765882118648</f>
        <v>0.830185060887906</v>
      </c>
    </row>
    <row r="3275" spans="1:8" ht="15.75" hidden="1" customHeight="1" x14ac:dyDescent="0.25">
      <c r="A3275" s="20" t="s">
        <v>224</v>
      </c>
      <c r="B3275" s="47" t="s">
        <v>273</v>
      </c>
      <c r="C3275" s="49"/>
      <c r="D3275" s="19" t="s">
        <v>36</v>
      </c>
      <c r="E3275" s="23">
        <v>2</v>
      </c>
      <c r="F3275" s="18">
        <f>E3275* 0.995894428152493</f>
        <v>1.9917888563049859</v>
      </c>
      <c r="G3275" s="18">
        <f>E3275* 0.000586510263929619</f>
        <v>1.173020527859238E-3</v>
      </c>
      <c r="H3275" s="18">
        <f>E3275* 0.00351906158357771</f>
        <v>7.03812316715542E-3</v>
      </c>
    </row>
    <row r="3276" spans="1:8" ht="15.75" hidden="1" customHeight="1" x14ac:dyDescent="0.25">
      <c r="A3276" s="20" t="s">
        <v>224</v>
      </c>
      <c r="B3276" s="47" t="s">
        <v>273</v>
      </c>
      <c r="C3276" s="49"/>
      <c r="D3276" s="19" t="s">
        <v>28</v>
      </c>
      <c r="E3276" s="23">
        <v>66</v>
      </c>
      <c r="F3276" s="18">
        <f>E3276* 0.00302222222222222</f>
        <v>0.19946666666666651</v>
      </c>
      <c r="G3276" s="18">
        <f>E3276* 0.996622222222222</f>
        <v>65.777066666666656</v>
      </c>
      <c r="H3276" s="18">
        <f>E3276* 0.000355555555555556</f>
        <v>2.3466666666666698E-2</v>
      </c>
    </row>
    <row r="3277" spans="1:8" ht="15.75" hidden="1" customHeight="1" x14ac:dyDescent="0.25">
      <c r="A3277" s="20" t="s">
        <v>224</v>
      </c>
      <c r="B3277" s="47" t="s">
        <v>273</v>
      </c>
      <c r="C3277" s="49"/>
      <c r="D3277" s="52" t="s">
        <v>12</v>
      </c>
      <c r="E3277" s="27">
        <v>1719</v>
      </c>
      <c r="F3277" s="18">
        <f>E3277* 0.802335182557089</f>
        <v>1379.2141788156359</v>
      </c>
      <c r="G3277" s="18">
        <f>E3277* 0.124687137143594</f>
        <v>214.33718874983808</v>
      </c>
      <c r="H3277" s="18">
        <f>E3277* 0.0729583279576829</f>
        <v>125.4153657592569</v>
      </c>
    </row>
    <row r="3278" spans="1:8" ht="15.75" hidden="1" customHeight="1" x14ac:dyDescent="0.25">
      <c r="A3278" s="20" t="s">
        <v>274</v>
      </c>
      <c r="B3278" s="47" t="s">
        <v>275</v>
      </c>
      <c r="C3278" s="12" t="str">
        <f>B3278&amp;"_"&amp;A3278</f>
        <v>Puerto Guayaramerín_Beni</v>
      </c>
      <c r="D3278" s="20"/>
      <c r="E3278" s="48">
        <v>6</v>
      </c>
      <c r="F3278" s="14">
        <f t="shared" ref="F3278:H3278" si="272">SUM(F3279:F3285)</f>
        <v>1.807994908036247</v>
      </c>
      <c r="G3278" s="14">
        <f t="shared" si="272"/>
        <v>4.1261868671955479</v>
      </c>
      <c r="H3278" s="14">
        <f t="shared" si="272"/>
        <v>6.581822476820412E-2</v>
      </c>
    </row>
    <row r="3279" spans="1:8" ht="15.75" hidden="1" customHeight="1" x14ac:dyDescent="0.25">
      <c r="A3279" s="20" t="s">
        <v>274</v>
      </c>
      <c r="B3279" s="47" t="s">
        <v>275</v>
      </c>
      <c r="C3279" s="49"/>
      <c r="D3279" s="46" t="s">
        <v>15</v>
      </c>
      <c r="E3279" s="32">
        <v>0</v>
      </c>
      <c r="F3279" s="18">
        <f>E3279* 0.978622327790974</f>
        <v>0</v>
      </c>
      <c r="G3279" s="18">
        <f>E3279* 0.0130641330166271</f>
        <v>0</v>
      </c>
      <c r="H3279" s="18">
        <f>E3279* 0.00831353919239905</f>
        <v>0</v>
      </c>
    </row>
    <row r="3280" spans="1:8" ht="15.75" hidden="1" customHeight="1" x14ac:dyDescent="0.25">
      <c r="A3280" s="20" t="s">
        <v>274</v>
      </c>
      <c r="B3280" s="47" t="s">
        <v>275</v>
      </c>
      <c r="C3280" s="49"/>
      <c r="D3280" s="35" t="s">
        <v>689</v>
      </c>
      <c r="E3280" s="32">
        <v>0</v>
      </c>
      <c r="F3280" s="18">
        <f>E3280* 0.416666666666667</f>
        <v>0</v>
      </c>
      <c r="G3280" s="18">
        <f>E3280* 0.583333333333333</f>
        <v>0</v>
      </c>
      <c r="H3280" s="20">
        <v>0</v>
      </c>
    </row>
    <row r="3281" spans="1:8" ht="15.75" hidden="1" customHeight="1" x14ac:dyDescent="0.25">
      <c r="A3281" s="20" t="s">
        <v>274</v>
      </c>
      <c r="B3281" s="47" t="s">
        <v>275</v>
      </c>
      <c r="C3281" s="49"/>
      <c r="D3281" s="46" t="s">
        <v>11</v>
      </c>
      <c r="E3281" s="32">
        <v>4</v>
      </c>
      <c r="F3281" s="18">
        <f>E3281* 0.0786924939467312</f>
        <v>0.31476997578692478</v>
      </c>
      <c r="G3281" s="18">
        <f>E3281* 0.920096852300242</f>
        <v>3.6803874092009679</v>
      </c>
      <c r="H3281" s="18">
        <f>E3281* 0.00121065375302663</f>
        <v>4.8426150121065204E-3</v>
      </c>
    </row>
    <row r="3282" spans="1:8" ht="15.75" hidden="1" customHeight="1" x14ac:dyDescent="0.25">
      <c r="A3282" s="20" t="s">
        <v>274</v>
      </c>
      <c r="B3282" s="47" t="s">
        <v>275</v>
      </c>
      <c r="C3282" s="49"/>
      <c r="D3282" s="46" t="s">
        <v>17</v>
      </c>
      <c r="E3282" s="32">
        <v>2</v>
      </c>
      <c r="F3282" s="18">
        <f>E3282* 0.746612466124661</f>
        <v>1.4932249322493221</v>
      </c>
      <c r="G3282" s="18">
        <f>E3282* 0.22289972899729</f>
        <v>0.44579945799457998</v>
      </c>
      <c r="H3282" s="18">
        <f>E3282* 0.0304878048780488</f>
        <v>6.0975609756097601E-2</v>
      </c>
    </row>
    <row r="3283" spans="1:8" ht="15.75" hidden="1" customHeight="1" x14ac:dyDescent="0.25">
      <c r="A3283" s="20" t="s">
        <v>274</v>
      </c>
      <c r="B3283" s="47" t="s">
        <v>275</v>
      </c>
      <c r="C3283" s="49"/>
      <c r="D3283" s="46" t="s">
        <v>18</v>
      </c>
      <c r="E3283" s="32">
        <v>0</v>
      </c>
      <c r="F3283" s="18">
        <f>E3283* 0.911111111111111</f>
        <v>0</v>
      </c>
      <c r="G3283" s="18">
        <f>E3283* 0.0820512820512821</f>
        <v>0</v>
      </c>
      <c r="H3283" s="18">
        <f>E3283* 0.00683760683760684</f>
        <v>0</v>
      </c>
    </row>
    <row r="3284" spans="1:8" ht="15.75" hidden="1" customHeight="1" x14ac:dyDescent="0.25">
      <c r="A3284" s="20" t="s">
        <v>274</v>
      </c>
      <c r="B3284" s="47" t="s">
        <v>275</v>
      </c>
      <c r="C3284" s="49"/>
      <c r="D3284" s="46" t="s">
        <v>21</v>
      </c>
      <c r="E3284" s="32">
        <v>0</v>
      </c>
      <c r="F3284" s="18">
        <f>E3284* 0.999082959420954</f>
        <v>0</v>
      </c>
      <c r="G3284" s="18">
        <f>E3284* 0.0000655028985032588</f>
        <v>0</v>
      </c>
      <c r="H3284" s="18">
        <f>E3284* 0.000360265941767923</f>
        <v>0</v>
      </c>
    </row>
    <row r="3285" spans="1:8" ht="15.75" hidden="1" customHeight="1" x14ac:dyDescent="0.25">
      <c r="A3285" s="20" t="s">
        <v>274</v>
      </c>
      <c r="B3285" s="47" t="s">
        <v>275</v>
      </c>
      <c r="C3285" s="49"/>
      <c r="D3285" s="46" t="s">
        <v>12</v>
      </c>
      <c r="E3285" s="32">
        <v>0</v>
      </c>
      <c r="F3285" s="18">
        <f>E3285* 0.8188894654904</f>
        <v>0</v>
      </c>
      <c r="G3285" s="18">
        <f>E3285* 0.155682407887909</f>
        <v>0</v>
      </c>
      <c r="H3285" s="18">
        <f>E3285* 0.0254281266216918</f>
        <v>0</v>
      </c>
    </row>
    <row r="3286" spans="1:8" ht="15.75" hidden="1" customHeight="1" x14ac:dyDescent="0.25">
      <c r="A3286" s="20" t="s">
        <v>274</v>
      </c>
      <c r="B3286" s="20"/>
      <c r="C3286" s="20"/>
      <c r="D3286" s="46"/>
      <c r="E3286" s="35"/>
    </row>
    <row r="3287" spans="1:8" ht="15.75" hidden="1" customHeight="1" x14ac:dyDescent="0.25">
      <c r="A3287" s="20" t="s">
        <v>274</v>
      </c>
      <c r="B3287" s="47" t="s">
        <v>276</v>
      </c>
      <c r="C3287" s="12" t="str">
        <f>B3287&amp;"_"&amp;A3287</f>
        <v>Puerto Rurrenabaque_Beni</v>
      </c>
      <c r="D3287" s="20"/>
      <c r="E3287" s="48">
        <v>1040</v>
      </c>
      <c r="F3287" s="14">
        <f t="shared" ref="F3287:H3287" si="273">SUM(F3288:F3297)</f>
        <v>1017.3060842069665</v>
      </c>
      <c r="G3287" s="14">
        <f t="shared" si="273"/>
        <v>21.256757203866478</v>
      </c>
      <c r="H3287" s="14">
        <f t="shared" si="273"/>
        <v>0.95276465473511585</v>
      </c>
    </row>
    <row r="3288" spans="1:8" ht="15.75" hidden="1" customHeight="1" x14ac:dyDescent="0.25">
      <c r="A3288" s="20" t="s">
        <v>274</v>
      </c>
      <c r="B3288" s="47" t="s">
        <v>276</v>
      </c>
      <c r="C3288" s="49"/>
      <c r="D3288" s="35" t="s">
        <v>690</v>
      </c>
      <c r="E3288" s="32">
        <v>5</v>
      </c>
      <c r="F3288" s="20">
        <v>0</v>
      </c>
      <c r="G3288" s="24">
        <f>E3288</f>
        <v>5</v>
      </c>
      <c r="H3288" s="20">
        <v>0</v>
      </c>
    </row>
    <row r="3289" spans="1:8" ht="15.75" hidden="1" customHeight="1" x14ac:dyDescent="0.25">
      <c r="A3289" s="20" t="s">
        <v>274</v>
      </c>
      <c r="B3289" s="47" t="s">
        <v>276</v>
      </c>
      <c r="C3289" s="49"/>
      <c r="D3289" s="46" t="s">
        <v>15</v>
      </c>
      <c r="E3289" s="32">
        <v>3</v>
      </c>
      <c r="F3289" s="18">
        <f>E3289* 0.978622327790974</f>
        <v>2.9358669833729221</v>
      </c>
      <c r="G3289" s="18">
        <f>E3289* 0.0130641330166271</f>
        <v>3.9192399049881296E-2</v>
      </c>
      <c r="H3289" s="18">
        <f>E3289* 0.00831353919239905</f>
        <v>2.4940617577197149E-2</v>
      </c>
    </row>
    <row r="3290" spans="1:8" ht="15.75" hidden="1" customHeight="1" x14ac:dyDescent="0.25">
      <c r="A3290" s="20" t="s">
        <v>274</v>
      </c>
      <c r="B3290" s="47" t="s">
        <v>276</v>
      </c>
      <c r="C3290" s="49"/>
      <c r="D3290" s="46" t="s">
        <v>11</v>
      </c>
      <c r="E3290" s="32">
        <v>12</v>
      </c>
      <c r="F3290" s="18">
        <f>E3290* 0.0786924939467312</f>
        <v>0.94430992736077435</v>
      </c>
      <c r="G3290" s="18">
        <f>E3290* 0.920096852300242</f>
        <v>11.041162227602904</v>
      </c>
      <c r="H3290" s="18">
        <f>E3290* 0.00121065375302663</f>
        <v>1.4527845036319561E-2</v>
      </c>
    </row>
    <row r="3291" spans="1:8" ht="15.75" hidden="1" customHeight="1" x14ac:dyDescent="0.25">
      <c r="A3291" s="20" t="s">
        <v>274</v>
      </c>
      <c r="B3291" s="47" t="s">
        <v>276</v>
      </c>
      <c r="C3291" s="49"/>
      <c r="D3291" s="46" t="s">
        <v>17</v>
      </c>
      <c r="E3291" s="32">
        <v>4</v>
      </c>
      <c r="F3291" s="18">
        <f>E3291* 0.746612466124661</f>
        <v>2.9864498644986441</v>
      </c>
      <c r="G3291" s="18">
        <f>E3291* 0.22289972899729</f>
        <v>0.89159891598915997</v>
      </c>
      <c r="H3291" s="18">
        <f>E3291* 0.0304878048780488</f>
        <v>0.1219512195121952</v>
      </c>
    </row>
    <row r="3292" spans="1:8" ht="15.75" hidden="1" customHeight="1" x14ac:dyDescent="0.25">
      <c r="A3292" s="20" t="s">
        <v>274</v>
      </c>
      <c r="B3292" s="47" t="s">
        <v>276</v>
      </c>
      <c r="C3292" s="49"/>
      <c r="D3292" s="46" t="s">
        <v>31</v>
      </c>
      <c r="E3292" s="32">
        <v>1</v>
      </c>
      <c r="F3292" s="18">
        <f>E3292* 0.771428571428572</f>
        <v>0.77142857142857202</v>
      </c>
      <c r="G3292" s="18">
        <f>E3292* 0.228571428571429</f>
        <v>0.22857142857142901</v>
      </c>
      <c r="H3292" s="20">
        <v>0</v>
      </c>
    </row>
    <row r="3293" spans="1:8" ht="15.75" hidden="1" customHeight="1" x14ac:dyDescent="0.25">
      <c r="A3293" s="20" t="s">
        <v>274</v>
      </c>
      <c r="B3293" s="47" t="s">
        <v>276</v>
      </c>
      <c r="C3293" s="49"/>
      <c r="D3293" s="46" t="s">
        <v>18</v>
      </c>
      <c r="E3293" s="32">
        <v>8</v>
      </c>
      <c r="F3293" s="18">
        <f>E3293* 0.911111111111111</f>
        <v>7.2888888888888879</v>
      </c>
      <c r="G3293" s="18">
        <f>E3293* 0.0820512820512821</f>
        <v>0.65641025641025685</v>
      </c>
      <c r="H3293" s="18">
        <f>E3293* 0.00683760683760684</f>
        <v>5.4700854700854722E-2</v>
      </c>
    </row>
    <row r="3294" spans="1:8" ht="15.75" hidden="1" customHeight="1" x14ac:dyDescent="0.25">
      <c r="A3294" s="20" t="s">
        <v>274</v>
      </c>
      <c r="B3294" s="47" t="s">
        <v>276</v>
      </c>
      <c r="C3294" s="49"/>
      <c r="D3294" s="46" t="s">
        <v>21</v>
      </c>
      <c r="E3294" s="32">
        <v>986</v>
      </c>
      <c r="F3294" s="18">
        <f>E3294* 0.999082959420954</f>
        <v>985.09579798906066</v>
      </c>
      <c r="G3294" s="18">
        <f>E3294* 0.0000655028985032588</f>
        <v>6.4585857924213175E-2</v>
      </c>
      <c r="H3294" s="18">
        <f>E3294* 0.000360265941767923</f>
        <v>0.3552222185831721</v>
      </c>
    </row>
    <row r="3295" spans="1:8" ht="15.75" hidden="1" customHeight="1" x14ac:dyDescent="0.25">
      <c r="A3295" s="20" t="s">
        <v>274</v>
      </c>
      <c r="B3295" s="47" t="s">
        <v>276</v>
      </c>
      <c r="C3295" s="49"/>
      <c r="D3295" s="46" t="s">
        <v>36</v>
      </c>
      <c r="E3295" s="32">
        <v>5</v>
      </c>
      <c r="F3295" s="24">
        <f>E3295</f>
        <v>5</v>
      </c>
      <c r="G3295" s="20">
        <v>0</v>
      </c>
      <c r="H3295" s="20">
        <v>0</v>
      </c>
    </row>
    <row r="3296" spans="1:8" ht="15.75" hidden="1" customHeight="1" x14ac:dyDescent="0.25">
      <c r="A3296" s="20" t="s">
        <v>274</v>
      </c>
      <c r="B3296" s="47" t="s">
        <v>276</v>
      </c>
      <c r="C3296" s="49"/>
      <c r="D3296" s="46" t="s">
        <v>84</v>
      </c>
      <c r="E3296" s="32">
        <v>1</v>
      </c>
      <c r="F3296" s="20">
        <v>0</v>
      </c>
      <c r="G3296" s="24">
        <f>E3296</f>
        <v>1</v>
      </c>
      <c r="H3296" s="20">
        <v>0</v>
      </c>
    </row>
    <row r="3297" spans="1:8" ht="15.75" hidden="1" customHeight="1" x14ac:dyDescent="0.25">
      <c r="A3297" s="20" t="s">
        <v>274</v>
      </c>
      <c r="B3297" s="47" t="s">
        <v>276</v>
      </c>
      <c r="C3297" s="49"/>
      <c r="D3297" s="46" t="s">
        <v>12</v>
      </c>
      <c r="E3297" s="32">
        <v>15</v>
      </c>
      <c r="F3297" s="18">
        <f>E3297* 0.8188894654904</f>
        <v>12.283341982355999</v>
      </c>
      <c r="G3297" s="18">
        <f>E3297* 0.155682407887909</f>
        <v>2.335236118318635</v>
      </c>
      <c r="H3297" s="18">
        <f>E3297* 0.0254281266216918</f>
        <v>0.38142189932537701</v>
      </c>
    </row>
    <row r="3298" spans="1:8" ht="15.75" hidden="1" customHeight="1" x14ac:dyDescent="0.25">
      <c r="A3298" s="20" t="s">
        <v>274</v>
      </c>
      <c r="B3298" s="20"/>
      <c r="C3298" s="20"/>
      <c r="D3298" s="46"/>
      <c r="E3298" s="35"/>
    </row>
    <row r="3299" spans="1:8" ht="15.75" hidden="1" customHeight="1" x14ac:dyDescent="0.25">
      <c r="A3299" s="20" t="s">
        <v>274</v>
      </c>
      <c r="B3299" s="47" t="s">
        <v>277</v>
      </c>
      <c r="C3299" s="12" t="str">
        <f>B3299&amp;"_"&amp;A3299</f>
        <v>Riberalta_Beni</v>
      </c>
      <c r="D3299" s="20"/>
      <c r="E3299" s="48">
        <v>6592</v>
      </c>
      <c r="F3299" s="14">
        <f t="shared" ref="F3299:H3299" si="274">SUM(F3300:F3311)</f>
        <v>6408.3732206185823</v>
      </c>
      <c r="G3299" s="14">
        <f t="shared" si="274"/>
        <v>170.17164740066895</v>
      </c>
      <c r="H3299" s="14">
        <f t="shared" si="274"/>
        <v>10.443636222059766</v>
      </c>
    </row>
    <row r="3300" spans="1:8" ht="15.75" hidden="1" customHeight="1" x14ac:dyDescent="0.25">
      <c r="A3300" s="20" t="s">
        <v>274</v>
      </c>
      <c r="B3300" s="47" t="s">
        <v>277</v>
      </c>
      <c r="C3300" s="49"/>
      <c r="D3300" s="46" t="s">
        <v>15</v>
      </c>
      <c r="E3300" s="32">
        <v>32</v>
      </c>
      <c r="F3300" s="18">
        <f>E3300* 0.978622327790974</f>
        <v>31.315914489311169</v>
      </c>
      <c r="G3300" s="18">
        <f>E3300* 0.0130641330166271</f>
        <v>0.41805225653206718</v>
      </c>
      <c r="H3300" s="18">
        <f>E3300* 0.00831353919239905</f>
        <v>0.26603325415676959</v>
      </c>
    </row>
    <row r="3301" spans="1:8" ht="15.75" hidden="1" customHeight="1" x14ac:dyDescent="0.25">
      <c r="A3301" s="20" t="s">
        <v>274</v>
      </c>
      <c r="B3301" s="47" t="s">
        <v>277</v>
      </c>
      <c r="C3301" s="49"/>
      <c r="D3301" s="35" t="s">
        <v>691</v>
      </c>
      <c r="E3301" s="32">
        <v>3</v>
      </c>
      <c r="F3301" s="18">
        <f>E3301* 0.416666666666667</f>
        <v>1.2500000000000011</v>
      </c>
      <c r="G3301" s="18">
        <f>E3301* 0.583333333333333</f>
        <v>1.7499999999999991</v>
      </c>
      <c r="H3301" s="20">
        <v>0</v>
      </c>
    </row>
    <row r="3302" spans="1:8" ht="15.75" hidden="1" customHeight="1" x14ac:dyDescent="0.25">
      <c r="A3302" s="20" t="s">
        <v>274</v>
      </c>
      <c r="B3302" s="47" t="s">
        <v>277</v>
      </c>
      <c r="C3302" s="49"/>
      <c r="D3302" s="46" t="s">
        <v>11</v>
      </c>
      <c r="E3302" s="32">
        <v>106</v>
      </c>
      <c r="F3302" s="18">
        <f>E3302* 0.0786924939467312</f>
        <v>8.3414043583535076</v>
      </c>
      <c r="G3302" s="18">
        <f>E3302* 0.920096852300242</f>
        <v>97.530266343825645</v>
      </c>
      <c r="H3302" s="18">
        <f>E3302* 0.00121065375302663</f>
        <v>0.12832929782082278</v>
      </c>
    </row>
    <row r="3303" spans="1:8" ht="15.75" hidden="1" customHeight="1" x14ac:dyDescent="0.25">
      <c r="A3303" s="20" t="s">
        <v>274</v>
      </c>
      <c r="B3303" s="47" t="s">
        <v>277</v>
      </c>
      <c r="C3303" s="49"/>
      <c r="D3303" s="46" t="s">
        <v>17</v>
      </c>
      <c r="E3303" s="32">
        <v>166</v>
      </c>
      <c r="F3303" s="18">
        <f>E3303* 0.746612466124661</f>
        <v>123.93766937669373</v>
      </c>
      <c r="G3303" s="18">
        <f>E3303* 0.22289972899729</f>
        <v>37.001355013550139</v>
      </c>
      <c r="H3303" s="18">
        <f>E3303* 0.0304878048780488</f>
        <v>5.0609756097561007</v>
      </c>
    </row>
    <row r="3304" spans="1:8" ht="15.75" hidden="1" customHeight="1" x14ac:dyDescent="0.25">
      <c r="A3304" s="20" t="s">
        <v>274</v>
      </c>
      <c r="B3304" s="47" t="s">
        <v>277</v>
      </c>
      <c r="C3304" s="49"/>
      <c r="D3304" s="46" t="s">
        <v>31</v>
      </c>
      <c r="E3304" s="32">
        <v>3</v>
      </c>
      <c r="F3304" s="18">
        <f>E3304* 0.771428571428572</f>
        <v>2.3142857142857158</v>
      </c>
      <c r="G3304" s="18">
        <f>E3304* 0.228571428571429</f>
        <v>0.68571428571428705</v>
      </c>
      <c r="H3304" s="20">
        <v>0</v>
      </c>
    </row>
    <row r="3305" spans="1:8" ht="15.75" hidden="1" customHeight="1" x14ac:dyDescent="0.25">
      <c r="A3305" s="20" t="s">
        <v>274</v>
      </c>
      <c r="B3305" s="47" t="s">
        <v>277</v>
      </c>
      <c r="C3305" s="49"/>
      <c r="D3305" s="46" t="s">
        <v>18</v>
      </c>
      <c r="E3305" s="32">
        <v>22</v>
      </c>
      <c r="F3305" s="18">
        <f>E3305* 0.911111111111111</f>
        <v>20.044444444444441</v>
      </c>
      <c r="G3305" s="18">
        <f>E3305* 0.0820512820512821</f>
        <v>1.8051282051282063</v>
      </c>
      <c r="H3305" s="18">
        <f>E3305* 0.00683760683760684</f>
        <v>0.15042735042735048</v>
      </c>
    </row>
    <row r="3306" spans="1:8" ht="15.75" hidden="1" customHeight="1" x14ac:dyDescent="0.25">
      <c r="A3306" s="20" t="s">
        <v>274</v>
      </c>
      <c r="B3306" s="47" t="s">
        <v>277</v>
      </c>
      <c r="C3306" s="49"/>
      <c r="D3306" s="35" t="s">
        <v>692</v>
      </c>
      <c r="E3306" s="32">
        <v>1</v>
      </c>
      <c r="F3306" s="20">
        <v>0</v>
      </c>
      <c r="G3306" s="24">
        <f>E3306</f>
        <v>1</v>
      </c>
      <c r="H3306" s="20">
        <v>0</v>
      </c>
    </row>
    <row r="3307" spans="1:8" ht="15.75" hidden="1" customHeight="1" x14ac:dyDescent="0.25">
      <c r="A3307" s="20" t="s">
        <v>274</v>
      </c>
      <c r="B3307" s="47" t="s">
        <v>277</v>
      </c>
      <c r="C3307" s="49"/>
      <c r="D3307" s="46" t="s">
        <v>20</v>
      </c>
      <c r="E3307" s="32">
        <v>9</v>
      </c>
      <c r="F3307" s="18">
        <f>E3307* 0.454545454545455</f>
        <v>4.0909090909090944</v>
      </c>
      <c r="G3307" s="18">
        <f>E3307* 0.507575757575758</f>
        <v>4.5681818181818219</v>
      </c>
      <c r="H3307" s="18">
        <f>E3307* 0.0378787878787879</f>
        <v>0.34090909090909111</v>
      </c>
    </row>
    <row r="3308" spans="1:8" ht="15.75" hidden="1" customHeight="1" x14ac:dyDescent="0.25">
      <c r="A3308" s="20" t="s">
        <v>274</v>
      </c>
      <c r="B3308" s="47" t="s">
        <v>277</v>
      </c>
      <c r="C3308" s="49"/>
      <c r="D3308" s="46" t="s">
        <v>21</v>
      </c>
      <c r="E3308" s="32">
        <v>6130</v>
      </c>
      <c r="F3308" s="18">
        <f>E3308* 0.999082959420954</f>
        <v>6124.3785412504485</v>
      </c>
      <c r="G3308" s="18">
        <f>E3308* 0.0000655028985032588</f>
        <v>0.40153276782497643</v>
      </c>
      <c r="H3308" s="18">
        <f>E3308* 0.000360265941767923</f>
        <v>2.208430223037368</v>
      </c>
    </row>
    <row r="3309" spans="1:8" ht="15.75" hidden="1" customHeight="1" x14ac:dyDescent="0.25">
      <c r="A3309" s="20" t="s">
        <v>274</v>
      </c>
      <c r="B3309" s="47" t="s">
        <v>277</v>
      </c>
      <c r="C3309" s="49"/>
      <c r="D3309" s="46" t="s">
        <v>36</v>
      </c>
      <c r="E3309" s="32">
        <v>19</v>
      </c>
      <c r="F3309" s="24">
        <f>E3309</f>
        <v>19</v>
      </c>
      <c r="G3309" s="20">
        <v>0</v>
      </c>
      <c r="H3309" s="20">
        <v>0</v>
      </c>
    </row>
    <row r="3310" spans="1:8" ht="15.75" hidden="1" customHeight="1" x14ac:dyDescent="0.25">
      <c r="A3310" s="20" t="s">
        <v>274</v>
      </c>
      <c r="B3310" s="47" t="s">
        <v>277</v>
      </c>
      <c r="C3310" s="49"/>
      <c r="D3310" s="46" t="s">
        <v>28</v>
      </c>
      <c r="E3310" s="32">
        <v>11</v>
      </c>
      <c r="F3310" s="20">
        <v>0</v>
      </c>
      <c r="G3310" s="24">
        <f>E3310</f>
        <v>11</v>
      </c>
      <c r="H3310" s="20">
        <v>0</v>
      </c>
    </row>
    <row r="3311" spans="1:8" ht="15.75" hidden="1" customHeight="1" x14ac:dyDescent="0.25">
      <c r="A3311" s="20" t="s">
        <v>274</v>
      </c>
      <c r="B3311" s="47" t="s">
        <v>277</v>
      </c>
      <c r="C3311" s="49"/>
      <c r="D3311" s="46" t="s">
        <v>12</v>
      </c>
      <c r="E3311" s="32">
        <v>90</v>
      </c>
      <c r="F3311" s="18">
        <f>E3311* 0.8188894654904</f>
        <v>73.700051894135996</v>
      </c>
      <c r="G3311" s="18">
        <f>E3311* 0.155682407887909</f>
        <v>14.01141670991181</v>
      </c>
      <c r="H3311" s="18">
        <f>E3311* 0.0254281266216918</f>
        <v>2.288531395952262</v>
      </c>
    </row>
    <row r="3312" spans="1:8" ht="15.75" hidden="1" customHeight="1" x14ac:dyDescent="0.25">
      <c r="A3312" s="20" t="s">
        <v>274</v>
      </c>
      <c r="B3312" s="20"/>
      <c r="C3312" s="20"/>
      <c r="D3312" s="46"/>
      <c r="E3312" s="35"/>
    </row>
    <row r="3313" spans="1:8" ht="15.75" hidden="1" customHeight="1" x14ac:dyDescent="0.25">
      <c r="A3313" s="20" t="s">
        <v>274</v>
      </c>
      <c r="B3313" s="47" t="s">
        <v>693</v>
      </c>
      <c r="C3313" s="12" t="str">
        <f>B3313&amp;"_"&amp;A3313</f>
        <v>San Andrés_Beni</v>
      </c>
      <c r="D3313" s="20"/>
      <c r="E3313" s="48">
        <v>835</v>
      </c>
      <c r="F3313" s="14">
        <f t="shared" ref="F3313:H3313" si="275">SUM(F3314:F3319)</f>
        <v>831.36262809215975</v>
      </c>
      <c r="G3313" s="14">
        <f t="shared" si="275"/>
        <v>2.7002657310015916</v>
      </c>
      <c r="H3313" s="14">
        <f t="shared" si="275"/>
        <v>0.53475462278211983</v>
      </c>
    </row>
    <row r="3314" spans="1:8" ht="15.75" hidden="1" customHeight="1" x14ac:dyDescent="0.25">
      <c r="A3314" s="20" t="s">
        <v>274</v>
      </c>
      <c r="B3314" s="47" t="s">
        <v>693</v>
      </c>
      <c r="C3314" s="49"/>
      <c r="D3314" s="46" t="s">
        <v>17</v>
      </c>
      <c r="E3314" s="32">
        <v>1</v>
      </c>
      <c r="F3314" s="18">
        <f>E3314* 0.746612466124661</f>
        <v>0.74661246612466103</v>
      </c>
      <c r="G3314" s="18">
        <f>E3314* 0.22289972899729</f>
        <v>0.22289972899728999</v>
      </c>
      <c r="H3314" s="18">
        <f>E3314* 0.0304878048780488</f>
        <v>3.0487804878048801E-2</v>
      </c>
    </row>
    <row r="3315" spans="1:8" ht="15.75" hidden="1" customHeight="1" x14ac:dyDescent="0.25">
      <c r="A3315" s="20" t="s">
        <v>274</v>
      </c>
      <c r="B3315" s="47" t="s">
        <v>693</v>
      </c>
      <c r="C3315" s="49"/>
      <c r="D3315" s="46" t="s">
        <v>18</v>
      </c>
      <c r="E3315" s="32">
        <v>1</v>
      </c>
      <c r="F3315" s="18">
        <f>E3315* 0.911111111111111</f>
        <v>0.91111111111111098</v>
      </c>
      <c r="G3315" s="18">
        <f>E3315* 0.0820512820512821</f>
        <v>8.2051282051282107E-2</v>
      </c>
      <c r="H3315" s="18">
        <f>E3315* 0.00683760683760684</f>
        <v>6.8376068376068402E-3</v>
      </c>
    </row>
    <row r="3316" spans="1:8" ht="15.75" hidden="1" customHeight="1" x14ac:dyDescent="0.25">
      <c r="A3316" s="20" t="s">
        <v>274</v>
      </c>
      <c r="B3316" s="47" t="s">
        <v>693</v>
      </c>
      <c r="C3316" s="49"/>
      <c r="D3316" s="46" t="s">
        <v>20</v>
      </c>
      <c r="E3316" s="32">
        <v>4</v>
      </c>
      <c r="F3316" s="18">
        <f>E3316* 0.454545454545455</f>
        <v>1.8181818181818199</v>
      </c>
      <c r="G3316" s="18">
        <f>E3316* 0.507575757575758</f>
        <v>2.0303030303030321</v>
      </c>
      <c r="H3316" s="18">
        <f>E3316* 0.0378787878787879</f>
        <v>0.1515151515151516</v>
      </c>
    </row>
    <row r="3317" spans="1:8" ht="15.75" hidden="1" customHeight="1" x14ac:dyDescent="0.25">
      <c r="A3317" s="20" t="s">
        <v>274</v>
      </c>
      <c r="B3317" s="47" t="s">
        <v>693</v>
      </c>
      <c r="C3317" s="49"/>
      <c r="D3317" s="46" t="s">
        <v>21</v>
      </c>
      <c r="E3317" s="32">
        <v>819</v>
      </c>
      <c r="F3317" s="18">
        <f>E3317* 0.999082959420954</f>
        <v>818.2489437657614</v>
      </c>
      <c r="G3317" s="18">
        <f>E3317* 0.0000655028985032588</f>
        <v>5.3646873874168957E-2</v>
      </c>
      <c r="H3317" s="18">
        <f>E3317* 0.000360265941767923</f>
        <v>0.29505780630792894</v>
      </c>
    </row>
    <row r="3318" spans="1:8" ht="15.75" hidden="1" customHeight="1" x14ac:dyDescent="0.25">
      <c r="A3318" s="20" t="s">
        <v>274</v>
      </c>
      <c r="B3318" s="47" t="s">
        <v>693</v>
      </c>
      <c r="C3318" s="49"/>
      <c r="D3318" s="46" t="s">
        <v>36</v>
      </c>
      <c r="E3318" s="32">
        <v>8</v>
      </c>
      <c r="F3318" s="24">
        <f>E3318</f>
        <v>8</v>
      </c>
      <c r="G3318" s="20">
        <v>0</v>
      </c>
      <c r="H3318" s="20">
        <v>0</v>
      </c>
    </row>
    <row r="3319" spans="1:8" ht="15.75" hidden="1" customHeight="1" x14ac:dyDescent="0.25">
      <c r="A3319" s="20" t="s">
        <v>274</v>
      </c>
      <c r="B3319" s="47" t="s">
        <v>693</v>
      </c>
      <c r="C3319" s="49"/>
      <c r="D3319" s="46" t="s">
        <v>12</v>
      </c>
      <c r="E3319" s="32">
        <v>2</v>
      </c>
      <c r="F3319" s="18">
        <f>E3319* 0.8188894654904</f>
        <v>1.6377789309808</v>
      </c>
      <c r="G3319" s="18">
        <f>E3319* 0.155682407887909</f>
        <v>0.31136481577581798</v>
      </c>
      <c r="H3319" s="18">
        <f>E3319* 0.0254281266216918</f>
        <v>5.0856253243383602E-2</v>
      </c>
    </row>
    <row r="3320" spans="1:8" ht="15.75" hidden="1" customHeight="1" x14ac:dyDescent="0.25">
      <c r="A3320" s="20" t="s">
        <v>274</v>
      </c>
      <c r="B3320" s="20"/>
      <c r="C3320" s="20"/>
      <c r="D3320" s="46"/>
      <c r="E3320" s="35"/>
    </row>
    <row r="3321" spans="1:8" ht="15.75" hidden="1" customHeight="1" x14ac:dyDescent="0.25">
      <c r="A3321" s="20" t="s">
        <v>274</v>
      </c>
      <c r="B3321" s="47" t="s">
        <v>278</v>
      </c>
      <c r="C3321" s="12" t="str">
        <f>B3321&amp;"_"&amp;A3321</f>
        <v>San Borja_Beni</v>
      </c>
      <c r="D3321" s="20"/>
      <c r="E3321" s="48">
        <v>468</v>
      </c>
      <c r="F3321" s="14">
        <f t="shared" ref="F3321:H3321" si="276">SUM(F3322:F3331)</f>
        <v>441.36184133960359</v>
      </c>
      <c r="G3321" s="14">
        <f t="shared" si="276"/>
        <v>25.416600186229338</v>
      </c>
      <c r="H3321" s="14">
        <f t="shared" si="276"/>
        <v>1.0201370612694005</v>
      </c>
    </row>
    <row r="3322" spans="1:8" ht="15.75" hidden="1" customHeight="1" x14ac:dyDescent="0.25">
      <c r="A3322" s="20" t="s">
        <v>274</v>
      </c>
      <c r="B3322" s="47" t="s">
        <v>278</v>
      </c>
      <c r="C3322" s="49"/>
      <c r="D3322" s="35" t="s">
        <v>694</v>
      </c>
      <c r="E3322" s="32">
        <v>3</v>
      </c>
      <c r="F3322" s="20">
        <v>0</v>
      </c>
      <c r="G3322" s="24">
        <f>E3322</f>
        <v>3</v>
      </c>
      <c r="H3322" s="20">
        <v>0</v>
      </c>
    </row>
    <row r="3323" spans="1:8" ht="15.75" hidden="1" customHeight="1" x14ac:dyDescent="0.25">
      <c r="A3323" s="20" t="s">
        <v>274</v>
      </c>
      <c r="B3323" s="47" t="s">
        <v>278</v>
      </c>
      <c r="C3323" s="49"/>
      <c r="D3323" s="35" t="s">
        <v>695</v>
      </c>
      <c r="E3323" s="32">
        <v>0</v>
      </c>
      <c r="F3323" s="18">
        <f>E3323* 0.416666666666667</f>
        <v>0</v>
      </c>
      <c r="G3323" s="18">
        <f>E3323* 0.583333333333333</f>
        <v>0</v>
      </c>
      <c r="H3323" s="20">
        <v>0</v>
      </c>
    </row>
    <row r="3324" spans="1:8" ht="15.75" hidden="1" customHeight="1" x14ac:dyDescent="0.25">
      <c r="A3324" s="20" t="s">
        <v>274</v>
      </c>
      <c r="B3324" s="47" t="s">
        <v>278</v>
      </c>
      <c r="C3324" s="49"/>
      <c r="D3324" s="46" t="s">
        <v>11</v>
      </c>
      <c r="E3324" s="32">
        <v>18</v>
      </c>
      <c r="F3324" s="18">
        <f>E3324* 0.0786924939467312</f>
        <v>1.4164648910411615</v>
      </c>
      <c r="G3324" s="18">
        <f>E3324* 0.920096852300242</f>
        <v>16.561743341404355</v>
      </c>
      <c r="H3324" s="18">
        <f>E3324* 0.00121065375302663</f>
        <v>2.1791767554479341E-2</v>
      </c>
    </row>
    <row r="3325" spans="1:8" ht="15.75" hidden="1" customHeight="1" x14ac:dyDescent="0.25">
      <c r="A3325" s="20" t="s">
        <v>274</v>
      </c>
      <c r="B3325" s="47" t="s">
        <v>278</v>
      </c>
      <c r="C3325" s="49"/>
      <c r="D3325" s="46" t="s">
        <v>17</v>
      </c>
      <c r="E3325" s="32">
        <v>16</v>
      </c>
      <c r="F3325" s="18">
        <f>E3325* 0.746612466124661</f>
        <v>11.945799457994577</v>
      </c>
      <c r="G3325" s="18">
        <f>E3325* 0.22289972899729</f>
        <v>3.5663956639566399</v>
      </c>
      <c r="H3325" s="18">
        <f>E3325* 0.0304878048780488</f>
        <v>0.48780487804878081</v>
      </c>
    </row>
    <row r="3326" spans="1:8" ht="15.75" hidden="1" customHeight="1" x14ac:dyDescent="0.25">
      <c r="A3326" s="20" t="s">
        <v>274</v>
      </c>
      <c r="B3326" s="47" t="s">
        <v>278</v>
      </c>
      <c r="C3326" s="49"/>
      <c r="D3326" s="46" t="s">
        <v>31</v>
      </c>
      <c r="E3326" s="32">
        <v>0</v>
      </c>
      <c r="F3326" s="18">
        <f>E3326* 0.771428571428572</f>
        <v>0</v>
      </c>
      <c r="G3326" s="18">
        <f>E3326* 0.228571428571429</f>
        <v>0</v>
      </c>
      <c r="H3326" s="20">
        <v>0</v>
      </c>
    </row>
    <row r="3327" spans="1:8" ht="15.75" hidden="1" customHeight="1" x14ac:dyDescent="0.25">
      <c r="A3327" s="20" t="s">
        <v>274</v>
      </c>
      <c r="B3327" s="47" t="s">
        <v>278</v>
      </c>
      <c r="C3327" s="49"/>
      <c r="D3327" s="46" t="s">
        <v>18</v>
      </c>
      <c r="E3327" s="32">
        <v>1</v>
      </c>
      <c r="F3327" s="18">
        <f>E3327* 0.911111111111111</f>
        <v>0.91111111111111098</v>
      </c>
      <c r="G3327" s="18">
        <f>E3327* 0.0820512820512821</f>
        <v>8.2051282051282107E-2</v>
      </c>
      <c r="H3327" s="18">
        <f>E3327* 0.00683760683760684</f>
        <v>6.8376068376068402E-3</v>
      </c>
    </row>
    <row r="3328" spans="1:8" ht="15.75" hidden="1" customHeight="1" x14ac:dyDescent="0.25">
      <c r="A3328" s="20" t="s">
        <v>274</v>
      </c>
      <c r="B3328" s="47" t="s">
        <v>278</v>
      </c>
      <c r="C3328" s="49"/>
      <c r="D3328" s="46" t="s">
        <v>20</v>
      </c>
      <c r="E3328" s="35"/>
      <c r="F3328" s="18">
        <f>E3328* 0.454545454545455</f>
        <v>0</v>
      </c>
      <c r="G3328" s="18">
        <f>E3328* 0.507575757575758</f>
        <v>0</v>
      </c>
      <c r="H3328" s="18">
        <f>E3328* 0.0378787878787879</f>
        <v>0</v>
      </c>
    </row>
    <row r="3329" spans="1:8" ht="15.75" hidden="1" customHeight="1" x14ac:dyDescent="0.25">
      <c r="A3329" s="20" t="s">
        <v>274</v>
      </c>
      <c r="B3329" s="47" t="s">
        <v>278</v>
      </c>
      <c r="C3329" s="49"/>
      <c r="D3329" s="46" t="s">
        <v>21</v>
      </c>
      <c r="E3329" s="32">
        <v>410</v>
      </c>
      <c r="F3329" s="18">
        <f>E3329* 0.999082959420954</f>
        <v>409.62401336259114</v>
      </c>
      <c r="G3329" s="18">
        <f>E3329* 0.0000655028985032588</f>
        <v>2.6856188386336109E-2</v>
      </c>
      <c r="H3329" s="18">
        <f>E3329* 0.000360265941767923</f>
        <v>0.14770903612484843</v>
      </c>
    </row>
    <row r="3330" spans="1:8" ht="15.75" hidden="1" customHeight="1" x14ac:dyDescent="0.25">
      <c r="A3330" s="20" t="s">
        <v>274</v>
      </c>
      <c r="B3330" s="47" t="s">
        <v>278</v>
      </c>
      <c r="C3330" s="49"/>
      <c r="D3330" s="46" t="s">
        <v>36</v>
      </c>
      <c r="E3330" s="32">
        <v>6</v>
      </c>
      <c r="F3330" s="24">
        <f>E3330</f>
        <v>6</v>
      </c>
      <c r="G3330" s="20">
        <v>0</v>
      </c>
      <c r="H3330" s="20">
        <v>0</v>
      </c>
    </row>
    <row r="3331" spans="1:8" ht="15.75" hidden="1" customHeight="1" x14ac:dyDescent="0.25">
      <c r="A3331" s="20" t="s">
        <v>274</v>
      </c>
      <c r="B3331" s="47" t="s">
        <v>278</v>
      </c>
      <c r="C3331" s="49"/>
      <c r="D3331" s="46" t="s">
        <v>12</v>
      </c>
      <c r="E3331" s="32">
        <v>14</v>
      </c>
      <c r="F3331" s="18">
        <f>E3331* 0.8188894654904</f>
        <v>11.464452516865599</v>
      </c>
      <c r="G3331" s="18">
        <f>E3331* 0.155682407887909</f>
        <v>2.1795537104307261</v>
      </c>
      <c r="H3331" s="18">
        <f>E3331* 0.0254281266216918</f>
        <v>0.35599377270368521</v>
      </c>
    </row>
    <row r="3332" spans="1:8" ht="15.75" hidden="1" customHeight="1" x14ac:dyDescent="0.25">
      <c r="A3332" s="20" t="s">
        <v>274</v>
      </c>
      <c r="B3332" s="20"/>
      <c r="C3332" s="20"/>
      <c r="D3332" s="46"/>
      <c r="E3332" s="35"/>
    </row>
    <row r="3333" spans="1:8" ht="15.75" hidden="1" customHeight="1" x14ac:dyDescent="0.25">
      <c r="A3333" s="20" t="s">
        <v>274</v>
      </c>
      <c r="B3333" s="47" t="s">
        <v>279</v>
      </c>
      <c r="C3333" s="12" t="str">
        <f>B3333&amp;"_"&amp;A3333</f>
        <v>San Ignacio (Beni)_Beni</v>
      </c>
      <c r="D3333" s="20"/>
      <c r="E3333" s="48">
        <v>1</v>
      </c>
      <c r="F3333" s="14">
        <f t="shared" ref="F3333:H3333" si="277">SUM(F3334:F3335)</f>
        <v>0.99908295942095404</v>
      </c>
      <c r="G3333" s="14">
        <f t="shared" si="277"/>
        <v>6.5502898503258799E-5</v>
      </c>
      <c r="H3333" s="14">
        <f t="shared" si="277"/>
        <v>3.60265941767923E-4</v>
      </c>
    </row>
    <row r="3334" spans="1:8" ht="15.75" hidden="1" customHeight="1" x14ac:dyDescent="0.25">
      <c r="A3334" s="20" t="s">
        <v>274</v>
      </c>
      <c r="B3334" s="47" t="s">
        <v>279</v>
      </c>
      <c r="C3334" s="49"/>
      <c r="D3334" s="46" t="s">
        <v>17</v>
      </c>
      <c r="E3334" s="32">
        <v>0</v>
      </c>
      <c r="F3334" s="18">
        <f>E3334* 0.746612466124661</f>
        <v>0</v>
      </c>
      <c r="G3334" s="18">
        <f>E3334* 0.22289972899729</f>
        <v>0</v>
      </c>
      <c r="H3334" s="18">
        <f>E3334* 0.0304878048780488</f>
        <v>0</v>
      </c>
    </row>
    <row r="3335" spans="1:8" ht="15.75" hidden="1" customHeight="1" x14ac:dyDescent="0.25">
      <c r="A3335" s="20" t="s">
        <v>274</v>
      </c>
      <c r="B3335" s="47" t="s">
        <v>279</v>
      </c>
      <c r="C3335" s="49"/>
      <c r="D3335" s="46" t="s">
        <v>21</v>
      </c>
      <c r="E3335" s="32">
        <v>1</v>
      </c>
      <c r="F3335" s="18">
        <f>E3335* 0.999082959420954</f>
        <v>0.99908295942095404</v>
      </c>
      <c r="G3335" s="18">
        <f>E3335* 0.0000655028985032588</f>
        <v>6.5502898503258799E-5</v>
      </c>
      <c r="H3335" s="18">
        <f>E3335* 0.000360265941767923</f>
        <v>3.60265941767923E-4</v>
      </c>
    </row>
    <row r="3336" spans="1:8" ht="15.75" hidden="1" customHeight="1" x14ac:dyDescent="0.25">
      <c r="A3336" s="20" t="s">
        <v>274</v>
      </c>
      <c r="B3336" s="20"/>
      <c r="C3336" s="20"/>
      <c r="D3336" s="46"/>
      <c r="E3336" s="35"/>
    </row>
    <row r="3337" spans="1:8" ht="15.75" hidden="1" customHeight="1" x14ac:dyDescent="0.25">
      <c r="A3337" s="20" t="s">
        <v>274</v>
      </c>
      <c r="B3337" s="47" t="s">
        <v>280</v>
      </c>
      <c r="C3337" s="12" t="str">
        <f>B3337&amp;"_"&amp;A3337</f>
        <v>San Javier (Trinidad)_Beni</v>
      </c>
      <c r="D3337" s="20"/>
      <c r="E3337" s="48">
        <v>316</v>
      </c>
      <c r="F3337" s="14">
        <f t="shared" ref="F3337:H3337" si="278">SUM(F3338:F3343)</f>
        <v>311.44594066463662</v>
      </c>
      <c r="G3337" s="14">
        <f t="shared" si="278"/>
        <v>4.2385577168336672</v>
      </c>
      <c r="H3337" s="14">
        <f t="shared" si="278"/>
        <v>0.1671375534197066</v>
      </c>
    </row>
    <row r="3338" spans="1:8" ht="15.75" hidden="1" customHeight="1" x14ac:dyDescent="0.25">
      <c r="A3338" s="20" t="s">
        <v>274</v>
      </c>
      <c r="B3338" s="47" t="s">
        <v>280</v>
      </c>
      <c r="C3338" s="49"/>
      <c r="D3338" s="46" t="s">
        <v>11</v>
      </c>
      <c r="E3338" s="32">
        <v>2</v>
      </c>
      <c r="F3338" s="18">
        <f>E3338* 0.0786924939467312</f>
        <v>0.15738498789346239</v>
      </c>
      <c r="G3338" s="18">
        <f>E3338* 0.920096852300242</f>
        <v>1.8401937046004839</v>
      </c>
      <c r="H3338" s="18">
        <f>E3338* 0.00121065375302663</f>
        <v>2.4213075060532602E-3</v>
      </c>
    </row>
    <row r="3339" spans="1:8" ht="15.75" hidden="1" customHeight="1" x14ac:dyDescent="0.25">
      <c r="A3339" s="20" t="s">
        <v>274</v>
      </c>
      <c r="B3339" s="47" t="s">
        <v>280</v>
      </c>
      <c r="C3339" s="49"/>
      <c r="D3339" s="46" t="s">
        <v>17</v>
      </c>
      <c r="E3339" s="32">
        <v>1</v>
      </c>
      <c r="F3339" s="18">
        <f>E3339* 0.746612466124661</f>
        <v>0.74661246612466103</v>
      </c>
      <c r="G3339" s="18">
        <f>E3339* 0.22289972899729</f>
        <v>0.22289972899728999</v>
      </c>
      <c r="H3339" s="18">
        <f>E3339* 0.0304878048780488</f>
        <v>3.0487804878048801E-2</v>
      </c>
    </row>
    <row r="3340" spans="1:8" ht="15.75" hidden="1" customHeight="1" x14ac:dyDescent="0.25">
      <c r="A3340" s="20" t="s">
        <v>274</v>
      </c>
      <c r="B3340" s="47" t="s">
        <v>280</v>
      </c>
      <c r="C3340" s="49"/>
      <c r="D3340" s="46" t="s">
        <v>21</v>
      </c>
      <c r="E3340" s="32">
        <v>302</v>
      </c>
      <c r="F3340" s="18">
        <f>E3340* 0.999082959420954</f>
        <v>301.72305374512814</v>
      </c>
      <c r="G3340" s="18">
        <f>E3340* 0.0000655028985032588</f>
        <v>1.9781875347984156E-2</v>
      </c>
      <c r="H3340" s="18">
        <f>E3340* 0.000360265941767923</f>
        <v>0.10880031441391275</v>
      </c>
    </row>
    <row r="3341" spans="1:8" ht="15.75" hidden="1" customHeight="1" x14ac:dyDescent="0.25">
      <c r="A3341" s="20" t="s">
        <v>274</v>
      </c>
      <c r="B3341" s="47" t="s">
        <v>280</v>
      </c>
      <c r="C3341" s="49"/>
      <c r="D3341" s="46" t="s">
        <v>36</v>
      </c>
      <c r="E3341" s="32">
        <v>8</v>
      </c>
      <c r="F3341" s="24">
        <f>E3341</f>
        <v>8</v>
      </c>
      <c r="G3341" s="20">
        <v>0</v>
      </c>
      <c r="H3341" s="20">
        <v>0</v>
      </c>
    </row>
    <row r="3342" spans="1:8" ht="15.75" hidden="1" customHeight="1" x14ac:dyDescent="0.25">
      <c r="A3342" s="20" t="s">
        <v>274</v>
      </c>
      <c r="B3342" s="47" t="s">
        <v>280</v>
      </c>
      <c r="C3342" s="49"/>
      <c r="D3342" s="46" t="s">
        <v>28</v>
      </c>
      <c r="E3342" s="32">
        <v>2</v>
      </c>
      <c r="F3342" s="20">
        <v>0</v>
      </c>
      <c r="G3342" s="24">
        <f>E3342</f>
        <v>2</v>
      </c>
      <c r="H3342" s="20">
        <v>0</v>
      </c>
    </row>
    <row r="3343" spans="1:8" ht="15.75" hidden="1" customHeight="1" x14ac:dyDescent="0.25">
      <c r="A3343" s="20" t="s">
        <v>274</v>
      </c>
      <c r="B3343" s="47" t="s">
        <v>280</v>
      </c>
      <c r="C3343" s="49"/>
      <c r="D3343" s="46" t="s">
        <v>12</v>
      </c>
      <c r="E3343" s="32">
        <v>1</v>
      </c>
      <c r="F3343" s="18">
        <f>E3343* 0.8188894654904</f>
        <v>0.81888946549039998</v>
      </c>
      <c r="G3343" s="18">
        <f>E3343* 0.155682407887909</f>
        <v>0.15568240788790899</v>
      </c>
      <c r="H3343" s="18">
        <f>E3343* 0.0254281266216918</f>
        <v>2.5428126621691801E-2</v>
      </c>
    </row>
    <row r="3344" spans="1:8" ht="15.75" hidden="1" customHeight="1" x14ac:dyDescent="0.25">
      <c r="A3344" s="20" t="s">
        <v>274</v>
      </c>
      <c r="B3344" s="20"/>
      <c r="C3344" s="20"/>
      <c r="D3344" s="46"/>
      <c r="E3344" s="35"/>
    </row>
    <row r="3345" spans="1:8" ht="15.75" hidden="1" customHeight="1" x14ac:dyDescent="0.25">
      <c r="A3345" s="20" t="s">
        <v>274</v>
      </c>
      <c r="B3345" s="47" t="s">
        <v>281</v>
      </c>
      <c r="C3345" s="12" t="str">
        <f>B3345&amp;"_"&amp;A3345</f>
        <v>San Joaquín_Beni</v>
      </c>
      <c r="D3345" s="20"/>
      <c r="E3345" s="48">
        <v>1</v>
      </c>
      <c r="F3345" s="14">
        <f t="shared" ref="F3345:H3345" si="279">F3346</f>
        <v>7.8692493946731196E-2</v>
      </c>
      <c r="G3345" s="14">
        <f t="shared" si="279"/>
        <v>0.92009685230024196</v>
      </c>
      <c r="H3345" s="14">
        <f t="shared" si="279"/>
        <v>1.2106537530266301E-3</v>
      </c>
    </row>
    <row r="3346" spans="1:8" ht="15.75" hidden="1" customHeight="1" x14ac:dyDescent="0.25">
      <c r="A3346" s="20" t="s">
        <v>274</v>
      </c>
      <c r="B3346" s="47" t="s">
        <v>281</v>
      </c>
      <c r="C3346" s="49"/>
      <c r="D3346" s="46" t="s">
        <v>11</v>
      </c>
      <c r="E3346" s="32">
        <v>1</v>
      </c>
      <c r="F3346" s="18">
        <f>E3346* 0.0786924939467312</f>
        <v>7.8692493946731196E-2</v>
      </c>
      <c r="G3346" s="18">
        <f>E3346* 0.920096852300242</f>
        <v>0.92009685230024196</v>
      </c>
      <c r="H3346" s="18">
        <f>E3346* 0.00121065375302663</f>
        <v>1.2106537530266301E-3</v>
      </c>
    </row>
    <row r="3347" spans="1:8" ht="15.75" hidden="1" customHeight="1" x14ac:dyDescent="0.25">
      <c r="A3347" s="20" t="s">
        <v>274</v>
      </c>
      <c r="B3347" s="20"/>
      <c r="C3347" s="20"/>
      <c r="D3347" s="46"/>
      <c r="E3347" s="35"/>
    </row>
    <row r="3348" spans="1:8" ht="15.75" hidden="1" customHeight="1" x14ac:dyDescent="0.25">
      <c r="A3348" s="20" t="s">
        <v>274</v>
      </c>
      <c r="B3348" s="47" t="s">
        <v>266</v>
      </c>
      <c r="C3348" s="12" t="str">
        <f>B3348&amp;"_"&amp;A3348</f>
        <v>San Ramón_Beni</v>
      </c>
      <c r="D3348" s="20"/>
      <c r="E3348" s="48">
        <v>1</v>
      </c>
      <c r="F3348" s="14">
        <f t="shared" ref="F3348:H3348" si="280">F3349</f>
        <v>0.74661246612466103</v>
      </c>
      <c r="G3348" s="14">
        <f t="shared" si="280"/>
        <v>0.22289972899728999</v>
      </c>
      <c r="H3348" s="14">
        <f t="shared" si="280"/>
        <v>3.0487804878048801E-2</v>
      </c>
    </row>
    <row r="3349" spans="1:8" ht="15.75" hidden="1" customHeight="1" x14ac:dyDescent="0.25">
      <c r="A3349" s="20" t="s">
        <v>274</v>
      </c>
      <c r="B3349" s="47" t="s">
        <v>266</v>
      </c>
      <c r="C3349" s="49"/>
      <c r="D3349" s="46" t="s">
        <v>17</v>
      </c>
      <c r="E3349" s="32">
        <v>1</v>
      </c>
      <c r="F3349" s="18">
        <f>E3349* 0.746612466124661</f>
        <v>0.74661246612466103</v>
      </c>
      <c r="G3349" s="18">
        <f>E3349* 0.22289972899729</f>
        <v>0.22289972899728999</v>
      </c>
      <c r="H3349" s="18">
        <f>E3349* 0.0304878048780488</f>
        <v>3.0487804878048801E-2</v>
      </c>
    </row>
    <row r="3350" spans="1:8" ht="15.75" hidden="1" customHeight="1" x14ac:dyDescent="0.25">
      <c r="A3350" s="20" t="s">
        <v>274</v>
      </c>
      <c r="B3350" s="20"/>
      <c r="C3350" s="20"/>
      <c r="D3350" s="46"/>
      <c r="E3350" s="35"/>
    </row>
    <row r="3351" spans="1:8" ht="15.75" hidden="1" customHeight="1" x14ac:dyDescent="0.25">
      <c r="A3351" s="20" t="s">
        <v>274</v>
      </c>
      <c r="B3351" s="47" t="s">
        <v>282</v>
      </c>
      <c r="C3351" s="12" t="str">
        <f>B3351&amp;"_"&amp;A3351</f>
        <v>Santa Ana del Yacuma_Beni</v>
      </c>
      <c r="D3351" s="20"/>
      <c r="E3351" s="48">
        <v>554</v>
      </c>
      <c r="F3351" s="14">
        <f t="shared" ref="F3351:H3351" si="281">SUM(F3352:F3360)</f>
        <v>522.2806447811007</v>
      </c>
      <c r="G3351" s="14">
        <f t="shared" si="281"/>
        <v>30.068920814569374</v>
      </c>
      <c r="H3351" s="14">
        <f t="shared" si="281"/>
        <v>1.4180628718894461</v>
      </c>
    </row>
    <row r="3352" spans="1:8" ht="15.75" hidden="1" customHeight="1" x14ac:dyDescent="0.25">
      <c r="A3352" s="20" t="s">
        <v>274</v>
      </c>
      <c r="B3352" s="47" t="s">
        <v>282</v>
      </c>
      <c r="C3352" s="49"/>
      <c r="D3352" s="35" t="s">
        <v>696</v>
      </c>
      <c r="E3352" s="32">
        <v>3</v>
      </c>
      <c r="F3352" s="20">
        <v>0</v>
      </c>
      <c r="G3352" s="24">
        <f>E3352</f>
        <v>3</v>
      </c>
      <c r="H3352" s="20">
        <v>0</v>
      </c>
    </row>
    <row r="3353" spans="1:8" ht="15.75" hidden="1" customHeight="1" x14ac:dyDescent="0.25">
      <c r="A3353" s="20" t="s">
        <v>274</v>
      </c>
      <c r="B3353" s="47" t="s">
        <v>282</v>
      </c>
      <c r="C3353" s="49"/>
      <c r="D3353" s="46" t="s">
        <v>15</v>
      </c>
      <c r="E3353" s="32">
        <v>1</v>
      </c>
      <c r="F3353" s="18">
        <f>E3353* 0.978622327790974</f>
        <v>0.97862232779097402</v>
      </c>
      <c r="G3353" s="18">
        <f>E3353* 0.0130641330166271</f>
        <v>1.3064133016627099E-2</v>
      </c>
      <c r="H3353" s="18">
        <f>E3353* 0.00831353919239905</f>
        <v>8.3135391923990498E-3</v>
      </c>
    </row>
    <row r="3354" spans="1:8" ht="15.75" hidden="1" customHeight="1" x14ac:dyDescent="0.25">
      <c r="A3354" s="20" t="s">
        <v>274</v>
      </c>
      <c r="B3354" s="47" t="s">
        <v>282</v>
      </c>
      <c r="C3354" s="49"/>
      <c r="D3354" s="46" t="s">
        <v>11</v>
      </c>
      <c r="E3354" s="32">
        <v>20</v>
      </c>
      <c r="F3354" s="18">
        <f>E3354* 0.0786924939467312</f>
        <v>1.5738498789346238</v>
      </c>
      <c r="G3354" s="18">
        <f>E3354* 0.920096852300242</f>
        <v>18.401937046004839</v>
      </c>
      <c r="H3354" s="18">
        <f>E3354* 0.00121065375302663</f>
        <v>2.42130750605326E-2</v>
      </c>
    </row>
    <row r="3355" spans="1:8" ht="15.75" hidden="1" customHeight="1" x14ac:dyDescent="0.25">
      <c r="A3355" s="20" t="s">
        <v>274</v>
      </c>
      <c r="B3355" s="47" t="s">
        <v>282</v>
      </c>
      <c r="C3355" s="49"/>
      <c r="D3355" s="46" t="s">
        <v>17</v>
      </c>
      <c r="E3355" s="32">
        <v>26</v>
      </c>
      <c r="F3355" s="18">
        <f>E3355* 0.746612466124661</f>
        <v>19.411924119241188</v>
      </c>
      <c r="G3355" s="18">
        <f>E3355* 0.22289972899729</f>
        <v>5.7953929539295395</v>
      </c>
      <c r="H3355" s="18">
        <f>E3355* 0.0304878048780488</f>
        <v>0.79268292682926877</v>
      </c>
    </row>
    <row r="3356" spans="1:8" ht="15.75" hidden="1" customHeight="1" x14ac:dyDescent="0.25">
      <c r="A3356" s="20" t="s">
        <v>274</v>
      </c>
      <c r="B3356" s="47" t="s">
        <v>282</v>
      </c>
      <c r="C3356" s="49"/>
      <c r="D3356" s="46" t="s">
        <v>18</v>
      </c>
      <c r="E3356" s="32">
        <v>6</v>
      </c>
      <c r="F3356" s="18">
        <f>E3356* 0.911111111111111</f>
        <v>5.4666666666666659</v>
      </c>
      <c r="G3356" s="18">
        <f>E3356* 0.0820512820512821</f>
        <v>0.49230769230769267</v>
      </c>
      <c r="H3356" s="18">
        <f>E3356* 0.00683760683760684</f>
        <v>4.1025641025641039E-2</v>
      </c>
    </row>
    <row r="3357" spans="1:8" ht="15.75" hidden="1" customHeight="1" x14ac:dyDescent="0.25">
      <c r="A3357" s="20" t="s">
        <v>274</v>
      </c>
      <c r="B3357" s="47" t="s">
        <v>282</v>
      </c>
      <c r="C3357" s="49"/>
      <c r="D3357" s="46" t="s">
        <v>20</v>
      </c>
      <c r="E3357" s="32">
        <v>0</v>
      </c>
      <c r="F3357" s="18">
        <f>E3357* 0.454545454545455</f>
        <v>0</v>
      </c>
      <c r="G3357" s="18">
        <f>E3357* 0.507575757575758</f>
        <v>0</v>
      </c>
      <c r="H3357" s="18">
        <f>E3357* 0.0378787878787879</f>
        <v>0</v>
      </c>
    </row>
    <row r="3358" spans="1:8" ht="15.75" hidden="1" customHeight="1" x14ac:dyDescent="0.25">
      <c r="A3358" s="20" t="s">
        <v>274</v>
      </c>
      <c r="B3358" s="47" t="s">
        <v>282</v>
      </c>
      <c r="C3358" s="49"/>
      <c r="D3358" s="46" t="s">
        <v>21</v>
      </c>
      <c r="E3358" s="32">
        <v>473</v>
      </c>
      <c r="F3358" s="18">
        <f>E3358* 0.999082959420954</f>
        <v>472.56623980611124</v>
      </c>
      <c r="G3358" s="18">
        <f>E3358* 0.0000655028985032588</f>
        <v>3.098287099204141E-2</v>
      </c>
      <c r="H3358" s="18">
        <f>E3358* 0.000360265941767923</f>
        <v>0.17040579045622758</v>
      </c>
    </row>
    <row r="3359" spans="1:8" ht="15.75" hidden="1" customHeight="1" x14ac:dyDescent="0.25">
      <c r="A3359" s="20" t="s">
        <v>274</v>
      </c>
      <c r="B3359" s="47" t="s">
        <v>282</v>
      </c>
      <c r="C3359" s="49"/>
      <c r="D3359" s="46" t="s">
        <v>36</v>
      </c>
      <c r="E3359" s="32">
        <v>10</v>
      </c>
      <c r="F3359" s="24">
        <f>E3359</f>
        <v>10</v>
      </c>
      <c r="G3359" s="20">
        <v>0</v>
      </c>
      <c r="H3359" s="20">
        <v>0</v>
      </c>
    </row>
    <row r="3360" spans="1:8" ht="15.75" hidden="1" customHeight="1" x14ac:dyDescent="0.25">
      <c r="A3360" s="20" t="s">
        <v>274</v>
      </c>
      <c r="B3360" s="47" t="s">
        <v>282</v>
      </c>
      <c r="C3360" s="49"/>
      <c r="D3360" s="46" t="s">
        <v>12</v>
      </c>
      <c r="E3360" s="32">
        <v>15</v>
      </c>
      <c r="F3360" s="18">
        <f>E3360* 0.8188894654904</f>
        <v>12.283341982355999</v>
      </c>
      <c r="G3360" s="18">
        <f>E3360* 0.155682407887909</f>
        <v>2.335236118318635</v>
      </c>
      <c r="H3360" s="18">
        <f>E3360* 0.0254281266216918</f>
        <v>0.38142189932537701</v>
      </c>
    </row>
    <row r="3361" spans="1:8" ht="15.75" hidden="1" customHeight="1" x14ac:dyDescent="0.25">
      <c r="A3361" s="20" t="s">
        <v>274</v>
      </c>
      <c r="B3361" s="20"/>
      <c r="C3361" s="20"/>
      <c r="D3361" s="46"/>
      <c r="E3361" s="35"/>
    </row>
    <row r="3362" spans="1:8" ht="15.75" hidden="1" customHeight="1" x14ac:dyDescent="0.25">
      <c r="A3362" s="20" t="s">
        <v>274</v>
      </c>
      <c r="B3362" s="47" t="s">
        <v>283</v>
      </c>
      <c r="C3362" s="12" t="str">
        <f>B3362&amp;"_"&amp;A3362</f>
        <v>Trinidad_Beni</v>
      </c>
      <c r="D3362" s="20"/>
      <c r="E3362" s="48">
        <v>46738</v>
      </c>
      <c r="F3362" s="14">
        <f t="shared" ref="F3362:H3362" si="282">SUM(F3363:F3375)</f>
        <v>44820.996486425131</v>
      </c>
      <c r="G3362" s="14">
        <f t="shared" si="282"/>
        <v>1760.0012499840329</v>
      </c>
      <c r="H3362" s="14">
        <f t="shared" si="282"/>
        <v>137.47421197454528</v>
      </c>
    </row>
    <row r="3363" spans="1:8" ht="15.75" hidden="1" customHeight="1" x14ac:dyDescent="0.25">
      <c r="A3363" s="20" t="s">
        <v>274</v>
      </c>
      <c r="B3363" s="47" t="s">
        <v>283</v>
      </c>
      <c r="C3363" s="49"/>
      <c r="D3363" s="35" t="s">
        <v>697</v>
      </c>
      <c r="E3363" s="32">
        <v>0</v>
      </c>
      <c r="F3363" s="20">
        <v>0</v>
      </c>
      <c r="G3363" s="24">
        <f>E3363</f>
        <v>0</v>
      </c>
      <c r="H3363" s="20">
        <v>0</v>
      </c>
    </row>
    <row r="3364" spans="1:8" ht="15.75" hidden="1" customHeight="1" x14ac:dyDescent="0.25">
      <c r="A3364" s="20" t="s">
        <v>274</v>
      </c>
      <c r="B3364" s="47" t="s">
        <v>283</v>
      </c>
      <c r="C3364" s="49"/>
      <c r="D3364" s="46" t="s">
        <v>15</v>
      </c>
      <c r="E3364" s="32">
        <v>956</v>
      </c>
      <c r="F3364" s="18">
        <f>E3364* 0.978622327790974</f>
        <v>935.5629453681712</v>
      </c>
      <c r="G3364" s="18">
        <f>E3364* 0.0130641330166271</f>
        <v>12.489311163895508</v>
      </c>
      <c r="H3364" s="18">
        <f>E3364* 0.00831353919239905</f>
        <v>7.947743467933492</v>
      </c>
    </row>
    <row r="3365" spans="1:8" ht="15.75" hidden="1" customHeight="1" x14ac:dyDescent="0.25">
      <c r="A3365" s="20" t="s">
        <v>274</v>
      </c>
      <c r="B3365" s="47" t="s">
        <v>283</v>
      </c>
      <c r="C3365" s="49"/>
      <c r="D3365" s="35" t="s">
        <v>698</v>
      </c>
      <c r="E3365" s="32">
        <v>42</v>
      </c>
      <c r="F3365" s="18">
        <f>E3365* 0.416666666666667</f>
        <v>17.500000000000014</v>
      </c>
      <c r="G3365" s="18">
        <f>E3365* 0.583333333333333</f>
        <v>24.499999999999986</v>
      </c>
      <c r="H3365" s="20">
        <v>0</v>
      </c>
    </row>
    <row r="3366" spans="1:8" ht="15.75" hidden="1" customHeight="1" x14ac:dyDescent="0.25">
      <c r="A3366" s="20" t="s">
        <v>274</v>
      </c>
      <c r="B3366" s="47" t="s">
        <v>283</v>
      </c>
      <c r="C3366" s="49"/>
      <c r="D3366" s="46" t="s">
        <v>11</v>
      </c>
      <c r="E3366" s="32">
        <v>883</v>
      </c>
      <c r="F3366" s="18">
        <f>E3366* 0.0786924939467312</f>
        <v>69.485472154963645</v>
      </c>
      <c r="G3366" s="18">
        <f>E3366* 0.920096852300242</f>
        <v>812.44552058111367</v>
      </c>
      <c r="H3366" s="18">
        <f>E3366* 0.00121065375302663</f>
        <v>1.0690072639225143</v>
      </c>
    </row>
    <row r="3367" spans="1:8" ht="15.75" hidden="1" customHeight="1" x14ac:dyDescent="0.25">
      <c r="A3367" s="20" t="s">
        <v>274</v>
      </c>
      <c r="B3367" s="47" t="s">
        <v>283</v>
      </c>
      <c r="C3367" s="49"/>
      <c r="D3367" s="46" t="s">
        <v>17</v>
      </c>
      <c r="E3367" s="32">
        <v>1765</v>
      </c>
      <c r="F3367" s="18">
        <f>E3367* 0.746612466124661</f>
        <v>1317.7710027100268</v>
      </c>
      <c r="G3367" s="18">
        <f>E3367* 0.22289972899729</f>
        <v>393.41802168021684</v>
      </c>
      <c r="H3367" s="18">
        <f>E3367* 0.0304878048780488</f>
        <v>53.810975609756134</v>
      </c>
    </row>
    <row r="3368" spans="1:8" ht="15.75" hidden="1" customHeight="1" x14ac:dyDescent="0.25">
      <c r="A3368" s="20" t="s">
        <v>274</v>
      </c>
      <c r="B3368" s="47" t="s">
        <v>283</v>
      </c>
      <c r="C3368" s="49"/>
      <c r="D3368" s="46" t="s">
        <v>31</v>
      </c>
      <c r="E3368" s="32">
        <v>40</v>
      </c>
      <c r="F3368" s="18">
        <f>E3368* 0.771428571428572</f>
        <v>30.857142857142883</v>
      </c>
      <c r="G3368" s="18">
        <f>E3368* 0.228571428571429</f>
        <v>9.1428571428571601</v>
      </c>
      <c r="H3368" s="20">
        <v>0</v>
      </c>
    </row>
    <row r="3369" spans="1:8" ht="15.75" hidden="1" customHeight="1" x14ac:dyDescent="0.25">
      <c r="A3369" s="20" t="s">
        <v>274</v>
      </c>
      <c r="B3369" s="47" t="s">
        <v>283</v>
      </c>
      <c r="C3369" s="49"/>
      <c r="D3369" s="46" t="s">
        <v>18</v>
      </c>
      <c r="E3369" s="32">
        <v>568</v>
      </c>
      <c r="F3369" s="18">
        <f>E3369* 0.911111111111111</f>
        <v>517.51111111111106</v>
      </c>
      <c r="G3369" s="18">
        <f>E3369* 0.0820512820512821</f>
        <v>46.605128205128239</v>
      </c>
      <c r="H3369" s="18">
        <f>E3369* 0.00683760683760684</f>
        <v>3.8837606837606851</v>
      </c>
    </row>
    <row r="3370" spans="1:8" ht="15.75" hidden="1" customHeight="1" x14ac:dyDescent="0.25">
      <c r="A3370" s="20" t="s">
        <v>274</v>
      </c>
      <c r="B3370" s="47" t="s">
        <v>283</v>
      </c>
      <c r="C3370" s="49"/>
      <c r="D3370" s="46" t="s">
        <v>19</v>
      </c>
      <c r="E3370" s="32">
        <v>39</v>
      </c>
      <c r="F3370" s="18">
        <f>E3370* 0.0526315789473684</f>
        <v>2.0526315789473677</v>
      </c>
      <c r="G3370" s="18">
        <f>E3370* 0.947368421052632</f>
        <v>36.947368421052644</v>
      </c>
      <c r="H3370" s="18">
        <v>0</v>
      </c>
    </row>
    <row r="3371" spans="1:8" ht="15.75" hidden="1" customHeight="1" x14ac:dyDescent="0.25">
      <c r="A3371" s="20" t="s">
        <v>274</v>
      </c>
      <c r="B3371" s="47" t="s">
        <v>283</v>
      </c>
      <c r="C3371" s="49"/>
      <c r="D3371" s="46" t="s">
        <v>20</v>
      </c>
      <c r="E3371" s="32">
        <v>128</v>
      </c>
      <c r="F3371" s="18">
        <f>E3371* 0.454545454545455</f>
        <v>58.181818181818237</v>
      </c>
      <c r="G3371" s="18">
        <f>E3371* 0.507575757575758</f>
        <v>64.969696969697026</v>
      </c>
      <c r="H3371" s="18">
        <f>E3371* 0.0378787878787879</f>
        <v>4.8484848484848513</v>
      </c>
    </row>
    <row r="3372" spans="1:8" ht="15.75" hidden="1" customHeight="1" x14ac:dyDescent="0.25">
      <c r="A3372" s="20" t="s">
        <v>274</v>
      </c>
      <c r="B3372" s="47" t="s">
        <v>283</v>
      </c>
      <c r="C3372" s="49"/>
      <c r="D3372" s="46" t="s">
        <v>21</v>
      </c>
      <c r="E3372" s="32">
        <v>39750</v>
      </c>
      <c r="F3372" s="18">
        <f>E3372* 0.999082959420954</f>
        <v>39713.547636982927</v>
      </c>
      <c r="G3372" s="18">
        <f>E3372* 0.0000655028985032588</f>
        <v>2.603740215504537</v>
      </c>
      <c r="H3372" s="18">
        <f>E3372* 0.000360265941767923</f>
        <v>14.32057118527494</v>
      </c>
    </row>
    <row r="3373" spans="1:8" ht="15.75" hidden="1" customHeight="1" x14ac:dyDescent="0.25">
      <c r="A3373" s="20" t="s">
        <v>274</v>
      </c>
      <c r="B3373" s="47" t="s">
        <v>283</v>
      </c>
      <c r="C3373" s="49"/>
      <c r="D3373" s="46" t="s">
        <v>36</v>
      </c>
      <c r="E3373" s="32">
        <v>497</v>
      </c>
      <c r="F3373" s="24">
        <f>E3373</f>
        <v>497</v>
      </c>
      <c r="G3373" s="20">
        <v>0</v>
      </c>
      <c r="H3373" s="20">
        <v>0</v>
      </c>
    </row>
    <row r="3374" spans="1:8" ht="15.75" hidden="1" customHeight="1" x14ac:dyDescent="0.25">
      <c r="A3374" s="20" t="s">
        <v>274</v>
      </c>
      <c r="B3374" s="47" t="s">
        <v>283</v>
      </c>
      <c r="C3374" s="49"/>
      <c r="D3374" s="46" t="s">
        <v>28</v>
      </c>
      <c r="E3374" s="32">
        <v>41</v>
      </c>
      <c r="F3374" s="20">
        <v>0</v>
      </c>
      <c r="G3374" s="24">
        <f>E3374</f>
        <v>41</v>
      </c>
      <c r="H3374" s="20">
        <v>0</v>
      </c>
    </row>
    <row r="3375" spans="1:8" ht="15.75" hidden="1" customHeight="1" x14ac:dyDescent="0.25">
      <c r="A3375" s="20" t="s">
        <v>274</v>
      </c>
      <c r="B3375" s="47" t="s">
        <v>283</v>
      </c>
      <c r="C3375" s="49"/>
      <c r="D3375" s="57" t="s">
        <v>12</v>
      </c>
      <c r="E3375" s="39">
        <v>2029</v>
      </c>
      <c r="F3375" s="18">
        <f>E3375* 0.8188894654904</f>
        <v>1661.5267254800215</v>
      </c>
      <c r="G3375" s="18">
        <f>E3375* 0.155682407887909</f>
        <v>315.87960560456736</v>
      </c>
      <c r="H3375" s="18">
        <f>E3375* 0.0254281266216918</f>
        <v>51.593668915412664</v>
      </c>
    </row>
    <row r="3376" spans="1:8" ht="15.75" hidden="1" customHeight="1" x14ac:dyDescent="0.25">
      <c r="A3376" s="20" t="s">
        <v>284</v>
      </c>
      <c r="B3376" s="58" t="s">
        <v>285</v>
      </c>
      <c r="C3376" s="12" t="str">
        <f>B3376&amp;"_"&amp;A3376</f>
        <v>Cobija_Pando</v>
      </c>
      <c r="D3376" s="20"/>
      <c r="E3376" s="59">
        <v>10071</v>
      </c>
      <c r="F3376" s="14">
        <f t="shared" ref="F3376:H3376" si="283">SUM(F3377:F3390)</f>
        <v>9501.3994456785094</v>
      </c>
      <c r="G3376" s="14">
        <f t="shared" si="283"/>
        <v>484.16703388049621</v>
      </c>
      <c r="H3376" s="14">
        <f t="shared" si="283"/>
        <v>85.433520440993647</v>
      </c>
    </row>
    <row r="3377" spans="1:8" ht="15.75" hidden="1" customHeight="1" x14ac:dyDescent="0.25">
      <c r="A3377" s="20" t="s">
        <v>284</v>
      </c>
      <c r="B3377" s="58" t="s">
        <v>285</v>
      </c>
      <c r="C3377" s="60"/>
      <c r="D3377" s="29" t="s">
        <v>699</v>
      </c>
      <c r="E3377" s="23">
        <v>13</v>
      </c>
      <c r="F3377" s="20">
        <v>0</v>
      </c>
      <c r="G3377" s="24">
        <f>E3377</f>
        <v>13</v>
      </c>
      <c r="H3377" s="20">
        <v>0</v>
      </c>
    </row>
    <row r="3378" spans="1:8" ht="15.75" hidden="1" customHeight="1" x14ac:dyDescent="0.25">
      <c r="A3378" s="20" t="s">
        <v>284</v>
      </c>
      <c r="B3378" s="58" t="s">
        <v>285</v>
      </c>
      <c r="C3378" s="60"/>
      <c r="D3378" s="19" t="s">
        <v>15</v>
      </c>
      <c r="E3378" s="23">
        <v>130</v>
      </c>
      <c r="F3378" s="18">
        <f>E3378* 0.888888888888889</f>
        <v>115.55555555555556</v>
      </c>
      <c r="G3378" s="18">
        <f>E3378* 0.0277777777777778</f>
        <v>3.6111111111111143</v>
      </c>
      <c r="H3378" s="18">
        <f t="shared" ref="H3378:H3379" si="284">E3378* 0.0833333333333333</f>
        <v>10.833333333333329</v>
      </c>
    </row>
    <row r="3379" spans="1:8" ht="15.75" hidden="1" customHeight="1" x14ac:dyDescent="0.25">
      <c r="A3379" s="20" t="s">
        <v>284</v>
      </c>
      <c r="B3379" s="58" t="s">
        <v>285</v>
      </c>
      <c r="C3379" s="60"/>
      <c r="D3379" s="29" t="s">
        <v>700</v>
      </c>
      <c r="E3379" s="23">
        <v>20</v>
      </c>
      <c r="F3379" s="18">
        <f>E3379* 0.166666666666667</f>
        <v>3.3333333333333397</v>
      </c>
      <c r="G3379" s="18">
        <f>E3379* 0.75</f>
        <v>15</v>
      </c>
      <c r="H3379" s="18">
        <f t="shared" si="284"/>
        <v>1.6666666666666661</v>
      </c>
    </row>
    <row r="3380" spans="1:8" ht="15.75" hidden="1" customHeight="1" x14ac:dyDescent="0.25">
      <c r="A3380" s="20" t="s">
        <v>284</v>
      </c>
      <c r="B3380" s="58" t="s">
        <v>285</v>
      </c>
      <c r="C3380" s="60"/>
      <c r="D3380" s="19" t="s">
        <v>11</v>
      </c>
      <c r="E3380" s="23">
        <v>215</v>
      </c>
      <c r="F3380" s="18">
        <f>E3380* 0.0125</f>
        <v>2.6875</v>
      </c>
      <c r="G3380" s="18">
        <f>E3380* 0.98125</f>
        <v>210.96875</v>
      </c>
      <c r="H3380" s="18">
        <f>E3380* 0.00625</f>
        <v>1.34375</v>
      </c>
    </row>
    <row r="3381" spans="1:8" ht="15.75" hidden="1" customHeight="1" x14ac:dyDescent="0.25">
      <c r="A3381" s="20" t="s">
        <v>284</v>
      </c>
      <c r="B3381" s="58" t="s">
        <v>285</v>
      </c>
      <c r="C3381" s="60"/>
      <c r="D3381" s="19" t="s">
        <v>17</v>
      </c>
      <c r="E3381" s="23">
        <v>505</v>
      </c>
      <c r="F3381" s="18">
        <f>E3381* 0.769230769230769</f>
        <v>388.4615384615384</v>
      </c>
      <c r="G3381" s="18">
        <f>E3381* 0.128205128205128</f>
        <v>64.743589743589638</v>
      </c>
      <c r="H3381" s="18">
        <f>E3381* 0.102564102564103</f>
        <v>51.794871794872016</v>
      </c>
    </row>
    <row r="3382" spans="1:8" ht="15.75" hidden="1" customHeight="1" x14ac:dyDescent="0.25">
      <c r="A3382" s="20" t="s">
        <v>284</v>
      </c>
      <c r="B3382" s="58" t="s">
        <v>285</v>
      </c>
      <c r="C3382" s="60"/>
      <c r="D3382" s="19" t="s">
        <v>31</v>
      </c>
      <c r="E3382" s="23">
        <v>13</v>
      </c>
      <c r="F3382" s="24">
        <f>E3382</f>
        <v>13</v>
      </c>
      <c r="G3382" s="20">
        <v>0</v>
      </c>
      <c r="H3382" s="20">
        <v>0</v>
      </c>
    </row>
    <row r="3383" spans="1:8" ht="15.75" hidden="1" customHeight="1" x14ac:dyDescent="0.25">
      <c r="A3383" s="20" t="s">
        <v>284</v>
      </c>
      <c r="B3383" s="58" t="s">
        <v>285</v>
      </c>
      <c r="C3383" s="60"/>
      <c r="D3383" s="19" t="s">
        <v>18</v>
      </c>
      <c r="E3383" s="23">
        <v>46</v>
      </c>
      <c r="F3383" s="18">
        <f>E3383* 0.96969696969697</f>
        <v>44.606060606060616</v>
      </c>
      <c r="G3383" s="18">
        <f>E3383* 0.0303030303030303</f>
        <v>1.3939393939393938</v>
      </c>
      <c r="H3383" s="20">
        <v>0</v>
      </c>
    </row>
    <row r="3384" spans="1:8" ht="15.75" hidden="1" customHeight="1" x14ac:dyDescent="0.25">
      <c r="A3384" s="20" t="s">
        <v>284</v>
      </c>
      <c r="B3384" s="58" t="s">
        <v>285</v>
      </c>
      <c r="C3384" s="60"/>
      <c r="D3384" s="19" t="s">
        <v>701</v>
      </c>
      <c r="E3384" s="23">
        <v>0</v>
      </c>
      <c r="F3384" s="20">
        <v>0</v>
      </c>
      <c r="G3384" s="24">
        <f>E3384</f>
        <v>0</v>
      </c>
      <c r="H3384" s="20">
        <v>0</v>
      </c>
    </row>
    <row r="3385" spans="1:8" ht="15.75" hidden="1" customHeight="1" x14ac:dyDescent="0.25">
      <c r="A3385" s="20" t="s">
        <v>284</v>
      </c>
      <c r="B3385" s="58" t="s">
        <v>285</v>
      </c>
      <c r="C3385" s="60"/>
      <c r="D3385" s="19" t="s">
        <v>19</v>
      </c>
      <c r="E3385" s="23">
        <v>11</v>
      </c>
      <c r="F3385" s="18">
        <f>E3385* 0.0714285714285714</f>
        <v>0.78571428571428537</v>
      </c>
      <c r="G3385" s="18">
        <f>E3385* 0.928571428571429</f>
        <v>10.214285714285719</v>
      </c>
      <c r="H3385" s="20">
        <v>0</v>
      </c>
    </row>
    <row r="3386" spans="1:8" ht="15.75" hidden="1" customHeight="1" x14ac:dyDescent="0.25">
      <c r="A3386" s="20" t="s">
        <v>284</v>
      </c>
      <c r="B3386" s="58" t="s">
        <v>285</v>
      </c>
      <c r="C3386" s="60"/>
      <c r="D3386" s="19" t="s">
        <v>287</v>
      </c>
      <c r="E3386" s="23">
        <v>51</v>
      </c>
      <c r="F3386" s="18">
        <f>E3386* 0.431034482758621</f>
        <v>21.982758620689673</v>
      </c>
      <c r="G3386" s="18">
        <f>E3386* 0.5</f>
        <v>25.5</v>
      </c>
      <c r="H3386" s="18">
        <f>E3386* 0.0689655172413793</f>
        <v>3.5172413793103439</v>
      </c>
    </row>
    <row r="3387" spans="1:8" ht="15.75" hidden="1" customHeight="1" x14ac:dyDescent="0.25">
      <c r="A3387" s="20" t="s">
        <v>284</v>
      </c>
      <c r="B3387" s="58" t="s">
        <v>285</v>
      </c>
      <c r="C3387" s="60"/>
      <c r="D3387" s="19" t="s">
        <v>21</v>
      </c>
      <c r="E3387" s="23">
        <v>8548</v>
      </c>
      <c r="F3387" s="24">
        <f t="shared" ref="F3387:F3388" si="285">E3387</f>
        <v>8548</v>
      </c>
      <c r="G3387" s="20">
        <v>0</v>
      </c>
      <c r="H3387" s="20">
        <v>0</v>
      </c>
    </row>
    <row r="3388" spans="1:8" ht="15.75" hidden="1" customHeight="1" x14ac:dyDescent="0.25">
      <c r="A3388" s="20" t="s">
        <v>284</v>
      </c>
      <c r="B3388" s="58" t="s">
        <v>285</v>
      </c>
      <c r="C3388" s="60"/>
      <c r="D3388" s="19" t="s">
        <v>36</v>
      </c>
      <c r="E3388" s="23">
        <v>12</v>
      </c>
      <c r="F3388" s="24">
        <f t="shared" si="285"/>
        <v>12</v>
      </c>
      <c r="G3388" s="20">
        <v>0</v>
      </c>
      <c r="H3388" s="20">
        <v>0</v>
      </c>
    </row>
    <row r="3389" spans="1:8" ht="15.75" hidden="1" customHeight="1" x14ac:dyDescent="0.25">
      <c r="A3389" s="20" t="s">
        <v>284</v>
      </c>
      <c r="B3389" s="58" t="s">
        <v>285</v>
      </c>
      <c r="C3389" s="60"/>
      <c r="D3389" s="19" t="s">
        <v>28</v>
      </c>
      <c r="E3389" s="23">
        <v>38</v>
      </c>
      <c r="F3389" s="20">
        <v>0</v>
      </c>
      <c r="G3389" s="24">
        <f>E3389</f>
        <v>38</v>
      </c>
      <c r="H3389" s="20">
        <v>0</v>
      </c>
    </row>
    <row r="3390" spans="1:8" ht="15.75" hidden="1" customHeight="1" x14ac:dyDescent="0.25">
      <c r="A3390" s="20" t="s">
        <v>284</v>
      </c>
      <c r="B3390" s="58" t="s">
        <v>285</v>
      </c>
      <c r="C3390" s="60"/>
      <c r="D3390" s="19" t="s">
        <v>12</v>
      </c>
      <c r="E3390" s="23">
        <v>469</v>
      </c>
      <c r="F3390" s="18">
        <f>E3390* 0.748373101952278</f>
        <v>350.98698481561837</v>
      </c>
      <c r="G3390" s="18">
        <f>E3390* 0.216919739696312</f>
        <v>101.73535791757033</v>
      </c>
      <c r="H3390" s="18">
        <f>E3390* 0.03470715835141</f>
        <v>16.277657266811289</v>
      </c>
    </row>
    <row r="3391" spans="1:8" ht="15.75" hidden="1" customHeight="1" x14ac:dyDescent="0.25">
      <c r="A3391" s="20" t="s">
        <v>284</v>
      </c>
      <c r="B3391" s="20"/>
      <c r="C3391" s="20"/>
      <c r="D3391" s="46"/>
      <c r="E3391" s="35"/>
    </row>
    <row r="3392" spans="1:8" ht="15.75" hidden="1" customHeight="1" x14ac:dyDescent="0.25">
      <c r="A3392" s="20" t="s">
        <v>284</v>
      </c>
      <c r="B3392" s="58" t="s">
        <v>702</v>
      </c>
      <c r="C3392" s="12" t="str">
        <f>B3392&amp;"_"&amp;A3392</f>
        <v>Porvenir_Pando</v>
      </c>
      <c r="D3392" s="20"/>
      <c r="E3392" s="59">
        <v>200</v>
      </c>
      <c r="F3392" s="14">
        <f t="shared" ref="F3392:H3392" si="286">SUM(F3393:F3398)</f>
        <v>189.22327867505703</v>
      </c>
      <c r="G3392" s="14">
        <f t="shared" si="286"/>
        <v>9.1708954428314478</v>
      </c>
      <c r="H3392" s="14">
        <f t="shared" si="286"/>
        <v>1.6058258821115095</v>
      </c>
    </row>
    <row r="3393" spans="1:8" ht="15.75" hidden="1" customHeight="1" x14ac:dyDescent="0.25">
      <c r="A3393" s="20" t="s">
        <v>284</v>
      </c>
      <c r="B3393" s="58" t="s">
        <v>702</v>
      </c>
      <c r="C3393" s="60"/>
      <c r="D3393" s="19" t="s">
        <v>15</v>
      </c>
      <c r="E3393" s="23">
        <v>4</v>
      </c>
      <c r="F3393" s="18">
        <f>E3393* 0.888888888888889</f>
        <v>3.5555555555555558</v>
      </c>
      <c r="G3393" s="18">
        <f>E3393* 0.0277777777777778</f>
        <v>0.1111111111111112</v>
      </c>
      <c r="H3393" s="18">
        <f>E3393* 0.0833333333333333</f>
        <v>0.3333333333333332</v>
      </c>
    </row>
    <row r="3394" spans="1:8" ht="15.75" hidden="1" customHeight="1" x14ac:dyDescent="0.25">
      <c r="A3394" s="20" t="s">
        <v>284</v>
      </c>
      <c r="B3394" s="58" t="s">
        <v>702</v>
      </c>
      <c r="C3394" s="60"/>
      <c r="D3394" s="19" t="s">
        <v>11</v>
      </c>
      <c r="E3394" s="23">
        <v>6</v>
      </c>
      <c r="F3394" s="18">
        <f>E3394* 0.0125</f>
        <v>7.5000000000000011E-2</v>
      </c>
      <c r="G3394" s="18">
        <f>E3394* 0.98125</f>
        <v>5.8874999999999993</v>
      </c>
      <c r="H3394" s="18">
        <f>E3394* 0.00625</f>
        <v>3.7500000000000006E-2</v>
      </c>
    </row>
    <row r="3395" spans="1:8" ht="15.75" hidden="1" customHeight="1" x14ac:dyDescent="0.25">
      <c r="A3395" s="20" t="s">
        <v>284</v>
      </c>
      <c r="B3395" s="58" t="s">
        <v>702</v>
      </c>
      <c r="C3395" s="60"/>
      <c r="D3395" s="19" t="s">
        <v>17</v>
      </c>
      <c r="E3395" s="23">
        <v>9</v>
      </c>
      <c r="F3395" s="18">
        <f>E3395* 0.769230769230769</f>
        <v>6.9230769230769216</v>
      </c>
      <c r="G3395" s="18">
        <f>E3395* 0.128205128205128</f>
        <v>1.153846153846152</v>
      </c>
      <c r="H3395" s="18">
        <f>E3395* 0.102564102564103</f>
        <v>0.92307692307692701</v>
      </c>
    </row>
    <row r="3396" spans="1:8" ht="15.75" hidden="1" customHeight="1" x14ac:dyDescent="0.25">
      <c r="A3396" s="20" t="s">
        <v>284</v>
      </c>
      <c r="B3396" s="58" t="s">
        <v>702</v>
      </c>
      <c r="C3396" s="60"/>
      <c r="D3396" s="19" t="s">
        <v>287</v>
      </c>
      <c r="E3396" s="23">
        <v>1</v>
      </c>
      <c r="F3396" s="18">
        <f>E3396* 0.431034482758621</f>
        <v>0.431034482758621</v>
      </c>
      <c r="G3396" s="18">
        <f>E3396* 0.5</f>
        <v>0.5</v>
      </c>
      <c r="H3396" s="18">
        <f>E3396* 0.0689655172413793</f>
        <v>6.8965517241379296E-2</v>
      </c>
    </row>
    <row r="3397" spans="1:8" ht="15.75" hidden="1" customHeight="1" x14ac:dyDescent="0.25">
      <c r="A3397" s="20" t="s">
        <v>284</v>
      </c>
      <c r="B3397" s="58" t="s">
        <v>702</v>
      </c>
      <c r="C3397" s="60"/>
      <c r="D3397" s="19" t="s">
        <v>21</v>
      </c>
      <c r="E3397" s="23">
        <v>173</v>
      </c>
      <c r="F3397" s="24">
        <f>E3397</f>
        <v>173</v>
      </c>
      <c r="G3397" s="20">
        <v>0</v>
      </c>
      <c r="H3397" s="20">
        <v>0</v>
      </c>
    </row>
    <row r="3398" spans="1:8" ht="15.75" hidden="1" customHeight="1" x14ac:dyDescent="0.25">
      <c r="A3398" s="20" t="s">
        <v>284</v>
      </c>
      <c r="B3398" s="58" t="s">
        <v>702</v>
      </c>
      <c r="C3398" s="60"/>
      <c r="D3398" s="52" t="s">
        <v>12</v>
      </c>
      <c r="E3398" s="27">
        <v>7</v>
      </c>
      <c r="F3398" s="18">
        <f>E3398* 0.748373101952278</f>
        <v>5.2386117136659465</v>
      </c>
      <c r="G3398" s="18">
        <f>E3398* 0.216919739696312</f>
        <v>1.518438177874184</v>
      </c>
      <c r="H3398" s="18">
        <f>E3398* 0.03470715835141</f>
        <v>0.24295010845987</v>
      </c>
    </row>
    <row r="3399" spans="1:8" ht="15.75" customHeight="1" x14ac:dyDescent="0.25">
      <c r="A3399" s="20"/>
      <c r="B3399" s="60"/>
      <c r="C3399" s="60"/>
      <c r="D3399" s="30"/>
      <c r="E3399" s="41"/>
    </row>
    <row r="3400" spans="1:8" ht="15.75" customHeight="1" x14ac:dyDescent="0.25">
      <c r="A3400" s="20"/>
      <c r="B3400" s="60"/>
      <c r="C3400" s="60"/>
      <c r="D3400" s="30"/>
      <c r="E3400" s="41"/>
    </row>
    <row r="3401" spans="1:8" ht="15.75" customHeight="1" x14ac:dyDescent="0.25">
      <c r="A3401" s="20"/>
      <c r="B3401" s="60"/>
      <c r="C3401" s="60"/>
      <c r="D3401" s="30"/>
      <c r="E3401" s="41"/>
    </row>
    <row r="3402" spans="1:8" ht="15.75" customHeight="1" x14ac:dyDescent="0.25">
      <c r="A3402" s="20"/>
      <c r="B3402" s="60"/>
      <c r="C3402" s="60"/>
      <c r="D3402" s="30"/>
      <c r="E3402" s="41"/>
    </row>
    <row r="3403" spans="1:8" ht="15.75" customHeight="1" x14ac:dyDescent="0.25">
      <c r="A3403" s="20"/>
      <c r="B3403" s="60"/>
      <c r="C3403" s="60"/>
      <c r="D3403" s="30"/>
      <c r="E3403" s="41"/>
    </row>
    <row r="3404" spans="1:8" ht="15.75" customHeight="1" x14ac:dyDescent="0.25">
      <c r="A3404" s="20"/>
      <c r="B3404" s="60"/>
      <c r="C3404" s="60"/>
      <c r="D3404" s="30"/>
      <c r="E3404" s="41"/>
    </row>
    <row r="3405" spans="1:8" ht="15.75" customHeight="1" x14ac:dyDescent="0.25">
      <c r="A3405" s="20"/>
      <c r="B3405" s="60"/>
      <c r="C3405" s="60"/>
      <c r="D3405" s="30"/>
      <c r="E3405" s="41"/>
    </row>
    <row r="3406" spans="1:8" ht="15.75" customHeight="1" x14ac:dyDescent="0.25">
      <c r="A3406" s="20"/>
      <c r="B3406" s="60"/>
      <c r="C3406" s="60"/>
      <c r="D3406" s="30"/>
      <c r="E3406" s="41"/>
    </row>
    <row r="3407" spans="1:8" ht="15.75" customHeight="1" x14ac:dyDescent="0.25">
      <c r="A3407" s="20"/>
      <c r="B3407" s="60"/>
      <c r="C3407" s="60"/>
      <c r="D3407" s="30"/>
      <c r="E3407" s="41"/>
    </row>
    <row r="3408" spans="1:8" ht="15.75" customHeight="1" x14ac:dyDescent="0.25">
      <c r="A3408" s="20"/>
      <c r="B3408" s="60"/>
      <c r="C3408" s="60"/>
      <c r="D3408" s="30"/>
      <c r="E3408" s="41"/>
    </row>
    <row r="3409" spans="1:5" ht="15.75" customHeight="1" x14ac:dyDescent="0.25">
      <c r="A3409" s="20"/>
      <c r="B3409" s="60"/>
      <c r="C3409" s="60"/>
      <c r="D3409" s="30"/>
      <c r="E3409" s="41"/>
    </row>
    <row r="3410" spans="1:5" ht="15.75" customHeight="1" x14ac:dyDescent="0.25">
      <c r="A3410" s="20"/>
      <c r="B3410" s="60"/>
      <c r="C3410" s="60"/>
      <c r="D3410" s="30"/>
      <c r="E3410" s="41"/>
    </row>
    <row r="3411" spans="1:5" ht="15.75" customHeight="1" x14ac:dyDescent="0.25">
      <c r="A3411" s="20"/>
      <c r="B3411" s="60"/>
      <c r="C3411" s="60"/>
      <c r="D3411" s="30"/>
      <c r="E3411" s="41"/>
    </row>
    <row r="3412" spans="1:5" ht="15.75" customHeight="1" x14ac:dyDescent="0.25">
      <c r="A3412" s="20"/>
      <c r="B3412" s="60"/>
      <c r="C3412" s="60"/>
      <c r="D3412" s="30"/>
      <c r="E3412" s="41"/>
    </row>
    <row r="3413" spans="1:5" ht="15.75" customHeight="1" x14ac:dyDescent="0.25">
      <c r="A3413" s="20"/>
      <c r="B3413" s="60"/>
      <c r="C3413" s="60"/>
      <c r="D3413" s="30"/>
      <c r="E3413" s="41"/>
    </row>
    <row r="3414" spans="1:5" ht="15.75" customHeight="1" x14ac:dyDescent="0.25">
      <c r="A3414" s="20"/>
      <c r="B3414" s="60"/>
      <c r="C3414" s="60"/>
      <c r="D3414" s="30"/>
      <c r="E3414" s="41"/>
    </row>
    <row r="3415" spans="1:5" ht="15.75" customHeight="1" x14ac:dyDescent="0.25">
      <c r="A3415" s="20"/>
      <c r="B3415" s="60"/>
      <c r="C3415" s="60"/>
      <c r="D3415" s="30"/>
      <c r="E3415" s="41"/>
    </row>
    <row r="3416" spans="1:5" ht="15.75" customHeight="1" x14ac:dyDescent="0.25">
      <c r="A3416" s="20"/>
      <c r="B3416" s="60"/>
      <c r="C3416" s="60"/>
      <c r="D3416" s="30"/>
      <c r="E3416" s="41"/>
    </row>
    <row r="3417" spans="1:5" ht="15.75" customHeight="1" x14ac:dyDescent="0.25">
      <c r="A3417" s="20"/>
      <c r="B3417" s="60"/>
      <c r="C3417" s="60"/>
      <c r="D3417" s="30"/>
      <c r="E3417" s="41"/>
    </row>
    <row r="3418" spans="1:5" ht="15.75" customHeight="1" x14ac:dyDescent="0.25">
      <c r="A3418" s="20"/>
      <c r="B3418" s="60"/>
      <c r="C3418" s="60"/>
      <c r="D3418" s="30"/>
      <c r="E3418" s="41"/>
    </row>
    <row r="3419" spans="1:5" ht="15.75" customHeight="1" x14ac:dyDescent="0.25">
      <c r="A3419" s="20"/>
      <c r="B3419" s="60"/>
      <c r="C3419" s="60"/>
      <c r="D3419" s="30"/>
      <c r="E3419" s="41"/>
    </row>
    <row r="3420" spans="1:5" ht="15.75" customHeight="1" x14ac:dyDescent="0.25">
      <c r="A3420" s="20"/>
      <c r="B3420" s="60"/>
      <c r="C3420" s="60"/>
      <c r="D3420" s="30"/>
      <c r="E3420" s="41"/>
    </row>
    <row r="3421" spans="1:5" ht="15.75" customHeight="1" x14ac:dyDescent="0.25">
      <c r="A3421" s="20"/>
      <c r="B3421" s="60"/>
      <c r="C3421" s="60"/>
      <c r="D3421" s="30"/>
      <c r="E3421" s="41"/>
    </row>
    <row r="3422" spans="1:5" ht="15.75" customHeight="1" x14ac:dyDescent="0.25">
      <c r="A3422" s="20"/>
      <c r="B3422" s="60"/>
      <c r="C3422" s="60"/>
      <c r="D3422" s="30"/>
      <c r="E3422" s="41"/>
    </row>
    <row r="3423" spans="1:5" ht="15.75" customHeight="1" x14ac:dyDescent="0.25">
      <c r="A3423" s="20"/>
      <c r="B3423" s="60"/>
      <c r="C3423" s="60"/>
      <c r="D3423" s="30"/>
      <c r="E3423" s="41"/>
    </row>
    <row r="3424" spans="1:5" ht="15.75" customHeight="1" x14ac:dyDescent="0.25">
      <c r="A3424" s="20"/>
      <c r="B3424" s="60"/>
      <c r="C3424" s="60"/>
      <c r="D3424" s="30"/>
      <c r="E3424" s="41"/>
    </row>
    <row r="3425" spans="1:5" ht="15.75" customHeight="1" x14ac:dyDescent="0.25">
      <c r="A3425" s="20"/>
      <c r="B3425" s="60"/>
      <c r="C3425" s="60"/>
      <c r="D3425" s="30"/>
      <c r="E3425" s="41"/>
    </row>
    <row r="3426" spans="1:5" ht="15.75" customHeight="1" x14ac:dyDescent="0.25">
      <c r="A3426" s="20"/>
      <c r="B3426" s="60"/>
      <c r="C3426" s="60"/>
      <c r="D3426" s="30"/>
      <c r="E3426" s="41"/>
    </row>
    <row r="3427" spans="1:5" ht="15.75" customHeight="1" x14ac:dyDescent="0.25">
      <c r="A3427" s="20"/>
      <c r="B3427" s="60"/>
      <c r="C3427" s="60"/>
      <c r="D3427" s="30"/>
      <c r="E3427" s="41"/>
    </row>
    <row r="3428" spans="1:5" ht="15.75" customHeight="1" x14ac:dyDescent="0.25">
      <c r="A3428" s="20"/>
      <c r="B3428" s="60"/>
      <c r="C3428" s="60"/>
      <c r="D3428" s="30"/>
      <c r="E3428" s="41"/>
    </row>
    <row r="3429" spans="1:5" ht="15.75" customHeight="1" x14ac:dyDescent="0.25">
      <c r="A3429" s="20"/>
      <c r="B3429" s="60"/>
      <c r="C3429" s="60"/>
      <c r="D3429" s="30"/>
      <c r="E3429" s="41"/>
    </row>
    <row r="3430" spans="1:5" ht="15.75" customHeight="1" x14ac:dyDescent="0.25">
      <c r="A3430" s="20"/>
      <c r="B3430" s="60"/>
      <c r="C3430" s="60"/>
      <c r="D3430" s="30"/>
      <c r="E3430" s="41"/>
    </row>
    <row r="3431" spans="1:5" ht="15.75" customHeight="1" x14ac:dyDescent="0.25">
      <c r="A3431" s="20"/>
      <c r="B3431" s="60"/>
      <c r="C3431" s="60"/>
      <c r="D3431" s="30"/>
      <c r="E3431" s="41"/>
    </row>
    <row r="3432" spans="1:5" ht="15.75" customHeight="1" x14ac:dyDescent="0.25">
      <c r="A3432" s="20"/>
      <c r="B3432" s="60"/>
      <c r="C3432" s="60"/>
      <c r="D3432" s="30"/>
      <c r="E3432" s="41"/>
    </row>
    <row r="3433" spans="1:5" ht="15.75" customHeight="1" x14ac:dyDescent="0.25">
      <c r="A3433" s="20"/>
      <c r="B3433" s="60"/>
      <c r="C3433" s="60"/>
      <c r="D3433" s="30"/>
      <c r="E3433" s="41"/>
    </row>
    <row r="3434" spans="1:5" ht="15.75" customHeight="1" x14ac:dyDescent="0.25">
      <c r="A3434" s="20"/>
      <c r="B3434" s="60"/>
      <c r="C3434" s="60"/>
      <c r="D3434" s="30"/>
      <c r="E3434" s="41"/>
    </row>
    <row r="3435" spans="1:5" ht="15.75" customHeight="1" x14ac:dyDescent="0.25">
      <c r="A3435" s="20"/>
      <c r="B3435" s="60"/>
      <c r="C3435" s="60"/>
      <c r="D3435" s="30"/>
      <c r="E3435" s="41"/>
    </row>
    <row r="3436" spans="1:5" ht="15.75" customHeight="1" x14ac:dyDescent="0.25">
      <c r="A3436" s="20"/>
      <c r="B3436" s="60"/>
      <c r="C3436" s="60"/>
      <c r="D3436" s="30"/>
      <c r="E3436" s="41"/>
    </row>
    <row r="3437" spans="1:5" ht="15.75" customHeight="1" x14ac:dyDescent="0.25">
      <c r="A3437" s="20"/>
      <c r="B3437" s="60"/>
      <c r="C3437" s="60"/>
      <c r="D3437" s="30"/>
      <c r="E3437" s="41"/>
    </row>
    <row r="3438" spans="1:5" ht="15.75" customHeight="1" x14ac:dyDescent="0.25">
      <c r="A3438" s="20"/>
      <c r="B3438" s="60"/>
      <c r="C3438" s="60"/>
      <c r="D3438" s="30"/>
      <c r="E3438" s="41"/>
    </row>
    <row r="3439" spans="1:5" ht="15.75" customHeight="1" x14ac:dyDescent="0.25">
      <c r="A3439" s="20"/>
      <c r="B3439" s="60"/>
      <c r="C3439" s="60"/>
      <c r="D3439" s="30"/>
      <c r="E3439" s="41"/>
    </row>
    <row r="3440" spans="1:5" ht="15.75" customHeight="1" x14ac:dyDescent="0.25">
      <c r="A3440" s="20"/>
      <c r="B3440" s="60"/>
      <c r="C3440" s="60"/>
      <c r="D3440" s="30"/>
      <c r="E3440" s="41"/>
    </row>
    <row r="3441" spans="1:5" ht="15.75" customHeight="1" x14ac:dyDescent="0.25">
      <c r="A3441" s="20"/>
      <c r="B3441" s="60"/>
      <c r="C3441" s="60"/>
      <c r="D3441" s="30"/>
      <c r="E3441" s="41"/>
    </row>
    <row r="3442" spans="1:5" ht="15.75" customHeight="1" x14ac:dyDescent="0.25">
      <c r="A3442" s="20"/>
      <c r="B3442" s="60"/>
      <c r="C3442" s="60"/>
      <c r="D3442" s="30"/>
      <c r="E3442" s="41"/>
    </row>
    <row r="3443" spans="1:5" ht="15.75" customHeight="1" x14ac:dyDescent="0.25">
      <c r="A3443" s="20"/>
      <c r="B3443" s="60"/>
      <c r="C3443" s="60"/>
      <c r="D3443" s="30"/>
      <c r="E3443" s="41"/>
    </row>
    <row r="3444" spans="1:5" ht="15.75" customHeight="1" x14ac:dyDescent="0.25">
      <c r="A3444" s="20"/>
      <c r="B3444" s="60"/>
      <c r="C3444" s="60"/>
      <c r="D3444" s="30"/>
      <c r="E3444" s="41"/>
    </row>
    <row r="3445" spans="1:5" ht="15.75" customHeight="1" x14ac:dyDescent="0.25">
      <c r="A3445" s="20"/>
      <c r="B3445" s="60"/>
      <c r="C3445" s="60"/>
      <c r="D3445" s="30"/>
      <c r="E3445" s="41"/>
    </row>
    <row r="3446" spans="1:5" ht="15.75" customHeight="1" x14ac:dyDescent="0.25">
      <c r="A3446" s="20"/>
      <c r="B3446" s="60"/>
      <c r="C3446" s="60"/>
      <c r="D3446" s="30"/>
      <c r="E3446" s="41"/>
    </row>
    <row r="3447" spans="1:5" ht="15.75" customHeight="1" x14ac:dyDescent="0.25">
      <c r="A3447" s="20"/>
      <c r="B3447" s="60"/>
      <c r="C3447" s="60"/>
      <c r="D3447" s="30"/>
      <c r="E3447" s="41"/>
    </row>
    <row r="3448" spans="1:5" ht="15.75" customHeight="1" x14ac:dyDescent="0.25">
      <c r="A3448" s="20"/>
      <c r="B3448" s="60"/>
      <c r="C3448" s="60"/>
      <c r="D3448" s="30"/>
      <c r="E3448" s="41"/>
    </row>
    <row r="3449" spans="1:5" ht="15.75" customHeight="1" x14ac:dyDescent="0.25">
      <c r="A3449" s="20"/>
      <c r="B3449" s="60"/>
      <c r="C3449" s="60"/>
      <c r="D3449" s="30"/>
      <c r="E3449" s="41"/>
    </row>
    <row r="3450" spans="1:5" ht="15.75" customHeight="1" x14ac:dyDescent="0.25">
      <c r="A3450" s="20"/>
      <c r="B3450" s="60"/>
      <c r="C3450" s="60"/>
      <c r="D3450" s="30"/>
      <c r="E3450" s="41"/>
    </row>
    <row r="3451" spans="1:5" ht="15.75" customHeight="1" x14ac:dyDescent="0.25">
      <c r="A3451" s="20"/>
      <c r="B3451" s="60"/>
      <c r="C3451" s="60"/>
      <c r="D3451" s="30"/>
      <c r="E3451" s="41"/>
    </row>
    <row r="3452" spans="1:5" ht="15.75" customHeight="1" x14ac:dyDescent="0.25">
      <c r="A3452" s="20"/>
      <c r="B3452" s="60"/>
      <c r="C3452" s="60"/>
      <c r="D3452" s="30"/>
      <c r="E3452" s="41"/>
    </row>
    <row r="3453" spans="1:5" ht="15.75" customHeight="1" x14ac:dyDescent="0.25">
      <c r="A3453" s="20"/>
      <c r="B3453" s="60"/>
      <c r="C3453" s="60"/>
      <c r="D3453" s="30"/>
      <c r="E3453" s="41"/>
    </row>
    <row r="3454" spans="1:5" ht="15.75" customHeight="1" x14ac:dyDescent="0.25">
      <c r="A3454" s="20"/>
      <c r="B3454" s="60"/>
      <c r="C3454" s="60"/>
      <c r="D3454" s="30"/>
      <c r="E3454" s="41"/>
    </row>
    <row r="3455" spans="1:5" ht="15.75" customHeight="1" x14ac:dyDescent="0.25">
      <c r="A3455" s="20"/>
      <c r="B3455" s="60"/>
      <c r="C3455" s="60"/>
      <c r="D3455" s="30"/>
      <c r="E3455" s="41"/>
    </row>
    <row r="3456" spans="1:5" ht="15.75" customHeight="1" x14ac:dyDescent="0.25">
      <c r="A3456" s="20"/>
      <c r="B3456" s="60"/>
      <c r="C3456" s="60"/>
      <c r="D3456" s="30"/>
      <c r="E3456" s="41"/>
    </row>
    <row r="3457" spans="1:5" ht="15.75" customHeight="1" x14ac:dyDescent="0.25">
      <c r="A3457" s="20"/>
      <c r="B3457" s="60"/>
      <c r="C3457" s="60"/>
      <c r="D3457" s="30"/>
      <c r="E3457" s="41"/>
    </row>
    <row r="3458" spans="1:5" ht="15.75" customHeight="1" x14ac:dyDescent="0.25">
      <c r="A3458" s="20"/>
      <c r="B3458" s="60"/>
      <c r="C3458" s="60"/>
      <c r="D3458" s="30"/>
      <c r="E3458" s="41"/>
    </row>
    <row r="3459" spans="1:5" ht="15.75" customHeight="1" x14ac:dyDescent="0.25">
      <c r="A3459" s="20"/>
      <c r="B3459" s="60"/>
      <c r="C3459" s="60"/>
      <c r="D3459" s="30"/>
      <c r="E3459" s="41"/>
    </row>
    <row r="3460" spans="1:5" ht="15.75" customHeight="1" x14ac:dyDescent="0.25">
      <c r="A3460" s="20"/>
      <c r="B3460" s="60"/>
      <c r="C3460" s="60"/>
      <c r="D3460" s="30"/>
      <c r="E3460" s="41"/>
    </row>
    <row r="3461" spans="1:5" ht="15.75" customHeight="1" x14ac:dyDescent="0.25">
      <c r="A3461" s="20"/>
      <c r="B3461" s="60"/>
      <c r="C3461" s="60"/>
      <c r="D3461" s="30"/>
      <c r="E3461" s="41"/>
    </row>
    <row r="3462" spans="1:5" ht="15.75" customHeight="1" x14ac:dyDescent="0.25">
      <c r="A3462" s="20"/>
      <c r="B3462" s="60"/>
      <c r="C3462" s="60"/>
      <c r="D3462" s="30"/>
      <c r="E3462" s="41"/>
    </row>
    <row r="3463" spans="1:5" ht="15.75" customHeight="1" x14ac:dyDescent="0.25">
      <c r="A3463" s="20"/>
      <c r="B3463" s="60"/>
      <c r="C3463" s="60"/>
      <c r="D3463" s="30"/>
      <c r="E3463" s="41"/>
    </row>
    <row r="3464" spans="1:5" ht="15.75" customHeight="1" x14ac:dyDescent="0.25">
      <c r="A3464" s="20"/>
      <c r="B3464" s="60"/>
      <c r="C3464" s="60"/>
      <c r="D3464" s="30"/>
      <c r="E3464" s="41"/>
    </row>
    <row r="3465" spans="1:5" ht="15.75" customHeight="1" x14ac:dyDescent="0.25">
      <c r="A3465" s="20"/>
      <c r="B3465" s="60"/>
      <c r="C3465" s="60"/>
      <c r="D3465" s="30"/>
      <c r="E3465" s="41"/>
    </row>
    <row r="3466" spans="1:5" ht="15.75" customHeight="1" x14ac:dyDescent="0.25">
      <c r="A3466" s="20"/>
      <c r="B3466" s="60"/>
      <c r="C3466" s="60"/>
      <c r="D3466" s="30"/>
      <c r="E3466" s="41"/>
    </row>
    <row r="3467" spans="1:5" ht="15.75" customHeight="1" x14ac:dyDescent="0.25">
      <c r="A3467" s="20"/>
      <c r="B3467" s="60"/>
      <c r="C3467" s="60"/>
      <c r="D3467" s="30"/>
      <c r="E3467" s="41"/>
    </row>
    <row r="3468" spans="1:5" ht="15.75" customHeight="1" x14ac:dyDescent="0.25">
      <c r="A3468" s="20"/>
      <c r="B3468" s="60"/>
      <c r="C3468" s="60"/>
      <c r="D3468" s="30"/>
      <c r="E3468" s="41"/>
    </row>
    <row r="3469" spans="1:5" ht="15.75" customHeight="1" x14ac:dyDescent="0.25">
      <c r="A3469" s="20"/>
      <c r="B3469" s="60"/>
      <c r="C3469" s="60"/>
      <c r="D3469" s="30"/>
      <c r="E3469" s="41"/>
    </row>
    <row r="3470" spans="1:5" ht="15.75" customHeight="1" x14ac:dyDescent="0.25">
      <c r="A3470" s="20"/>
      <c r="B3470" s="60"/>
      <c r="C3470" s="60"/>
      <c r="D3470" s="30"/>
      <c r="E3470" s="41"/>
    </row>
    <row r="3471" spans="1:5" ht="15.75" customHeight="1" x14ac:dyDescent="0.25">
      <c r="A3471" s="20"/>
      <c r="B3471" s="60"/>
      <c r="C3471" s="60"/>
      <c r="D3471" s="30"/>
      <c r="E3471" s="41"/>
    </row>
    <row r="3472" spans="1:5" ht="15.75" customHeight="1" x14ac:dyDescent="0.25">
      <c r="A3472" s="20"/>
      <c r="B3472" s="60"/>
      <c r="C3472" s="60"/>
      <c r="D3472" s="30"/>
      <c r="E3472" s="41"/>
    </row>
    <row r="3473" spans="1:5" ht="15.75" customHeight="1" x14ac:dyDescent="0.25">
      <c r="A3473" s="20"/>
      <c r="B3473" s="60"/>
      <c r="C3473" s="60"/>
      <c r="D3473" s="30"/>
      <c r="E3473" s="41"/>
    </row>
    <row r="3474" spans="1:5" ht="15.75" customHeight="1" x14ac:dyDescent="0.25">
      <c r="A3474" s="20"/>
      <c r="B3474" s="60"/>
      <c r="C3474" s="60"/>
      <c r="D3474" s="30"/>
      <c r="E3474" s="41"/>
    </row>
    <row r="3475" spans="1:5" ht="15.75" customHeight="1" x14ac:dyDescent="0.25">
      <c r="A3475" s="20"/>
      <c r="B3475" s="60"/>
      <c r="C3475" s="60"/>
      <c r="D3475" s="30"/>
      <c r="E3475" s="41"/>
    </row>
    <row r="3476" spans="1:5" ht="15.75" customHeight="1" x14ac:dyDescent="0.25">
      <c r="A3476" s="20"/>
      <c r="B3476" s="60"/>
      <c r="C3476" s="60"/>
      <c r="D3476" s="30"/>
      <c r="E3476" s="41"/>
    </row>
    <row r="3477" spans="1:5" ht="15.75" customHeight="1" x14ac:dyDescent="0.25">
      <c r="A3477" s="20"/>
      <c r="B3477" s="60"/>
      <c r="C3477" s="60"/>
      <c r="D3477" s="30"/>
      <c r="E3477" s="41"/>
    </row>
    <row r="3478" spans="1:5" ht="15.75" customHeight="1" x14ac:dyDescent="0.25">
      <c r="A3478" s="20"/>
      <c r="B3478" s="60"/>
      <c r="C3478" s="60"/>
      <c r="D3478" s="30"/>
      <c r="E3478" s="41"/>
    </row>
    <row r="3479" spans="1:5" ht="15.75" customHeight="1" x14ac:dyDescent="0.25">
      <c r="A3479" s="20"/>
      <c r="B3479" s="60"/>
      <c r="C3479" s="60"/>
      <c r="D3479" s="30"/>
      <c r="E3479" s="41"/>
    </row>
    <row r="3480" spans="1:5" ht="15.75" customHeight="1" x14ac:dyDescent="0.25">
      <c r="A3480" s="20"/>
      <c r="B3480" s="60"/>
      <c r="C3480" s="60"/>
      <c r="D3480" s="30"/>
      <c r="E3480" s="41"/>
    </row>
    <row r="3481" spans="1:5" ht="15.75" customHeight="1" x14ac:dyDescent="0.25">
      <c r="A3481" s="20"/>
      <c r="B3481" s="60"/>
      <c r="C3481" s="60"/>
      <c r="D3481" s="30"/>
      <c r="E3481" s="41"/>
    </row>
    <row r="3482" spans="1:5" ht="15.75" customHeight="1" x14ac:dyDescent="0.25">
      <c r="A3482" s="20"/>
      <c r="B3482" s="60"/>
      <c r="C3482" s="60"/>
      <c r="D3482" s="30"/>
      <c r="E3482" s="41"/>
    </row>
    <row r="3483" spans="1:5" ht="15.75" customHeight="1" x14ac:dyDescent="0.25">
      <c r="A3483" s="20"/>
      <c r="B3483" s="60"/>
      <c r="C3483" s="60"/>
      <c r="D3483" s="30"/>
      <c r="E3483" s="41"/>
    </row>
    <row r="3484" spans="1:5" ht="15.75" customHeight="1" x14ac:dyDescent="0.25">
      <c r="A3484" s="20"/>
      <c r="B3484" s="60"/>
      <c r="C3484" s="60"/>
      <c r="D3484" s="30"/>
      <c r="E3484" s="41"/>
    </row>
    <row r="3485" spans="1:5" ht="15.75" customHeight="1" x14ac:dyDescent="0.25">
      <c r="A3485" s="20"/>
      <c r="B3485" s="60"/>
      <c r="C3485" s="60"/>
      <c r="D3485" s="30"/>
      <c r="E3485" s="41"/>
    </row>
    <row r="3486" spans="1:5" ht="15.75" customHeight="1" x14ac:dyDescent="0.25">
      <c r="A3486" s="20"/>
      <c r="B3486" s="60"/>
      <c r="C3486" s="60"/>
      <c r="D3486" s="30"/>
      <c r="E3486" s="41"/>
    </row>
    <row r="3487" spans="1:5" ht="15.75" customHeight="1" x14ac:dyDescent="0.25">
      <c r="A3487" s="20"/>
      <c r="B3487" s="60"/>
      <c r="C3487" s="60"/>
      <c r="D3487" s="30"/>
      <c r="E3487" s="41"/>
    </row>
    <row r="3488" spans="1:5" ht="15.75" customHeight="1" x14ac:dyDescent="0.25">
      <c r="A3488" s="20"/>
      <c r="B3488" s="60"/>
      <c r="C3488" s="60"/>
      <c r="D3488" s="30"/>
      <c r="E3488" s="41"/>
    </row>
    <row r="3489" spans="1:5" ht="15.75" customHeight="1" x14ac:dyDescent="0.25">
      <c r="A3489" s="20"/>
      <c r="B3489" s="60"/>
      <c r="C3489" s="60"/>
      <c r="D3489" s="30"/>
      <c r="E3489" s="41"/>
    </row>
    <row r="3490" spans="1:5" ht="15.75" customHeight="1" x14ac:dyDescent="0.25">
      <c r="A3490" s="20"/>
      <c r="B3490" s="60"/>
      <c r="C3490" s="60"/>
      <c r="D3490" s="30"/>
      <c r="E3490" s="41"/>
    </row>
    <row r="3491" spans="1:5" ht="15.75" customHeight="1" x14ac:dyDescent="0.25">
      <c r="A3491" s="20"/>
      <c r="B3491" s="60"/>
      <c r="C3491" s="60"/>
      <c r="D3491" s="30"/>
      <c r="E3491" s="41"/>
    </row>
    <row r="3492" spans="1:5" ht="15.75" customHeight="1" x14ac:dyDescent="0.25">
      <c r="A3492" s="20"/>
      <c r="B3492" s="60"/>
      <c r="C3492" s="60"/>
      <c r="D3492" s="30"/>
      <c r="E3492" s="41"/>
    </row>
    <row r="3493" spans="1:5" ht="15.75" customHeight="1" x14ac:dyDescent="0.25">
      <c r="A3493" s="20"/>
      <c r="B3493" s="60"/>
      <c r="C3493" s="60"/>
      <c r="D3493" s="30"/>
      <c r="E3493" s="41"/>
    </row>
    <row r="3494" spans="1:5" ht="15.75" customHeight="1" x14ac:dyDescent="0.25">
      <c r="A3494" s="20"/>
      <c r="B3494" s="60"/>
      <c r="C3494" s="60"/>
      <c r="D3494" s="30"/>
      <c r="E3494" s="41"/>
    </row>
    <row r="3495" spans="1:5" ht="15.75" customHeight="1" x14ac:dyDescent="0.25">
      <c r="A3495" s="20"/>
      <c r="B3495" s="60"/>
      <c r="C3495" s="60"/>
      <c r="D3495" s="30"/>
      <c r="E3495" s="41"/>
    </row>
    <row r="3496" spans="1:5" ht="15.75" customHeight="1" x14ac:dyDescent="0.25">
      <c r="A3496" s="20"/>
      <c r="B3496" s="60"/>
      <c r="C3496" s="60"/>
      <c r="D3496" s="30"/>
      <c r="E3496" s="41"/>
    </row>
    <row r="3497" spans="1:5" ht="15.75" customHeight="1" x14ac:dyDescent="0.25">
      <c r="A3497" s="20"/>
      <c r="B3497" s="60"/>
      <c r="C3497" s="60"/>
      <c r="D3497" s="30"/>
      <c r="E3497" s="41"/>
    </row>
    <row r="3498" spans="1:5" ht="15.75" customHeight="1" x14ac:dyDescent="0.25">
      <c r="A3498" s="20"/>
      <c r="B3498" s="60"/>
      <c r="C3498" s="60"/>
      <c r="D3498" s="30"/>
      <c r="E3498" s="41"/>
    </row>
    <row r="3499" spans="1:5" ht="15.75" customHeight="1" x14ac:dyDescent="0.25">
      <c r="A3499" s="20"/>
      <c r="B3499" s="60"/>
      <c r="C3499" s="60"/>
      <c r="D3499" s="30"/>
      <c r="E3499" s="41"/>
    </row>
    <row r="3500" spans="1:5" ht="15.75" customHeight="1" x14ac:dyDescent="0.25">
      <c r="A3500" s="20"/>
      <c r="B3500" s="60"/>
      <c r="C3500" s="60"/>
      <c r="D3500" s="30"/>
      <c r="E3500" s="41"/>
    </row>
    <row r="3501" spans="1:5" ht="15.75" customHeight="1" x14ac:dyDescent="0.25">
      <c r="A3501" s="20"/>
      <c r="B3501" s="60"/>
      <c r="C3501" s="60"/>
      <c r="D3501" s="30"/>
      <c r="E3501" s="41"/>
    </row>
    <row r="3502" spans="1:5" ht="15.75" customHeight="1" x14ac:dyDescent="0.25">
      <c r="A3502" s="20"/>
      <c r="B3502" s="60"/>
      <c r="C3502" s="60"/>
      <c r="D3502" s="30"/>
      <c r="E3502" s="41"/>
    </row>
    <row r="3503" spans="1:5" ht="15.75" customHeight="1" x14ac:dyDescent="0.25">
      <c r="A3503" s="20"/>
      <c r="B3503" s="60"/>
      <c r="C3503" s="60"/>
      <c r="D3503" s="30"/>
      <c r="E3503" s="41"/>
    </row>
    <row r="3504" spans="1:5" ht="15.75" customHeight="1" x14ac:dyDescent="0.25">
      <c r="A3504" s="20"/>
      <c r="B3504" s="60"/>
      <c r="C3504" s="60"/>
      <c r="D3504" s="30"/>
      <c r="E3504" s="41"/>
    </row>
    <row r="3505" spans="1:5" ht="15.75" customHeight="1" x14ac:dyDescent="0.25">
      <c r="A3505" s="20"/>
      <c r="B3505" s="60"/>
      <c r="C3505" s="60"/>
      <c r="D3505" s="30"/>
      <c r="E3505" s="41"/>
    </row>
    <row r="3506" spans="1:5" ht="15.75" customHeight="1" x14ac:dyDescent="0.25">
      <c r="A3506" s="20"/>
      <c r="B3506" s="60"/>
      <c r="C3506" s="60"/>
      <c r="D3506" s="30"/>
      <c r="E3506" s="41"/>
    </row>
    <row r="3507" spans="1:5" ht="15.75" customHeight="1" x14ac:dyDescent="0.25">
      <c r="A3507" s="20"/>
      <c r="B3507" s="60"/>
      <c r="C3507" s="60"/>
      <c r="D3507" s="30"/>
      <c r="E3507" s="41"/>
    </row>
    <row r="3508" spans="1:5" ht="15.75" customHeight="1" x14ac:dyDescent="0.25">
      <c r="A3508" s="20"/>
      <c r="B3508" s="60"/>
      <c r="C3508" s="60"/>
      <c r="D3508" s="30"/>
      <c r="E3508" s="41"/>
    </row>
    <row r="3509" spans="1:5" ht="15.75" customHeight="1" x14ac:dyDescent="0.25">
      <c r="A3509" s="20"/>
      <c r="B3509" s="60"/>
      <c r="C3509" s="60"/>
      <c r="D3509" s="30"/>
      <c r="E3509" s="41"/>
    </row>
    <row r="3510" spans="1:5" ht="15.75" customHeight="1" x14ac:dyDescent="0.25">
      <c r="A3510" s="20"/>
      <c r="B3510" s="60"/>
      <c r="C3510" s="60"/>
      <c r="D3510" s="30"/>
      <c r="E3510" s="41"/>
    </row>
    <row r="3511" spans="1:5" ht="15.75" customHeight="1" x14ac:dyDescent="0.25">
      <c r="A3511" s="20"/>
      <c r="B3511" s="60"/>
      <c r="C3511" s="60"/>
      <c r="D3511" s="30"/>
      <c r="E3511" s="41"/>
    </row>
    <row r="3512" spans="1:5" ht="15.75" customHeight="1" x14ac:dyDescent="0.25">
      <c r="A3512" s="20"/>
      <c r="B3512" s="60"/>
      <c r="C3512" s="60"/>
      <c r="D3512" s="30"/>
      <c r="E3512" s="41"/>
    </row>
    <row r="3513" spans="1:5" ht="15.75" customHeight="1" x14ac:dyDescent="0.25">
      <c r="A3513" s="20"/>
      <c r="B3513" s="60"/>
      <c r="C3513" s="60"/>
      <c r="D3513" s="30"/>
      <c r="E3513" s="41"/>
    </row>
    <row r="3514" spans="1:5" ht="15.75" customHeight="1" x14ac:dyDescent="0.25">
      <c r="A3514" s="20"/>
      <c r="B3514" s="60"/>
      <c r="C3514" s="60"/>
      <c r="D3514" s="30"/>
      <c r="E3514" s="41"/>
    </row>
    <row r="3515" spans="1:5" ht="15.75" customHeight="1" x14ac:dyDescent="0.25">
      <c r="A3515" s="20"/>
      <c r="B3515" s="60"/>
      <c r="C3515" s="60"/>
      <c r="D3515" s="30"/>
      <c r="E3515" s="41"/>
    </row>
    <row r="3516" spans="1:5" ht="15.75" customHeight="1" x14ac:dyDescent="0.25">
      <c r="A3516" s="20"/>
      <c r="B3516" s="60"/>
      <c r="C3516" s="60"/>
      <c r="D3516" s="30"/>
      <c r="E3516" s="41"/>
    </row>
    <row r="3517" spans="1:5" ht="15.75" customHeight="1" x14ac:dyDescent="0.25">
      <c r="A3517" s="20"/>
      <c r="B3517" s="60"/>
      <c r="C3517" s="60"/>
      <c r="D3517" s="30"/>
      <c r="E3517" s="41"/>
    </row>
    <row r="3518" spans="1:5" ht="15.75" customHeight="1" x14ac:dyDescent="0.25">
      <c r="A3518" s="20"/>
      <c r="B3518" s="60"/>
      <c r="C3518" s="60"/>
      <c r="D3518" s="30"/>
      <c r="E3518" s="41"/>
    </row>
    <row r="3519" spans="1:5" ht="15.75" customHeight="1" x14ac:dyDescent="0.25">
      <c r="A3519" s="20"/>
      <c r="B3519" s="60"/>
      <c r="C3519" s="60"/>
      <c r="D3519" s="30"/>
      <c r="E3519" s="41"/>
    </row>
    <row r="3520" spans="1:5" ht="15.75" customHeight="1" x14ac:dyDescent="0.25">
      <c r="A3520" s="20"/>
      <c r="B3520" s="60"/>
      <c r="C3520" s="60"/>
      <c r="D3520" s="30"/>
      <c r="E3520" s="41"/>
    </row>
    <row r="3521" spans="1:5" ht="15.75" customHeight="1" x14ac:dyDescent="0.25">
      <c r="A3521" s="20"/>
      <c r="B3521" s="60"/>
      <c r="C3521" s="60"/>
      <c r="D3521" s="30"/>
      <c r="E3521" s="41"/>
    </row>
    <row r="3522" spans="1:5" ht="15.75" customHeight="1" x14ac:dyDescent="0.25">
      <c r="A3522" s="20"/>
      <c r="B3522" s="60"/>
      <c r="C3522" s="60"/>
      <c r="D3522" s="30"/>
      <c r="E3522" s="41"/>
    </row>
    <row r="3523" spans="1:5" ht="15.75" customHeight="1" x14ac:dyDescent="0.25">
      <c r="A3523" s="20"/>
      <c r="B3523" s="60"/>
      <c r="C3523" s="60"/>
      <c r="D3523" s="30"/>
      <c r="E3523" s="41"/>
    </row>
    <row r="3524" spans="1:5" ht="15.75" customHeight="1" x14ac:dyDescent="0.25">
      <c r="A3524" s="20"/>
      <c r="B3524" s="60"/>
      <c r="C3524" s="60"/>
      <c r="D3524" s="30"/>
      <c r="E3524" s="41"/>
    </row>
    <row r="3525" spans="1:5" ht="15.75" customHeight="1" x14ac:dyDescent="0.25">
      <c r="A3525" s="20"/>
      <c r="B3525" s="60"/>
      <c r="C3525" s="60"/>
      <c r="D3525" s="30"/>
      <c r="E3525" s="41"/>
    </row>
    <row r="3526" spans="1:5" ht="15.75" customHeight="1" x14ac:dyDescent="0.25">
      <c r="A3526" s="20"/>
      <c r="B3526" s="60"/>
      <c r="C3526" s="60"/>
      <c r="D3526" s="30"/>
      <c r="E3526" s="41"/>
    </row>
    <row r="3527" spans="1:5" ht="15.75" customHeight="1" x14ac:dyDescent="0.25">
      <c r="A3527" s="20"/>
      <c r="B3527" s="60"/>
      <c r="C3527" s="60"/>
      <c r="D3527" s="30"/>
      <c r="E3527" s="41"/>
    </row>
    <row r="3528" spans="1:5" ht="15.75" customHeight="1" x14ac:dyDescent="0.25">
      <c r="A3528" s="20"/>
      <c r="B3528" s="60"/>
      <c r="C3528" s="60"/>
      <c r="D3528" s="30"/>
      <c r="E3528" s="41"/>
    </row>
    <row r="3529" spans="1:5" ht="15.75" customHeight="1" x14ac:dyDescent="0.25">
      <c r="A3529" s="20"/>
      <c r="B3529" s="60"/>
      <c r="C3529" s="60"/>
      <c r="D3529" s="30"/>
      <c r="E3529" s="41"/>
    </row>
    <row r="3530" spans="1:5" ht="15.75" customHeight="1" x14ac:dyDescent="0.25">
      <c r="A3530" s="20"/>
      <c r="B3530" s="60"/>
      <c r="C3530" s="60"/>
      <c r="D3530" s="30"/>
      <c r="E3530" s="41"/>
    </row>
    <row r="3531" spans="1:5" ht="15.75" customHeight="1" x14ac:dyDescent="0.25">
      <c r="A3531" s="20"/>
      <c r="B3531" s="60"/>
      <c r="C3531" s="60"/>
      <c r="D3531" s="30"/>
      <c r="E3531" s="41"/>
    </row>
    <row r="3532" spans="1:5" ht="15.75" customHeight="1" x14ac:dyDescent="0.25">
      <c r="A3532" s="20"/>
      <c r="B3532" s="60"/>
      <c r="C3532" s="60"/>
      <c r="D3532" s="30"/>
      <c r="E3532" s="41"/>
    </row>
    <row r="3533" spans="1:5" ht="15.75" customHeight="1" x14ac:dyDescent="0.25">
      <c r="A3533" s="20"/>
      <c r="B3533" s="60"/>
      <c r="C3533" s="60"/>
      <c r="D3533" s="30"/>
      <c r="E3533" s="41"/>
    </row>
    <row r="3534" spans="1:5" ht="15.75" customHeight="1" x14ac:dyDescent="0.25">
      <c r="A3534" s="20"/>
      <c r="B3534" s="60"/>
      <c r="C3534" s="60"/>
      <c r="D3534" s="30"/>
      <c r="E3534" s="41"/>
    </row>
    <row r="3535" spans="1:5" ht="15.75" customHeight="1" x14ac:dyDescent="0.25">
      <c r="A3535" s="20"/>
      <c r="B3535" s="60"/>
      <c r="C3535" s="60"/>
      <c r="D3535" s="30"/>
      <c r="E3535" s="41"/>
    </row>
    <row r="3536" spans="1:5" ht="15.75" customHeight="1" x14ac:dyDescent="0.25">
      <c r="A3536" s="20"/>
      <c r="B3536" s="60"/>
      <c r="C3536" s="60"/>
      <c r="D3536" s="30"/>
      <c r="E3536" s="41"/>
    </row>
    <row r="3537" spans="1:5" ht="15.75" customHeight="1" x14ac:dyDescent="0.25">
      <c r="A3537" s="20"/>
      <c r="B3537" s="60"/>
      <c r="C3537" s="60"/>
      <c r="D3537" s="30"/>
      <c r="E3537" s="41"/>
    </row>
    <row r="3538" spans="1:5" ht="15.75" customHeight="1" x14ac:dyDescent="0.25">
      <c r="A3538" s="20"/>
      <c r="B3538" s="60"/>
      <c r="C3538" s="60"/>
      <c r="D3538" s="30"/>
      <c r="E3538" s="41"/>
    </row>
    <row r="3539" spans="1:5" ht="15.75" customHeight="1" x14ac:dyDescent="0.25">
      <c r="A3539" s="20"/>
      <c r="B3539" s="60"/>
      <c r="C3539" s="60"/>
      <c r="D3539" s="30"/>
      <c r="E3539" s="41"/>
    </row>
    <row r="3540" spans="1:5" ht="15.75" customHeight="1" x14ac:dyDescent="0.25">
      <c r="A3540" s="20"/>
      <c r="B3540" s="60"/>
      <c r="C3540" s="60"/>
      <c r="D3540" s="30"/>
      <c r="E3540" s="41"/>
    </row>
    <row r="3541" spans="1:5" ht="15.75" customHeight="1" x14ac:dyDescent="0.25">
      <c r="A3541" s="20"/>
      <c r="B3541" s="60"/>
      <c r="C3541" s="60"/>
      <c r="D3541" s="30"/>
      <c r="E3541" s="41"/>
    </row>
    <row r="3542" spans="1:5" ht="15.75" customHeight="1" x14ac:dyDescent="0.25">
      <c r="A3542" s="20"/>
      <c r="B3542" s="60"/>
      <c r="C3542" s="60"/>
      <c r="D3542" s="30"/>
      <c r="E3542" s="41"/>
    </row>
    <row r="3543" spans="1:5" ht="15.75" customHeight="1" x14ac:dyDescent="0.25">
      <c r="A3543" s="20"/>
      <c r="B3543" s="60"/>
      <c r="C3543" s="60"/>
      <c r="D3543" s="30"/>
      <c r="E3543" s="41"/>
    </row>
    <row r="3544" spans="1:5" ht="15.75" customHeight="1" x14ac:dyDescent="0.25">
      <c r="A3544" s="20"/>
      <c r="B3544" s="60"/>
      <c r="C3544" s="60"/>
      <c r="D3544" s="30"/>
      <c r="E3544" s="41"/>
    </row>
    <row r="3545" spans="1:5" ht="15.75" customHeight="1" x14ac:dyDescent="0.25">
      <c r="A3545" s="20"/>
      <c r="B3545" s="60"/>
      <c r="C3545" s="60"/>
      <c r="D3545" s="30"/>
      <c r="E3545" s="41"/>
    </row>
    <row r="3546" spans="1:5" ht="15.75" customHeight="1" x14ac:dyDescent="0.25">
      <c r="A3546" s="20"/>
      <c r="B3546" s="60"/>
      <c r="C3546" s="60"/>
      <c r="D3546" s="30"/>
      <c r="E3546" s="41"/>
    </row>
    <row r="3547" spans="1:5" ht="15.75" customHeight="1" x14ac:dyDescent="0.25">
      <c r="A3547" s="20"/>
      <c r="B3547" s="60"/>
      <c r="C3547" s="60"/>
      <c r="D3547" s="30"/>
      <c r="E3547" s="41"/>
    </row>
    <row r="3548" spans="1:5" ht="15.75" customHeight="1" x14ac:dyDescent="0.25">
      <c r="A3548" s="20"/>
      <c r="B3548" s="60"/>
      <c r="C3548" s="60"/>
      <c r="D3548" s="30"/>
      <c r="E3548" s="41"/>
    </row>
    <row r="3549" spans="1:5" ht="15.75" customHeight="1" x14ac:dyDescent="0.25">
      <c r="A3549" s="20"/>
      <c r="B3549" s="60"/>
      <c r="C3549" s="60"/>
      <c r="D3549" s="30"/>
      <c r="E3549" s="41"/>
    </row>
    <row r="3550" spans="1:5" ht="15.75" customHeight="1" x14ac:dyDescent="0.25">
      <c r="A3550" s="20"/>
      <c r="B3550" s="60"/>
      <c r="C3550" s="60"/>
      <c r="D3550" s="30"/>
      <c r="E3550" s="41"/>
    </row>
    <row r="3551" spans="1:5" ht="15.75" customHeight="1" x14ac:dyDescent="0.25">
      <c r="A3551" s="20"/>
      <c r="B3551" s="60"/>
      <c r="C3551" s="60"/>
      <c r="D3551" s="30"/>
      <c r="E3551" s="41"/>
    </row>
    <row r="3552" spans="1:5" ht="15.75" customHeight="1" x14ac:dyDescent="0.25">
      <c r="A3552" s="20"/>
      <c r="B3552" s="60"/>
      <c r="C3552" s="60"/>
      <c r="D3552" s="30"/>
      <c r="E3552" s="41"/>
    </row>
    <row r="3553" spans="1:5" ht="15.75" customHeight="1" x14ac:dyDescent="0.25">
      <c r="A3553" s="20"/>
      <c r="B3553" s="60"/>
      <c r="C3553" s="60"/>
      <c r="D3553" s="30"/>
      <c r="E3553" s="41"/>
    </row>
    <row r="3554" spans="1:5" ht="15.75" customHeight="1" x14ac:dyDescent="0.25">
      <c r="A3554" s="20"/>
      <c r="B3554" s="60"/>
      <c r="C3554" s="60"/>
      <c r="D3554" s="30"/>
      <c r="E3554" s="41"/>
    </row>
    <row r="3555" spans="1:5" ht="15.75" customHeight="1" x14ac:dyDescent="0.25">
      <c r="A3555" s="20"/>
      <c r="B3555" s="60"/>
      <c r="C3555" s="60"/>
      <c r="D3555" s="30"/>
      <c r="E3555" s="41"/>
    </row>
    <row r="3556" spans="1:5" ht="15.75" customHeight="1" x14ac:dyDescent="0.25">
      <c r="A3556" s="20"/>
      <c r="B3556" s="60"/>
      <c r="C3556" s="60"/>
      <c r="D3556" s="30"/>
      <c r="E3556" s="41"/>
    </row>
    <row r="3557" spans="1:5" ht="15.75" customHeight="1" x14ac:dyDescent="0.25">
      <c r="A3557" s="20"/>
      <c r="B3557" s="60"/>
      <c r="C3557" s="60"/>
      <c r="D3557" s="30"/>
      <c r="E3557" s="41"/>
    </row>
    <row r="3558" spans="1:5" ht="15.75" customHeight="1" x14ac:dyDescent="0.25">
      <c r="A3558" s="20"/>
      <c r="B3558" s="60"/>
      <c r="C3558" s="60"/>
      <c r="D3558" s="30"/>
      <c r="E3558" s="41"/>
    </row>
    <row r="3559" spans="1:5" ht="15.75" customHeight="1" x14ac:dyDescent="0.25">
      <c r="A3559" s="20"/>
      <c r="B3559" s="60"/>
      <c r="C3559" s="60"/>
      <c r="D3559" s="30"/>
      <c r="E3559" s="41"/>
    </row>
    <row r="3560" spans="1:5" ht="15.75" customHeight="1" x14ac:dyDescent="0.25">
      <c r="A3560" s="20"/>
      <c r="B3560" s="60"/>
      <c r="C3560" s="60"/>
      <c r="D3560" s="30"/>
      <c r="E3560" s="41"/>
    </row>
    <row r="3561" spans="1:5" ht="15.75" customHeight="1" x14ac:dyDescent="0.25">
      <c r="A3561" s="20"/>
      <c r="B3561" s="60"/>
      <c r="C3561" s="60"/>
      <c r="D3561" s="30"/>
      <c r="E3561" s="41"/>
    </row>
    <row r="3562" spans="1:5" ht="15.75" customHeight="1" x14ac:dyDescent="0.25">
      <c r="A3562" s="20"/>
      <c r="B3562" s="60"/>
      <c r="C3562" s="60"/>
      <c r="D3562" s="30"/>
      <c r="E3562" s="41"/>
    </row>
    <row r="3563" spans="1:5" ht="15.75" customHeight="1" x14ac:dyDescent="0.25">
      <c r="A3563" s="20"/>
      <c r="B3563" s="60"/>
      <c r="C3563" s="60"/>
      <c r="D3563" s="30"/>
      <c r="E3563" s="41"/>
    </row>
    <row r="3564" spans="1:5" ht="15.75" customHeight="1" x14ac:dyDescent="0.25">
      <c r="A3564" s="20"/>
      <c r="B3564" s="60"/>
      <c r="C3564" s="60"/>
      <c r="D3564" s="30"/>
      <c r="E3564" s="41"/>
    </row>
    <row r="3565" spans="1:5" ht="15.75" customHeight="1" x14ac:dyDescent="0.25">
      <c r="A3565" s="20"/>
      <c r="B3565" s="60"/>
      <c r="C3565" s="60"/>
      <c r="D3565" s="30"/>
      <c r="E3565" s="41"/>
    </row>
    <row r="3566" spans="1:5" ht="15.75" customHeight="1" x14ac:dyDescent="0.25">
      <c r="A3566" s="20"/>
      <c r="B3566" s="60"/>
      <c r="C3566" s="60"/>
      <c r="D3566" s="30"/>
      <c r="E3566" s="41"/>
    </row>
    <row r="3567" spans="1:5" ht="15.75" customHeight="1" x14ac:dyDescent="0.25">
      <c r="A3567" s="20"/>
      <c r="B3567" s="60"/>
      <c r="C3567" s="60"/>
      <c r="D3567" s="30"/>
      <c r="E3567" s="41"/>
    </row>
    <row r="3568" spans="1:5" ht="15.75" customHeight="1" x14ac:dyDescent="0.25">
      <c r="A3568" s="20"/>
      <c r="B3568" s="60"/>
      <c r="C3568" s="60"/>
      <c r="D3568" s="30"/>
      <c r="E3568" s="41"/>
    </row>
    <row r="3569" spans="1:5" ht="15.75" customHeight="1" x14ac:dyDescent="0.25">
      <c r="A3569" s="20"/>
      <c r="B3569" s="60"/>
      <c r="C3569" s="60"/>
      <c r="D3569" s="30"/>
      <c r="E3569" s="41"/>
    </row>
    <row r="3570" spans="1:5" ht="15.75" customHeight="1" x14ac:dyDescent="0.25">
      <c r="A3570" s="20"/>
      <c r="B3570" s="60"/>
      <c r="C3570" s="60"/>
      <c r="D3570" s="30"/>
      <c r="E3570" s="41"/>
    </row>
    <row r="3571" spans="1:5" ht="15.75" customHeight="1" x14ac:dyDescent="0.25">
      <c r="A3571" s="20"/>
      <c r="B3571" s="60"/>
      <c r="C3571" s="60"/>
      <c r="D3571" s="30"/>
      <c r="E3571" s="41"/>
    </row>
    <row r="3572" spans="1:5" ht="15.75" customHeight="1" x14ac:dyDescent="0.25">
      <c r="A3572" s="20"/>
      <c r="B3572" s="60"/>
      <c r="C3572" s="60"/>
      <c r="D3572" s="30"/>
      <c r="E3572" s="41"/>
    </row>
    <row r="3573" spans="1:5" ht="15.75" customHeight="1" x14ac:dyDescent="0.25">
      <c r="A3573" s="20"/>
      <c r="B3573" s="60"/>
      <c r="C3573" s="60"/>
      <c r="D3573" s="30"/>
      <c r="E3573" s="41"/>
    </row>
    <row r="3574" spans="1:5" ht="15.75" customHeight="1" x14ac:dyDescent="0.25">
      <c r="A3574" s="20"/>
      <c r="B3574" s="60"/>
      <c r="C3574" s="60"/>
      <c r="D3574" s="30"/>
      <c r="E3574" s="41"/>
    </row>
    <row r="3575" spans="1:5" ht="15.75" customHeight="1" x14ac:dyDescent="0.25">
      <c r="A3575" s="20"/>
      <c r="B3575" s="60"/>
      <c r="C3575" s="60"/>
      <c r="D3575" s="30"/>
      <c r="E3575" s="41"/>
    </row>
    <row r="3576" spans="1:5" ht="15.75" customHeight="1" x14ac:dyDescent="0.25">
      <c r="A3576" s="20"/>
      <c r="B3576" s="60"/>
      <c r="C3576" s="60"/>
      <c r="D3576" s="30"/>
      <c r="E3576" s="41"/>
    </row>
    <row r="3577" spans="1:5" ht="15.75" customHeight="1" x14ac:dyDescent="0.25">
      <c r="A3577" s="20"/>
      <c r="B3577" s="60"/>
      <c r="C3577" s="60"/>
      <c r="D3577" s="30"/>
      <c r="E3577" s="41"/>
    </row>
    <row r="3578" spans="1:5" ht="15.75" customHeight="1" x14ac:dyDescent="0.25">
      <c r="A3578" s="20"/>
      <c r="B3578" s="60"/>
      <c r="C3578" s="60"/>
      <c r="D3578" s="30"/>
      <c r="E3578" s="41"/>
    </row>
    <row r="3579" spans="1:5" ht="15.75" customHeight="1" x14ac:dyDescent="0.25">
      <c r="A3579" s="20"/>
      <c r="B3579" s="60"/>
      <c r="C3579" s="60"/>
      <c r="D3579" s="30"/>
      <c r="E3579" s="41"/>
    </row>
    <row r="3580" spans="1:5" ht="15.75" customHeight="1" x14ac:dyDescent="0.25">
      <c r="A3580" s="20"/>
      <c r="B3580" s="60"/>
      <c r="C3580" s="60"/>
      <c r="D3580" s="30"/>
      <c r="E3580" s="41"/>
    </row>
    <row r="3581" spans="1:5" ht="15.75" customHeight="1" x14ac:dyDescent="0.25">
      <c r="A3581" s="20"/>
      <c r="B3581" s="60"/>
      <c r="C3581" s="60"/>
      <c r="D3581" s="30"/>
      <c r="E3581" s="41"/>
    </row>
    <row r="3582" spans="1:5" ht="15.75" customHeight="1" x14ac:dyDescent="0.25">
      <c r="A3582" s="20"/>
      <c r="B3582" s="60"/>
      <c r="C3582" s="60"/>
      <c r="D3582" s="30"/>
      <c r="E3582" s="41"/>
    </row>
    <row r="3583" spans="1:5" ht="15.75" customHeight="1" x14ac:dyDescent="0.25">
      <c r="A3583" s="20"/>
      <c r="B3583" s="60"/>
      <c r="C3583" s="60"/>
      <c r="D3583" s="30"/>
      <c r="E3583" s="41"/>
    </row>
    <row r="3584" spans="1:5" ht="15.75" customHeight="1" x14ac:dyDescent="0.25">
      <c r="A3584" s="20"/>
      <c r="B3584" s="60"/>
      <c r="C3584" s="60"/>
      <c r="D3584" s="30"/>
      <c r="E3584" s="41"/>
    </row>
    <row r="3585" spans="1:5" ht="15.75" customHeight="1" x14ac:dyDescent="0.25">
      <c r="A3585" s="20"/>
      <c r="B3585" s="60"/>
      <c r="C3585" s="60"/>
      <c r="D3585" s="30"/>
      <c r="E3585" s="41"/>
    </row>
    <row r="3586" spans="1:5" ht="15.75" customHeight="1" x14ac:dyDescent="0.25">
      <c r="A3586" s="20"/>
      <c r="B3586" s="60"/>
      <c r="C3586" s="60"/>
      <c r="D3586" s="30"/>
      <c r="E3586" s="41"/>
    </row>
    <row r="3587" spans="1:5" ht="15.75" customHeight="1" x14ac:dyDescent="0.25">
      <c r="A3587" s="20"/>
      <c r="B3587" s="60"/>
      <c r="C3587" s="60"/>
      <c r="D3587" s="30"/>
      <c r="E3587" s="41"/>
    </row>
    <row r="3588" spans="1:5" ht="15.75" customHeight="1" x14ac:dyDescent="0.25">
      <c r="A3588" s="20"/>
      <c r="B3588" s="60"/>
      <c r="C3588" s="60"/>
      <c r="D3588" s="30"/>
      <c r="E3588" s="41"/>
    </row>
    <row r="3589" spans="1:5" ht="15.75" customHeight="1" x14ac:dyDescent="0.25">
      <c r="A3589" s="20"/>
      <c r="B3589" s="60"/>
      <c r="C3589" s="60"/>
      <c r="D3589" s="30"/>
      <c r="E3589" s="41"/>
    </row>
    <row r="3590" spans="1:5" ht="15.75" customHeight="1" x14ac:dyDescent="0.25">
      <c r="A3590" s="20"/>
      <c r="B3590" s="60"/>
      <c r="C3590" s="60"/>
      <c r="D3590" s="30"/>
      <c r="E3590" s="41"/>
    </row>
    <row r="3591" spans="1:5" ht="15.75" customHeight="1" x14ac:dyDescent="0.25">
      <c r="A3591" s="20"/>
      <c r="B3591" s="60"/>
      <c r="C3591" s="60"/>
      <c r="D3591" s="30"/>
      <c r="E3591" s="41"/>
    </row>
    <row r="3592" spans="1:5" ht="15.75" customHeight="1" x14ac:dyDescent="0.25">
      <c r="A3592" s="20"/>
      <c r="B3592" s="60"/>
      <c r="C3592" s="60"/>
      <c r="D3592" s="30"/>
      <c r="E3592" s="41"/>
    </row>
    <row r="3593" spans="1:5" ht="15.75" customHeight="1" x14ac:dyDescent="0.25">
      <c r="A3593" s="20"/>
      <c r="B3593" s="60"/>
      <c r="C3593" s="60"/>
      <c r="D3593" s="30"/>
      <c r="E3593" s="41"/>
    </row>
    <row r="3594" spans="1:5" ht="15.75" customHeight="1" x14ac:dyDescent="0.25">
      <c r="A3594" s="20"/>
      <c r="B3594" s="60"/>
      <c r="C3594" s="60"/>
      <c r="D3594" s="30"/>
      <c r="E3594" s="41"/>
    </row>
    <row r="3595" spans="1:5" ht="15.75" customHeight="1" x14ac:dyDescent="0.25">
      <c r="A3595" s="20"/>
      <c r="B3595" s="60"/>
      <c r="C3595" s="60"/>
      <c r="D3595" s="30"/>
      <c r="E3595" s="41"/>
    </row>
    <row r="3596" spans="1:5" ht="15.75" customHeight="1" x14ac:dyDescent="0.25">
      <c r="A3596" s="20"/>
      <c r="B3596" s="60"/>
      <c r="C3596" s="60"/>
      <c r="D3596" s="30"/>
      <c r="E3596" s="41"/>
    </row>
    <row r="3597" spans="1:5" ht="15.75" customHeight="1" x14ac:dyDescent="0.25">
      <c r="A3597" s="20"/>
      <c r="B3597" s="60"/>
      <c r="C3597" s="60"/>
      <c r="D3597" s="30"/>
      <c r="E3597" s="41"/>
    </row>
    <row r="3598" spans="1:5" ht="15.75" customHeight="1" x14ac:dyDescent="0.25">
      <c r="A3598" s="20"/>
      <c r="B3598" s="60"/>
      <c r="C3598" s="60"/>
      <c r="D3598" s="30"/>
      <c r="E3598" s="41"/>
    </row>
  </sheetData>
  <autoFilter ref="A3:H3398" xr:uid="{00000000-0009-0000-0000-000001000000}">
    <filterColumn colId="0">
      <filters>
        <filter val="Oruro"/>
      </filters>
    </filterColumn>
    <filterColumn colId="4">
      <colorFilter dxfId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8"/>
  <sheetViews>
    <sheetView workbookViewId="0"/>
  </sheetViews>
  <sheetFormatPr baseColWidth="10" defaultColWidth="12.6640625" defaultRowHeight="15" customHeight="1" x14ac:dyDescent="0.25"/>
  <sheetData>
    <row r="1" spans="1:24" ht="15" customHeight="1" x14ac:dyDescent="0.3">
      <c r="A1" s="61"/>
      <c r="B1" s="61" t="s">
        <v>703</v>
      </c>
      <c r="C1" s="62"/>
      <c r="D1" s="61" t="s">
        <v>704</v>
      </c>
      <c r="E1" s="62"/>
      <c r="F1" s="61" t="s">
        <v>705</v>
      </c>
      <c r="G1" s="62"/>
      <c r="H1" s="61" t="s">
        <v>706</v>
      </c>
      <c r="I1" s="62"/>
      <c r="J1" s="61" t="s">
        <v>707</v>
      </c>
      <c r="K1" s="62"/>
      <c r="L1" s="61" t="s">
        <v>708</v>
      </c>
      <c r="M1" s="62"/>
      <c r="N1" s="63" t="s">
        <v>8</v>
      </c>
    </row>
    <row r="2" spans="1:24" ht="15" customHeight="1" x14ac:dyDescent="0.3">
      <c r="A2" s="64"/>
      <c r="B2" s="65"/>
      <c r="C2" s="66">
        <v>2024</v>
      </c>
      <c r="D2" s="65"/>
      <c r="E2" s="66">
        <v>2024</v>
      </c>
      <c r="F2" s="65"/>
      <c r="G2" s="67">
        <v>2024</v>
      </c>
      <c r="H2" s="65"/>
      <c r="I2" s="66">
        <v>2024</v>
      </c>
      <c r="J2" s="65"/>
      <c r="K2" s="66">
        <v>2024</v>
      </c>
      <c r="L2" s="65"/>
      <c r="M2" s="67">
        <v>2024</v>
      </c>
    </row>
    <row r="3" spans="1:24" ht="15" customHeight="1" x14ac:dyDescent="0.3">
      <c r="A3" s="68">
        <v>1</v>
      </c>
      <c r="B3" s="69" t="s">
        <v>9</v>
      </c>
      <c r="C3" s="70">
        <v>186.23313491299001</v>
      </c>
      <c r="D3" s="69" t="s">
        <v>9</v>
      </c>
      <c r="E3" s="71"/>
      <c r="F3" s="69" t="s">
        <v>9</v>
      </c>
      <c r="G3" s="71"/>
      <c r="H3" s="69" t="s">
        <v>9</v>
      </c>
      <c r="I3" s="71"/>
      <c r="J3" s="69" t="s">
        <v>9</v>
      </c>
      <c r="K3" s="71"/>
      <c r="L3" s="69" t="s">
        <v>9</v>
      </c>
      <c r="M3" s="71"/>
      <c r="N3" s="72">
        <f t="shared" ref="N3:N12" si="0">C3+E3+G3+I3+K3+M3</f>
        <v>186.23313491299001</v>
      </c>
      <c r="O3" s="63">
        <f t="shared" ref="O3:O12" si="1">N3*1000</f>
        <v>186233.13491299</v>
      </c>
    </row>
    <row r="4" spans="1:24" ht="15" customHeight="1" x14ac:dyDescent="0.3">
      <c r="A4" s="68">
        <v>2</v>
      </c>
      <c r="B4" s="69" t="s">
        <v>51</v>
      </c>
      <c r="C4" s="70">
        <v>37.159606038610001</v>
      </c>
      <c r="D4" s="69" t="s">
        <v>51</v>
      </c>
      <c r="E4" s="70">
        <v>1337.2621965965</v>
      </c>
      <c r="F4" s="69" t="s">
        <v>51</v>
      </c>
      <c r="G4" s="70">
        <v>0.107409227459</v>
      </c>
      <c r="H4" s="69" t="s">
        <v>51</v>
      </c>
      <c r="I4" s="70">
        <v>12.041309544996</v>
      </c>
      <c r="J4" s="69" t="s">
        <v>51</v>
      </c>
      <c r="K4" s="70">
        <v>2.1222248883191002</v>
      </c>
      <c r="L4" s="69" t="s">
        <v>51</v>
      </c>
      <c r="M4" s="70">
        <v>0.52462032401709002</v>
      </c>
      <c r="N4" s="72">
        <f t="shared" si="0"/>
        <v>1389.2173666199012</v>
      </c>
      <c r="O4" s="63">
        <f t="shared" si="1"/>
        <v>1389217.3666199013</v>
      </c>
    </row>
    <row r="5" spans="1:24" ht="15" customHeight="1" x14ac:dyDescent="0.3">
      <c r="A5" s="68">
        <v>3</v>
      </c>
      <c r="B5" s="69" t="s">
        <v>105</v>
      </c>
      <c r="C5" s="70">
        <v>42.749546394443001</v>
      </c>
      <c r="D5" s="69" t="s">
        <v>105</v>
      </c>
      <c r="E5" s="70">
        <v>809.18212591374004</v>
      </c>
      <c r="F5" s="69" t="s">
        <v>105</v>
      </c>
      <c r="G5" s="70">
        <v>0.10850369399703</v>
      </c>
      <c r="H5" s="69" t="s">
        <v>105</v>
      </c>
      <c r="I5" s="70">
        <v>4.4931921716463998</v>
      </c>
      <c r="J5" s="69" t="s">
        <v>105</v>
      </c>
      <c r="K5" s="71"/>
      <c r="L5" s="69" t="s">
        <v>105</v>
      </c>
      <c r="M5" s="70">
        <v>10.268538324834999</v>
      </c>
      <c r="N5" s="72">
        <f t="shared" si="0"/>
        <v>866.80190649866154</v>
      </c>
      <c r="O5" s="63">
        <f t="shared" si="1"/>
        <v>866801.9064986615</v>
      </c>
    </row>
    <row r="6" spans="1:24" ht="15" customHeight="1" x14ac:dyDescent="0.3">
      <c r="A6" s="68">
        <v>4</v>
      </c>
      <c r="B6" s="69" t="s">
        <v>151</v>
      </c>
      <c r="C6" s="70">
        <v>21.976648386539001</v>
      </c>
      <c r="D6" s="69" t="s">
        <v>151</v>
      </c>
      <c r="E6" s="70">
        <v>327.23271855873998</v>
      </c>
      <c r="F6" s="69" t="s">
        <v>151</v>
      </c>
      <c r="G6" s="71"/>
      <c r="H6" s="69" t="s">
        <v>151</v>
      </c>
      <c r="I6" s="71"/>
      <c r="J6" s="69" t="s">
        <v>151</v>
      </c>
      <c r="K6" s="71"/>
      <c r="L6" s="69" t="s">
        <v>151</v>
      </c>
      <c r="M6" s="71"/>
      <c r="N6" s="72">
        <f t="shared" si="0"/>
        <v>349.20936694527899</v>
      </c>
      <c r="O6" s="63">
        <f t="shared" si="1"/>
        <v>349209.36694527901</v>
      </c>
    </row>
    <row r="7" spans="1:24" ht="15" customHeight="1" x14ac:dyDescent="0.3">
      <c r="A7" s="68">
        <v>5</v>
      </c>
      <c r="B7" s="69" t="s">
        <v>183</v>
      </c>
      <c r="C7" s="70">
        <v>275.23630478494999</v>
      </c>
      <c r="D7" s="69" t="s">
        <v>183</v>
      </c>
      <c r="E7" s="71"/>
      <c r="F7" s="69" t="s">
        <v>183</v>
      </c>
      <c r="G7" s="71"/>
      <c r="H7" s="69" t="s">
        <v>183</v>
      </c>
      <c r="I7" s="71"/>
      <c r="J7" s="69" t="s">
        <v>183</v>
      </c>
      <c r="K7" s="71"/>
      <c r="L7" s="69" t="s">
        <v>183</v>
      </c>
      <c r="M7" s="71"/>
      <c r="N7" s="72">
        <f t="shared" si="0"/>
        <v>275.23630478494999</v>
      </c>
      <c r="O7" s="63">
        <f t="shared" si="1"/>
        <v>275236.30478494999</v>
      </c>
    </row>
    <row r="8" spans="1:24" ht="15" customHeight="1" x14ac:dyDescent="0.3">
      <c r="A8" s="68">
        <v>6</v>
      </c>
      <c r="B8" s="69" t="s">
        <v>213</v>
      </c>
      <c r="C8" s="70">
        <v>147.66592279656001</v>
      </c>
      <c r="D8" s="69" t="s">
        <v>213</v>
      </c>
      <c r="E8" s="70">
        <v>73.642447336648999</v>
      </c>
      <c r="F8" s="69" t="s">
        <v>213</v>
      </c>
      <c r="G8" s="71"/>
      <c r="H8" s="69" t="s">
        <v>213</v>
      </c>
      <c r="I8" s="71"/>
      <c r="J8" s="69" t="s">
        <v>213</v>
      </c>
      <c r="K8" s="71"/>
      <c r="L8" s="69" t="s">
        <v>213</v>
      </c>
      <c r="M8" s="70">
        <v>1.7457193540569</v>
      </c>
      <c r="N8" s="72">
        <f t="shared" si="0"/>
        <v>223.05408948726588</v>
      </c>
      <c r="O8" s="63">
        <f t="shared" si="1"/>
        <v>223054.08948726588</v>
      </c>
    </row>
    <row r="9" spans="1:24" ht="15" customHeight="1" x14ac:dyDescent="0.3">
      <c r="A9" s="68">
        <v>7</v>
      </c>
      <c r="B9" s="69" t="s">
        <v>224</v>
      </c>
      <c r="C9" s="70">
        <v>174.02279360411001</v>
      </c>
      <c r="D9" s="69" t="s">
        <v>224</v>
      </c>
      <c r="E9" s="70">
        <v>1558.2331657612999</v>
      </c>
      <c r="F9" s="69" t="s">
        <v>224</v>
      </c>
      <c r="G9" s="70">
        <v>0.17864226550581999</v>
      </c>
      <c r="H9" s="69" t="s">
        <v>224</v>
      </c>
      <c r="I9" s="70">
        <v>35.927673146620002</v>
      </c>
      <c r="J9" s="69" t="s">
        <v>224</v>
      </c>
      <c r="K9" s="70">
        <v>0.72739964701670001</v>
      </c>
      <c r="L9" s="69" t="s">
        <v>224</v>
      </c>
      <c r="M9" s="70">
        <v>2.4444593545796001</v>
      </c>
      <c r="N9" s="72">
        <f t="shared" si="0"/>
        <v>1771.5341337791322</v>
      </c>
      <c r="O9" s="63">
        <f t="shared" si="1"/>
        <v>1771534.1337791323</v>
      </c>
    </row>
    <row r="10" spans="1:24" ht="15" customHeight="1" x14ac:dyDescent="0.3">
      <c r="A10" s="68">
        <v>9</v>
      </c>
      <c r="B10" s="69" t="s">
        <v>274</v>
      </c>
      <c r="C10" s="70">
        <v>199.31237411092999</v>
      </c>
      <c r="D10" s="69" t="s">
        <v>274</v>
      </c>
      <c r="E10" s="71"/>
      <c r="F10" s="69" t="s">
        <v>274</v>
      </c>
      <c r="G10" s="71"/>
      <c r="H10" s="69" t="s">
        <v>274</v>
      </c>
      <c r="I10" s="71"/>
      <c r="J10" s="69" t="s">
        <v>274</v>
      </c>
      <c r="K10" s="71"/>
      <c r="L10" s="69" t="s">
        <v>274</v>
      </c>
      <c r="M10" s="71"/>
      <c r="N10" s="72">
        <f t="shared" si="0"/>
        <v>199.31237411092999</v>
      </c>
      <c r="O10" s="63">
        <f t="shared" si="1"/>
        <v>199312.37411092999</v>
      </c>
    </row>
    <row r="11" spans="1:24" ht="15" customHeight="1" x14ac:dyDescent="0.3">
      <c r="A11" s="68">
        <v>9</v>
      </c>
      <c r="B11" s="69" t="s">
        <v>284</v>
      </c>
      <c r="C11" s="70">
        <v>49.567168408604999</v>
      </c>
      <c r="D11" s="69" t="s">
        <v>284</v>
      </c>
      <c r="E11" s="71"/>
      <c r="F11" s="69" t="s">
        <v>284</v>
      </c>
      <c r="G11" s="71"/>
      <c r="H11" s="69" t="s">
        <v>284</v>
      </c>
      <c r="I11" s="71"/>
      <c r="J11" s="69" t="s">
        <v>284</v>
      </c>
      <c r="K11" s="71"/>
      <c r="L11" s="69" t="s">
        <v>284</v>
      </c>
      <c r="M11" s="71"/>
      <c r="N11" s="72">
        <f t="shared" si="0"/>
        <v>49.567168408604999</v>
      </c>
      <c r="O11" s="63">
        <f t="shared" si="1"/>
        <v>49567.168408605001</v>
      </c>
    </row>
    <row r="12" spans="1:24" ht="15" customHeight="1" x14ac:dyDescent="0.3">
      <c r="A12" s="68">
        <v>11</v>
      </c>
      <c r="B12" s="69" t="s">
        <v>7</v>
      </c>
      <c r="C12" s="70">
        <v>1133.9234994377</v>
      </c>
      <c r="D12" s="69" t="s">
        <v>7</v>
      </c>
      <c r="E12" s="70">
        <v>4105.5526541668996</v>
      </c>
      <c r="F12" s="69" t="s">
        <v>7</v>
      </c>
      <c r="G12" s="70">
        <v>0.39455518696184999</v>
      </c>
      <c r="H12" s="69" t="s">
        <v>7</v>
      </c>
      <c r="I12" s="70">
        <v>52.462174863263002</v>
      </c>
      <c r="J12" s="69" t="s">
        <v>7</v>
      </c>
      <c r="K12" s="70">
        <v>2.8496245353358001</v>
      </c>
      <c r="L12" s="69" t="s">
        <v>7</v>
      </c>
      <c r="M12" s="70">
        <v>14.983337357488001</v>
      </c>
      <c r="N12" s="72">
        <f t="shared" si="0"/>
        <v>5310.1658455476481</v>
      </c>
      <c r="O12" s="63">
        <f t="shared" si="1"/>
        <v>5310165.8455476481</v>
      </c>
    </row>
    <row r="14" spans="1:24" ht="15" customHeight="1" x14ac:dyDescent="0.3">
      <c r="A14" s="61"/>
      <c r="B14" s="61" t="s">
        <v>709</v>
      </c>
      <c r="C14" s="62"/>
      <c r="D14" s="61" t="s">
        <v>710</v>
      </c>
      <c r="E14" s="62"/>
      <c r="F14" s="61" t="s">
        <v>711</v>
      </c>
      <c r="G14" s="62"/>
      <c r="H14" s="61" t="s">
        <v>712</v>
      </c>
      <c r="I14" s="62"/>
    </row>
    <row r="15" spans="1:24" ht="15" customHeight="1" x14ac:dyDescent="0.3">
      <c r="A15" s="64"/>
      <c r="B15" s="65"/>
      <c r="C15" s="67">
        <v>2024</v>
      </c>
      <c r="D15" s="65"/>
      <c r="E15" s="67">
        <v>2024</v>
      </c>
      <c r="F15" s="65"/>
      <c r="G15" s="67">
        <v>2024</v>
      </c>
      <c r="H15" s="65"/>
      <c r="I15" s="67">
        <v>2024</v>
      </c>
      <c r="J15" s="63" t="s">
        <v>8</v>
      </c>
      <c r="M15" s="61"/>
      <c r="N15" s="62"/>
      <c r="O15" s="61"/>
      <c r="P15" s="62"/>
      <c r="Q15" s="61"/>
      <c r="R15" s="62"/>
      <c r="S15" s="61"/>
      <c r="T15" s="62"/>
      <c r="U15" s="61"/>
      <c r="V15" s="62"/>
      <c r="W15" s="61"/>
      <c r="X15" s="62"/>
    </row>
    <row r="16" spans="1:24" ht="15" customHeight="1" x14ac:dyDescent="0.3">
      <c r="A16" s="68"/>
      <c r="B16" s="69" t="s">
        <v>7</v>
      </c>
      <c r="C16" s="70">
        <v>5202.8972486460998</v>
      </c>
      <c r="D16" s="69" t="s">
        <v>7</v>
      </c>
      <c r="E16" s="70">
        <v>29.410027575165</v>
      </c>
      <c r="F16" s="69" t="s">
        <v>7</v>
      </c>
      <c r="G16" s="70">
        <v>33.658965449618997</v>
      </c>
      <c r="H16" s="69" t="s">
        <v>7</v>
      </c>
      <c r="I16" s="70">
        <v>0.40928198367355001</v>
      </c>
      <c r="J16" s="72">
        <f t="shared" ref="J16:J25" si="2">C16+E16+G16+I16</f>
        <v>5266.3755236545576</v>
      </c>
      <c r="K16" s="73">
        <f t="shared" ref="K16:K25" si="3">J16*1000</f>
        <v>5266375.5236545578</v>
      </c>
      <c r="M16" s="62"/>
      <c r="N16" s="74"/>
      <c r="O16" s="62"/>
      <c r="P16" s="74"/>
      <c r="Q16" s="62"/>
      <c r="R16" s="75"/>
      <c r="S16" s="62"/>
      <c r="T16" s="74"/>
      <c r="U16" s="62"/>
      <c r="V16" s="74"/>
      <c r="W16" s="62"/>
      <c r="X16" s="75"/>
    </row>
    <row r="17" spans="1:26" ht="15" customHeight="1" x14ac:dyDescent="0.3">
      <c r="A17" s="68"/>
      <c r="B17" s="69" t="s">
        <v>274</v>
      </c>
      <c r="C17" s="70">
        <v>118.29219145099</v>
      </c>
      <c r="D17" s="69" t="s">
        <v>274</v>
      </c>
      <c r="E17" s="71"/>
      <c r="F17" s="69" t="s">
        <v>274</v>
      </c>
      <c r="G17" s="71"/>
      <c r="H17" s="69" t="s">
        <v>274</v>
      </c>
      <c r="I17" s="71"/>
      <c r="J17" s="72">
        <f t="shared" si="2"/>
        <v>118.29219145099</v>
      </c>
      <c r="K17" s="73">
        <f t="shared" si="3"/>
        <v>118292.19145099001</v>
      </c>
      <c r="M17" s="61"/>
      <c r="N17" s="76"/>
      <c r="O17" s="61"/>
      <c r="P17" s="76"/>
      <c r="Q17" s="61"/>
      <c r="R17" s="76"/>
      <c r="S17" s="61"/>
      <c r="T17" s="76"/>
      <c r="U17" s="61"/>
      <c r="V17" s="76"/>
      <c r="W17" s="61"/>
      <c r="X17" s="76"/>
      <c r="Z17" s="77"/>
    </row>
    <row r="18" spans="1:26" ht="15" customHeight="1" x14ac:dyDescent="0.3">
      <c r="A18" s="68"/>
      <c r="B18" s="69" t="s">
        <v>9</v>
      </c>
      <c r="C18" s="70">
        <v>152.12405436781</v>
      </c>
      <c r="D18" s="69" t="s">
        <v>9</v>
      </c>
      <c r="E18" s="71"/>
      <c r="F18" s="69" t="s">
        <v>9</v>
      </c>
      <c r="G18" s="71"/>
      <c r="H18" s="69" t="s">
        <v>9</v>
      </c>
      <c r="I18" s="71"/>
      <c r="J18" s="72">
        <f t="shared" si="2"/>
        <v>152.12405436781</v>
      </c>
      <c r="K18" s="73">
        <f t="shared" si="3"/>
        <v>152124.05436780999</v>
      </c>
      <c r="M18" s="61"/>
      <c r="N18" s="76"/>
      <c r="O18" s="61"/>
      <c r="P18" s="78"/>
      <c r="Q18" s="61"/>
      <c r="R18" s="78"/>
      <c r="S18" s="61"/>
      <c r="T18" s="78"/>
      <c r="U18" s="61"/>
      <c r="V18" s="78"/>
      <c r="W18" s="61"/>
      <c r="X18" s="78"/>
      <c r="Z18" s="77"/>
    </row>
    <row r="19" spans="1:26" ht="15" customHeight="1" x14ac:dyDescent="0.3">
      <c r="A19" s="68"/>
      <c r="B19" s="69" t="s">
        <v>105</v>
      </c>
      <c r="C19" s="70">
        <v>760.14049290227001</v>
      </c>
      <c r="D19" s="69" t="s">
        <v>105</v>
      </c>
      <c r="E19" s="71"/>
      <c r="F19" s="69" t="s">
        <v>105</v>
      </c>
      <c r="G19" s="71"/>
      <c r="H19" s="69" t="s">
        <v>105</v>
      </c>
      <c r="I19" s="71"/>
      <c r="J19" s="72">
        <f t="shared" si="2"/>
        <v>760.14049290227001</v>
      </c>
      <c r="K19" s="73">
        <f t="shared" si="3"/>
        <v>760140.49290227005</v>
      </c>
      <c r="M19" s="61"/>
      <c r="N19" s="76"/>
      <c r="O19" s="61"/>
      <c r="P19" s="78"/>
      <c r="Q19" s="61"/>
      <c r="R19" s="78"/>
      <c r="S19" s="61"/>
      <c r="T19" s="78"/>
      <c r="U19" s="61"/>
      <c r="V19" s="78"/>
      <c r="W19" s="61"/>
      <c r="X19" s="78"/>
      <c r="Z19" s="77"/>
    </row>
    <row r="20" spans="1:26" ht="15" customHeight="1" x14ac:dyDescent="0.3">
      <c r="A20" s="68"/>
      <c r="B20" s="69" t="s">
        <v>51</v>
      </c>
      <c r="C20" s="70">
        <v>1275.3802347828</v>
      </c>
      <c r="D20" s="69" t="s">
        <v>51</v>
      </c>
      <c r="E20" s="70">
        <v>17.782082476094999</v>
      </c>
      <c r="F20" s="69" t="s">
        <v>51</v>
      </c>
      <c r="G20" s="70">
        <v>4.9834770636968004</v>
      </c>
      <c r="H20" s="69" t="s">
        <v>51</v>
      </c>
      <c r="I20" s="70">
        <v>9.7577161670515E-2</v>
      </c>
      <c r="J20" s="72">
        <f t="shared" si="2"/>
        <v>1298.2433714842623</v>
      </c>
      <c r="K20" s="73">
        <f t="shared" si="3"/>
        <v>1298243.3714842624</v>
      </c>
      <c r="M20" s="61"/>
      <c r="N20" s="76"/>
      <c r="O20" s="61"/>
      <c r="P20" s="76"/>
      <c r="Q20" s="61"/>
      <c r="R20" s="76"/>
      <c r="S20" s="61"/>
      <c r="T20" s="76"/>
      <c r="U20" s="61"/>
      <c r="V20" s="78"/>
      <c r="W20" s="61"/>
      <c r="X20" s="76"/>
      <c r="Z20" s="77"/>
    </row>
    <row r="21" spans="1:26" ht="15" customHeight="1" x14ac:dyDescent="0.3">
      <c r="A21" s="68"/>
      <c r="B21" s="69" t="s">
        <v>151</v>
      </c>
      <c r="C21" s="70">
        <v>349.52402110102997</v>
      </c>
      <c r="D21" s="69" t="s">
        <v>151</v>
      </c>
      <c r="E21" s="71"/>
      <c r="F21" s="69" t="s">
        <v>151</v>
      </c>
      <c r="G21" s="71"/>
      <c r="H21" s="69" t="s">
        <v>151</v>
      </c>
      <c r="I21" s="71"/>
      <c r="J21" s="72">
        <f t="shared" si="2"/>
        <v>349.52402110102997</v>
      </c>
      <c r="K21" s="73">
        <f t="shared" si="3"/>
        <v>349524.02110103</v>
      </c>
      <c r="M21" s="61"/>
      <c r="N21" s="76"/>
      <c r="O21" s="61"/>
      <c r="P21" s="76"/>
      <c r="Q21" s="61"/>
      <c r="R21" s="76"/>
      <c r="S21" s="61"/>
      <c r="T21" s="76"/>
      <c r="U21" s="61"/>
      <c r="V21" s="76"/>
      <c r="W21" s="61"/>
      <c r="X21" s="76"/>
      <c r="Z21" s="77"/>
    </row>
    <row r="22" spans="1:26" ht="15" customHeight="1" x14ac:dyDescent="0.3">
      <c r="A22" s="68"/>
      <c r="B22" s="69" t="s">
        <v>284</v>
      </c>
      <c r="C22" s="70">
        <v>27.2505039584</v>
      </c>
      <c r="D22" s="69" t="s">
        <v>284</v>
      </c>
      <c r="E22" s="71"/>
      <c r="F22" s="69" t="s">
        <v>284</v>
      </c>
      <c r="G22" s="71"/>
      <c r="H22" s="69" t="s">
        <v>284</v>
      </c>
      <c r="I22" s="71"/>
      <c r="J22" s="72">
        <f t="shared" si="2"/>
        <v>27.2505039584</v>
      </c>
      <c r="K22" s="73">
        <f t="shared" si="3"/>
        <v>27250.503958400001</v>
      </c>
      <c r="M22" s="61"/>
      <c r="N22" s="76"/>
      <c r="O22" s="61"/>
      <c r="P22" s="76"/>
      <c r="Q22" s="61"/>
      <c r="R22" s="78"/>
      <c r="S22" s="61"/>
      <c r="T22" s="78"/>
      <c r="U22" s="61"/>
      <c r="V22" s="78"/>
      <c r="W22" s="61"/>
      <c r="X22" s="78"/>
      <c r="Z22" s="77"/>
    </row>
    <row r="23" spans="1:26" ht="15" customHeight="1" x14ac:dyDescent="0.3">
      <c r="A23" s="68"/>
      <c r="B23" s="69" t="s">
        <v>183</v>
      </c>
      <c r="C23" s="70">
        <v>298.06880334898</v>
      </c>
      <c r="D23" s="69" t="s">
        <v>183</v>
      </c>
      <c r="E23" s="71"/>
      <c r="F23" s="69" t="s">
        <v>183</v>
      </c>
      <c r="G23" s="71"/>
      <c r="H23" s="69" t="s">
        <v>183</v>
      </c>
      <c r="I23" s="71"/>
      <c r="J23" s="72">
        <f t="shared" si="2"/>
        <v>298.06880334898</v>
      </c>
      <c r="K23" s="73">
        <f t="shared" si="3"/>
        <v>298068.80334897997</v>
      </c>
      <c r="M23" s="61"/>
      <c r="N23" s="76"/>
      <c r="O23" s="61"/>
      <c r="P23" s="78"/>
      <c r="Q23" s="61"/>
      <c r="R23" s="78"/>
      <c r="S23" s="61"/>
      <c r="T23" s="78"/>
      <c r="U23" s="61"/>
      <c r="V23" s="78"/>
      <c r="W23" s="61"/>
      <c r="X23" s="78"/>
      <c r="Z23" s="77"/>
    </row>
    <row r="24" spans="1:26" ht="15" customHeight="1" x14ac:dyDescent="0.3">
      <c r="A24" s="68"/>
      <c r="B24" s="69" t="s">
        <v>224</v>
      </c>
      <c r="C24" s="70">
        <v>1932.4459096327</v>
      </c>
      <c r="D24" s="69" t="s">
        <v>224</v>
      </c>
      <c r="E24" s="70">
        <v>11.627945099070001</v>
      </c>
      <c r="F24" s="69" t="s">
        <v>224</v>
      </c>
      <c r="G24" s="70">
        <v>28.675488385923</v>
      </c>
      <c r="H24" s="69" t="s">
        <v>224</v>
      </c>
      <c r="I24" s="70">
        <v>0.31170482200303001</v>
      </c>
      <c r="J24" s="72">
        <f t="shared" si="2"/>
        <v>1973.0610479396962</v>
      </c>
      <c r="K24" s="73">
        <f t="shared" si="3"/>
        <v>1973061.0479396961</v>
      </c>
      <c r="M24" s="61"/>
      <c r="N24" s="76"/>
      <c r="O24" s="61"/>
      <c r="P24" s="78"/>
      <c r="Q24" s="61"/>
      <c r="R24" s="78"/>
      <c r="S24" s="61"/>
      <c r="T24" s="78"/>
      <c r="U24" s="61"/>
      <c r="V24" s="78"/>
      <c r="W24" s="61"/>
      <c r="X24" s="78"/>
      <c r="Z24" s="77"/>
    </row>
    <row r="25" spans="1:26" ht="15" customHeight="1" x14ac:dyDescent="0.3">
      <c r="A25" s="68"/>
      <c r="B25" s="69" t="s">
        <v>213</v>
      </c>
      <c r="C25" s="70">
        <v>289.67103710113003</v>
      </c>
      <c r="D25" s="69" t="s">
        <v>213</v>
      </c>
      <c r="E25" s="71"/>
      <c r="F25" s="69" t="s">
        <v>213</v>
      </c>
      <c r="G25" s="71"/>
      <c r="H25" s="69" t="s">
        <v>213</v>
      </c>
      <c r="I25" s="71"/>
      <c r="J25" s="72">
        <f t="shared" si="2"/>
        <v>289.67103710113003</v>
      </c>
      <c r="K25" s="73">
        <f t="shared" si="3"/>
        <v>289671.03710113</v>
      </c>
      <c r="M25" s="61"/>
      <c r="N25" s="76"/>
      <c r="O25" s="61"/>
      <c r="P25" s="76"/>
      <c r="Q25" s="61"/>
      <c r="R25" s="76"/>
      <c r="S25" s="61"/>
      <c r="T25" s="76"/>
      <c r="U25" s="61"/>
      <c r="V25" s="76"/>
      <c r="W25" s="61"/>
      <c r="X25" s="76"/>
      <c r="Z25" s="77"/>
    </row>
    <row r="26" spans="1:26" ht="15" customHeight="1" x14ac:dyDescent="0.3">
      <c r="M26" s="61"/>
      <c r="N26" s="76"/>
      <c r="O26" s="61"/>
      <c r="P26" s="76"/>
      <c r="Q26" s="61"/>
      <c r="R26" s="78"/>
      <c r="S26" s="61"/>
      <c r="T26" s="78"/>
      <c r="U26" s="61"/>
      <c r="V26" s="78"/>
      <c r="W26" s="61"/>
      <c r="X26" s="76"/>
      <c r="Z26" s="77"/>
    </row>
    <row r="27" spans="1:26" ht="15" customHeight="1" x14ac:dyDescent="0.3">
      <c r="A27" s="62"/>
      <c r="B27" s="62" t="s">
        <v>713</v>
      </c>
      <c r="C27" s="62"/>
    </row>
    <row r="28" spans="1:26" ht="14.4" x14ac:dyDescent="0.3">
      <c r="A28" s="64"/>
      <c r="B28" s="65"/>
      <c r="C28" s="79">
        <v>2024</v>
      </c>
      <c r="Y28" s="77"/>
    </row>
    <row r="29" spans="1:26" ht="14.4" x14ac:dyDescent="0.3">
      <c r="A29" s="64"/>
      <c r="B29" s="65" t="s">
        <v>7</v>
      </c>
      <c r="C29" s="80">
        <v>1770.8265190064999</v>
      </c>
      <c r="D29" s="63">
        <f t="shared" ref="D29:D38" si="4">C29*1000</f>
        <v>1770826.5190064998</v>
      </c>
      <c r="Y29" s="77"/>
    </row>
    <row r="30" spans="1:26" ht="14.4" x14ac:dyDescent="0.3">
      <c r="A30" s="64"/>
      <c r="B30" s="65" t="s">
        <v>274</v>
      </c>
      <c r="C30" s="71"/>
      <c r="D30" s="63">
        <f t="shared" si="4"/>
        <v>0</v>
      </c>
      <c r="Y30" s="77"/>
    </row>
    <row r="31" spans="1:26" ht="14.4" x14ac:dyDescent="0.3">
      <c r="A31" s="64"/>
      <c r="B31" s="65" t="s">
        <v>9</v>
      </c>
      <c r="C31" s="80">
        <v>56.025514727389996</v>
      </c>
      <c r="D31" s="63">
        <f t="shared" si="4"/>
        <v>56025.514727389993</v>
      </c>
      <c r="Y31" s="77"/>
    </row>
    <row r="32" spans="1:26" ht="14.4" x14ac:dyDescent="0.3">
      <c r="A32" s="64"/>
      <c r="B32" s="65" t="s">
        <v>105</v>
      </c>
      <c r="C32" s="80">
        <v>547.52568680482</v>
      </c>
      <c r="D32" s="63">
        <f t="shared" si="4"/>
        <v>547525.68680481997</v>
      </c>
      <c r="Y32" s="77"/>
    </row>
    <row r="33" spans="1:25" ht="14.4" x14ac:dyDescent="0.3">
      <c r="A33" s="64"/>
      <c r="B33" s="65" t="s">
        <v>51</v>
      </c>
      <c r="C33" s="80">
        <v>300.33400993407002</v>
      </c>
      <c r="D33" s="63">
        <f t="shared" si="4"/>
        <v>300334.00993407</v>
      </c>
      <c r="Y33" s="77"/>
    </row>
    <row r="34" spans="1:25" ht="14.4" x14ac:dyDescent="0.3">
      <c r="A34" s="64"/>
      <c r="B34" s="65" t="s">
        <v>151</v>
      </c>
      <c r="C34" s="80">
        <v>51.259414372873003</v>
      </c>
      <c r="D34" s="63">
        <f t="shared" si="4"/>
        <v>51259.414372873005</v>
      </c>
      <c r="Y34" s="77"/>
    </row>
    <row r="35" spans="1:25" ht="14.4" x14ac:dyDescent="0.3">
      <c r="A35" s="64"/>
      <c r="B35" s="65" t="s">
        <v>284</v>
      </c>
      <c r="C35" s="71"/>
      <c r="D35" s="63">
        <f t="shared" si="4"/>
        <v>0</v>
      </c>
      <c r="Y35" s="77"/>
    </row>
    <row r="36" spans="1:25" ht="14.4" x14ac:dyDescent="0.3">
      <c r="A36" s="64"/>
      <c r="B36" s="65" t="s">
        <v>183</v>
      </c>
      <c r="C36" s="80">
        <v>3.3451891293834999</v>
      </c>
      <c r="D36" s="63">
        <f t="shared" si="4"/>
        <v>3345.1891293834997</v>
      </c>
      <c r="Y36" s="77"/>
    </row>
    <row r="37" spans="1:25" ht="14.4" x14ac:dyDescent="0.3">
      <c r="A37" s="64"/>
      <c r="B37" s="65" t="s">
        <v>224</v>
      </c>
      <c r="C37" s="80">
        <v>685.8590459431</v>
      </c>
      <c r="D37" s="63">
        <f t="shared" si="4"/>
        <v>685859.04594310001</v>
      </c>
      <c r="Y37" s="77"/>
    </row>
    <row r="38" spans="1:25" ht="14.4" x14ac:dyDescent="0.3">
      <c r="A38" s="64"/>
      <c r="B38" s="65" t="s">
        <v>213</v>
      </c>
      <c r="C38" s="80">
        <v>126.47765809489</v>
      </c>
      <c r="D38" s="63">
        <f t="shared" si="4"/>
        <v>126477.65809489001</v>
      </c>
    </row>
  </sheetData>
  <autoFilter ref="A2:O12" xr:uid="{00000000-0009-0000-0000-000002000000}">
    <sortState xmlns:xlrd2="http://schemas.microsoft.com/office/spreadsheetml/2017/richdata2" ref="A2:O12">
      <sortCondition ref="A2:A1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X100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" customHeight="1" x14ac:dyDescent="0.25"/>
  <cols>
    <col min="1" max="1" width="10.44140625" customWidth="1"/>
  </cols>
  <sheetData>
    <row r="1" spans="1:76" ht="15.75" customHeight="1" x14ac:dyDescent="0.25">
      <c r="A1" s="81" t="s">
        <v>714</v>
      </c>
      <c r="B1" s="81" t="s">
        <v>0</v>
      </c>
      <c r="C1" s="82" t="s">
        <v>1</v>
      </c>
      <c r="D1" s="83" t="s">
        <v>715</v>
      </c>
      <c r="E1" s="84" t="s">
        <v>716</v>
      </c>
      <c r="F1" s="83" t="s">
        <v>717</v>
      </c>
      <c r="G1" s="85" t="s">
        <v>718</v>
      </c>
      <c r="H1" s="85" t="s">
        <v>719</v>
      </c>
      <c r="I1" s="85" t="s">
        <v>720</v>
      </c>
      <c r="J1" s="84" t="s">
        <v>721</v>
      </c>
      <c r="K1" s="86" t="s">
        <v>722</v>
      </c>
      <c r="L1" s="87" t="s">
        <v>723</v>
      </c>
      <c r="M1" s="87" t="s">
        <v>719</v>
      </c>
      <c r="N1" s="87" t="s">
        <v>720</v>
      </c>
      <c r="O1" s="88" t="s">
        <v>721</v>
      </c>
      <c r="P1" s="83" t="s">
        <v>724</v>
      </c>
      <c r="Q1" s="85" t="s">
        <v>725</v>
      </c>
      <c r="R1" s="85" t="s">
        <v>719</v>
      </c>
      <c r="S1" s="85" t="s">
        <v>720</v>
      </c>
      <c r="T1" s="84" t="s">
        <v>721</v>
      </c>
      <c r="U1" s="89" t="s">
        <v>726</v>
      </c>
      <c r="V1" s="89" t="s">
        <v>727</v>
      </c>
      <c r="W1" s="90" t="s">
        <v>728</v>
      </c>
      <c r="X1" s="91" t="s">
        <v>729</v>
      </c>
      <c r="Y1" s="90" t="s">
        <v>730</v>
      </c>
      <c r="Z1" s="92" t="s">
        <v>731</v>
      </c>
      <c r="AA1" s="92" t="s">
        <v>719</v>
      </c>
      <c r="AB1" s="92" t="s">
        <v>720</v>
      </c>
      <c r="AC1" s="91" t="s">
        <v>721</v>
      </c>
      <c r="AD1" s="90" t="s">
        <v>732</v>
      </c>
      <c r="AE1" s="92" t="s">
        <v>733</v>
      </c>
      <c r="AF1" s="92" t="s">
        <v>719</v>
      </c>
      <c r="AG1" s="92" t="s">
        <v>720</v>
      </c>
      <c r="AH1" s="91" t="s">
        <v>721</v>
      </c>
      <c r="AI1" s="93" t="s">
        <v>734</v>
      </c>
      <c r="AJ1" s="94" t="s">
        <v>735</v>
      </c>
      <c r="AK1" s="94" t="s">
        <v>719</v>
      </c>
      <c r="AL1" s="94" t="s">
        <v>720</v>
      </c>
      <c r="AM1" s="94" t="s">
        <v>721</v>
      </c>
      <c r="AN1" s="95" t="s">
        <v>726</v>
      </c>
      <c r="AO1" s="89" t="s">
        <v>727</v>
      </c>
      <c r="AP1" s="96"/>
      <c r="AQ1" s="97" t="s">
        <v>736</v>
      </c>
      <c r="AR1" s="98">
        <v>2.26129E-3</v>
      </c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</row>
    <row r="2" spans="1:76" ht="15.75" customHeight="1" x14ac:dyDescent="0.3">
      <c r="A2" s="99">
        <v>10101</v>
      </c>
      <c r="B2" s="62" t="s">
        <v>9</v>
      </c>
      <c r="C2" s="62" t="s">
        <v>34</v>
      </c>
      <c r="D2" s="100">
        <v>60425</v>
      </c>
      <c r="E2" s="101">
        <v>270403</v>
      </c>
      <c r="F2" s="102">
        <v>48495.819865374877</v>
      </c>
      <c r="G2" s="103">
        <v>44976043</v>
      </c>
      <c r="H2" s="103">
        <f t="shared" ref="H2:H256" si="0">G2*$AR$1</f>
        <v>101703.87627547</v>
      </c>
      <c r="I2" s="104">
        <f t="shared" ref="I2:I30" si="1">F2/SUM($F$2:$F$30)</f>
        <v>0.97267211741178106</v>
      </c>
      <c r="J2" s="105">
        <f t="shared" ref="J2:J256" si="2">(H2*I2)/E2</f>
        <v>0.36584107678482564</v>
      </c>
      <c r="K2" s="106">
        <v>10191.267010968009</v>
      </c>
      <c r="L2" s="107">
        <v>65622300</v>
      </c>
      <c r="M2" s="103">
        <f t="shared" ref="M2:M256" si="3">L2*$AR$2</f>
        <v>177867.71600808611</v>
      </c>
      <c r="N2" s="104">
        <f t="shared" ref="N2:N30" si="4">K2/SUM($K$2:$K$30)</f>
        <v>0.96465857989649162</v>
      </c>
      <c r="O2" s="105">
        <f t="shared" ref="O2:O256" si="5">(M2*N2)/E2</f>
        <v>0.6345403650617516</v>
      </c>
      <c r="P2" s="102">
        <v>1735.9852149164969</v>
      </c>
      <c r="Q2" s="103">
        <v>22144982973</v>
      </c>
      <c r="R2" s="103">
        <f t="shared" ref="R2:R256" si="6">Q2*$AR$3</f>
        <v>43143.003180715306</v>
      </c>
      <c r="S2" s="104">
        <f t="shared" ref="S2:S30" si="7">P2/SUM($P$2:$P$30)</f>
        <v>0.97745619904929792</v>
      </c>
      <c r="T2" s="105">
        <f t="shared" ref="T2:T256" si="8">(R2*S2)/E2</f>
        <v>0.15595387589854312</v>
      </c>
      <c r="U2" s="104">
        <f t="shared" ref="U2:U256" si="9">J2+O2+T2</f>
        <v>1.1563353177451203</v>
      </c>
      <c r="V2" s="103">
        <f t="shared" ref="V2:V256" si="10">(H2*I2)+(M2*N2)+(R2*S2)</f>
        <v>312676.53892423376</v>
      </c>
      <c r="W2" s="100">
        <v>90312</v>
      </c>
      <c r="X2" s="101">
        <v>296746</v>
      </c>
      <c r="Y2" s="102">
        <v>75895.704387575868</v>
      </c>
      <c r="Z2" s="107">
        <v>82356869</v>
      </c>
      <c r="AA2" s="103">
        <v>186233.13491299</v>
      </c>
      <c r="AB2" s="104">
        <f t="shared" ref="AB2:AB30" si="11">Y2/SUM($Y$2:$Y$30)</f>
        <v>0.94105140864406678</v>
      </c>
      <c r="AC2" s="105">
        <f t="shared" ref="AC2:AC256" si="12">(AA2*AB2)/X2</f>
        <v>0.59058910295697253</v>
      </c>
      <c r="AD2" s="102">
        <v>11955.81091958147</v>
      </c>
      <c r="AE2" s="103">
        <v>78037527</v>
      </c>
      <c r="AF2" s="103">
        <v>152124.05436780999</v>
      </c>
      <c r="AG2" s="104">
        <f t="shared" ref="AG2:AG30" si="13">AD2/SUM($AD$2:$AD$30)</f>
        <v>0.9406162911809568</v>
      </c>
      <c r="AH2" s="105">
        <f t="shared" ref="AH2:AH256" si="14">(AF2*AG2)/X2</f>
        <v>0.48219812168945725</v>
      </c>
      <c r="AI2" s="106">
        <v>2458.0882642818901</v>
      </c>
      <c r="AJ2" s="103">
        <v>28757480427</v>
      </c>
      <c r="AK2" s="103">
        <v>56025.514727389993</v>
      </c>
      <c r="AL2" s="104">
        <f t="shared" ref="AL2:AL30" si="15">AI2/SUM($AI$2:$AI$30)</f>
        <v>0.96133550410901081</v>
      </c>
      <c r="AM2" s="104">
        <f t="shared" ref="AM2:AM256" si="16">(AK2*AL2)/X2</f>
        <v>0.18149972179379764</v>
      </c>
      <c r="AN2" s="108">
        <f t="shared" ref="AN2:AN256" si="17">AC2+AH2+AM2</f>
        <v>1.2542869464402275</v>
      </c>
      <c r="AO2" s="101">
        <f t="shared" ref="AO2:AO256" si="18">(AA2*AB2)+(AF2*AG2)+(AK2*AL2)</f>
        <v>372204.63420835178</v>
      </c>
      <c r="AQ2" s="109" t="s">
        <v>737</v>
      </c>
      <c r="AR2" s="110">
        <v>2.7104767130698877E-3</v>
      </c>
    </row>
    <row r="3" spans="1:76" ht="15.75" customHeight="1" x14ac:dyDescent="0.3">
      <c r="A3" s="99">
        <v>10102</v>
      </c>
      <c r="B3" s="62" t="s">
        <v>9</v>
      </c>
      <c r="C3" s="62" t="s">
        <v>50</v>
      </c>
      <c r="D3" s="100">
        <v>14</v>
      </c>
      <c r="E3" s="101">
        <v>9409.75</v>
      </c>
      <c r="F3" s="102">
        <v>8.3158991324796574</v>
      </c>
      <c r="G3" s="103">
        <v>44976043</v>
      </c>
      <c r="H3" s="103">
        <f t="shared" si="0"/>
        <v>101703.87627547</v>
      </c>
      <c r="I3" s="104">
        <f t="shared" si="1"/>
        <v>1.6679052421066342E-4</v>
      </c>
      <c r="J3" s="105">
        <f t="shared" si="2"/>
        <v>1.8027304485498654E-3</v>
      </c>
      <c r="K3" s="106">
        <v>5.2331346869983326</v>
      </c>
      <c r="L3" s="107">
        <v>65622300</v>
      </c>
      <c r="M3" s="103">
        <f t="shared" si="3"/>
        <v>177867.71600808611</v>
      </c>
      <c r="N3" s="104">
        <f t="shared" si="4"/>
        <v>4.9534452096426673E-4</v>
      </c>
      <c r="O3" s="105">
        <f t="shared" si="5"/>
        <v>9.3632454189573212E-3</v>
      </c>
      <c r="P3" s="102">
        <v>0.45031742584259821</v>
      </c>
      <c r="Q3" s="103">
        <v>22144982973</v>
      </c>
      <c r="R3" s="103">
        <f t="shared" si="6"/>
        <v>43143.003180715306</v>
      </c>
      <c r="S3" s="104">
        <f t="shared" si="7"/>
        <v>2.5355374898797315E-4</v>
      </c>
      <c r="T3" s="105">
        <f t="shared" si="8"/>
        <v>1.1625250616722458E-3</v>
      </c>
      <c r="U3" s="104">
        <f t="shared" si="9"/>
        <v>1.2328500929179432E-2</v>
      </c>
      <c r="V3" s="103">
        <f t="shared" si="10"/>
        <v>116.00811161834616</v>
      </c>
      <c r="W3" s="100">
        <v>128</v>
      </c>
      <c r="X3" s="101">
        <v>9256</v>
      </c>
      <c r="Y3" s="102">
        <v>92.340633384459053</v>
      </c>
      <c r="Z3" s="107">
        <v>82356869</v>
      </c>
      <c r="AA3" s="103">
        <v>186233.13491299</v>
      </c>
      <c r="AB3" s="104">
        <f t="shared" si="11"/>
        <v>1.1449565403303065E-3</v>
      </c>
      <c r="AC3" s="105">
        <f t="shared" si="12"/>
        <v>2.3036824313401497E-2</v>
      </c>
      <c r="AD3" s="102">
        <v>31.352949259985039</v>
      </c>
      <c r="AE3" s="103">
        <v>78037527</v>
      </c>
      <c r="AF3" s="103">
        <v>152124.05436780999</v>
      </c>
      <c r="AG3" s="104">
        <f t="shared" si="13"/>
        <v>2.466674577649161E-3</v>
      </c>
      <c r="AH3" s="105">
        <f t="shared" si="14"/>
        <v>4.0540248223638255E-2</v>
      </c>
      <c r="AI3" s="106">
        <v>4.3016480601964897</v>
      </c>
      <c r="AJ3" s="103">
        <v>28757480427</v>
      </c>
      <c r="AK3" s="103">
        <v>56025.514727389993</v>
      </c>
      <c r="AL3" s="104">
        <f t="shared" si="15"/>
        <v>1.6823346283119096E-3</v>
      </c>
      <c r="AM3" s="104">
        <f t="shared" si="16"/>
        <v>1.0182980066431186E-2</v>
      </c>
      <c r="AN3" s="108">
        <f t="shared" si="17"/>
        <v>7.3760052603470946E-2</v>
      </c>
      <c r="AO3" s="101">
        <f t="shared" si="18"/>
        <v>682.72304689772704</v>
      </c>
      <c r="AQ3" s="109" t="s">
        <v>738</v>
      </c>
      <c r="AR3" s="111">
        <v>1.948206654E-6</v>
      </c>
    </row>
    <row r="4" spans="1:76" ht="15.75" customHeight="1" x14ac:dyDescent="0.3">
      <c r="A4" s="99">
        <v>10103</v>
      </c>
      <c r="B4" s="62" t="s">
        <v>9</v>
      </c>
      <c r="C4" s="62" t="s">
        <v>29</v>
      </c>
      <c r="D4" s="100">
        <v>2</v>
      </c>
      <c r="E4" s="101">
        <v>15811.25</v>
      </c>
      <c r="F4" s="102">
        <v>0.95638753846741287</v>
      </c>
      <c r="G4" s="103">
        <v>44976043</v>
      </c>
      <c r="H4" s="103">
        <f t="shared" si="0"/>
        <v>101703.87627547</v>
      </c>
      <c r="I4" s="104">
        <f t="shared" si="1"/>
        <v>1.9182096409334489E-5</v>
      </c>
      <c r="J4" s="105">
        <f t="shared" si="2"/>
        <v>1.2338642168829739E-4</v>
      </c>
      <c r="K4" s="106">
        <v>0.98963689767408247</v>
      </c>
      <c r="L4" s="107">
        <v>65622300</v>
      </c>
      <c r="M4" s="103">
        <f t="shared" si="3"/>
        <v>177867.71600808611</v>
      </c>
      <c r="N4" s="104">
        <f t="shared" si="4"/>
        <v>9.367448849058976E-5</v>
      </c>
      <c r="O4" s="105">
        <f t="shared" si="5"/>
        <v>1.0537855840649507E-3</v>
      </c>
      <c r="P4" s="102">
        <v>5.3739996465511281E-2</v>
      </c>
      <c r="Q4" s="103">
        <v>22144982973</v>
      </c>
      <c r="R4" s="103">
        <f t="shared" si="6"/>
        <v>43143.003180715306</v>
      </c>
      <c r="S4" s="104">
        <f t="shared" si="7"/>
        <v>3.0258606024261587E-5</v>
      </c>
      <c r="T4" s="105">
        <f t="shared" si="8"/>
        <v>8.2564448474897875E-5</v>
      </c>
      <c r="U4" s="104">
        <f t="shared" si="9"/>
        <v>1.259736454228146E-3</v>
      </c>
      <c r="V4" s="103">
        <f t="shared" si="10"/>
        <v>19.918008011914772</v>
      </c>
      <c r="W4" s="100">
        <v>2</v>
      </c>
      <c r="X4" s="101">
        <v>13649</v>
      </c>
      <c r="Y4" s="102">
        <v>0.95638753846741287</v>
      </c>
      <c r="Z4" s="107">
        <v>82356869</v>
      </c>
      <c r="AA4" s="103">
        <v>186233.13491299</v>
      </c>
      <c r="AB4" s="104">
        <f t="shared" si="11"/>
        <v>1.1858508298286803E-5</v>
      </c>
      <c r="AC4" s="105">
        <f t="shared" si="12"/>
        <v>1.6180285557781946E-4</v>
      </c>
      <c r="AD4" s="102">
        <v>0.98963689767408247</v>
      </c>
      <c r="AE4" s="103">
        <v>78037527</v>
      </c>
      <c r="AF4" s="103">
        <v>152124.05436780999</v>
      </c>
      <c r="AG4" s="104">
        <f t="shared" si="13"/>
        <v>7.7859092500486777E-5</v>
      </c>
      <c r="AH4" s="105">
        <f t="shared" si="14"/>
        <v>8.6777352337697984E-4</v>
      </c>
      <c r="AI4" s="106">
        <v>5.3739996465511281E-2</v>
      </c>
      <c r="AJ4" s="103">
        <v>28757480427</v>
      </c>
      <c r="AK4" s="103">
        <v>56025.514727389993</v>
      </c>
      <c r="AL4" s="104">
        <f t="shared" si="15"/>
        <v>2.1017213801344686E-5</v>
      </c>
      <c r="AM4" s="104">
        <f t="shared" si="16"/>
        <v>8.6270072632129897E-5</v>
      </c>
      <c r="AN4" s="108">
        <f t="shared" si="17"/>
        <v>1.1158464515869293E-3</v>
      </c>
      <c r="AO4" s="101">
        <f t="shared" si="18"/>
        <v>15.230188217709998</v>
      </c>
    </row>
    <row r="5" spans="1:76" ht="15.75" customHeight="1" x14ac:dyDescent="0.3">
      <c r="A5" s="99">
        <v>10201</v>
      </c>
      <c r="B5" s="62" t="s">
        <v>9</v>
      </c>
      <c r="C5" s="62" t="s">
        <v>739</v>
      </c>
      <c r="D5" s="112">
        <v>5</v>
      </c>
      <c r="E5" s="113">
        <v>9964.75</v>
      </c>
      <c r="F5" s="114">
        <v>2</v>
      </c>
      <c r="G5" s="103">
        <v>44976043</v>
      </c>
      <c r="H5" s="103">
        <f t="shared" si="0"/>
        <v>101703.87627547</v>
      </c>
      <c r="I5" s="104">
        <f t="shared" si="1"/>
        <v>4.0113647737554844E-5</v>
      </c>
      <c r="J5" s="105">
        <f t="shared" si="2"/>
        <v>4.0941453287418801E-4</v>
      </c>
      <c r="K5" s="115">
        <v>3</v>
      </c>
      <c r="L5" s="107">
        <v>65622300</v>
      </c>
      <c r="M5" s="103">
        <f t="shared" si="3"/>
        <v>177867.71600808611</v>
      </c>
      <c r="N5" s="104">
        <f t="shared" si="4"/>
        <v>2.8396623663916667E-4</v>
      </c>
      <c r="O5" s="105">
        <f t="shared" si="5"/>
        <v>5.0687097954710625E-3</v>
      </c>
      <c r="P5" s="114">
        <v>0</v>
      </c>
      <c r="Q5" s="103">
        <v>22144982973</v>
      </c>
      <c r="R5" s="103">
        <f t="shared" si="6"/>
        <v>43143.003180715306</v>
      </c>
      <c r="S5" s="104">
        <f t="shared" si="7"/>
        <v>0</v>
      </c>
      <c r="T5" s="105">
        <f t="shared" si="8"/>
        <v>0</v>
      </c>
      <c r="U5" s="104">
        <f t="shared" si="9"/>
        <v>5.4781243283452503E-3</v>
      </c>
      <c r="V5" s="103">
        <f t="shared" si="10"/>
        <v>54.58813940087834</v>
      </c>
      <c r="W5" s="112">
        <v>5</v>
      </c>
      <c r="X5" s="101">
        <v>7903</v>
      </c>
      <c r="Y5" s="114">
        <v>2</v>
      </c>
      <c r="Z5" s="107">
        <v>82356869</v>
      </c>
      <c r="AA5" s="103">
        <v>186233.13491299</v>
      </c>
      <c r="AB5" s="104">
        <f t="shared" si="11"/>
        <v>2.4798542058148867E-5</v>
      </c>
      <c r="AC5" s="105">
        <f t="shared" si="12"/>
        <v>5.8437431719102814E-4</v>
      </c>
      <c r="AD5" s="114">
        <v>3</v>
      </c>
      <c r="AE5" s="103">
        <v>78037527</v>
      </c>
      <c r="AF5" s="103">
        <v>152124.05436780999</v>
      </c>
      <c r="AG5" s="104">
        <f t="shared" si="13"/>
        <v>2.3602321017984559E-4</v>
      </c>
      <c r="AH5" s="105">
        <f t="shared" si="14"/>
        <v>4.5431871007799414E-3</v>
      </c>
      <c r="AI5" s="115">
        <v>0</v>
      </c>
      <c r="AJ5" s="103">
        <v>28757480427</v>
      </c>
      <c r="AK5" s="103">
        <v>56025.514727389993</v>
      </c>
      <c r="AL5" s="104">
        <f t="shared" si="15"/>
        <v>0</v>
      </c>
      <c r="AM5" s="104">
        <f t="shared" si="16"/>
        <v>0</v>
      </c>
      <c r="AN5" s="108">
        <f t="shared" si="17"/>
        <v>5.1275614179709696E-3</v>
      </c>
      <c r="AO5" s="101">
        <f t="shared" si="18"/>
        <v>40.523117886224568</v>
      </c>
      <c r="AQ5" s="116" t="s">
        <v>714</v>
      </c>
      <c r="AR5" s="116" t="s">
        <v>0</v>
      </c>
      <c r="AS5" s="83" t="s">
        <v>715</v>
      </c>
      <c r="AT5" s="84" t="s">
        <v>716</v>
      </c>
      <c r="AU5" s="83" t="s">
        <v>717</v>
      </c>
      <c r="AV5" s="85" t="s">
        <v>718</v>
      </c>
      <c r="AW5" s="85" t="s">
        <v>719</v>
      </c>
      <c r="AX5" s="84" t="s">
        <v>740</v>
      </c>
      <c r="AY5" s="86" t="s">
        <v>722</v>
      </c>
      <c r="AZ5" s="87" t="s">
        <v>723</v>
      </c>
      <c r="BA5" s="87" t="s">
        <v>719</v>
      </c>
      <c r="BB5" s="88" t="s">
        <v>721</v>
      </c>
      <c r="BC5" s="83" t="s">
        <v>724</v>
      </c>
      <c r="BD5" s="85" t="s">
        <v>725</v>
      </c>
      <c r="BE5" s="85" t="s">
        <v>719</v>
      </c>
      <c r="BF5" s="84" t="s">
        <v>740</v>
      </c>
      <c r="BG5" s="89" t="s">
        <v>741</v>
      </c>
      <c r="BH5" s="89" t="s">
        <v>727</v>
      </c>
      <c r="BI5" s="90" t="s">
        <v>728</v>
      </c>
      <c r="BJ5" s="91" t="s">
        <v>729</v>
      </c>
      <c r="BK5" s="90" t="s">
        <v>730</v>
      </c>
      <c r="BL5" s="92" t="s">
        <v>731</v>
      </c>
      <c r="BM5" s="92" t="s">
        <v>719</v>
      </c>
      <c r="BN5" s="91" t="s">
        <v>721</v>
      </c>
      <c r="BO5" s="90" t="s">
        <v>732</v>
      </c>
      <c r="BP5" s="92" t="s">
        <v>733</v>
      </c>
      <c r="BQ5" s="92" t="s">
        <v>719</v>
      </c>
      <c r="BR5" s="91" t="s">
        <v>721</v>
      </c>
      <c r="BS5" s="93" t="s">
        <v>734</v>
      </c>
      <c r="BT5" s="94" t="s">
        <v>735</v>
      </c>
      <c r="BU5" s="94" t="s">
        <v>719</v>
      </c>
      <c r="BV5" s="94" t="s">
        <v>721</v>
      </c>
      <c r="BW5" s="117" t="s">
        <v>742</v>
      </c>
      <c r="BX5" s="89" t="s">
        <v>727</v>
      </c>
    </row>
    <row r="6" spans="1:76" ht="15.75" customHeight="1" x14ac:dyDescent="0.3">
      <c r="A6" s="99">
        <v>10202</v>
      </c>
      <c r="B6" s="62" t="s">
        <v>9</v>
      </c>
      <c r="C6" s="62" t="s">
        <v>743</v>
      </c>
      <c r="D6" s="112">
        <v>2</v>
      </c>
      <c r="E6" s="113">
        <v>14898.75</v>
      </c>
      <c r="F6" s="114">
        <v>2</v>
      </c>
      <c r="G6" s="103">
        <v>44976043</v>
      </c>
      <c r="H6" s="103">
        <f t="shared" si="0"/>
        <v>101703.87627547</v>
      </c>
      <c r="I6" s="104">
        <f t="shared" si="1"/>
        <v>4.0113647737554844E-5</v>
      </c>
      <c r="J6" s="105">
        <f t="shared" si="2"/>
        <v>2.7382924516876014E-4</v>
      </c>
      <c r="K6" s="115">
        <v>0</v>
      </c>
      <c r="L6" s="107">
        <v>65622300</v>
      </c>
      <c r="M6" s="103">
        <f t="shared" si="3"/>
        <v>177867.71600808611</v>
      </c>
      <c r="N6" s="104">
        <f t="shared" si="4"/>
        <v>0</v>
      </c>
      <c r="O6" s="105">
        <f t="shared" si="5"/>
        <v>0</v>
      </c>
      <c r="P6" s="114">
        <v>0</v>
      </c>
      <c r="Q6" s="103">
        <v>22144982973</v>
      </c>
      <c r="R6" s="103">
        <f t="shared" si="6"/>
        <v>43143.003180715306</v>
      </c>
      <c r="S6" s="104">
        <f t="shared" si="7"/>
        <v>0</v>
      </c>
      <c r="T6" s="105">
        <f t="shared" si="8"/>
        <v>0</v>
      </c>
      <c r="U6" s="104">
        <f t="shared" si="9"/>
        <v>2.7382924516876014E-4</v>
      </c>
      <c r="V6" s="103">
        <f t="shared" si="10"/>
        <v>4.079713466458065</v>
      </c>
      <c r="W6" s="112">
        <v>2</v>
      </c>
      <c r="X6" s="101">
        <v>16812</v>
      </c>
      <c r="Y6" s="114">
        <v>2</v>
      </c>
      <c r="Z6" s="107">
        <v>82356869</v>
      </c>
      <c r="AA6" s="103">
        <v>186233.13491299</v>
      </c>
      <c r="AB6" s="104">
        <f t="shared" si="11"/>
        <v>2.4798542058148867E-5</v>
      </c>
      <c r="AC6" s="105">
        <f t="shared" si="12"/>
        <v>2.7470320180589432E-4</v>
      </c>
      <c r="AD6" s="114">
        <v>0</v>
      </c>
      <c r="AE6" s="103">
        <v>78037527</v>
      </c>
      <c r="AF6" s="103">
        <v>152124.05436780999</v>
      </c>
      <c r="AG6" s="104">
        <f t="shared" si="13"/>
        <v>0</v>
      </c>
      <c r="AH6" s="105">
        <f t="shared" si="14"/>
        <v>0</v>
      </c>
      <c r="AI6" s="115">
        <v>0</v>
      </c>
      <c r="AJ6" s="103">
        <v>28757480427</v>
      </c>
      <c r="AK6" s="103">
        <v>56025.514727389993</v>
      </c>
      <c r="AL6" s="104">
        <f t="shared" si="15"/>
        <v>0</v>
      </c>
      <c r="AM6" s="104">
        <f t="shared" si="16"/>
        <v>0</v>
      </c>
      <c r="AN6" s="108">
        <f t="shared" si="17"/>
        <v>2.7470320180589432E-4</v>
      </c>
      <c r="AO6" s="101">
        <f t="shared" si="18"/>
        <v>4.618310228760695</v>
      </c>
      <c r="AQ6" s="63">
        <v>1</v>
      </c>
      <c r="AR6" s="63" t="s">
        <v>9</v>
      </c>
      <c r="AS6" s="63">
        <f t="shared" ref="AS6:AU6" si="19">SUM(D2:D30)</f>
        <v>62202</v>
      </c>
      <c r="AT6" s="73">
        <f t="shared" si="19"/>
        <v>587199</v>
      </c>
      <c r="AU6" s="118">
        <f t="shared" si="19"/>
        <v>49858.342803553562</v>
      </c>
      <c r="AV6" s="73">
        <v>44976043</v>
      </c>
      <c r="AW6" s="103">
        <f t="shared" ref="AW6:AW14" si="20">AV6*$AR$1</f>
        <v>101703.87627547</v>
      </c>
      <c r="AX6" s="119">
        <f t="shared" ref="AX6:AX16" si="21">AW6/AT6</f>
        <v>0.17320171913690249</v>
      </c>
      <c r="AY6" s="118">
        <f>SUM(K2:K30)</f>
        <v>10564.636259246809</v>
      </c>
      <c r="AZ6" s="120">
        <v>65622300</v>
      </c>
      <c r="BA6" s="103">
        <f t="shared" ref="BA6:BA14" si="22">AZ6*$AR$2</f>
        <v>177867.71600808611</v>
      </c>
      <c r="BB6" s="119">
        <f t="shared" ref="BB6:BB16" si="23">BA6/AT6</f>
        <v>0.30290875156137204</v>
      </c>
      <c r="BC6" s="118">
        <f>SUM(P2:P30)</f>
        <v>1776.0235359957471</v>
      </c>
      <c r="BD6" s="73">
        <v>22144982973</v>
      </c>
      <c r="BE6" s="106">
        <f t="shared" ref="BE6:BE12" si="24">BD6*$AR$3</f>
        <v>43143.003180715306</v>
      </c>
      <c r="BF6" s="119">
        <f t="shared" ref="BF6:BF16" si="25">BE6/AT6</f>
        <v>7.3472541984429984E-2</v>
      </c>
      <c r="BG6" s="119">
        <f t="shared" ref="BG6:BG16" si="26">AX6+BB6+BF6</f>
        <v>0.54958301268270449</v>
      </c>
      <c r="BH6" s="103">
        <f t="shared" ref="BH6:BH16" si="27">AW6+BA6+BE6</f>
        <v>322714.59546427144</v>
      </c>
      <c r="BI6" s="63">
        <f t="shared" ref="BI6:BK6" si="28">SUM(W2:W30)</f>
        <v>95921</v>
      </c>
      <c r="BJ6" s="73">
        <f t="shared" si="28"/>
        <v>606027</v>
      </c>
      <c r="BK6" s="118">
        <f t="shared" si="28"/>
        <v>80649.902535007888</v>
      </c>
      <c r="BL6" s="73">
        <v>82356869</v>
      </c>
      <c r="BM6" s="73">
        <v>186233.13491299</v>
      </c>
      <c r="BN6" s="119">
        <f t="shared" ref="BN6:BN16" si="29">BM6/BJ6</f>
        <v>0.30730171248639088</v>
      </c>
      <c r="BO6" s="118">
        <f>SUM(AD2:AD30)</f>
        <v>12710.614340488175</v>
      </c>
      <c r="BP6" s="73">
        <v>78037527</v>
      </c>
      <c r="BQ6" s="73">
        <v>152124.05436780999</v>
      </c>
      <c r="BR6" s="119">
        <f t="shared" ref="BR6:BR16" si="30">BQ6/BJ6</f>
        <v>0.25101860868873827</v>
      </c>
      <c r="BS6" s="118">
        <f>SUM(AI2:AI30)</f>
        <v>2556.951505250091</v>
      </c>
      <c r="BT6" s="73">
        <v>28757480427</v>
      </c>
      <c r="BU6" s="103">
        <v>56025.514727389993</v>
      </c>
      <c r="BV6" s="119">
        <f t="shared" ref="BV6:BV16" si="31">BU6/BJ6</f>
        <v>9.2447225498847402E-2</v>
      </c>
      <c r="BW6" s="119">
        <f t="shared" ref="BW6:BW16" si="32">BN6+BR6+BV6</f>
        <v>0.65076754667397652</v>
      </c>
      <c r="BX6" s="103">
        <f t="shared" ref="BX6:BX16" si="33">BM6+BQ6+BU6</f>
        <v>394382.70400818996</v>
      </c>
    </row>
    <row r="7" spans="1:76" ht="15.75" customHeight="1" x14ac:dyDescent="0.3">
      <c r="A7" s="99">
        <v>10301</v>
      </c>
      <c r="B7" s="62" t="s">
        <v>9</v>
      </c>
      <c r="C7" s="62" t="s">
        <v>744</v>
      </c>
      <c r="D7" s="112">
        <v>2</v>
      </c>
      <c r="E7" s="113">
        <v>11945</v>
      </c>
      <c r="F7" s="114">
        <v>1</v>
      </c>
      <c r="G7" s="103">
        <v>44976043</v>
      </c>
      <c r="H7" s="103">
        <f t="shared" si="0"/>
        <v>101703.87627547</v>
      </c>
      <c r="I7" s="104">
        <f t="shared" si="1"/>
        <v>2.0056823868777422E-5</v>
      </c>
      <c r="J7" s="105">
        <f t="shared" si="2"/>
        <v>1.707707604210157E-4</v>
      </c>
      <c r="K7" s="115">
        <v>1</v>
      </c>
      <c r="L7" s="107">
        <v>65622300</v>
      </c>
      <c r="M7" s="103">
        <f t="shared" si="3"/>
        <v>177867.71600808611</v>
      </c>
      <c r="N7" s="104">
        <f t="shared" si="4"/>
        <v>9.4655412213055567E-5</v>
      </c>
      <c r="O7" s="105">
        <f t="shared" si="5"/>
        <v>1.4094719111042353E-3</v>
      </c>
      <c r="P7" s="114">
        <v>0</v>
      </c>
      <c r="Q7" s="103">
        <v>22144982973</v>
      </c>
      <c r="R7" s="103">
        <f t="shared" si="6"/>
        <v>43143.003180715306</v>
      </c>
      <c r="S7" s="104">
        <f t="shared" si="7"/>
        <v>0</v>
      </c>
      <c r="T7" s="105">
        <f t="shared" si="8"/>
        <v>0</v>
      </c>
      <c r="U7" s="104">
        <f t="shared" si="9"/>
        <v>1.5802426715252509E-3</v>
      </c>
      <c r="V7" s="103">
        <f t="shared" si="10"/>
        <v>18.875998711369125</v>
      </c>
      <c r="W7" s="121">
        <v>1278</v>
      </c>
      <c r="X7" s="101">
        <v>13694</v>
      </c>
      <c r="Y7" s="114">
        <v>1253.8560392953241</v>
      </c>
      <c r="Z7" s="107">
        <v>82356869</v>
      </c>
      <c r="AA7" s="103">
        <v>186233.13491299</v>
      </c>
      <c r="AB7" s="104">
        <f t="shared" si="11"/>
        <v>1.5546900862664526E-2</v>
      </c>
      <c r="AC7" s="105">
        <f t="shared" si="12"/>
        <v>0.21143187423948323</v>
      </c>
      <c r="AD7" s="114">
        <v>19.95688022156223</v>
      </c>
      <c r="AE7" s="103">
        <v>78037527</v>
      </c>
      <c r="AF7" s="103">
        <v>152124.05436780999</v>
      </c>
      <c r="AG7" s="104">
        <f t="shared" si="13"/>
        <v>1.5700956450225953E-3</v>
      </c>
      <c r="AH7" s="105">
        <f t="shared" si="14"/>
        <v>1.7441895375060537E-2</v>
      </c>
      <c r="AI7" s="115">
        <v>4.1832181741948702</v>
      </c>
      <c r="AJ7" s="103">
        <v>28757480427</v>
      </c>
      <c r="AK7" s="103">
        <v>56025.514727389993</v>
      </c>
      <c r="AL7" s="104">
        <f t="shared" si="15"/>
        <v>1.6360177991665574E-3</v>
      </c>
      <c r="AM7" s="104">
        <f t="shared" si="16"/>
        <v>6.6933503214165416E-3</v>
      </c>
      <c r="AN7" s="108">
        <f t="shared" si="17"/>
        <v>0.2355671199359603</v>
      </c>
      <c r="AO7" s="101">
        <f t="shared" si="18"/>
        <v>3225.8561404030402</v>
      </c>
      <c r="AQ7" s="63">
        <v>2</v>
      </c>
      <c r="AR7" s="63" t="s">
        <v>51</v>
      </c>
      <c r="AS7" s="73">
        <f t="shared" ref="AS7:AU7" si="34">SUM(D31:D117)</f>
        <v>380862</v>
      </c>
      <c r="AT7" s="73">
        <f t="shared" si="34"/>
        <v>2797237.25</v>
      </c>
      <c r="AU7" s="118">
        <f t="shared" si="34"/>
        <v>324495.10806175851</v>
      </c>
      <c r="AV7" s="73">
        <v>422290885</v>
      </c>
      <c r="AW7" s="103">
        <f t="shared" si="20"/>
        <v>954922.15534165001</v>
      </c>
      <c r="AX7" s="119">
        <f t="shared" si="21"/>
        <v>0.34138046579411524</v>
      </c>
      <c r="AY7" s="118">
        <f>SUM(K31:K117)</f>
        <v>42123.637844698918</v>
      </c>
      <c r="AZ7" s="73">
        <v>321118170</v>
      </c>
      <c r="BA7" s="103">
        <f t="shared" si="22"/>
        <v>870383.32192861743</v>
      </c>
      <c r="BB7" s="119">
        <f t="shared" si="23"/>
        <v>0.31115820509276337</v>
      </c>
      <c r="BC7" s="118">
        <f>SUM(P31:P117)</f>
        <v>14223.250594622843</v>
      </c>
      <c r="BD7" s="73">
        <v>115475189454</v>
      </c>
      <c r="BE7" s="106">
        <f t="shared" si="24"/>
        <v>224969.53246619343</v>
      </c>
      <c r="BF7" s="119">
        <f t="shared" si="25"/>
        <v>8.0425617264389501E-2</v>
      </c>
      <c r="BG7" s="119">
        <f t="shared" si="26"/>
        <v>0.73296428815126802</v>
      </c>
      <c r="BH7" s="103">
        <f t="shared" si="27"/>
        <v>2050275.0097364609</v>
      </c>
      <c r="BI7" s="73">
        <f t="shared" ref="BI7:BK7" si="35">SUM(W31:W117)</f>
        <v>579499</v>
      </c>
      <c r="BJ7" s="73">
        <f t="shared" si="35"/>
        <v>3030917</v>
      </c>
      <c r="BK7" s="118">
        <f t="shared" si="35"/>
        <v>497652.32943721267</v>
      </c>
      <c r="BL7" s="73">
        <v>614114060</v>
      </c>
      <c r="BM7" s="73">
        <v>1389217.3666199013</v>
      </c>
      <c r="BN7" s="119">
        <f t="shared" si="29"/>
        <v>0.45834886492104576</v>
      </c>
      <c r="BO7" s="118">
        <f>SUM(AD31:AD117)</f>
        <v>60812.398814757973</v>
      </c>
      <c r="BP7" s="73">
        <v>529749132</v>
      </c>
      <c r="BQ7" s="73">
        <v>1298243.3714842624</v>
      </c>
      <c r="BR7" s="119">
        <f t="shared" si="30"/>
        <v>0.42833352793371193</v>
      </c>
      <c r="BS7" s="118">
        <f>SUM(AI31:AI117)</f>
        <v>21011.477376641411</v>
      </c>
      <c r="BT7" s="73">
        <v>154159215745</v>
      </c>
      <c r="BU7" s="103">
        <v>300334.00993407</v>
      </c>
      <c r="BV7" s="119">
        <f t="shared" si="31"/>
        <v>9.9090146623635689E-2</v>
      </c>
      <c r="BW7" s="119">
        <f t="shared" si="32"/>
        <v>0.98577253947839338</v>
      </c>
      <c r="BX7" s="103">
        <f t="shared" si="33"/>
        <v>2987794.7480382337</v>
      </c>
    </row>
    <row r="8" spans="1:76" ht="15.75" customHeight="1" x14ac:dyDescent="0.3">
      <c r="A8" s="99">
        <v>10302</v>
      </c>
      <c r="B8" s="62" t="s">
        <v>9</v>
      </c>
      <c r="C8" s="62" t="s">
        <v>745</v>
      </c>
      <c r="D8" s="112"/>
      <c r="E8" s="113">
        <v>12423.5</v>
      </c>
      <c r="F8" s="114"/>
      <c r="G8" s="103">
        <v>44976043</v>
      </c>
      <c r="H8" s="103">
        <f t="shared" si="0"/>
        <v>101703.87627547</v>
      </c>
      <c r="I8" s="104">
        <f t="shared" si="1"/>
        <v>0</v>
      </c>
      <c r="J8" s="105">
        <f t="shared" si="2"/>
        <v>0</v>
      </c>
      <c r="K8" s="115"/>
      <c r="L8" s="107">
        <v>65622300</v>
      </c>
      <c r="M8" s="103">
        <f t="shared" si="3"/>
        <v>177867.71600808611</v>
      </c>
      <c r="N8" s="104">
        <f t="shared" si="4"/>
        <v>0</v>
      </c>
      <c r="O8" s="105">
        <f t="shared" si="5"/>
        <v>0</v>
      </c>
      <c r="P8" s="114"/>
      <c r="Q8" s="103">
        <v>22144982973</v>
      </c>
      <c r="R8" s="103">
        <f t="shared" si="6"/>
        <v>43143.003180715306</v>
      </c>
      <c r="S8" s="104">
        <f t="shared" si="7"/>
        <v>0</v>
      </c>
      <c r="T8" s="105">
        <f t="shared" si="8"/>
        <v>0</v>
      </c>
      <c r="U8" s="104">
        <f t="shared" si="9"/>
        <v>0</v>
      </c>
      <c r="V8" s="103">
        <f t="shared" si="10"/>
        <v>0</v>
      </c>
      <c r="W8" s="112"/>
      <c r="X8" s="101">
        <v>12539</v>
      </c>
      <c r="Y8" s="114"/>
      <c r="Z8" s="107">
        <v>82356869</v>
      </c>
      <c r="AA8" s="103">
        <v>186233.13491299</v>
      </c>
      <c r="AB8" s="104">
        <f t="shared" si="11"/>
        <v>0</v>
      </c>
      <c r="AC8" s="105">
        <f t="shared" si="12"/>
        <v>0</v>
      </c>
      <c r="AD8" s="114"/>
      <c r="AE8" s="103">
        <v>78037527</v>
      </c>
      <c r="AF8" s="103">
        <v>152124.05436780999</v>
      </c>
      <c r="AG8" s="104">
        <f t="shared" si="13"/>
        <v>0</v>
      </c>
      <c r="AH8" s="105">
        <f t="shared" si="14"/>
        <v>0</v>
      </c>
      <c r="AI8" s="115"/>
      <c r="AJ8" s="103">
        <v>28757480427</v>
      </c>
      <c r="AK8" s="103">
        <v>56025.514727389993</v>
      </c>
      <c r="AL8" s="104">
        <f t="shared" si="15"/>
        <v>0</v>
      </c>
      <c r="AM8" s="104">
        <f t="shared" si="16"/>
        <v>0</v>
      </c>
      <c r="AN8" s="108">
        <f t="shared" si="17"/>
        <v>0</v>
      </c>
      <c r="AO8" s="101">
        <f t="shared" si="18"/>
        <v>0</v>
      </c>
      <c r="AQ8" s="63">
        <v>3</v>
      </c>
      <c r="AR8" s="63" t="s">
        <v>105</v>
      </c>
      <c r="AS8" s="63">
        <f t="shared" ref="AS8:AU8" si="36">SUM(D118:D165)</f>
        <v>340323</v>
      </c>
      <c r="AT8" s="73">
        <f t="shared" si="36"/>
        <v>1826160</v>
      </c>
      <c r="AU8" s="118">
        <f t="shared" si="36"/>
        <v>277349.54190455313</v>
      </c>
      <c r="AV8" s="73">
        <v>220240099</v>
      </c>
      <c r="AW8" s="103">
        <f t="shared" si="20"/>
        <v>498026.73346770997</v>
      </c>
      <c r="AX8" s="119">
        <f t="shared" si="21"/>
        <v>0.27271801674974261</v>
      </c>
      <c r="AY8" s="118">
        <f>SUM(K118:K165)</f>
        <v>46680.780385463186</v>
      </c>
      <c r="AZ8" s="73">
        <v>300284090</v>
      </c>
      <c r="BA8" s="103">
        <f t="shared" si="22"/>
        <v>813913.03325038229</v>
      </c>
      <c r="BB8" s="119">
        <f t="shared" si="23"/>
        <v>0.44569645225521437</v>
      </c>
      <c r="BC8" s="118">
        <f>SUM(P118:P165)</f>
        <v>16260.698625576826</v>
      </c>
      <c r="BD8" s="73">
        <v>215025815918</v>
      </c>
      <c r="BE8" s="106">
        <f t="shared" si="24"/>
        <v>418914.72535322671</v>
      </c>
      <c r="BF8" s="119">
        <f t="shared" si="25"/>
        <v>0.22939650707124606</v>
      </c>
      <c r="BG8" s="119">
        <f t="shared" si="26"/>
        <v>0.94781097607620302</v>
      </c>
      <c r="BH8" s="103">
        <f t="shared" si="27"/>
        <v>1730854.4920713191</v>
      </c>
      <c r="BI8" s="63">
        <f t="shared" ref="BI8:BK8" si="37">SUM(W118:W165)</f>
        <v>537705</v>
      </c>
      <c r="BJ8" s="73">
        <f t="shared" si="37"/>
        <v>2016357</v>
      </c>
      <c r="BK8" s="118">
        <f t="shared" si="37"/>
        <v>456715.7265568212</v>
      </c>
      <c r="BL8" s="73">
        <v>378780105</v>
      </c>
      <c r="BM8" s="73">
        <v>866801.9064986615</v>
      </c>
      <c r="BN8" s="119">
        <f t="shared" si="29"/>
        <v>0.42988513765105163</v>
      </c>
      <c r="BO8" s="118">
        <f>SUM(AD118:AD165)</f>
        <v>58804.445335548276</v>
      </c>
      <c r="BP8" s="73">
        <v>326008197</v>
      </c>
      <c r="BQ8" s="73">
        <v>760140.49290227005</v>
      </c>
      <c r="BR8" s="119">
        <f t="shared" si="30"/>
        <v>0.37698705779892649</v>
      </c>
      <c r="BS8" s="118">
        <f>SUM(AI118:AI165)</f>
        <v>22132.724886446991</v>
      </c>
      <c r="BT8" s="73">
        <v>281040866790</v>
      </c>
      <c r="BU8" s="103">
        <v>547525.68680481997</v>
      </c>
      <c r="BV8" s="119">
        <f t="shared" si="31"/>
        <v>0.27154203685399952</v>
      </c>
      <c r="BW8" s="119">
        <f t="shared" si="32"/>
        <v>1.0784142323039776</v>
      </c>
      <c r="BX8" s="103">
        <f t="shared" si="33"/>
        <v>2174468.0862057516</v>
      </c>
    </row>
    <row r="9" spans="1:76" ht="15.75" customHeight="1" x14ac:dyDescent="0.3">
      <c r="A9" s="99">
        <v>10303</v>
      </c>
      <c r="B9" s="62" t="s">
        <v>9</v>
      </c>
      <c r="C9" s="62" t="s">
        <v>746</v>
      </c>
      <c r="D9" s="112">
        <v>6</v>
      </c>
      <c r="E9" s="113">
        <v>8314.75</v>
      </c>
      <c r="F9" s="114">
        <v>4</v>
      </c>
      <c r="G9" s="103">
        <v>44976043</v>
      </c>
      <c r="H9" s="103">
        <f t="shared" si="0"/>
        <v>101703.87627547</v>
      </c>
      <c r="I9" s="104">
        <f t="shared" si="1"/>
        <v>8.0227295475109687E-5</v>
      </c>
      <c r="J9" s="105">
        <f t="shared" si="2"/>
        <v>9.8131957460129648E-4</v>
      </c>
      <c r="K9" s="115">
        <v>2</v>
      </c>
      <c r="L9" s="107">
        <v>65622300</v>
      </c>
      <c r="M9" s="103">
        <f t="shared" si="3"/>
        <v>177867.71600808611</v>
      </c>
      <c r="N9" s="104">
        <f t="shared" si="4"/>
        <v>1.8931082442611113E-4</v>
      </c>
      <c r="O9" s="105">
        <f t="shared" si="5"/>
        <v>4.0497049167179024E-3</v>
      </c>
      <c r="P9" s="114">
        <v>0</v>
      </c>
      <c r="Q9" s="103">
        <v>22144982973</v>
      </c>
      <c r="R9" s="103">
        <f t="shared" si="6"/>
        <v>43143.003180715306</v>
      </c>
      <c r="S9" s="104">
        <f t="shared" si="7"/>
        <v>0</v>
      </c>
      <c r="T9" s="105">
        <f t="shared" si="8"/>
        <v>0</v>
      </c>
      <c r="U9" s="104">
        <f t="shared" si="9"/>
        <v>5.0310244913191991E-3</v>
      </c>
      <c r="V9" s="103">
        <f t="shared" si="10"/>
        <v>41.831710889196316</v>
      </c>
      <c r="W9" s="112">
        <v>52</v>
      </c>
      <c r="X9" s="101">
        <v>9055</v>
      </c>
      <c r="Y9" s="114">
        <v>39.080397603768589</v>
      </c>
      <c r="Z9" s="107">
        <v>82356869</v>
      </c>
      <c r="AA9" s="103">
        <v>186233.13491299</v>
      </c>
      <c r="AB9" s="104">
        <f t="shared" si="11"/>
        <v>4.8456844181311777E-4</v>
      </c>
      <c r="AC9" s="105">
        <f t="shared" si="12"/>
        <v>9.9660629485101831E-3</v>
      </c>
      <c r="AD9" s="114">
        <v>11.550618624989346</v>
      </c>
      <c r="AE9" s="103">
        <v>78037527</v>
      </c>
      <c r="AF9" s="103">
        <v>152124.05436780999</v>
      </c>
      <c r="AG9" s="104">
        <f t="shared" si="13"/>
        <v>9.0873802914436647E-4</v>
      </c>
      <c r="AH9" s="105">
        <f t="shared" si="14"/>
        <v>1.5266804345848052E-2</v>
      </c>
      <c r="AI9" s="115">
        <v>1.3666318747068638</v>
      </c>
      <c r="AJ9" s="103">
        <v>28757480427</v>
      </c>
      <c r="AK9" s="103">
        <v>56025.514727389993</v>
      </c>
      <c r="AL9" s="104">
        <f t="shared" si="15"/>
        <v>5.3447704107833518E-4</v>
      </c>
      <c r="AM9" s="104">
        <f t="shared" si="16"/>
        <v>3.3069410642060843E-3</v>
      </c>
      <c r="AN9" s="108">
        <f t="shared" si="17"/>
        <v>2.853980835856432E-2</v>
      </c>
      <c r="AO9" s="101">
        <f t="shared" si="18"/>
        <v>258.4279646867999</v>
      </c>
      <c r="AQ9" s="63">
        <v>4</v>
      </c>
      <c r="AR9" s="63" t="s">
        <v>151</v>
      </c>
      <c r="AS9" s="63">
        <f t="shared" ref="AS9:AU9" si="38">SUM(D166:D200)</f>
        <v>86626</v>
      </c>
      <c r="AT9" s="73">
        <f t="shared" si="38"/>
        <v>513808</v>
      </c>
      <c r="AU9" s="118">
        <f t="shared" si="38"/>
        <v>66220.437101322488</v>
      </c>
      <c r="AV9" s="73">
        <v>91012620</v>
      </c>
      <c r="AW9" s="103">
        <f t="shared" si="20"/>
        <v>205805.92747980001</v>
      </c>
      <c r="AX9" s="119">
        <f t="shared" si="21"/>
        <v>0.40055025900686642</v>
      </c>
      <c r="AY9" s="118">
        <f>SUM(K166:K200)</f>
        <v>15048.373318705624</v>
      </c>
      <c r="AZ9" s="73">
        <v>116763400</v>
      </c>
      <c r="BA9" s="103">
        <f t="shared" si="22"/>
        <v>316484.47663886455</v>
      </c>
      <c r="BB9" s="119">
        <f t="shared" si="23"/>
        <v>0.61595863948958474</v>
      </c>
      <c r="BC9" s="118">
        <f>SUM(P166:P200)</f>
        <v>5353.1990793598197</v>
      </c>
      <c r="BD9" s="73">
        <v>16330426269</v>
      </c>
      <c r="BE9" s="106">
        <f t="shared" si="24"/>
        <v>31815.045119922193</v>
      </c>
      <c r="BF9" s="119">
        <f t="shared" si="25"/>
        <v>6.1920104630372036E-2</v>
      </c>
      <c r="BG9" s="119">
        <f t="shared" si="26"/>
        <v>1.0784290031268233</v>
      </c>
      <c r="BH9" s="103">
        <f t="shared" si="27"/>
        <v>554105.44923858671</v>
      </c>
      <c r="BI9" s="63">
        <f t="shared" ref="BI9:BK9" si="39">SUM(W166:W200)</f>
        <v>124008</v>
      </c>
      <c r="BJ9" s="73">
        <f t="shared" si="39"/>
        <v>571471</v>
      </c>
      <c r="BK9" s="118">
        <f t="shared" si="39"/>
        <v>97729.540971962153</v>
      </c>
      <c r="BL9" s="73">
        <v>154428964</v>
      </c>
      <c r="BM9" s="73">
        <v>349209.36694527901</v>
      </c>
      <c r="BN9" s="119">
        <f t="shared" si="29"/>
        <v>0.61107102013099357</v>
      </c>
      <c r="BO9" s="118">
        <f>SUM(AD166:AD200)</f>
        <v>18918.648620502812</v>
      </c>
      <c r="BP9" s="73">
        <v>151576304</v>
      </c>
      <c r="BQ9" s="73">
        <v>349524.02110103</v>
      </c>
      <c r="BR9" s="119">
        <f t="shared" si="30"/>
        <v>0.61162162402121889</v>
      </c>
      <c r="BS9" s="118">
        <f>SUM(AI166:AI200)</f>
        <v>7353.5885796928824</v>
      </c>
      <c r="BT9" s="73">
        <v>26311076528</v>
      </c>
      <c r="BU9" s="103">
        <v>51259.414372873005</v>
      </c>
      <c r="BV9" s="119">
        <f t="shared" si="31"/>
        <v>8.969731512687959E-2</v>
      </c>
      <c r="BW9" s="119">
        <f t="shared" si="32"/>
        <v>1.312389959279092</v>
      </c>
      <c r="BX9" s="103">
        <f t="shared" si="33"/>
        <v>749992.80241918203</v>
      </c>
    </row>
    <row r="10" spans="1:76" ht="15.75" customHeight="1" x14ac:dyDescent="0.3">
      <c r="A10" s="99">
        <v>10304</v>
      </c>
      <c r="B10" s="62" t="s">
        <v>9</v>
      </c>
      <c r="C10" s="62" t="s">
        <v>747</v>
      </c>
      <c r="D10" s="112">
        <v>3</v>
      </c>
      <c r="E10" s="113">
        <v>8119.25</v>
      </c>
      <c r="F10" s="114">
        <v>2</v>
      </c>
      <c r="G10" s="103">
        <v>44976043</v>
      </c>
      <c r="H10" s="103">
        <f t="shared" si="0"/>
        <v>101703.87627547</v>
      </c>
      <c r="I10" s="104">
        <f t="shared" si="1"/>
        <v>4.0113647737554844E-5</v>
      </c>
      <c r="J10" s="105">
        <f t="shared" si="2"/>
        <v>5.0247417759744623E-4</v>
      </c>
      <c r="K10" s="115">
        <v>1</v>
      </c>
      <c r="L10" s="107">
        <v>65622300</v>
      </c>
      <c r="M10" s="103">
        <f t="shared" si="3"/>
        <v>177867.71600808611</v>
      </c>
      <c r="N10" s="104">
        <f t="shared" si="4"/>
        <v>9.4655412213055567E-5</v>
      </c>
      <c r="O10" s="105">
        <f t="shared" si="5"/>
        <v>2.0736080276060093E-3</v>
      </c>
      <c r="P10" s="114">
        <v>0</v>
      </c>
      <c r="Q10" s="103">
        <v>22144982973</v>
      </c>
      <c r="R10" s="103">
        <f t="shared" si="6"/>
        <v>43143.003180715306</v>
      </c>
      <c r="S10" s="104">
        <f t="shared" si="7"/>
        <v>0</v>
      </c>
      <c r="T10" s="105">
        <f t="shared" si="8"/>
        <v>0</v>
      </c>
      <c r="U10" s="104">
        <f t="shared" si="9"/>
        <v>2.5760822052034553E-3</v>
      </c>
      <c r="V10" s="103">
        <f t="shared" si="10"/>
        <v>20.915855444598158</v>
      </c>
      <c r="W10" s="112">
        <v>2</v>
      </c>
      <c r="X10" s="101">
        <v>9155</v>
      </c>
      <c r="Y10" s="114">
        <v>2</v>
      </c>
      <c r="Z10" s="107">
        <v>82356869</v>
      </c>
      <c r="AA10" s="103">
        <v>186233.13491299</v>
      </c>
      <c r="AB10" s="104">
        <f t="shared" si="11"/>
        <v>2.4798542058148867E-5</v>
      </c>
      <c r="AC10" s="105">
        <f t="shared" si="12"/>
        <v>5.0445769839002673E-4</v>
      </c>
      <c r="AD10" s="114">
        <v>0</v>
      </c>
      <c r="AE10" s="103">
        <v>78037527</v>
      </c>
      <c r="AF10" s="103">
        <v>152124.05436780999</v>
      </c>
      <c r="AG10" s="104">
        <f t="shared" si="13"/>
        <v>0</v>
      </c>
      <c r="AH10" s="105">
        <f t="shared" si="14"/>
        <v>0</v>
      </c>
      <c r="AI10" s="115">
        <v>0</v>
      </c>
      <c r="AJ10" s="103">
        <v>28757480427</v>
      </c>
      <c r="AK10" s="103">
        <v>56025.514727389993</v>
      </c>
      <c r="AL10" s="104">
        <f t="shared" si="15"/>
        <v>0</v>
      </c>
      <c r="AM10" s="104">
        <f t="shared" si="16"/>
        <v>0</v>
      </c>
      <c r="AN10" s="108">
        <f t="shared" si="17"/>
        <v>5.0445769839002673E-4</v>
      </c>
      <c r="AO10" s="101">
        <f t="shared" si="18"/>
        <v>4.618310228760695</v>
      </c>
      <c r="AQ10" s="63">
        <v>5</v>
      </c>
      <c r="AR10" s="63" t="s">
        <v>183</v>
      </c>
      <c r="AS10" s="63">
        <f t="shared" ref="AS10:AU10" si="40">SUM(D201:D242)</f>
        <v>57204</v>
      </c>
      <c r="AT10" s="73">
        <f t="shared" si="40"/>
        <v>836710.75</v>
      </c>
      <c r="AU10" s="118">
        <f t="shared" si="40"/>
        <v>45038.19021336134</v>
      </c>
      <c r="AV10" s="73">
        <v>80715608</v>
      </c>
      <c r="AW10" s="103">
        <f t="shared" si="20"/>
        <v>182521.39721431999</v>
      </c>
      <c r="AX10" s="119">
        <f t="shared" si="21"/>
        <v>0.21814157068535334</v>
      </c>
      <c r="AY10" s="118">
        <f>SUM(K201:K242)</f>
        <v>10639.395150630526</v>
      </c>
      <c r="AZ10" s="73">
        <v>102296881</v>
      </c>
      <c r="BA10" s="103">
        <f t="shared" si="22"/>
        <v>277273.31377018144</v>
      </c>
      <c r="BB10" s="119">
        <f t="shared" si="23"/>
        <v>0.33138490663611225</v>
      </c>
      <c r="BC10" s="118">
        <f>SUM(P201:P242)</f>
        <v>1468.0726855279795</v>
      </c>
      <c r="BD10" s="73">
        <v>1312701719</v>
      </c>
      <c r="BE10" s="106">
        <f t="shared" si="24"/>
        <v>2557.4142236730381</v>
      </c>
      <c r="BF10" s="119">
        <f t="shared" si="25"/>
        <v>3.0565093416966833E-3</v>
      </c>
      <c r="BG10" s="119">
        <f t="shared" si="26"/>
        <v>0.5525829866631623</v>
      </c>
      <c r="BH10" s="103">
        <f t="shared" si="27"/>
        <v>462352.12520817446</v>
      </c>
      <c r="BI10" s="63">
        <f t="shared" ref="BI10:BK10" si="41">SUM(W201:W242)</f>
        <v>88873</v>
      </c>
      <c r="BJ10" s="73">
        <f t="shared" si="41"/>
        <v>861292</v>
      </c>
      <c r="BK10" s="118">
        <f t="shared" si="41"/>
        <v>72858.694165584107</v>
      </c>
      <c r="BL10" s="73">
        <v>121716258</v>
      </c>
      <c r="BM10" s="73">
        <v>275236.30478494999</v>
      </c>
      <c r="BN10" s="119">
        <f t="shared" si="29"/>
        <v>0.31956212850572163</v>
      </c>
      <c r="BO10" s="118">
        <f>SUM(AD201:AD242)</f>
        <v>13842.961021228824</v>
      </c>
      <c r="BP10" s="73">
        <v>148074670</v>
      </c>
      <c r="BQ10" s="73">
        <v>298068.80334898003</v>
      </c>
      <c r="BR10" s="119">
        <f t="shared" si="30"/>
        <v>0.34607171940408132</v>
      </c>
      <c r="BS10" s="118">
        <f>SUM(AI201:AI242)</f>
        <v>2164.0613310981953</v>
      </c>
      <c r="BT10" s="73">
        <v>1717060725</v>
      </c>
      <c r="BU10" s="103">
        <v>3345.1891293834997</v>
      </c>
      <c r="BV10" s="119">
        <f t="shared" si="31"/>
        <v>3.8839198894027806E-3</v>
      </c>
      <c r="BW10" s="119">
        <f t="shared" si="32"/>
        <v>0.66951776779920569</v>
      </c>
      <c r="BX10" s="103">
        <f t="shared" si="33"/>
        <v>576650.29726331355</v>
      </c>
    </row>
    <row r="11" spans="1:76" ht="15.75" customHeight="1" x14ac:dyDescent="0.3">
      <c r="A11" s="99">
        <v>10401</v>
      </c>
      <c r="B11" s="62" t="s">
        <v>9</v>
      </c>
      <c r="C11" s="62" t="s">
        <v>27</v>
      </c>
      <c r="D11" s="100">
        <v>7</v>
      </c>
      <c r="E11" s="101">
        <v>10085.25</v>
      </c>
      <c r="F11" s="102">
        <v>4.6052279719604012</v>
      </c>
      <c r="G11" s="103">
        <v>44976043</v>
      </c>
      <c r="H11" s="103">
        <f t="shared" si="0"/>
        <v>101703.87627547</v>
      </c>
      <c r="I11" s="104">
        <f t="shared" si="1"/>
        <v>9.2366246309176806E-5</v>
      </c>
      <c r="J11" s="105">
        <f t="shared" si="2"/>
        <v>9.3145983358450268E-4</v>
      </c>
      <c r="K11" s="106">
        <v>2.1656225155615112</v>
      </c>
      <c r="L11" s="107">
        <v>65622300</v>
      </c>
      <c r="M11" s="103">
        <f t="shared" si="3"/>
        <v>177867.71600808611</v>
      </c>
      <c r="N11" s="104">
        <f t="shared" si="4"/>
        <v>2.0498789190834919E-4</v>
      </c>
      <c r="O11" s="105">
        <f t="shared" si="5"/>
        <v>3.615252784318733E-3</v>
      </c>
      <c r="P11" s="102">
        <v>0.22873632519166751</v>
      </c>
      <c r="Q11" s="103">
        <v>22144982973</v>
      </c>
      <c r="R11" s="103">
        <f t="shared" si="6"/>
        <v>43143.003180715306</v>
      </c>
      <c r="S11" s="104">
        <f t="shared" si="7"/>
        <v>1.287912691221313E-4</v>
      </c>
      <c r="T11" s="105">
        <f t="shared" si="8"/>
        <v>5.5094738686541946E-4</v>
      </c>
      <c r="U11" s="104">
        <f t="shared" si="9"/>
        <v>5.0976600047686555E-3</v>
      </c>
      <c r="V11" s="103">
        <f t="shared" si="10"/>
        <v>51.411175563093082</v>
      </c>
      <c r="W11" s="100">
        <v>246</v>
      </c>
      <c r="X11" s="101">
        <v>9192</v>
      </c>
      <c r="Y11" s="102">
        <v>184.56440903261861</v>
      </c>
      <c r="Z11" s="107">
        <v>82356869</v>
      </c>
      <c r="AA11" s="103">
        <v>186233.13491299</v>
      </c>
      <c r="AB11" s="104">
        <f t="shared" si="11"/>
        <v>2.2884641299163915E-3</v>
      </c>
      <c r="AC11" s="105">
        <f t="shared" si="12"/>
        <v>4.6365083665171627E-2</v>
      </c>
      <c r="AD11" s="102">
        <v>55.658696635719188</v>
      </c>
      <c r="AE11" s="103">
        <v>78037527</v>
      </c>
      <c r="AF11" s="103">
        <v>152124.05436780999</v>
      </c>
      <c r="AG11" s="104">
        <f t="shared" si="13"/>
        <v>4.3789147514628713E-3</v>
      </c>
      <c r="AH11" s="105">
        <f t="shared" si="14"/>
        <v>7.2469350056956372E-2</v>
      </c>
      <c r="AI11" s="106">
        <v>5.767413688442895</v>
      </c>
      <c r="AJ11" s="103">
        <v>28757480427</v>
      </c>
      <c r="AK11" s="103">
        <v>56025.514727389993</v>
      </c>
      <c r="AL11" s="104">
        <f t="shared" si="15"/>
        <v>2.2555819602369793E-3</v>
      </c>
      <c r="AM11" s="104">
        <f t="shared" si="16"/>
        <v>1.3747839461715849E-2</v>
      </c>
      <c r="AN11" s="108">
        <f t="shared" si="17"/>
        <v>0.13258227318384386</v>
      </c>
      <c r="AO11" s="101">
        <f t="shared" si="18"/>
        <v>1218.6962551058925</v>
      </c>
      <c r="AQ11" s="63">
        <v>6</v>
      </c>
      <c r="AR11" s="63" t="s">
        <v>213</v>
      </c>
      <c r="AS11" s="63">
        <f t="shared" ref="AS11:AU11" si="42">SUM(D243:D253)</f>
        <v>87301</v>
      </c>
      <c r="AT11" s="73">
        <f t="shared" si="42"/>
        <v>496191</v>
      </c>
      <c r="AU11" s="118">
        <f t="shared" si="42"/>
        <v>69986.999999999971</v>
      </c>
      <c r="AV11" s="73">
        <v>73166581</v>
      </c>
      <c r="AW11" s="103">
        <f t="shared" si="20"/>
        <v>165450.85794948999</v>
      </c>
      <c r="AX11" s="119">
        <f t="shared" si="21"/>
        <v>0.33344187611119508</v>
      </c>
      <c r="AY11" s="118">
        <f>SUM(K243:K253)</f>
        <v>15365.000000000004</v>
      </c>
      <c r="AZ11" s="73">
        <v>109525629</v>
      </c>
      <c r="BA11" s="103">
        <f t="shared" si="22"/>
        <v>296866.666888832</v>
      </c>
      <c r="BB11" s="119">
        <f t="shared" si="23"/>
        <v>0.59829111549550873</v>
      </c>
      <c r="BC11" s="118">
        <f>SUM(P243:P253)</f>
        <v>1941.9999999999993</v>
      </c>
      <c r="BD11" s="73">
        <v>43388942926</v>
      </c>
      <c r="BE11" s="106">
        <f t="shared" si="24"/>
        <v>84530.627318459432</v>
      </c>
      <c r="BF11" s="119">
        <f t="shared" si="25"/>
        <v>0.1703590498788963</v>
      </c>
      <c r="BG11" s="119">
        <f t="shared" si="26"/>
        <v>1.1020920414856001</v>
      </c>
      <c r="BH11" s="103">
        <f t="shared" si="27"/>
        <v>546848.15215678141</v>
      </c>
      <c r="BI11" s="63">
        <f t="shared" ref="BI11:BK11" si="43">SUM(W243:W253)</f>
        <v>148210</v>
      </c>
      <c r="BJ11" s="73">
        <f t="shared" si="43"/>
        <v>534210</v>
      </c>
      <c r="BK11" s="118">
        <f t="shared" si="43"/>
        <v>126110.31573363021</v>
      </c>
      <c r="BL11" s="73">
        <v>97868000</v>
      </c>
      <c r="BM11" s="73">
        <v>223054.08948726588</v>
      </c>
      <c r="BN11" s="119">
        <f t="shared" si="29"/>
        <v>0.41754008627181421</v>
      </c>
      <c r="BO11" s="118">
        <f>SUM(AD243:AD253)</f>
        <v>19335.692205854779</v>
      </c>
      <c r="BP11" s="73">
        <v>119919247</v>
      </c>
      <c r="BQ11" s="73">
        <v>289671.03710113</v>
      </c>
      <c r="BR11" s="119">
        <f t="shared" si="30"/>
        <v>0.54224188446702604</v>
      </c>
      <c r="BS11" s="118">
        <f>SUM(AI243:AI253)</f>
        <v>2755.0559388880806</v>
      </c>
      <c r="BT11" s="73">
        <v>13268452106</v>
      </c>
      <c r="BU11" s="103">
        <v>126477.65809489001</v>
      </c>
      <c r="BV11" s="119">
        <f t="shared" si="31"/>
        <v>0.23675644052879954</v>
      </c>
      <c r="BW11" s="119">
        <f t="shared" si="32"/>
        <v>1.1965384112676398</v>
      </c>
      <c r="BX11" s="103">
        <f t="shared" si="33"/>
        <v>639202.78468328598</v>
      </c>
    </row>
    <row r="12" spans="1:76" ht="15.75" customHeight="1" x14ac:dyDescent="0.3">
      <c r="A12" s="99">
        <v>10402</v>
      </c>
      <c r="B12" s="62" t="s">
        <v>9</v>
      </c>
      <c r="C12" s="62" t="s">
        <v>748</v>
      </c>
      <c r="D12" s="112">
        <v>7</v>
      </c>
      <c r="E12" s="113">
        <v>8497.75</v>
      </c>
      <c r="F12" s="114">
        <v>4</v>
      </c>
      <c r="G12" s="103">
        <v>44976043</v>
      </c>
      <c r="H12" s="103">
        <f t="shared" si="0"/>
        <v>101703.87627547</v>
      </c>
      <c r="I12" s="104">
        <f t="shared" si="1"/>
        <v>8.0227295475109687E-5</v>
      </c>
      <c r="J12" s="105">
        <f t="shared" si="2"/>
        <v>9.6018674742327434E-4</v>
      </c>
      <c r="K12" s="115">
        <v>3</v>
      </c>
      <c r="L12" s="107">
        <v>65622300</v>
      </c>
      <c r="M12" s="103">
        <f t="shared" si="3"/>
        <v>177867.71600808611</v>
      </c>
      <c r="N12" s="104">
        <f t="shared" si="4"/>
        <v>2.8396623663916667E-4</v>
      </c>
      <c r="O12" s="105">
        <f t="shared" si="5"/>
        <v>5.9437411002230328E-3</v>
      </c>
      <c r="P12" s="114">
        <v>0</v>
      </c>
      <c r="Q12" s="103">
        <v>22144982973</v>
      </c>
      <c r="R12" s="103">
        <f t="shared" si="6"/>
        <v>43143.003180715306</v>
      </c>
      <c r="S12" s="104">
        <f t="shared" si="7"/>
        <v>0</v>
      </c>
      <c r="T12" s="105">
        <f t="shared" si="8"/>
        <v>0</v>
      </c>
      <c r="U12" s="104">
        <f t="shared" si="9"/>
        <v>6.9039278476463071E-3</v>
      </c>
      <c r="V12" s="103">
        <f t="shared" si="10"/>
        <v>58.667852867336407</v>
      </c>
      <c r="W12" s="112">
        <v>386</v>
      </c>
      <c r="X12" s="101">
        <v>8509</v>
      </c>
      <c r="Y12" s="114">
        <v>354.26425953204551</v>
      </c>
      <c r="Z12" s="107">
        <v>82356869</v>
      </c>
      <c r="AA12" s="103">
        <v>186233.13491299</v>
      </c>
      <c r="AB12" s="104">
        <f t="shared" si="11"/>
        <v>4.3926185698521985E-3</v>
      </c>
      <c r="AC12" s="105">
        <f t="shared" si="12"/>
        <v>9.6139514248512123E-2</v>
      </c>
      <c r="AD12" s="114">
        <v>28.56592765080461</v>
      </c>
      <c r="AE12" s="103">
        <v>78037527</v>
      </c>
      <c r="AF12" s="103">
        <v>152124.05436780999</v>
      </c>
      <c r="AG12" s="104">
        <f t="shared" si="13"/>
        <v>2.2474073153027066E-3</v>
      </c>
      <c r="AH12" s="105">
        <f t="shared" si="14"/>
        <v>4.0179188226551046E-2</v>
      </c>
      <c r="AI12" s="115">
        <v>3.1651594167895674</v>
      </c>
      <c r="AJ12" s="103">
        <v>28757480427</v>
      </c>
      <c r="AK12" s="103">
        <v>56025.514727389993</v>
      </c>
      <c r="AL12" s="104">
        <f t="shared" si="15"/>
        <v>1.2378644687983586E-3</v>
      </c>
      <c r="AM12" s="104">
        <f t="shared" si="16"/>
        <v>8.1504282556322995E-3</v>
      </c>
      <c r="AN12" s="108">
        <f t="shared" si="17"/>
        <v>0.14446913073069548</v>
      </c>
      <c r="AO12" s="101">
        <f t="shared" si="18"/>
        <v>1229.2878333874878</v>
      </c>
      <c r="AQ12" s="63">
        <v>7</v>
      </c>
      <c r="AR12" s="63" t="s">
        <v>224</v>
      </c>
      <c r="AS12" s="63">
        <f t="shared" ref="AS12:AU12" si="44">SUM(D254:D309)</f>
        <v>519811</v>
      </c>
      <c r="AT12" s="73">
        <f t="shared" si="44"/>
        <v>2773972.75</v>
      </c>
      <c r="AU12" s="118">
        <f t="shared" si="44"/>
        <v>420566.04463058105</v>
      </c>
      <c r="AV12" s="73">
        <v>502722601</v>
      </c>
      <c r="AW12" s="103">
        <f t="shared" si="20"/>
        <v>1136801.5904152901</v>
      </c>
      <c r="AX12" s="119">
        <f t="shared" si="21"/>
        <v>0.40980993429560192</v>
      </c>
      <c r="AY12" s="118">
        <f>SUM(K254:K309)</f>
        <v>79012.872112589932</v>
      </c>
      <c r="AZ12" s="73">
        <v>696325692</v>
      </c>
      <c r="BA12" s="103">
        <f t="shared" si="22"/>
        <v>1887374.5728782751</v>
      </c>
      <c r="BB12" s="119">
        <f t="shared" si="23"/>
        <v>0.68038684694299001</v>
      </c>
      <c r="BC12" s="118">
        <f>SUM(P254:P309)</f>
        <v>20210.567021695599</v>
      </c>
      <c r="BD12" s="73">
        <v>275172858841</v>
      </c>
      <c r="BE12" s="106">
        <f t="shared" si="24"/>
        <v>536093.59459423891</v>
      </c>
      <c r="BF12" s="119">
        <f t="shared" si="25"/>
        <v>0.19325842137210572</v>
      </c>
      <c r="BG12" s="119">
        <f t="shared" si="26"/>
        <v>1.2834552026106978</v>
      </c>
      <c r="BH12" s="103">
        <f t="shared" si="27"/>
        <v>3560269.7578878039</v>
      </c>
      <c r="BI12" s="63">
        <f t="shared" ref="BI12:BK12" si="45">SUM(W254:W309)</f>
        <v>937799</v>
      </c>
      <c r="BJ12" s="73">
        <f t="shared" si="45"/>
        <v>3122605</v>
      </c>
      <c r="BK12" s="118">
        <f t="shared" si="45"/>
        <v>801532.44167634915</v>
      </c>
      <c r="BL12" s="73">
        <v>782334930</v>
      </c>
      <c r="BM12" s="73">
        <v>1771534.1337791323</v>
      </c>
      <c r="BN12" s="119">
        <f t="shared" si="29"/>
        <v>0.56732572124208225</v>
      </c>
      <c r="BO12" s="118">
        <f>SUM(AD254:AD309)</f>
        <v>107559.71085464254</v>
      </c>
      <c r="BP12" s="73">
        <v>854728458</v>
      </c>
      <c r="BQ12" s="73">
        <v>1973061.0479396961</v>
      </c>
      <c r="BR12" s="119">
        <f t="shared" si="30"/>
        <v>0.6318637957537685</v>
      </c>
      <c r="BS12" s="118">
        <f>SUM(AI254:AI309)</f>
        <v>28656.676446074962</v>
      </c>
      <c r="BT12" s="73">
        <v>352046352185</v>
      </c>
      <c r="BU12" s="103">
        <v>685859.04594310001</v>
      </c>
      <c r="BV12" s="119">
        <f t="shared" si="31"/>
        <v>0.2196432292727066</v>
      </c>
      <c r="BW12" s="119">
        <f t="shared" si="32"/>
        <v>1.4188327462685573</v>
      </c>
      <c r="BX12" s="103">
        <f t="shared" si="33"/>
        <v>4430454.2276619282</v>
      </c>
    </row>
    <row r="13" spans="1:76" ht="15.75" customHeight="1" x14ac:dyDescent="0.3">
      <c r="A13" s="99">
        <v>10403</v>
      </c>
      <c r="B13" s="62" t="s">
        <v>9</v>
      </c>
      <c r="C13" s="62" t="s">
        <v>33</v>
      </c>
      <c r="D13" s="100">
        <v>4</v>
      </c>
      <c r="E13" s="101">
        <v>7219.5</v>
      </c>
      <c r="F13" s="102">
        <v>3.5824105933508918</v>
      </c>
      <c r="G13" s="103">
        <v>44976043</v>
      </c>
      <c r="H13" s="103">
        <f t="shared" si="0"/>
        <v>101703.87627547</v>
      </c>
      <c r="I13" s="104">
        <f t="shared" si="1"/>
        <v>7.1851778296481246E-5</v>
      </c>
      <c r="J13" s="105">
        <f t="shared" si="2"/>
        <v>1.012203666464136E-3</v>
      </c>
      <c r="K13" s="106">
        <v>0.24365879728352069</v>
      </c>
      <c r="L13" s="107">
        <v>65622300</v>
      </c>
      <c r="M13" s="103">
        <f t="shared" si="3"/>
        <v>177867.71600808611</v>
      </c>
      <c r="N13" s="104">
        <f t="shared" si="4"/>
        <v>2.3063623896208994E-5</v>
      </c>
      <c r="O13" s="105">
        <f t="shared" si="5"/>
        <v>5.6822135955235257E-4</v>
      </c>
      <c r="P13" s="102">
        <v>0.1739306093655878</v>
      </c>
      <c r="Q13" s="103">
        <v>22144982973</v>
      </c>
      <c r="R13" s="103">
        <f t="shared" si="6"/>
        <v>43143.003180715306</v>
      </c>
      <c r="S13" s="104">
        <f t="shared" si="7"/>
        <v>9.7932603842477617E-5</v>
      </c>
      <c r="T13" s="105">
        <f t="shared" si="8"/>
        <v>5.8523535412033302E-4</v>
      </c>
      <c r="U13" s="104">
        <f t="shared" si="9"/>
        <v>2.1656603801368216E-3</v>
      </c>
      <c r="V13" s="103">
        <f t="shared" si="10"/>
        <v>15.634985114397782</v>
      </c>
      <c r="W13" s="100">
        <v>117</v>
      </c>
      <c r="X13" s="101">
        <v>6942</v>
      </c>
      <c r="Y13" s="102">
        <v>103.2816218471074</v>
      </c>
      <c r="Z13" s="107">
        <v>82356869</v>
      </c>
      <c r="AA13" s="103">
        <v>186233.13491299</v>
      </c>
      <c r="AB13" s="104">
        <f t="shared" si="11"/>
        <v>1.2806168216046598E-3</v>
      </c>
      <c r="AC13" s="105">
        <f t="shared" si="12"/>
        <v>3.4355126088986609E-2</v>
      </c>
      <c r="AD13" s="102">
        <v>11.094991272158291</v>
      </c>
      <c r="AE13" s="103">
        <v>78037527</v>
      </c>
      <c r="AF13" s="103">
        <v>152124.05436780999</v>
      </c>
      <c r="AG13" s="104">
        <f t="shared" si="13"/>
        <v>8.7289181899072288E-4</v>
      </c>
      <c r="AH13" s="105">
        <f t="shared" si="14"/>
        <v>1.9128182444448472E-2</v>
      </c>
      <c r="AI13" s="106">
        <v>2.621513673774519</v>
      </c>
      <c r="AJ13" s="103">
        <v>28757480427</v>
      </c>
      <c r="AK13" s="103">
        <v>56025.514727389993</v>
      </c>
      <c r="AL13" s="104">
        <f t="shared" si="15"/>
        <v>1.0252496648418498E-3</v>
      </c>
      <c r="AM13" s="104">
        <f t="shared" si="16"/>
        <v>8.2742927393904802E-3</v>
      </c>
      <c r="AN13" s="108">
        <f t="shared" si="17"/>
        <v>6.1757601272825563E-2</v>
      </c>
      <c r="AO13" s="101">
        <f t="shared" si="18"/>
        <v>428.72126803595506</v>
      </c>
      <c r="AQ13" s="63">
        <v>8</v>
      </c>
      <c r="AR13" s="63" t="s">
        <v>274</v>
      </c>
      <c r="AS13" s="63">
        <f t="shared" ref="AS13:AU13" si="46">SUM(D310:D329)</f>
        <v>36759</v>
      </c>
      <c r="AT13" s="73">
        <f t="shared" si="46"/>
        <v>438571</v>
      </c>
      <c r="AU13" s="118">
        <f t="shared" si="46"/>
        <v>35005.037576082395</v>
      </c>
      <c r="AV13" s="73">
        <v>62494613</v>
      </c>
      <c r="AW13" s="103">
        <f t="shared" si="20"/>
        <v>141318.44343077001</v>
      </c>
      <c r="AX13" s="119">
        <f t="shared" si="21"/>
        <v>0.32222477872629518</v>
      </c>
      <c r="AY13" s="118">
        <f>SUM(K310:K329)</f>
        <v>1617.360822599172</v>
      </c>
      <c r="AZ13" s="73">
        <v>69208298</v>
      </c>
      <c r="BA13" s="103">
        <f t="shared" si="22"/>
        <v>187587.48008020129</v>
      </c>
      <c r="BB13" s="119">
        <f t="shared" si="23"/>
        <v>0.42772431391998395</v>
      </c>
      <c r="BC13" s="118">
        <f>SUM(P310:P329)</f>
        <v>121.61388311189289</v>
      </c>
      <c r="BF13" s="119">
        <f t="shared" si="25"/>
        <v>0</v>
      </c>
      <c r="BG13" s="119">
        <f t="shared" si="26"/>
        <v>0.74994909264627907</v>
      </c>
      <c r="BH13" s="103">
        <f t="shared" si="27"/>
        <v>328905.9235109713</v>
      </c>
      <c r="BI13" s="63">
        <f t="shared" ref="BI13:BK13" si="47">SUM(W310:W329)</f>
        <v>56552</v>
      </c>
      <c r="BJ13" s="73">
        <f t="shared" si="47"/>
        <v>488260</v>
      </c>
      <c r="BK13" s="118">
        <f t="shared" si="47"/>
        <v>54356.952151088248</v>
      </c>
      <c r="BL13" s="73">
        <v>88140830</v>
      </c>
      <c r="BM13" s="73">
        <v>199312.37411092999</v>
      </c>
      <c r="BN13" s="119">
        <f t="shared" si="29"/>
        <v>0.40820950745694912</v>
      </c>
      <c r="BO13" s="118">
        <f>SUM(AD310:AD329)</f>
        <v>2018.9969956184998</v>
      </c>
      <c r="BP13" s="73">
        <v>73585374</v>
      </c>
      <c r="BQ13" s="73">
        <v>118292.19145099001</v>
      </c>
      <c r="BR13" s="119">
        <f t="shared" si="30"/>
        <v>0.24227295181049033</v>
      </c>
      <c r="BS13" s="118">
        <f>SUM(AI310:AI329)</f>
        <v>152.04240341933195</v>
      </c>
      <c r="BU13" s="73"/>
      <c r="BV13" s="119">
        <f t="shared" si="31"/>
        <v>0</v>
      </c>
      <c r="BW13" s="119">
        <f t="shared" si="32"/>
        <v>0.65048245926743942</v>
      </c>
      <c r="BX13" s="103">
        <f t="shared" si="33"/>
        <v>317604.56556192</v>
      </c>
    </row>
    <row r="14" spans="1:76" ht="15.75" customHeight="1" x14ac:dyDescent="0.3">
      <c r="A14" s="99">
        <v>10404</v>
      </c>
      <c r="B14" s="62" t="s">
        <v>9</v>
      </c>
      <c r="C14" s="62" t="s">
        <v>10</v>
      </c>
      <c r="D14" s="100">
        <v>0</v>
      </c>
      <c r="E14" s="101">
        <v>4618.5</v>
      </c>
      <c r="F14" s="102">
        <v>0</v>
      </c>
      <c r="G14" s="103">
        <v>44976043</v>
      </c>
      <c r="H14" s="103">
        <f t="shared" si="0"/>
        <v>101703.87627547</v>
      </c>
      <c r="I14" s="104">
        <f t="shared" si="1"/>
        <v>0</v>
      </c>
      <c r="J14" s="105">
        <f t="shared" si="2"/>
        <v>0</v>
      </c>
      <c r="K14" s="106">
        <v>0</v>
      </c>
      <c r="L14" s="107">
        <v>65622300</v>
      </c>
      <c r="M14" s="103">
        <f t="shared" si="3"/>
        <v>177867.71600808611</v>
      </c>
      <c r="N14" s="104">
        <f t="shared" si="4"/>
        <v>0</v>
      </c>
      <c r="O14" s="105">
        <f t="shared" si="5"/>
        <v>0</v>
      </c>
      <c r="P14" s="102">
        <v>0</v>
      </c>
      <c r="Q14" s="103">
        <v>22144982973</v>
      </c>
      <c r="R14" s="103">
        <f t="shared" si="6"/>
        <v>43143.003180715306</v>
      </c>
      <c r="S14" s="104">
        <f t="shared" si="7"/>
        <v>0</v>
      </c>
      <c r="T14" s="105">
        <f t="shared" si="8"/>
        <v>0</v>
      </c>
      <c r="U14" s="104">
        <f t="shared" si="9"/>
        <v>0</v>
      </c>
      <c r="V14" s="103">
        <f t="shared" si="10"/>
        <v>0</v>
      </c>
      <c r="W14" s="100">
        <v>0</v>
      </c>
      <c r="X14" s="101">
        <v>3768</v>
      </c>
      <c r="Y14" s="102">
        <v>0</v>
      </c>
      <c r="Z14" s="107">
        <v>82356869</v>
      </c>
      <c r="AA14" s="103">
        <v>186233.13491299</v>
      </c>
      <c r="AB14" s="104">
        <f t="shared" si="11"/>
        <v>0</v>
      </c>
      <c r="AC14" s="105">
        <f t="shared" si="12"/>
        <v>0</v>
      </c>
      <c r="AD14" s="102">
        <v>0</v>
      </c>
      <c r="AE14" s="103">
        <v>78037527</v>
      </c>
      <c r="AF14" s="103">
        <v>152124.05436780999</v>
      </c>
      <c r="AG14" s="104">
        <f t="shared" si="13"/>
        <v>0</v>
      </c>
      <c r="AH14" s="105">
        <f t="shared" si="14"/>
        <v>0</v>
      </c>
      <c r="AI14" s="106">
        <v>0</v>
      </c>
      <c r="AJ14" s="103">
        <v>28757480427</v>
      </c>
      <c r="AK14" s="103">
        <v>56025.514727389993</v>
      </c>
      <c r="AL14" s="104">
        <f t="shared" si="15"/>
        <v>0</v>
      </c>
      <c r="AM14" s="104">
        <f t="shared" si="16"/>
        <v>0</v>
      </c>
      <c r="AN14" s="108">
        <f t="shared" si="17"/>
        <v>0</v>
      </c>
      <c r="AO14" s="101">
        <f t="shared" si="18"/>
        <v>0</v>
      </c>
      <c r="AQ14" s="63">
        <v>9</v>
      </c>
      <c r="AR14" s="63" t="s">
        <v>284</v>
      </c>
      <c r="AS14" s="63">
        <f t="shared" ref="AS14:AU14" si="48">SUM(D330:D344)</f>
        <v>3243</v>
      </c>
      <c r="AT14" s="73">
        <f t="shared" si="48"/>
        <v>116375.5</v>
      </c>
      <c r="AU14" s="118">
        <f t="shared" si="48"/>
        <v>2813</v>
      </c>
      <c r="AV14" s="73">
        <v>16774220</v>
      </c>
      <c r="AW14" s="103">
        <f t="shared" si="20"/>
        <v>37931.375943799998</v>
      </c>
      <c r="AX14" s="119">
        <f t="shared" si="21"/>
        <v>0.32593953146323751</v>
      </c>
      <c r="AY14" s="118">
        <f>SUM(K330:K344)</f>
        <v>376.99999999999977</v>
      </c>
      <c r="AZ14" s="73">
        <v>11355840</v>
      </c>
      <c r="BA14" s="103">
        <f t="shared" si="22"/>
        <v>30779.739877347554</v>
      </c>
      <c r="BB14" s="119">
        <f t="shared" si="23"/>
        <v>0.26448642435347264</v>
      </c>
      <c r="BC14" s="118">
        <f>SUM(P330:P344)</f>
        <v>53.000000000000107</v>
      </c>
      <c r="BF14" s="119">
        <f t="shared" si="25"/>
        <v>0</v>
      </c>
      <c r="BG14" s="119">
        <f t="shared" si="26"/>
        <v>0.5904259558167102</v>
      </c>
      <c r="BH14" s="103">
        <f t="shared" si="27"/>
        <v>68711.115821147556</v>
      </c>
      <c r="BI14" s="63">
        <f t="shared" ref="BI14:BK14" si="49">SUM(W330:W344)</f>
        <v>10271</v>
      </c>
      <c r="BJ14" s="73">
        <f t="shared" si="49"/>
        <v>134194</v>
      </c>
      <c r="BK14" s="118">
        <f t="shared" si="49"/>
        <v>9690.6227243535668</v>
      </c>
      <c r="BL14" s="73">
        <v>21919820</v>
      </c>
      <c r="BM14" s="73">
        <v>49567.168408605001</v>
      </c>
      <c r="BN14" s="119">
        <f t="shared" si="29"/>
        <v>0.36936948305144046</v>
      </c>
      <c r="BO14" s="118">
        <f>SUM(AD330:AD344)</f>
        <v>493.33792932332767</v>
      </c>
      <c r="BP14" s="73">
        <v>16485919</v>
      </c>
      <c r="BQ14" s="73">
        <v>27250.503958400001</v>
      </c>
      <c r="BR14" s="119">
        <f t="shared" si="30"/>
        <v>0.20306797590354264</v>
      </c>
      <c r="BS14" s="118">
        <f>SUM(AI330:AI344)</f>
        <v>87.03934632310515</v>
      </c>
      <c r="BU14" s="73"/>
      <c r="BV14" s="119">
        <f t="shared" si="31"/>
        <v>0</v>
      </c>
      <c r="BW14" s="119">
        <f t="shared" si="32"/>
        <v>0.5724374589549831</v>
      </c>
      <c r="BX14" s="103">
        <f t="shared" si="33"/>
        <v>76817.672367004998</v>
      </c>
    </row>
    <row r="15" spans="1:76" ht="15.75" customHeight="1" x14ac:dyDescent="0.3">
      <c r="A15" s="99">
        <v>10405</v>
      </c>
      <c r="B15" s="62" t="s">
        <v>9</v>
      </c>
      <c r="C15" s="62" t="s">
        <v>23</v>
      </c>
      <c r="D15" s="100">
        <v>1</v>
      </c>
      <c r="E15" s="101">
        <v>4762.25</v>
      </c>
      <c r="F15" s="102">
        <v>0.86092937426606297</v>
      </c>
      <c r="G15" s="103">
        <v>44976043</v>
      </c>
      <c r="H15" s="103">
        <f t="shared" si="0"/>
        <v>101703.87627547</v>
      </c>
      <c r="I15" s="104">
        <f t="shared" si="1"/>
        <v>1.726750882311118E-5</v>
      </c>
      <c r="J15" s="105">
        <f t="shared" si="2"/>
        <v>3.6876950620637008E-4</v>
      </c>
      <c r="K15" s="106">
        <v>8.1194430464687106E-2</v>
      </c>
      <c r="L15" s="107">
        <v>65622300</v>
      </c>
      <c r="M15" s="103">
        <f t="shared" si="3"/>
        <v>177867.71600808611</v>
      </c>
      <c r="N15" s="104">
        <f t="shared" si="4"/>
        <v>7.6854922850392339E-6</v>
      </c>
      <c r="O15" s="105">
        <f t="shared" si="5"/>
        <v>2.8704939033811648E-4</v>
      </c>
      <c r="P15" s="102">
        <v>5.78761952692501E-2</v>
      </c>
      <c r="Q15" s="103">
        <v>22144982973</v>
      </c>
      <c r="R15" s="103">
        <f t="shared" si="6"/>
        <v>43143.003180715306</v>
      </c>
      <c r="S15" s="104">
        <f t="shared" si="7"/>
        <v>3.2587515928836591E-5</v>
      </c>
      <c r="T15" s="105">
        <f t="shared" si="8"/>
        <v>2.9522249007704507E-4</v>
      </c>
      <c r="U15" s="104">
        <f t="shared" si="9"/>
        <v>9.5104138662153157E-4</v>
      </c>
      <c r="V15" s="103">
        <f t="shared" si="10"/>
        <v>4.5290968434383885</v>
      </c>
      <c r="W15" s="100">
        <v>1</v>
      </c>
      <c r="X15" s="101">
        <v>5654</v>
      </c>
      <c r="Y15" s="102">
        <v>0.86092937426606297</v>
      </c>
      <c r="Z15" s="107">
        <v>82356869</v>
      </c>
      <c r="AA15" s="103">
        <v>186233.13491299</v>
      </c>
      <c r="AB15" s="104">
        <f t="shared" si="11"/>
        <v>1.0674896648416375E-5</v>
      </c>
      <c r="AC15" s="105">
        <f t="shared" si="12"/>
        <v>3.5161292318831828E-4</v>
      </c>
      <c r="AD15" s="102">
        <v>8.1194430464687106E-2</v>
      </c>
      <c r="AE15" s="103">
        <v>78037527</v>
      </c>
      <c r="AF15" s="103">
        <v>152124.05436780999</v>
      </c>
      <c r="AG15" s="104">
        <f t="shared" si="13"/>
        <v>6.3879233756665676E-6</v>
      </c>
      <c r="AH15" s="105">
        <f t="shared" si="14"/>
        <v>1.7187067614030867E-4</v>
      </c>
      <c r="AI15" s="106">
        <v>5.78761952692501E-2</v>
      </c>
      <c r="AJ15" s="103">
        <v>28757480427</v>
      </c>
      <c r="AK15" s="103">
        <v>56025.514727389993</v>
      </c>
      <c r="AL15" s="104">
        <f t="shared" si="15"/>
        <v>2.2634842761161137E-5</v>
      </c>
      <c r="AM15" s="104">
        <f t="shared" si="16"/>
        <v>2.242887719256438E-4</v>
      </c>
      <c r="AN15" s="108">
        <f t="shared" si="17"/>
        <v>7.4777237125427066E-4</v>
      </c>
      <c r="AO15" s="101">
        <f t="shared" si="18"/>
        <v>4.2279049870716463</v>
      </c>
      <c r="AQ15" s="63">
        <v>10</v>
      </c>
      <c r="AR15" s="122" t="s">
        <v>749</v>
      </c>
      <c r="AS15" s="63">
        <f t="shared" ref="AS15:AU15" si="50">SUM(D246:D248)</f>
        <v>19806</v>
      </c>
      <c r="AT15" s="73">
        <f t="shared" si="50"/>
        <v>150424.5</v>
      </c>
      <c r="AU15" s="118">
        <f t="shared" si="50"/>
        <v>15938.684403181436</v>
      </c>
      <c r="AV15" s="73">
        <v>73166581</v>
      </c>
      <c r="AW15" s="103">
        <f>J361</f>
        <v>37679.412020697047</v>
      </c>
      <c r="AX15" s="119">
        <f t="shared" si="21"/>
        <v>0.25048720135813679</v>
      </c>
      <c r="AY15" s="118">
        <f>SUM(K246:K248)</f>
        <v>3380.5343885082284</v>
      </c>
      <c r="AZ15" s="73">
        <v>109525629</v>
      </c>
      <c r="BA15" s="103">
        <f>O361</f>
        <v>65315.195328311958</v>
      </c>
      <c r="BB15" s="119">
        <f t="shared" si="23"/>
        <v>0.43420583301464827</v>
      </c>
      <c r="BC15" s="118">
        <f>SUM(P246:P248)</f>
        <v>485.42104345733685</v>
      </c>
      <c r="BD15" s="73">
        <v>43388942926</v>
      </c>
      <c r="BE15" s="106">
        <f>T361</f>
        <v>21129.220039665219</v>
      </c>
      <c r="BF15" s="119">
        <f t="shared" si="25"/>
        <v>0.14046395394144717</v>
      </c>
      <c r="BG15" s="119">
        <f t="shared" si="26"/>
        <v>0.82515698831423223</v>
      </c>
      <c r="BH15" s="103">
        <f t="shared" si="27"/>
        <v>124123.82738867422</v>
      </c>
      <c r="BI15" s="63">
        <f t="shared" ref="BI15:BK15" si="51">SUM(W246:W248)</f>
        <v>28113</v>
      </c>
      <c r="BJ15" s="73">
        <f t="shared" si="51"/>
        <v>159264</v>
      </c>
      <c r="BK15" s="118">
        <f t="shared" si="51"/>
        <v>23683.289909801373</v>
      </c>
      <c r="BL15" s="73">
        <v>97868000</v>
      </c>
      <c r="BM15" s="103">
        <f>AC361</f>
        <v>41889.155824902555</v>
      </c>
      <c r="BN15" s="119">
        <f t="shared" si="29"/>
        <v>0.26301710257749744</v>
      </c>
      <c r="BO15" s="118">
        <f>SUM(AD246:AD248)</f>
        <v>3828.9641068157434</v>
      </c>
      <c r="BP15" s="73">
        <v>119919247</v>
      </c>
      <c r="BQ15" s="103">
        <f>AH361</f>
        <v>57362.311730866015</v>
      </c>
      <c r="BR15" s="119">
        <f t="shared" si="30"/>
        <v>0.36017123600352885</v>
      </c>
      <c r="BS15" s="118">
        <f>SUM(AI246:AI248)</f>
        <v>599.11556571307221</v>
      </c>
      <c r="BT15" s="73">
        <f>SUM(AF246:AF248)</f>
        <v>869013.11130339</v>
      </c>
      <c r="BU15" s="103">
        <f>AM361</f>
        <v>27503.882084574536</v>
      </c>
      <c r="BV15" s="119">
        <f t="shared" si="31"/>
        <v>0.17269365383623755</v>
      </c>
      <c r="BW15" s="119">
        <f t="shared" si="32"/>
        <v>0.79588199241726387</v>
      </c>
      <c r="BX15" s="103">
        <f t="shared" si="33"/>
        <v>126755.34964034311</v>
      </c>
    </row>
    <row r="16" spans="1:76" ht="15.75" customHeight="1" x14ac:dyDescent="0.3">
      <c r="A16" s="99">
        <v>10501</v>
      </c>
      <c r="B16" s="62" t="s">
        <v>9</v>
      </c>
      <c r="C16" s="62" t="s">
        <v>750</v>
      </c>
      <c r="D16" s="112">
        <v>1320</v>
      </c>
      <c r="E16" s="113">
        <v>24363.75</v>
      </c>
      <c r="F16" s="114">
        <v>1048.9515980015017</v>
      </c>
      <c r="G16" s="103">
        <v>44976043</v>
      </c>
      <c r="H16" s="103">
        <f t="shared" si="0"/>
        <v>101703.87627547</v>
      </c>
      <c r="I16" s="104">
        <f t="shared" si="1"/>
        <v>2.1038637447988735E-2</v>
      </c>
      <c r="J16" s="105">
        <f t="shared" si="2"/>
        <v>8.7823548510172544E-2</v>
      </c>
      <c r="K16" s="115">
        <v>240.92734191443674</v>
      </c>
      <c r="L16" s="107">
        <v>65622300</v>
      </c>
      <c r="M16" s="103">
        <f t="shared" si="3"/>
        <v>177867.71600808611</v>
      </c>
      <c r="N16" s="104">
        <f t="shared" si="4"/>
        <v>2.2805076862306789E-2</v>
      </c>
      <c r="O16" s="105">
        <f t="shared" si="5"/>
        <v>0.16648861258580305</v>
      </c>
      <c r="P16" s="114">
        <v>30.073165477285777</v>
      </c>
      <c r="Q16" s="103">
        <v>22144982973</v>
      </c>
      <c r="R16" s="103">
        <f t="shared" si="6"/>
        <v>43143.003180715306</v>
      </c>
      <c r="S16" s="104">
        <f t="shared" si="7"/>
        <v>1.6932864271094767E-2</v>
      </c>
      <c r="T16" s="105">
        <f t="shared" si="8"/>
        <v>2.9984489953577019E-2</v>
      </c>
      <c r="U16" s="104">
        <f t="shared" si="9"/>
        <v>0.2842966510495526</v>
      </c>
      <c r="V16" s="103">
        <f t="shared" si="10"/>
        <v>6926.5325320085376</v>
      </c>
      <c r="W16" s="121">
        <v>2309</v>
      </c>
      <c r="X16" s="101">
        <v>24546</v>
      </c>
      <c r="Y16" s="114">
        <v>1863.9826857669896</v>
      </c>
      <c r="Z16" s="107">
        <v>82356869</v>
      </c>
      <c r="AA16" s="103">
        <v>186233.13491299</v>
      </c>
      <c r="AB16" s="104">
        <f t="shared" si="11"/>
        <v>2.3112026514326988E-2</v>
      </c>
      <c r="AC16" s="105">
        <f t="shared" si="12"/>
        <v>0.17535342426282327</v>
      </c>
      <c r="AD16" s="114">
        <v>394.84428827843561</v>
      </c>
      <c r="AE16" s="103">
        <v>78037527</v>
      </c>
      <c r="AF16" s="103">
        <v>152124.05436780999</v>
      </c>
      <c r="AG16" s="104">
        <f t="shared" si="13"/>
        <v>3.1064138813550916E-2</v>
      </c>
      <c r="AH16" s="105">
        <f t="shared" si="14"/>
        <v>0.1925202779174536</v>
      </c>
      <c r="AI16" s="115">
        <v>50.098389986839749</v>
      </c>
      <c r="AJ16" s="103">
        <v>28757480427</v>
      </c>
      <c r="AK16" s="103">
        <v>56025.514727389993</v>
      </c>
      <c r="AL16" s="104">
        <f t="shared" si="15"/>
        <v>1.9593015309040722E-2</v>
      </c>
      <c r="AM16" s="104">
        <f t="shared" si="16"/>
        <v>4.4720474527443925E-2</v>
      </c>
      <c r="AN16" s="108">
        <f t="shared" si="17"/>
        <v>0.41259417670772081</v>
      </c>
      <c r="AO16" s="101">
        <f t="shared" si="18"/>
        <v>10127.536661467715</v>
      </c>
      <c r="AQ16" s="63">
        <v>11</v>
      </c>
      <c r="AR16" s="63" t="s">
        <v>7</v>
      </c>
      <c r="AS16" s="63">
        <f t="shared" ref="AS16:AW16" si="52">SUM(AS6:AS14)</f>
        <v>1574331</v>
      </c>
      <c r="AT16" s="73">
        <f t="shared" si="52"/>
        <v>10386225.25</v>
      </c>
      <c r="AU16" s="118">
        <f t="shared" si="52"/>
        <v>1291332.7022912123</v>
      </c>
      <c r="AV16" s="73">
        <f t="shared" si="52"/>
        <v>1514393270</v>
      </c>
      <c r="AW16" s="73">
        <f t="shared" si="52"/>
        <v>3424482.3575183004</v>
      </c>
      <c r="AX16" s="119">
        <f t="shared" si="21"/>
        <v>0.32971385417606847</v>
      </c>
      <c r="AY16" s="118">
        <f t="shared" ref="AY16:BA16" si="53">SUM(AY6:AY14)</f>
        <v>221429.05589393419</v>
      </c>
      <c r="AZ16" s="120">
        <f t="shared" si="53"/>
        <v>1792500300</v>
      </c>
      <c r="BA16" s="73">
        <f t="shared" si="53"/>
        <v>4858530.3213207889</v>
      </c>
      <c r="BB16" s="119">
        <f t="shared" si="23"/>
        <v>0.46778595730155081</v>
      </c>
      <c r="BC16" s="118">
        <f t="shared" ref="BC16:BE16" si="54">SUM(BC6:BC14)</f>
        <v>61408.425425890709</v>
      </c>
      <c r="BD16" s="73">
        <f t="shared" si="54"/>
        <v>688850918100</v>
      </c>
      <c r="BE16" s="118">
        <f t="shared" si="54"/>
        <v>1342023.942256429</v>
      </c>
      <c r="BF16" s="119">
        <f t="shared" si="25"/>
        <v>0.12921190422443699</v>
      </c>
      <c r="BG16" s="119">
        <f t="shared" si="26"/>
        <v>0.92671171570205624</v>
      </c>
      <c r="BH16" s="103">
        <f t="shared" si="27"/>
        <v>9625036.6210955177</v>
      </c>
      <c r="BI16" s="63">
        <f t="shared" ref="BI16:BM16" si="55">SUM(BI6:BI14)</f>
        <v>2578838</v>
      </c>
      <c r="BJ16" s="73">
        <f t="shared" si="55"/>
        <v>11365333</v>
      </c>
      <c r="BK16" s="118">
        <f t="shared" si="55"/>
        <v>2197296.5259520086</v>
      </c>
      <c r="BL16" s="73">
        <f t="shared" si="55"/>
        <v>2341659836</v>
      </c>
      <c r="BM16" s="73">
        <f t="shared" si="55"/>
        <v>5310165.8455477143</v>
      </c>
      <c r="BN16" s="119">
        <f t="shared" si="29"/>
        <v>0.46722483587130392</v>
      </c>
      <c r="BO16" s="118">
        <f t="shared" ref="BO16:BQ16" si="56">SUM(BO6:BO14)</f>
        <v>294496.8061179652</v>
      </c>
      <c r="BP16" s="73">
        <f t="shared" si="56"/>
        <v>2298164828</v>
      </c>
      <c r="BQ16" s="73">
        <f t="shared" si="56"/>
        <v>5266375.5236545689</v>
      </c>
      <c r="BR16" s="119">
        <f t="shared" si="30"/>
        <v>0.46337186280899723</v>
      </c>
      <c r="BS16" s="118">
        <f t="shared" ref="BS16:BU16" si="57">SUM(BS6:BS14)</f>
        <v>86869.617813835051</v>
      </c>
      <c r="BT16" s="73">
        <f t="shared" si="57"/>
        <v>857300504506</v>
      </c>
      <c r="BU16" s="73">
        <f t="shared" si="57"/>
        <v>1770826.5190065266</v>
      </c>
      <c r="BV16" s="119">
        <f t="shared" si="31"/>
        <v>0.15580947069536163</v>
      </c>
      <c r="BW16" s="119">
        <f t="shared" si="32"/>
        <v>1.0864061693756628</v>
      </c>
      <c r="BX16" s="103">
        <f t="shared" si="33"/>
        <v>12347367.888208808</v>
      </c>
    </row>
    <row r="17" spans="1:49" ht="15.75" customHeight="1" x14ac:dyDescent="0.3">
      <c r="A17" s="99">
        <v>10502</v>
      </c>
      <c r="B17" s="62" t="s">
        <v>9</v>
      </c>
      <c r="C17" s="62" t="s">
        <v>751</v>
      </c>
      <c r="D17" s="112">
        <v>4</v>
      </c>
      <c r="E17" s="113">
        <v>8061.75</v>
      </c>
      <c r="F17" s="114">
        <v>4</v>
      </c>
      <c r="G17" s="103">
        <v>44976043</v>
      </c>
      <c r="H17" s="103">
        <f t="shared" si="0"/>
        <v>101703.87627547</v>
      </c>
      <c r="I17" s="104">
        <f t="shared" si="1"/>
        <v>8.0227295475109687E-5</v>
      </c>
      <c r="J17" s="105">
        <f t="shared" si="2"/>
        <v>1.0121160955023575E-3</v>
      </c>
      <c r="K17" s="115">
        <v>0</v>
      </c>
      <c r="L17" s="107">
        <v>65622300</v>
      </c>
      <c r="M17" s="103">
        <f t="shared" si="3"/>
        <v>177867.71600808611</v>
      </c>
      <c r="N17" s="104">
        <f t="shared" si="4"/>
        <v>0</v>
      </c>
      <c r="O17" s="105">
        <f t="shared" si="5"/>
        <v>0</v>
      </c>
      <c r="P17" s="114">
        <v>0</v>
      </c>
      <c r="Q17" s="103">
        <v>22144982973</v>
      </c>
      <c r="R17" s="103">
        <f t="shared" si="6"/>
        <v>43143.003180715306</v>
      </c>
      <c r="S17" s="104">
        <f t="shared" si="7"/>
        <v>0</v>
      </c>
      <c r="T17" s="105">
        <f t="shared" si="8"/>
        <v>0</v>
      </c>
      <c r="U17" s="104">
        <f t="shared" si="9"/>
        <v>1.0121160955023575E-3</v>
      </c>
      <c r="V17" s="103">
        <f t="shared" si="10"/>
        <v>8.15942693291613</v>
      </c>
      <c r="W17" s="112">
        <v>4</v>
      </c>
      <c r="X17" s="101">
        <v>7200</v>
      </c>
      <c r="Y17" s="114">
        <v>4</v>
      </c>
      <c r="Z17" s="107">
        <v>82356869</v>
      </c>
      <c r="AA17" s="103">
        <v>186233.13491299</v>
      </c>
      <c r="AB17" s="104">
        <f t="shared" si="11"/>
        <v>4.9597084116297735E-5</v>
      </c>
      <c r="AC17" s="105">
        <f t="shared" si="12"/>
        <v>1.2828639524335263E-3</v>
      </c>
      <c r="AD17" s="114">
        <v>0</v>
      </c>
      <c r="AE17" s="103">
        <v>78037527</v>
      </c>
      <c r="AF17" s="103">
        <v>152124.05436780999</v>
      </c>
      <c r="AG17" s="104">
        <f t="shared" si="13"/>
        <v>0</v>
      </c>
      <c r="AH17" s="105">
        <f t="shared" si="14"/>
        <v>0</v>
      </c>
      <c r="AI17" s="115">
        <v>0</v>
      </c>
      <c r="AJ17" s="103">
        <v>28757480427</v>
      </c>
      <c r="AK17" s="103">
        <v>56025.514727389993</v>
      </c>
      <c r="AL17" s="104">
        <f t="shared" si="15"/>
        <v>0</v>
      </c>
      <c r="AM17" s="104">
        <f t="shared" si="16"/>
        <v>0</v>
      </c>
      <c r="AN17" s="108">
        <f t="shared" si="17"/>
        <v>1.2828639524335263E-3</v>
      </c>
      <c r="AO17" s="101">
        <f t="shared" si="18"/>
        <v>9.2366204575213899</v>
      </c>
      <c r="AW17" s="119"/>
    </row>
    <row r="18" spans="1:49" ht="15.75" customHeight="1" x14ac:dyDescent="0.3">
      <c r="A18" s="99">
        <v>10601</v>
      </c>
      <c r="B18" s="62" t="s">
        <v>9</v>
      </c>
      <c r="C18" s="62" t="s">
        <v>38</v>
      </c>
      <c r="D18" s="100">
        <v>18</v>
      </c>
      <c r="E18" s="101">
        <v>16038.75</v>
      </c>
      <c r="F18" s="102">
        <v>9.5009051453638751</v>
      </c>
      <c r="G18" s="103">
        <v>44976043</v>
      </c>
      <c r="H18" s="103">
        <f t="shared" si="0"/>
        <v>101703.87627547</v>
      </c>
      <c r="I18" s="104">
        <f t="shared" si="1"/>
        <v>1.9055798109452439E-4</v>
      </c>
      <c r="J18" s="105">
        <f t="shared" si="2"/>
        <v>1.2083538513001861E-3</v>
      </c>
      <c r="K18" s="106">
        <v>8.0540456392036823</v>
      </c>
      <c r="L18" s="107">
        <v>65622300</v>
      </c>
      <c r="M18" s="103">
        <f t="shared" si="3"/>
        <v>177867.71600808611</v>
      </c>
      <c r="N18" s="104">
        <f t="shared" si="4"/>
        <v>7.6235900996158711E-4</v>
      </c>
      <c r="O18" s="105">
        <f t="shared" si="5"/>
        <v>8.4544653342718892E-3</v>
      </c>
      <c r="P18" s="102">
        <v>0.44374792867888402</v>
      </c>
      <c r="Q18" s="103">
        <v>22144982973</v>
      </c>
      <c r="R18" s="103">
        <f t="shared" si="6"/>
        <v>43143.003180715306</v>
      </c>
      <c r="S18" s="104">
        <f t="shared" si="7"/>
        <v>2.4985475681215671E-4</v>
      </c>
      <c r="T18" s="105">
        <f t="shared" si="8"/>
        <v>6.7209006735959639E-4</v>
      </c>
      <c r="U18" s="104">
        <f t="shared" si="9"/>
        <v>1.0334909252931672E-2</v>
      </c>
      <c r="V18" s="103">
        <f t="shared" si="10"/>
        <v>165.75902578045788</v>
      </c>
      <c r="W18" s="100">
        <v>17</v>
      </c>
      <c r="X18" s="101">
        <v>13323</v>
      </c>
      <c r="Y18" s="102">
        <v>10.396696259691639</v>
      </c>
      <c r="Z18" s="107">
        <v>82356869</v>
      </c>
      <c r="AA18" s="103">
        <v>186233.13491299</v>
      </c>
      <c r="AB18" s="104">
        <f t="shared" si="11"/>
        <v>1.2891145473088107E-4</v>
      </c>
      <c r="AC18" s="105">
        <f t="shared" si="12"/>
        <v>1.8019653486996904E-3</v>
      </c>
      <c r="AD18" s="102">
        <v>6.1655831504908134</v>
      </c>
      <c r="AE18" s="103">
        <v>78037527</v>
      </c>
      <c r="AF18" s="103">
        <v>152124.05436780999</v>
      </c>
      <c r="AG18" s="104">
        <f t="shared" si="13"/>
        <v>4.8507357593653591E-4</v>
      </c>
      <c r="AH18" s="105">
        <f t="shared" si="14"/>
        <v>5.538644377254192E-3</v>
      </c>
      <c r="AI18" s="106">
        <v>0.43671659535127749</v>
      </c>
      <c r="AJ18" s="103">
        <v>28757480427</v>
      </c>
      <c r="AK18" s="103">
        <v>56025.514727389993</v>
      </c>
      <c r="AL18" s="104">
        <f t="shared" si="15"/>
        <v>1.7079580682487875E-4</v>
      </c>
      <c r="AM18" s="104">
        <f t="shared" si="16"/>
        <v>7.1822584933150949E-4</v>
      </c>
      <c r="AN18" s="108">
        <f t="shared" si="17"/>
        <v>8.0588355752853925E-3</v>
      </c>
      <c r="AO18" s="101">
        <f t="shared" si="18"/>
        <v>107.36786636952726</v>
      </c>
    </row>
    <row r="19" spans="1:49" ht="15.75" customHeight="1" x14ac:dyDescent="0.3">
      <c r="A19" s="99">
        <v>10602</v>
      </c>
      <c r="B19" s="62" t="s">
        <v>9</v>
      </c>
      <c r="C19" s="62" t="s">
        <v>49</v>
      </c>
      <c r="D19" s="100">
        <v>45</v>
      </c>
      <c r="E19" s="101">
        <v>9703.25</v>
      </c>
      <c r="F19" s="102">
        <v>25.837391917019119</v>
      </c>
      <c r="G19" s="103">
        <v>44976043</v>
      </c>
      <c r="H19" s="103">
        <f t="shared" si="0"/>
        <v>101703.87627547</v>
      </c>
      <c r="I19" s="104">
        <f t="shared" si="1"/>
        <v>5.1821601890822584E-4</v>
      </c>
      <c r="J19" s="105">
        <f t="shared" si="2"/>
        <v>5.4316417562166102E-3</v>
      </c>
      <c r="K19" s="106">
        <v>18.074327737299789</v>
      </c>
      <c r="L19" s="107">
        <v>65622300</v>
      </c>
      <c r="M19" s="103">
        <f t="shared" si="3"/>
        <v>177867.71600808611</v>
      </c>
      <c r="N19" s="104">
        <f t="shared" si="4"/>
        <v>1.7108329424479754E-3</v>
      </c>
      <c r="O19" s="105">
        <f t="shared" si="5"/>
        <v>3.1360827345952628E-2</v>
      </c>
      <c r="P19" s="102">
        <v>1.0860367893555549</v>
      </c>
      <c r="Q19" s="103">
        <v>22144982973</v>
      </c>
      <c r="R19" s="103">
        <f t="shared" si="6"/>
        <v>43143.003180715306</v>
      </c>
      <c r="S19" s="104">
        <f t="shared" si="7"/>
        <v>6.1149909747488596E-4</v>
      </c>
      <c r="T19" s="105">
        <f t="shared" si="8"/>
        <v>2.7188733164005404E-3</v>
      </c>
      <c r="U19" s="104">
        <f t="shared" si="9"/>
        <v>3.9511342418569781E-2</v>
      </c>
      <c r="V19" s="103">
        <f t="shared" si="10"/>
        <v>383.38843332298723</v>
      </c>
      <c r="W19" s="100">
        <v>238</v>
      </c>
      <c r="X19" s="101">
        <v>8480</v>
      </c>
      <c r="Y19" s="102">
        <v>178.0894858392615</v>
      </c>
      <c r="Z19" s="107">
        <v>82356869</v>
      </c>
      <c r="AA19" s="103">
        <v>186233.13491299</v>
      </c>
      <c r="AB19" s="104">
        <f t="shared" si="11"/>
        <v>2.2081798023495165E-3</v>
      </c>
      <c r="AC19" s="105">
        <f t="shared" si="12"/>
        <v>4.8494840453195409E-2</v>
      </c>
      <c r="AD19" s="102">
        <v>52.538932356268951</v>
      </c>
      <c r="AE19" s="103">
        <v>78037527</v>
      </c>
      <c r="AF19" s="103">
        <v>152124.05436780999</v>
      </c>
      <c r="AG19" s="104">
        <f t="shared" si="13"/>
        <v>4.1334691580494527E-3</v>
      </c>
      <c r="AH19" s="105">
        <f t="shared" si="14"/>
        <v>7.4150953647026036E-2</v>
      </c>
      <c r="AI19" s="106">
        <v>7.3644908317327893</v>
      </c>
      <c r="AJ19" s="103">
        <v>28757480427</v>
      </c>
      <c r="AK19" s="103">
        <v>56025.514727389993</v>
      </c>
      <c r="AL19" s="104">
        <f t="shared" si="15"/>
        <v>2.8801840068579951E-3</v>
      </c>
      <c r="AM19" s="104">
        <f t="shared" si="16"/>
        <v>1.9028748996912235E-2</v>
      </c>
      <c r="AN19" s="108">
        <f t="shared" si="17"/>
        <v>0.14167454309713368</v>
      </c>
      <c r="AO19" s="101">
        <f t="shared" si="18"/>
        <v>1201.4001254636937</v>
      </c>
    </row>
    <row r="20" spans="1:49" ht="15.75" customHeight="1" x14ac:dyDescent="0.3">
      <c r="A20" s="99">
        <v>10701</v>
      </c>
      <c r="B20" s="62" t="s">
        <v>9</v>
      </c>
      <c r="C20" s="62" t="s">
        <v>13</v>
      </c>
      <c r="D20" s="100">
        <v>130</v>
      </c>
      <c r="E20" s="101">
        <v>15411.25</v>
      </c>
      <c r="F20" s="102">
        <v>103.5960413153398</v>
      </c>
      <c r="G20" s="103">
        <v>44976043</v>
      </c>
      <c r="H20" s="103">
        <f t="shared" si="0"/>
        <v>101703.87627547</v>
      </c>
      <c r="I20" s="104">
        <f t="shared" si="1"/>
        <v>2.077807554164359E-3</v>
      </c>
      <c r="J20" s="105">
        <f t="shared" si="2"/>
        <v>1.3712131229651644E-2</v>
      </c>
      <c r="K20" s="106">
        <v>23.87327759827463</v>
      </c>
      <c r="L20" s="107">
        <v>65622300</v>
      </c>
      <c r="M20" s="103">
        <f t="shared" si="3"/>
        <v>177867.71600808611</v>
      </c>
      <c r="N20" s="104">
        <f t="shared" si="4"/>
        <v>2.2597349319413902E-3</v>
      </c>
      <c r="O20" s="105">
        <f t="shared" si="5"/>
        <v>2.6080550969460815E-2</v>
      </c>
      <c r="P20" s="102">
        <v>2.526661331125696</v>
      </c>
      <c r="Q20" s="103">
        <v>22144982973</v>
      </c>
      <c r="R20" s="103">
        <f t="shared" si="6"/>
        <v>43143.003180715306</v>
      </c>
      <c r="S20" s="104">
        <f t="shared" si="7"/>
        <v>1.4226508151025687E-3</v>
      </c>
      <c r="T20" s="105">
        <f t="shared" si="8"/>
        <v>3.9826379197675302E-3</v>
      </c>
      <c r="U20" s="104">
        <f t="shared" si="9"/>
        <v>4.3775320118879989E-2</v>
      </c>
      <c r="V20" s="103">
        <f t="shared" si="10"/>
        <v>674.63240218208921</v>
      </c>
      <c r="W20" s="100">
        <v>350</v>
      </c>
      <c r="X20" s="101">
        <v>14713</v>
      </c>
      <c r="Y20" s="102">
        <v>312.86140243022038</v>
      </c>
      <c r="Z20" s="107">
        <v>82356869</v>
      </c>
      <c r="AA20" s="103">
        <v>186233.13491299</v>
      </c>
      <c r="AB20" s="104">
        <f t="shared" si="11"/>
        <v>3.8792533232686289E-3</v>
      </c>
      <c r="AC20" s="105">
        <f t="shared" si="12"/>
        <v>4.9102528886967402E-2</v>
      </c>
      <c r="AD20" s="102">
        <v>31.398031508872069</v>
      </c>
      <c r="AE20" s="103">
        <v>78037527</v>
      </c>
      <c r="AF20" s="103">
        <v>152124.05436780999</v>
      </c>
      <c r="AG20" s="104">
        <f t="shared" si="13"/>
        <v>2.4702213966839755E-3</v>
      </c>
      <c r="AH20" s="105">
        <f t="shared" si="14"/>
        <v>2.5540684703981555E-2</v>
      </c>
      <c r="AI20" s="106">
        <v>5.7349817231593816</v>
      </c>
      <c r="AJ20" s="103">
        <v>28757480427</v>
      </c>
      <c r="AK20" s="103">
        <v>56025.514727389993</v>
      </c>
      <c r="AL20" s="104">
        <f t="shared" si="15"/>
        <v>2.2428981196491063E-3</v>
      </c>
      <c r="AM20" s="104">
        <f t="shared" si="16"/>
        <v>8.540713765679081E-3</v>
      </c>
      <c r="AN20" s="108">
        <f t="shared" si="17"/>
        <v>8.3183927356628037E-2</v>
      </c>
      <c r="AO20" s="101">
        <f t="shared" si="18"/>
        <v>1223.8851231980682</v>
      </c>
    </row>
    <row r="21" spans="1:49" ht="15.75" customHeight="1" x14ac:dyDescent="0.3">
      <c r="A21" s="99">
        <v>10702</v>
      </c>
      <c r="B21" s="62" t="s">
        <v>9</v>
      </c>
      <c r="C21" s="62" t="s">
        <v>30</v>
      </c>
      <c r="D21" s="100">
        <v>29</v>
      </c>
      <c r="E21" s="101">
        <v>31068.75</v>
      </c>
      <c r="F21" s="102">
        <v>16.75591509746862</v>
      </c>
      <c r="G21" s="103">
        <v>44976043</v>
      </c>
      <c r="H21" s="103">
        <f t="shared" si="0"/>
        <v>101703.87627547</v>
      </c>
      <c r="I21" s="104">
        <f t="shared" si="1"/>
        <v>3.3607043787011652E-4</v>
      </c>
      <c r="J21" s="105">
        <f t="shared" si="2"/>
        <v>1.1001300738840592E-3</v>
      </c>
      <c r="K21" s="106">
        <v>11.539749046087289</v>
      </c>
      <c r="L21" s="107">
        <v>65622300</v>
      </c>
      <c r="M21" s="103">
        <f t="shared" si="3"/>
        <v>177867.71600808611</v>
      </c>
      <c r="N21" s="104">
        <f t="shared" si="4"/>
        <v>1.092299702792607E-3</v>
      </c>
      <c r="O21" s="105">
        <f t="shared" si="5"/>
        <v>6.2533849392728148E-3</v>
      </c>
      <c r="P21" s="102">
        <v>0.70238203761639384</v>
      </c>
      <c r="Q21" s="103">
        <v>22144982973</v>
      </c>
      <c r="R21" s="103">
        <f t="shared" si="6"/>
        <v>43143.003180715306</v>
      </c>
      <c r="S21" s="104">
        <f t="shared" si="7"/>
        <v>3.9548014053912616E-4</v>
      </c>
      <c r="T21" s="105">
        <f t="shared" si="8"/>
        <v>5.4917564952530295E-4</v>
      </c>
      <c r="U21" s="104">
        <f t="shared" si="9"/>
        <v>7.9026906626821769E-3</v>
      </c>
      <c r="V21" s="103">
        <f t="shared" si="10"/>
        <v>245.5267205262069</v>
      </c>
      <c r="W21" s="100">
        <v>121</v>
      </c>
      <c r="X21" s="101">
        <v>26715</v>
      </c>
      <c r="Y21" s="102">
        <v>90.786480329889201</v>
      </c>
      <c r="Z21" s="107">
        <v>82356869</v>
      </c>
      <c r="AA21" s="103">
        <v>186233.13491299</v>
      </c>
      <c r="AB21" s="104">
        <f t="shared" si="11"/>
        <v>1.1256861753860311E-3</v>
      </c>
      <c r="AC21" s="105">
        <f t="shared" si="12"/>
        <v>7.8472792577336491E-3</v>
      </c>
      <c r="AD21" s="102">
        <v>24.772493486085569</v>
      </c>
      <c r="AE21" s="103">
        <v>78037527</v>
      </c>
      <c r="AF21" s="103">
        <v>152124.05436780999</v>
      </c>
      <c r="AG21" s="104">
        <f t="shared" si="13"/>
        <v>1.9489611455817434E-3</v>
      </c>
      <c r="AH21" s="105">
        <f t="shared" si="14"/>
        <v>1.1098029993308119E-2</v>
      </c>
      <c r="AI21" s="106">
        <v>5.4368275222934077</v>
      </c>
      <c r="AJ21" s="103">
        <v>28757480427</v>
      </c>
      <c r="AK21" s="103">
        <v>56025.514727389993</v>
      </c>
      <c r="AL21" s="104">
        <f t="shared" si="15"/>
        <v>2.1262927791669797E-3</v>
      </c>
      <c r="AM21" s="104">
        <f t="shared" si="16"/>
        <v>4.459167037767644E-3</v>
      </c>
      <c r="AN21" s="108">
        <f t="shared" si="17"/>
        <v>2.3404476288809411E-2</v>
      </c>
      <c r="AO21" s="101">
        <f t="shared" si="18"/>
        <v>625.25058405554341</v>
      </c>
    </row>
    <row r="22" spans="1:49" ht="15.75" customHeight="1" x14ac:dyDescent="0.3">
      <c r="A22" s="99">
        <v>10703</v>
      </c>
      <c r="B22" s="62" t="s">
        <v>9</v>
      </c>
      <c r="C22" s="62" t="s">
        <v>24</v>
      </c>
      <c r="D22" s="100">
        <v>15</v>
      </c>
      <c r="E22" s="101">
        <v>13913</v>
      </c>
      <c r="F22" s="102">
        <v>3.379946204503339</v>
      </c>
      <c r="G22" s="103">
        <v>44976043</v>
      </c>
      <c r="H22" s="103">
        <f t="shared" si="0"/>
        <v>101703.87627547</v>
      </c>
      <c r="I22" s="104">
        <f t="shared" si="1"/>
        <v>6.779098570966622E-5</v>
      </c>
      <c r="J22" s="105">
        <f t="shared" si="2"/>
        <v>4.9555135651606764E-4</v>
      </c>
      <c r="K22" s="106">
        <v>11.43150513864096</v>
      </c>
      <c r="L22" s="107">
        <v>65622300</v>
      </c>
      <c r="M22" s="103">
        <f t="shared" si="3"/>
        <v>177867.71600808611</v>
      </c>
      <c r="N22" s="104">
        <f t="shared" si="4"/>
        <v>1.0820538311137229E-3</v>
      </c>
      <c r="O22" s="105">
        <f t="shared" si="5"/>
        <v>1.3833281358297797E-2</v>
      </c>
      <c r="P22" s="102">
        <v>0.18641721813457091</v>
      </c>
      <c r="Q22" s="103">
        <v>22144982973</v>
      </c>
      <c r="R22" s="103">
        <f t="shared" si="6"/>
        <v>43143.003180715306</v>
      </c>
      <c r="S22" s="104">
        <f t="shared" si="7"/>
        <v>1.0496325885121452E-4</v>
      </c>
      <c r="T22" s="105">
        <f t="shared" si="8"/>
        <v>3.2548193850903418E-4</v>
      </c>
      <c r="U22" s="104">
        <f t="shared" si="9"/>
        <v>1.4654314653322897E-2</v>
      </c>
      <c r="V22" s="103">
        <f t="shared" si="10"/>
        <v>203.88547977168147</v>
      </c>
      <c r="W22" s="100">
        <v>15</v>
      </c>
      <c r="X22" s="101">
        <v>16484</v>
      </c>
      <c r="Y22" s="102">
        <v>3.379946204503339</v>
      </c>
      <c r="Z22" s="107">
        <v>82356869</v>
      </c>
      <c r="AA22" s="103">
        <v>186233.13491299</v>
      </c>
      <c r="AB22" s="104">
        <f t="shared" si="11"/>
        <v>4.1908869053328344E-5</v>
      </c>
      <c r="AC22" s="105">
        <f t="shared" si="12"/>
        <v>4.7347852854036208E-4</v>
      </c>
      <c r="AD22" s="102">
        <v>11.43150513864096</v>
      </c>
      <c r="AE22" s="103">
        <v>78037527</v>
      </c>
      <c r="AF22" s="103">
        <v>152124.05436780999</v>
      </c>
      <c r="AG22" s="104">
        <f t="shared" si="13"/>
        <v>8.9936684666981333E-4</v>
      </c>
      <c r="AH22" s="105">
        <f t="shared" si="14"/>
        <v>8.2998866221429581E-3</v>
      </c>
      <c r="AI22" s="106">
        <v>0.18641721813457091</v>
      </c>
      <c r="AJ22" s="103">
        <v>28757480427</v>
      </c>
      <c r="AK22" s="103">
        <v>56025.514727389993</v>
      </c>
      <c r="AL22" s="104">
        <f t="shared" si="15"/>
        <v>7.2906043682020386E-5</v>
      </c>
      <c r="AM22" s="104">
        <f t="shared" si="16"/>
        <v>2.4779171463375216E-4</v>
      </c>
      <c r="AN22" s="108">
        <f t="shared" si="17"/>
        <v>9.0211568653170721E-3</v>
      </c>
      <c r="AO22" s="101">
        <f t="shared" si="18"/>
        <v>148.70474976788663</v>
      </c>
    </row>
    <row r="23" spans="1:49" ht="15.75" customHeight="1" x14ac:dyDescent="0.3">
      <c r="A23" s="99">
        <v>10704</v>
      </c>
      <c r="B23" s="62" t="s">
        <v>9</v>
      </c>
      <c r="C23" s="62" t="s">
        <v>752</v>
      </c>
      <c r="D23" s="112"/>
      <c r="E23" s="113">
        <v>15683</v>
      </c>
      <c r="F23" s="114"/>
      <c r="G23" s="103">
        <v>44976043</v>
      </c>
      <c r="H23" s="103">
        <f t="shared" si="0"/>
        <v>101703.87627547</v>
      </c>
      <c r="I23" s="104">
        <f t="shared" si="1"/>
        <v>0</v>
      </c>
      <c r="J23" s="105">
        <f t="shared" si="2"/>
        <v>0</v>
      </c>
      <c r="K23" s="115"/>
      <c r="L23" s="107">
        <v>65622300</v>
      </c>
      <c r="M23" s="103">
        <f t="shared" si="3"/>
        <v>177867.71600808611</v>
      </c>
      <c r="N23" s="104">
        <f t="shared" si="4"/>
        <v>0</v>
      </c>
      <c r="O23" s="105">
        <f t="shared" si="5"/>
        <v>0</v>
      </c>
      <c r="P23" s="114"/>
      <c r="Q23" s="103">
        <v>22144982973</v>
      </c>
      <c r="R23" s="103">
        <f t="shared" si="6"/>
        <v>43143.003180715306</v>
      </c>
      <c r="S23" s="104">
        <f t="shared" si="7"/>
        <v>0</v>
      </c>
      <c r="T23" s="105">
        <f t="shared" si="8"/>
        <v>0</v>
      </c>
      <c r="U23" s="104">
        <f t="shared" si="9"/>
        <v>0</v>
      </c>
      <c r="V23" s="103">
        <f t="shared" si="10"/>
        <v>0</v>
      </c>
      <c r="W23" s="112"/>
      <c r="X23" s="101">
        <v>14282</v>
      </c>
      <c r="Y23" s="114"/>
      <c r="Z23" s="107">
        <v>82356869</v>
      </c>
      <c r="AA23" s="103">
        <v>186233.13491299</v>
      </c>
      <c r="AB23" s="104">
        <f t="shared" si="11"/>
        <v>0</v>
      </c>
      <c r="AC23" s="105">
        <f t="shared" si="12"/>
        <v>0</v>
      </c>
      <c r="AD23" s="114"/>
      <c r="AE23" s="103">
        <v>78037527</v>
      </c>
      <c r="AF23" s="103">
        <v>152124.05436780999</v>
      </c>
      <c r="AG23" s="104">
        <f t="shared" si="13"/>
        <v>0</v>
      </c>
      <c r="AH23" s="105">
        <f t="shared" si="14"/>
        <v>0</v>
      </c>
      <c r="AI23" s="115"/>
      <c r="AJ23" s="103">
        <v>28757480427</v>
      </c>
      <c r="AK23" s="103">
        <v>56025.514727389993</v>
      </c>
      <c r="AL23" s="104">
        <f t="shared" si="15"/>
        <v>0</v>
      </c>
      <c r="AM23" s="104">
        <f t="shared" si="16"/>
        <v>0</v>
      </c>
      <c r="AN23" s="108">
        <f t="shared" si="17"/>
        <v>0</v>
      </c>
      <c r="AO23" s="101">
        <f t="shared" si="18"/>
        <v>0</v>
      </c>
    </row>
    <row r="24" spans="1:49" ht="15.75" customHeight="1" x14ac:dyDescent="0.3">
      <c r="A24" s="99">
        <v>10801</v>
      </c>
      <c r="B24" s="62" t="s">
        <v>9</v>
      </c>
      <c r="C24" s="62" t="s">
        <v>45</v>
      </c>
      <c r="D24" s="100">
        <v>45</v>
      </c>
      <c r="E24" s="101">
        <v>10647.5</v>
      </c>
      <c r="F24" s="102">
        <v>35.498573810973369</v>
      </c>
      <c r="G24" s="103">
        <v>44976043</v>
      </c>
      <c r="H24" s="103">
        <f t="shared" si="0"/>
        <v>101703.87627547</v>
      </c>
      <c r="I24" s="104">
        <f t="shared" si="1"/>
        <v>7.1198864251948769E-4</v>
      </c>
      <c r="J24" s="105">
        <f t="shared" si="2"/>
        <v>6.8008457204359538E-3</v>
      </c>
      <c r="K24" s="106">
        <v>8.2833568349409532</v>
      </c>
      <c r="L24" s="107">
        <v>65622300</v>
      </c>
      <c r="M24" s="103">
        <f t="shared" si="3"/>
        <v>177867.71600808611</v>
      </c>
      <c r="N24" s="104">
        <f t="shared" si="4"/>
        <v>7.840645557191672E-4</v>
      </c>
      <c r="O24" s="105">
        <f t="shared" si="5"/>
        <v>1.3097888868622967E-2</v>
      </c>
      <c r="P24" s="102">
        <v>1.2167101198325609</v>
      </c>
      <c r="Q24" s="103">
        <v>22144982973</v>
      </c>
      <c r="R24" s="103">
        <f t="shared" si="6"/>
        <v>43143.003180715306</v>
      </c>
      <c r="S24" s="104">
        <f t="shared" si="7"/>
        <v>6.8507544814173818E-4</v>
      </c>
      <c r="T24" s="105">
        <f t="shared" si="8"/>
        <v>2.7758828117594716E-3</v>
      </c>
      <c r="U24" s="104">
        <f t="shared" si="9"/>
        <v>2.2674617400818393E-2</v>
      </c>
      <c r="V24" s="103">
        <f t="shared" si="10"/>
        <v>241.42798877521383</v>
      </c>
      <c r="W24" s="100">
        <v>208</v>
      </c>
      <c r="X24" s="101">
        <v>9107</v>
      </c>
      <c r="Y24" s="102">
        <v>164.56215481439409</v>
      </c>
      <c r="Z24" s="107">
        <v>82356869</v>
      </c>
      <c r="AA24" s="103">
        <v>186233.13491299</v>
      </c>
      <c r="AB24" s="104">
        <f t="shared" si="11"/>
        <v>2.0404507586721785E-3</v>
      </c>
      <c r="AC24" s="105">
        <f t="shared" si="12"/>
        <v>4.1726094369507916E-2</v>
      </c>
      <c r="AD24" s="102">
        <v>38.033954689361067</v>
      </c>
      <c r="AE24" s="103">
        <v>78037527</v>
      </c>
      <c r="AF24" s="103">
        <v>152124.05436780999</v>
      </c>
      <c r="AG24" s="104">
        <f t="shared" si="13"/>
        <v>2.992298693872597E-3</v>
      </c>
      <c r="AH24" s="105">
        <f t="shared" si="14"/>
        <v>4.9983596046052681E-2</v>
      </c>
      <c r="AI24" s="106">
        <v>5.3973412245563566</v>
      </c>
      <c r="AJ24" s="103">
        <v>28757480427</v>
      </c>
      <c r="AK24" s="103">
        <v>56025.514727389993</v>
      </c>
      <c r="AL24" s="104">
        <f t="shared" si="15"/>
        <v>2.1108500546350613E-3</v>
      </c>
      <c r="AM24" s="104">
        <f t="shared" si="16"/>
        <v>1.2985775867274469E-2</v>
      </c>
      <c r="AN24" s="108">
        <f t="shared" si="17"/>
        <v>0.10469546628283506</v>
      </c>
      <c r="AO24" s="101">
        <f t="shared" si="18"/>
        <v>953.46161143777908</v>
      </c>
    </row>
    <row r="25" spans="1:49" ht="15.75" customHeight="1" x14ac:dyDescent="0.3">
      <c r="A25" s="99">
        <v>10901</v>
      </c>
      <c r="B25" s="62" t="s">
        <v>9</v>
      </c>
      <c r="C25" s="62" t="s">
        <v>753</v>
      </c>
      <c r="D25" s="112">
        <v>2</v>
      </c>
      <c r="E25" s="113">
        <v>3979.25</v>
      </c>
      <c r="F25" s="114">
        <v>1</v>
      </c>
      <c r="G25" s="103">
        <v>44976043</v>
      </c>
      <c r="H25" s="103">
        <f t="shared" si="0"/>
        <v>101703.87627547</v>
      </c>
      <c r="I25" s="104">
        <f t="shared" si="1"/>
        <v>2.0056823868777422E-5</v>
      </c>
      <c r="J25" s="105">
        <f t="shared" si="2"/>
        <v>5.1262341728442102E-4</v>
      </c>
      <c r="K25" s="115">
        <v>1</v>
      </c>
      <c r="L25" s="107">
        <v>65622300</v>
      </c>
      <c r="M25" s="103">
        <f t="shared" si="3"/>
        <v>177867.71600808611</v>
      </c>
      <c r="N25" s="104">
        <f t="shared" si="4"/>
        <v>9.4655412213055567E-5</v>
      </c>
      <c r="O25" s="105">
        <f t="shared" si="5"/>
        <v>4.2309837225959898E-3</v>
      </c>
      <c r="P25" s="114">
        <v>0</v>
      </c>
      <c r="Q25" s="103">
        <v>22144982973</v>
      </c>
      <c r="R25" s="103">
        <f t="shared" si="6"/>
        <v>43143.003180715306</v>
      </c>
      <c r="S25" s="104">
        <f t="shared" si="7"/>
        <v>0</v>
      </c>
      <c r="T25" s="105">
        <f t="shared" si="8"/>
        <v>0</v>
      </c>
      <c r="U25" s="104">
        <f t="shared" si="9"/>
        <v>4.7436071398804106E-3</v>
      </c>
      <c r="V25" s="103">
        <f t="shared" si="10"/>
        <v>18.875998711369125</v>
      </c>
      <c r="W25" s="112">
        <v>2</v>
      </c>
      <c r="X25" s="101">
        <v>5375</v>
      </c>
      <c r="Y25" s="114">
        <v>1</v>
      </c>
      <c r="Z25" s="107">
        <v>82356869</v>
      </c>
      <c r="AA25" s="103">
        <v>186233.13491299</v>
      </c>
      <c r="AB25" s="104">
        <f t="shared" si="11"/>
        <v>1.2399271029074434E-5</v>
      </c>
      <c r="AC25" s="105">
        <f t="shared" si="12"/>
        <v>4.2961025383820417E-4</v>
      </c>
      <c r="AD25" s="114">
        <v>1</v>
      </c>
      <c r="AE25" s="103">
        <v>78037527</v>
      </c>
      <c r="AF25" s="103">
        <v>152124.05436780999</v>
      </c>
      <c r="AG25" s="104">
        <f t="shared" si="13"/>
        <v>7.8674403393281858E-5</v>
      </c>
      <c r="AH25" s="105">
        <f t="shared" si="14"/>
        <v>2.226654738447372E-3</v>
      </c>
      <c r="AI25" s="115">
        <v>0</v>
      </c>
      <c r="AJ25" s="103">
        <v>28757480427</v>
      </c>
      <c r="AK25" s="103">
        <v>56025.514727389993</v>
      </c>
      <c r="AL25" s="104">
        <f t="shared" si="15"/>
        <v>0</v>
      </c>
      <c r="AM25" s="104">
        <f t="shared" si="16"/>
        <v>0</v>
      </c>
      <c r="AN25" s="108">
        <f t="shared" si="17"/>
        <v>2.6562649922855764E-3</v>
      </c>
      <c r="AO25" s="101">
        <f t="shared" si="18"/>
        <v>14.277424333534972</v>
      </c>
    </row>
    <row r="26" spans="1:49" ht="15.75" customHeight="1" x14ac:dyDescent="0.3">
      <c r="A26" s="99">
        <v>10902</v>
      </c>
      <c r="B26" s="62" t="s">
        <v>9</v>
      </c>
      <c r="C26" s="62" t="s">
        <v>22</v>
      </c>
      <c r="D26" s="100">
        <v>91</v>
      </c>
      <c r="E26" s="101">
        <v>17010.25</v>
      </c>
      <c r="F26" s="102">
        <v>66.261459346384683</v>
      </c>
      <c r="G26" s="103">
        <v>44976043</v>
      </c>
      <c r="H26" s="103">
        <f t="shared" si="0"/>
        <v>101703.87627547</v>
      </c>
      <c r="I26" s="104">
        <f t="shared" si="1"/>
        <v>1.3289944193985929E-3</v>
      </c>
      <c r="J26" s="105">
        <f t="shared" si="2"/>
        <v>7.9460257198632929E-3</v>
      </c>
      <c r="K26" s="106">
        <v>22.313775198973001</v>
      </c>
      <c r="L26" s="107">
        <v>65622300</v>
      </c>
      <c r="M26" s="103">
        <f t="shared" si="3"/>
        <v>177867.71600808611</v>
      </c>
      <c r="N26" s="104">
        <f t="shared" si="4"/>
        <v>2.1121195894882455E-3</v>
      </c>
      <c r="O26" s="105">
        <f t="shared" si="5"/>
        <v>2.2085383067163074E-2</v>
      </c>
      <c r="P26" s="102">
        <v>2.4187754843972691</v>
      </c>
      <c r="Q26" s="103">
        <v>22144982973</v>
      </c>
      <c r="R26" s="103">
        <f t="shared" si="6"/>
        <v>43143.003180715306</v>
      </c>
      <c r="S26" s="104">
        <f t="shared" si="7"/>
        <v>1.3619050848001043E-3</v>
      </c>
      <c r="T26" s="105">
        <f t="shared" si="8"/>
        <v>3.4541923490462073E-3</v>
      </c>
      <c r="U26" s="104">
        <f t="shared" si="9"/>
        <v>3.3485601136072574E-2</v>
      </c>
      <c r="V26" s="103">
        <f t="shared" si="10"/>
        <v>569.5984467248785</v>
      </c>
      <c r="W26" s="100">
        <v>103</v>
      </c>
      <c r="X26" s="101">
        <v>14848</v>
      </c>
      <c r="Y26" s="102">
        <v>77.236224197939549</v>
      </c>
      <c r="Z26" s="107">
        <v>82356869</v>
      </c>
      <c r="AA26" s="103">
        <v>186233.13491299</v>
      </c>
      <c r="AB26" s="104">
        <f t="shared" si="11"/>
        <v>9.576728770926096E-4</v>
      </c>
      <c r="AC26" s="105">
        <f t="shared" si="12"/>
        <v>1.2011747179559485E-2</v>
      </c>
      <c r="AD26" s="102">
        <v>23.371504323168121</v>
      </c>
      <c r="AE26" s="103">
        <v>78037527</v>
      </c>
      <c r="AF26" s="103">
        <v>152124.05436780999</v>
      </c>
      <c r="AG26" s="104">
        <f t="shared" si="13"/>
        <v>1.8387391590287598E-3</v>
      </c>
      <c r="AH26" s="105">
        <f t="shared" si="14"/>
        <v>1.8838662163005945E-2</v>
      </c>
      <c r="AI26" s="106">
        <v>2.3868030361433701</v>
      </c>
      <c r="AJ26" s="103">
        <v>28757480427</v>
      </c>
      <c r="AK26" s="103">
        <v>56025.514727389993</v>
      </c>
      <c r="AL26" s="104">
        <f t="shared" si="15"/>
        <v>9.334565130557378E-4</v>
      </c>
      <c r="AM26" s="104">
        <f t="shared" si="16"/>
        <v>3.522183568129199E-3</v>
      </c>
      <c r="AN26" s="108">
        <f t="shared" si="17"/>
        <v>3.4372592910694631E-2</v>
      </c>
      <c r="AO26" s="101">
        <f t="shared" si="18"/>
        <v>510.36425953799386</v>
      </c>
    </row>
    <row r="27" spans="1:49" ht="15.75" customHeight="1" x14ac:dyDescent="0.3">
      <c r="A27" s="99">
        <v>10903</v>
      </c>
      <c r="B27" s="62" t="s">
        <v>9</v>
      </c>
      <c r="C27" s="62" t="s">
        <v>25</v>
      </c>
      <c r="D27" s="100">
        <v>7</v>
      </c>
      <c r="E27" s="101">
        <v>4320</v>
      </c>
      <c r="F27" s="102">
        <v>2.0540079492426049</v>
      </c>
      <c r="G27" s="103">
        <v>44976043</v>
      </c>
      <c r="H27" s="103">
        <f t="shared" si="0"/>
        <v>101703.87627547</v>
      </c>
      <c r="I27" s="104">
        <f t="shared" si="1"/>
        <v>4.119687566302764E-5</v>
      </c>
      <c r="J27" s="105">
        <f t="shared" si="2"/>
        <v>9.6988007994640844E-4</v>
      </c>
      <c r="K27" s="106">
        <v>4.8240229639489138</v>
      </c>
      <c r="L27" s="107">
        <v>65622300</v>
      </c>
      <c r="M27" s="103">
        <f t="shared" si="3"/>
        <v>177867.71600808611</v>
      </c>
      <c r="N27" s="104">
        <f t="shared" si="4"/>
        <v>4.5661988217783053E-4</v>
      </c>
      <c r="O27" s="105">
        <f t="shared" si="5"/>
        <v>1.8800448038623171E-2</v>
      </c>
      <c r="P27" s="102">
        <v>0.12108098734134209</v>
      </c>
      <c r="Q27" s="103">
        <v>22144982973</v>
      </c>
      <c r="R27" s="103">
        <f t="shared" si="6"/>
        <v>43143.003180715306</v>
      </c>
      <c r="S27" s="104">
        <f t="shared" si="7"/>
        <v>6.8175328134633482E-5</v>
      </c>
      <c r="T27" s="105">
        <f t="shared" si="8"/>
        <v>6.8085379596268566E-4</v>
      </c>
      <c r="U27" s="104">
        <f t="shared" si="9"/>
        <v>2.0451181914532268E-2</v>
      </c>
      <c r="V27" s="103">
        <f t="shared" si="10"/>
        <v>88.349105870779383</v>
      </c>
      <c r="W27" s="100">
        <v>7</v>
      </c>
      <c r="X27" s="101">
        <v>5016</v>
      </c>
      <c r="Y27" s="102">
        <v>2.0540079492426049</v>
      </c>
      <c r="Z27" s="107">
        <v>82356869</v>
      </c>
      <c r="AA27" s="103">
        <v>186233.13491299</v>
      </c>
      <c r="AB27" s="104">
        <f t="shared" si="11"/>
        <v>2.546820125853242E-5</v>
      </c>
      <c r="AC27" s="105">
        <f t="shared" si="12"/>
        <v>9.455787402255681E-4</v>
      </c>
      <c r="AD27" s="102">
        <v>4.8240229639489138</v>
      </c>
      <c r="AE27" s="103">
        <v>78037527</v>
      </c>
      <c r="AF27" s="103">
        <v>152124.05436780999</v>
      </c>
      <c r="AG27" s="104">
        <f t="shared" si="13"/>
        <v>3.7952712864417208E-4</v>
      </c>
      <c r="AH27" s="105">
        <f t="shared" si="14"/>
        <v>1.1510208443366199E-2</v>
      </c>
      <c r="AI27" s="106">
        <v>0.12108098734134209</v>
      </c>
      <c r="AJ27" s="103">
        <v>28757480427</v>
      </c>
      <c r="AK27" s="103">
        <v>56025.514727389993</v>
      </c>
      <c r="AL27" s="104">
        <f t="shared" si="15"/>
        <v>4.7353650271712669E-5</v>
      </c>
      <c r="AM27" s="104">
        <f t="shared" si="16"/>
        <v>5.2891001409360319E-4</v>
      </c>
      <c r="AN27" s="108">
        <f t="shared" si="17"/>
        <v>1.298469719768537E-2</v>
      </c>
      <c r="AO27" s="101">
        <f t="shared" si="18"/>
        <v>65.131241143589818</v>
      </c>
    </row>
    <row r="28" spans="1:49" ht="15.75" customHeight="1" x14ac:dyDescent="0.3">
      <c r="A28" s="99">
        <v>11001</v>
      </c>
      <c r="B28" s="62" t="s">
        <v>9</v>
      </c>
      <c r="C28" s="62" t="s">
        <v>754</v>
      </c>
      <c r="D28" s="112">
        <v>9</v>
      </c>
      <c r="E28" s="113">
        <v>10610.5</v>
      </c>
      <c r="F28" s="114">
        <v>6</v>
      </c>
      <c r="G28" s="103">
        <v>44976043</v>
      </c>
      <c r="H28" s="103">
        <f t="shared" si="0"/>
        <v>101703.87627547</v>
      </c>
      <c r="I28" s="104">
        <f t="shared" si="1"/>
        <v>1.2034094321266452E-4</v>
      </c>
      <c r="J28" s="105">
        <f t="shared" si="2"/>
        <v>1.1534932754699771E-3</v>
      </c>
      <c r="K28" s="115">
        <v>2</v>
      </c>
      <c r="L28" s="107">
        <v>65622300</v>
      </c>
      <c r="M28" s="103">
        <f t="shared" si="3"/>
        <v>177867.71600808611</v>
      </c>
      <c r="N28" s="104">
        <f t="shared" si="4"/>
        <v>1.8931082442611113E-4</v>
      </c>
      <c r="O28" s="105">
        <f t="shared" si="5"/>
        <v>3.1734870134564989E-3</v>
      </c>
      <c r="P28" s="114">
        <v>0</v>
      </c>
      <c r="Q28" s="103">
        <v>22144982973</v>
      </c>
      <c r="R28" s="103">
        <f t="shared" si="6"/>
        <v>43143.003180715306</v>
      </c>
      <c r="S28" s="104">
        <f t="shared" si="7"/>
        <v>0</v>
      </c>
      <c r="T28" s="105">
        <f t="shared" si="8"/>
        <v>0</v>
      </c>
      <c r="U28" s="104">
        <f t="shared" si="9"/>
        <v>4.3269802889264759E-3</v>
      </c>
      <c r="V28" s="103">
        <f t="shared" si="10"/>
        <v>45.911424355654376</v>
      </c>
      <c r="W28" s="112">
        <v>9</v>
      </c>
      <c r="X28" s="101">
        <v>13282</v>
      </c>
      <c r="Y28" s="114">
        <v>6</v>
      </c>
      <c r="Z28" s="107">
        <v>82356869</v>
      </c>
      <c r="AA28" s="103">
        <v>186233.13491299</v>
      </c>
      <c r="AB28" s="104">
        <f t="shared" si="11"/>
        <v>7.4395626174446599E-5</v>
      </c>
      <c r="AC28" s="105">
        <f t="shared" si="12"/>
        <v>1.0431358745883212E-3</v>
      </c>
      <c r="AD28" s="114">
        <v>2</v>
      </c>
      <c r="AE28" s="103">
        <v>78037527</v>
      </c>
      <c r="AF28" s="103">
        <v>152124.05436780999</v>
      </c>
      <c r="AG28" s="104">
        <f t="shared" si="13"/>
        <v>1.5734880678656372E-4</v>
      </c>
      <c r="AH28" s="105">
        <f t="shared" si="14"/>
        <v>1.8021787711420907E-3</v>
      </c>
      <c r="AI28" s="115">
        <v>0</v>
      </c>
      <c r="AJ28" s="103">
        <v>28757480427</v>
      </c>
      <c r="AK28" s="103">
        <v>56025.514727389993</v>
      </c>
      <c r="AL28" s="104">
        <f t="shared" si="15"/>
        <v>0</v>
      </c>
      <c r="AM28" s="104">
        <f t="shared" si="16"/>
        <v>0</v>
      </c>
      <c r="AN28" s="108">
        <f t="shared" si="17"/>
        <v>2.8453146457304117E-3</v>
      </c>
      <c r="AO28" s="101">
        <f t="shared" si="18"/>
        <v>37.79146912459133</v>
      </c>
    </row>
    <row r="29" spans="1:49" ht="15.75" customHeight="1" x14ac:dyDescent="0.3">
      <c r="A29" s="99">
        <v>11002</v>
      </c>
      <c r="B29" s="62" t="s">
        <v>9</v>
      </c>
      <c r="C29" s="62" t="s">
        <v>755</v>
      </c>
      <c r="D29" s="112"/>
      <c r="E29" s="113">
        <v>2542.5</v>
      </c>
      <c r="F29" s="114"/>
      <c r="G29" s="103">
        <v>44976043</v>
      </c>
      <c r="H29" s="103">
        <f t="shared" si="0"/>
        <v>101703.87627547</v>
      </c>
      <c r="I29" s="104">
        <f t="shared" si="1"/>
        <v>0</v>
      </c>
      <c r="J29" s="105">
        <f t="shared" si="2"/>
        <v>0</v>
      </c>
      <c r="K29" s="115"/>
      <c r="L29" s="107">
        <v>65622300</v>
      </c>
      <c r="M29" s="103">
        <f t="shared" si="3"/>
        <v>177867.71600808611</v>
      </c>
      <c r="N29" s="104">
        <f t="shared" si="4"/>
        <v>0</v>
      </c>
      <c r="O29" s="105">
        <f t="shared" si="5"/>
        <v>0</v>
      </c>
      <c r="P29" s="114"/>
      <c r="Q29" s="103">
        <v>22144982973</v>
      </c>
      <c r="R29" s="103">
        <f t="shared" si="6"/>
        <v>43143.003180715306</v>
      </c>
      <c r="S29" s="104">
        <f t="shared" si="7"/>
        <v>0</v>
      </c>
      <c r="T29" s="105">
        <f t="shared" si="8"/>
        <v>0</v>
      </c>
      <c r="U29" s="104">
        <f t="shared" si="9"/>
        <v>0</v>
      </c>
      <c r="V29" s="103">
        <f t="shared" si="10"/>
        <v>0</v>
      </c>
      <c r="W29" s="112"/>
      <c r="X29" s="101">
        <v>2547</v>
      </c>
      <c r="Y29" s="114"/>
      <c r="Z29" s="107">
        <v>82356869</v>
      </c>
      <c r="AA29" s="103">
        <v>186233.13491299</v>
      </c>
      <c r="AB29" s="104">
        <f t="shared" si="11"/>
        <v>0</v>
      </c>
      <c r="AC29" s="105">
        <f t="shared" si="12"/>
        <v>0</v>
      </c>
      <c r="AD29" s="114"/>
      <c r="AE29" s="103">
        <v>78037527</v>
      </c>
      <c r="AF29" s="103">
        <v>152124.05436780999</v>
      </c>
      <c r="AG29" s="104">
        <f t="shared" si="13"/>
        <v>0</v>
      </c>
      <c r="AH29" s="105">
        <f t="shared" si="14"/>
        <v>0</v>
      </c>
      <c r="AI29" s="115"/>
      <c r="AJ29" s="103">
        <v>28757480427</v>
      </c>
      <c r="AK29" s="103">
        <v>56025.514727389993</v>
      </c>
      <c r="AL29" s="104">
        <f t="shared" si="15"/>
        <v>0</v>
      </c>
      <c r="AM29" s="104">
        <f t="shared" si="16"/>
        <v>0</v>
      </c>
      <c r="AN29" s="108">
        <f t="shared" si="17"/>
        <v>0</v>
      </c>
      <c r="AO29" s="101">
        <f t="shared" si="18"/>
        <v>0</v>
      </c>
    </row>
    <row r="30" spans="1:49" ht="15.75" customHeight="1" x14ac:dyDescent="0.3">
      <c r="A30" s="99">
        <v>11003</v>
      </c>
      <c r="B30" s="62" t="s">
        <v>9</v>
      </c>
      <c r="C30" s="62" t="s">
        <v>26</v>
      </c>
      <c r="D30" s="100">
        <v>9</v>
      </c>
      <c r="E30" s="101">
        <v>7372.25</v>
      </c>
      <c r="F30" s="102">
        <v>6.3662447803567286</v>
      </c>
      <c r="G30" s="103">
        <v>44976043</v>
      </c>
      <c r="H30" s="103">
        <f t="shared" si="0"/>
        <v>101703.87627547</v>
      </c>
      <c r="I30" s="104">
        <f t="shared" si="1"/>
        <v>1.2768665026513851E-4</v>
      </c>
      <c r="J30" s="105">
        <f t="shared" si="2"/>
        <v>1.7615012079887219E-3</v>
      </c>
      <c r="K30" s="106">
        <v>2.3345988790095111</v>
      </c>
      <c r="L30" s="107">
        <v>65622300</v>
      </c>
      <c r="M30" s="103">
        <f t="shared" si="3"/>
        <v>177867.71600808611</v>
      </c>
      <c r="N30" s="104">
        <f t="shared" si="4"/>
        <v>2.2098241924478271E-4</v>
      </c>
      <c r="O30" s="105">
        <f t="shared" si="5"/>
        <v>5.331566101123922E-3</v>
      </c>
      <c r="P30" s="102">
        <v>0.29874315334734031</v>
      </c>
      <c r="Q30" s="103">
        <v>22144982973</v>
      </c>
      <c r="R30" s="103">
        <f t="shared" si="6"/>
        <v>43143.003180715306</v>
      </c>
      <c r="S30" s="104">
        <f t="shared" si="7"/>
        <v>1.6820900584509803E-4</v>
      </c>
      <c r="T30" s="105">
        <f t="shared" si="8"/>
        <v>9.8437270496795734E-4</v>
      </c>
      <c r="U30" s="104">
        <f t="shared" si="9"/>
        <v>8.0774400140806012E-3</v>
      </c>
      <c r="V30" s="103">
        <f t="shared" si="10"/>
        <v>59.548907143805714</v>
      </c>
      <c r="W30" s="100">
        <v>7</v>
      </c>
      <c r="X30" s="101">
        <v>7235</v>
      </c>
      <c r="Y30" s="102">
        <v>4.6443860318246024</v>
      </c>
      <c r="Z30" s="107">
        <v>82356869</v>
      </c>
      <c r="AA30" s="103">
        <v>186233.13491299</v>
      </c>
      <c r="AB30" s="104">
        <f t="shared" si="11"/>
        <v>5.758700117224076E-5</v>
      </c>
      <c r="AC30" s="105">
        <f t="shared" si="12"/>
        <v>1.4823231179743508E-3</v>
      </c>
      <c r="AD30" s="102">
        <v>2.1722100180801371</v>
      </c>
      <c r="AE30" s="103">
        <v>78037527</v>
      </c>
      <c r="AF30" s="103">
        <v>152124.05436780999</v>
      </c>
      <c r="AG30" s="104">
        <f t="shared" si="13"/>
        <v>1.7089732721736479E-4</v>
      </c>
      <c r="AH30" s="105">
        <f t="shared" si="14"/>
        <v>3.5933095089050195E-3</v>
      </c>
      <c r="AI30" s="106">
        <v>0.18299076280884011</v>
      </c>
      <c r="AJ30" s="103">
        <v>28757480427</v>
      </c>
      <c r="AK30" s="103">
        <v>56025.514727389993</v>
      </c>
      <c r="AL30" s="104">
        <f t="shared" si="15"/>
        <v>7.1565988808591847E-5</v>
      </c>
      <c r="AM30" s="104">
        <f t="shared" si="16"/>
        <v>5.5418401658272152E-4</v>
      </c>
      <c r="AN30" s="108">
        <f t="shared" si="17"/>
        <v>5.6298166434620919E-3</v>
      </c>
      <c r="AO30" s="101">
        <f t="shared" si="18"/>
        <v>40.731723415448236</v>
      </c>
    </row>
    <row r="31" spans="1:49" ht="15.75" customHeight="1" x14ac:dyDescent="0.3">
      <c r="A31" s="99">
        <v>20101</v>
      </c>
      <c r="B31" s="62" t="s">
        <v>51</v>
      </c>
      <c r="C31" s="62" t="s">
        <v>756</v>
      </c>
      <c r="D31" s="121">
        <v>261003</v>
      </c>
      <c r="E31" s="113">
        <v>764208.75</v>
      </c>
      <c r="F31" s="114">
        <v>230376.19023656019</v>
      </c>
      <c r="G31" s="123">
        <v>422290885</v>
      </c>
      <c r="H31" s="103">
        <f t="shared" si="0"/>
        <v>954922.15534165001</v>
      </c>
      <c r="I31" s="104">
        <f t="shared" ref="I31:I117" si="58">F31/SUM($F$31:$F$117)</f>
        <v>0.70995273738522602</v>
      </c>
      <c r="J31" s="105">
        <f t="shared" si="2"/>
        <v>0.88712619186132646</v>
      </c>
      <c r="K31" s="115">
        <v>21699.411591943699</v>
      </c>
      <c r="L31" s="124">
        <v>321118170</v>
      </c>
      <c r="M31" s="103">
        <f t="shared" si="3"/>
        <v>870383.32192861743</v>
      </c>
      <c r="N31" s="104">
        <f t="shared" ref="N31:N117" si="59">K31/SUM($K$31:$K$117)</f>
        <v>0.51513622047423613</v>
      </c>
      <c r="O31" s="105">
        <f t="shared" si="5"/>
        <v>0.58670615171851714</v>
      </c>
      <c r="P31" s="114">
        <v>8913.4879494812612</v>
      </c>
      <c r="Q31" s="103">
        <v>115475189454</v>
      </c>
      <c r="R31" s="103">
        <f t="shared" si="6"/>
        <v>224969.53246619343</v>
      </c>
      <c r="S31" s="104">
        <f t="shared" ref="S31:S117" si="60">P31/SUM($P$31:$P$117)</f>
        <v>0.62668430751343451</v>
      </c>
      <c r="T31" s="105">
        <f t="shared" si="8"/>
        <v>0.18448477024791662</v>
      </c>
      <c r="U31" s="104">
        <f t="shared" si="9"/>
        <v>1.6583171138277601</v>
      </c>
      <c r="V31" s="103">
        <f t="shared" si="10"/>
        <v>1267300.4486619204</v>
      </c>
      <c r="W31" s="121">
        <v>303571</v>
      </c>
      <c r="X31" s="101">
        <v>757431</v>
      </c>
      <c r="Y31" s="114">
        <v>273335.56784917053</v>
      </c>
      <c r="Z31" s="124">
        <v>614114060</v>
      </c>
      <c r="AA31" s="103">
        <v>1389217.3666199013</v>
      </c>
      <c r="AB31" s="104">
        <f t="shared" ref="AB31:AB117" si="61">Y31/SUM($Y$31:$Y$117)</f>
        <v>0.54925005205598354</v>
      </c>
      <c r="AC31" s="105">
        <f t="shared" si="12"/>
        <v>1.0073890703351951</v>
      </c>
      <c r="AD31" s="114">
        <v>20214.105967831943</v>
      </c>
      <c r="AE31" s="123">
        <v>529749132</v>
      </c>
      <c r="AF31" s="103">
        <v>1298243.3714842624</v>
      </c>
      <c r="AG31" s="104">
        <f t="shared" ref="AG31:AG117" si="62">AD31/SUM($AD$31:$AD$117)</f>
        <v>0.33240106231307515</v>
      </c>
      <c r="AH31" s="105">
        <f t="shared" si="14"/>
        <v>0.56973833368620652</v>
      </c>
      <c r="AI31" s="115">
        <v>10010.460365293349</v>
      </c>
      <c r="AJ31" s="123">
        <v>154159215745</v>
      </c>
      <c r="AK31" s="123">
        <v>300334.00993407</v>
      </c>
      <c r="AL31" s="104">
        <f t="shared" ref="AL31:AL117" si="63">AI31/SUM($AI$31:$AI$117)</f>
        <v>0.47642820092327443</v>
      </c>
      <c r="AM31" s="104">
        <f t="shared" si="16"/>
        <v>0.1889117187294444</v>
      </c>
      <c r="AN31" s="108">
        <f t="shared" si="17"/>
        <v>1.7660391227508461</v>
      </c>
      <c r="AO31" s="101">
        <f t="shared" si="18"/>
        <v>1337652.778784296</v>
      </c>
    </row>
    <row r="32" spans="1:49" ht="15.75" customHeight="1" x14ac:dyDescent="0.3">
      <c r="A32" s="99">
        <v>20102</v>
      </c>
      <c r="B32" s="62" t="s">
        <v>51</v>
      </c>
      <c r="C32" s="62" t="s">
        <v>89</v>
      </c>
      <c r="D32" s="100">
        <v>34</v>
      </c>
      <c r="E32" s="101">
        <v>17898.75</v>
      </c>
      <c r="F32" s="102">
        <v>25.491169913746109</v>
      </c>
      <c r="G32" s="123">
        <v>422290885</v>
      </c>
      <c r="H32" s="103">
        <f t="shared" si="0"/>
        <v>954922.15534165001</v>
      </c>
      <c r="I32" s="104">
        <f t="shared" si="58"/>
        <v>7.8556407417071391E-5</v>
      </c>
      <c r="J32" s="105">
        <f t="shared" si="2"/>
        <v>4.1910889803258109E-3</v>
      </c>
      <c r="K32" s="106">
        <v>6.4218335952284731</v>
      </c>
      <c r="L32" s="124">
        <v>321118170</v>
      </c>
      <c r="M32" s="103">
        <f t="shared" si="3"/>
        <v>870383.32192861743</v>
      </c>
      <c r="N32" s="104">
        <f t="shared" si="59"/>
        <v>1.5245201800719198E-4</v>
      </c>
      <c r="O32" s="105">
        <f t="shared" si="5"/>
        <v>7.4134614913232014E-3</v>
      </c>
      <c r="P32" s="102">
        <v>2.085577666851588</v>
      </c>
      <c r="Q32" s="103">
        <v>115475189454</v>
      </c>
      <c r="R32" s="103">
        <f t="shared" si="6"/>
        <v>224969.53246619343</v>
      </c>
      <c r="S32" s="104">
        <f t="shared" si="60"/>
        <v>1.4663157714735398E-4</v>
      </c>
      <c r="T32" s="105">
        <f t="shared" si="8"/>
        <v>1.8430134705284334E-3</v>
      </c>
      <c r="U32" s="104">
        <f t="shared" si="9"/>
        <v>1.3447563942177446E-2</v>
      </c>
      <c r="V32" s="103">
        <f t="shared" si="10"/>
        <v>240.69458511004854</v>
      </c>
      <c r="W32" s="100">
        <v>2569</v>
      </c>
      <c r="X32" s="101">
        <v>21729</v>
      </c>
      <c r="Y32" s="102">
        <v>2202.0284168563621</v>
      </c>
      <c r="Z32" s="124">
        <v>614114060</v>
      </c>
      <c r="AA32" s="103">
        <v>1389217.3666199013</v>
      </c>
      <c r="AB32" s="104">
        <f t="shared" si="61"/>
        <v>4.4248329337604067E-3</v>
      </c>
      <c r="AC32" s="105">
        <f t="shared" si="12"/>
        <v>0.28289634847308409</v>
      </c>
      <c r="AD32" s="102">
        <v>289.93531719856878</v>
      </c>
      <c r="AE32" s="123">
        <v>529749132</v>
      </c>
      <c r="AF32" s="103">
        <v>1298243.3714842624</v>
      </c>
      <c r="AG32" s="104">
        <f t="shared" si="62"/>
        <v>4.7677007131678413E-3</v>
      </c>
      <c r="AH32" s="105">
        <f t="shared" si="14"/>
        <v>0.28485599190441069</v>
      </c>
      <c r="AI32" s="106">
        <v>76.954133178529958</v>
      </c>
      <c r="AJ32" s="123">
        <v>154159215745</v>
      </c>
      <c r="AK32" s="123">
        <v>300334.00993407</v>
      </c>
      <c r="AL32" s="104">
        <f t="shared" si="63"/>
        <v>3.6624808336457263E-3</v>
      </c>
      <c r="AM32" s="104">
        <f t="shared" si="16"/>
        <v>5.0622097430875625E-2</v>
      </c>
      <c r="AN32" s="108">
        <f t="shared" si="17"/>
        <v>0.61837443780837043</v>
      </c>
      <c r="AO32" s="101">
        <f t="shared" si="18"/>
        <v>13436.65815913808</v>
      </c>
    </row>
    <row r="33" spans="1:41" ht="15.75" customHeight="1" x14ac:dyDescent="0.3">
      <c r="A33" s="99">
        <v>20103</v>
      </c>
      <c r="B33" s="62" t="s">
        <v>51</v>
      </c>
      <c r="C33" s="62" t="s">
        <v>87</v>
      </c>
      <c r="D33" s="100">
        <v>110</v>
      </c>
      <c r="E33" s="101">
        <v>16987</v>
      </c>
      <c r="F33" s="102">
        <v>94.518736369886014</v>
      </c>
      <c r="G33" s="123">
        <v>422290885</v>
      </c>
      <c r="H33" s="103">
        <f t="shared" si="0"/>
        <v>954922.15534165001</v>
      </c>
      <c r="I33" s="104">
        <f t="shared" si="58"/>
        <v>2.9127938764456513E-4</v>
      </c>
      <c r="J33" s="105">
        <f t="shared" si="2"/>
        <v>1.6374235630549488E-2</v>
      </c>
      <c r="K33" s="106">
        <v>11.676843049926269</v>
      </c>
      <c r="L33" s="124">
        <v>321118170</v>
      </c>
      <c r="M33" s="103">
        <f t="shared" si="3"/>
        <v>870383.32192861743</v>
      </c>
      <c r="N33" s="104">
        <f t="shared" si="59"/>
        <v>2.7720405091735803E-4</v>
      </c>
      <c r="O33" s="105">
        <f t="shared" si="5"/>
        <v>1.4203436904074863E-2</v>
      </c>
      <c r="P33" s="102">
        <v>3.800846603465065</v>
      </c>
      <c r="Q33" s="103">
        <v>115475189454</v>
      </c>
      <c r="R33" s="103">
        <f t="shared" si="6"/>
        <v>224969.53246619343</v>
      </c>
      <c r="S33" s="104">
        <f t="shared" si="60"/>
        <v>2.67227704256437E-4</v>
      </c>
      <c r="T33" s="105">
        <f t="shared" si="8"/>
        <v>3.5390646782000848E-3</v>
      </c>
      <c r="U33" s="104">
        <f t="shared" si="9"/>
        <v>3.411673721282444E-2</v>
      </c>
      <c r="V33" s="103">
        <f t="shared" si="10"/>
        <v>579.54101503424863</v>
      </c>
      <c r="W33" s="100">
        <v>1068</v>
      </c>
      <c r="X33" s="101">
        <v>20446</v>
      </c>
      <c r="Y33" s="102">
        <v>922.8920783350228</v>
      </c>
      <c r="Z33" s="124">
        <v>614114060</v>
      </c>
      <c r="AA33" s="103">
        <v>1389217.3666199013</v>
      </c>
      <c r="AB33" s="104">
        <f t="shared" si="61"/>
        <v>1.8544916274755654E-3</v>
      </c>
      <c r="AC33" s="105">
        <f t="shared" si="12"/>
        <v>0.12600469407905018</v>
      </c>
      <c r="AD33" s="102">
        <v>107.9882719783941</v>
      </c>
      <c r="AE33" s="123">
        <v>529749132</v>
      </c>
      <c r="AF33" s="103">
        <v>1298243.3714842624</v>
      </c>
      <c r="AG33" s="104">
        <f t="shared" si="62"/>
        <v>1.775760767262933E-3</v>
      </c>
      <c r="AH33" s="105">
        <f t="shared" si="14"/>
        <v>0.11275406658715206</v>
      </c>
      <c r="AI33" s="106">
        <v>37.082696104750347</v>
      </c>
      <c r="AJ33" s="123">
        <v>154159215745</v>
      </c>
      <c r="AK33" s="123">
        <v>300334.00993407</v>
      </c>
      <c r="AL33" s="104">
        <f t="shared" si="63"/>
        <v>1.7648780921029098E-3</v>
      </c>
      <c r="AM33" s="104">
        <f t="shared" si="16"/>
        <v>2.5924528731588466E-2</v>
      </c>
      <c r="AN33" s="108">
        <f t="shared" si="17"/>
        <v>0.26468328939779073</v>
      </c>
      <c r="AO33" s="101">
        <f t="shared" si="18"/>
        <v>5411.7145350272294</v>
      </c>
    </row>
    <row r="34" spans="1:41" ht="15.75" customHeight="1" x14ac:dyDescent="0.3">
      <c r="A34" s="99">
        <v>20104</v>
      </c>
      <c r="B34" s="62" t="s">
        <v>51</v>
      </c>
      <c r="C34" s="62" t="s">
        <v>54</v>
      </c>
      <c r="D34" s="100">
        <v>1965</v>
      </c>
      <c r="E34" s="101">
        <v>28370.25</v>
      </c>
      <c r="F34" s="102">
        <v>1501.787313851012</v>
      </c>
      <c r="G34" s="123">
        <v>422290885</v>
      </c>
      <c r="H34" s="103">
        <f t="shared" si="0"/>
        <v>954922.15534165001</v>
      </c>
      <c r="I34" s="104">
        <f t="shared" si="58"/>
        <v>4.6280738184971007E-3</v>
      </c>
      <c r="J34" s="105">
        <f t="shared" si="2"/>
        <v>0.15577762712135113</v>
      </c>
      <c r="K34" s="106">
        <v>402.25938342033578</v>
      </c>
      <c r="L34" s="124">
        <v>321118170</v>
      </c>
      <c r="M34" s="103">
        <f t="shared" si="3"/>
        <v>870383.32192861743</v>
      </c>
      <c r="N34" s="104">
        <f t="shared" si="59"/>
        <v>9.549492968849993E-3</v>
      </c>
      <c r="O34" s="105">
        <f t="shared" si="5"/>
        <v>0.29297307612592882</v>
      </c>
      <c r="P34" s="102">
        <v>60.875551104746073</v>
      </c>
      <c r="Q34" s="103">
        <v>115475189454</v>
      </c>
      <c r="R34" s="103">
        <f t="shared" si="6"/>
        <v>224969.53246619343</v>
      </c>
      <c r="S34" s="104">
        <f t="shared" si="60"/>
        <v>4.2800027110371187E-3</v>
      </c>
      <c r="T34" s="105">
        <f t="shared" si="8"/>
        <v>3.3939433345002629E-2</v>
      </c>
      <c r="U34" s="104">
        <f t="shared" si="9"/>
        <v>0.48269013659228255</v>
      </c>
      <c r="V34" s="103">
        <f t="shared" si="10"/>
        <v>13694.039847657205</v>
      </c>
      <c r="W34" s="100">
        <v>46310</v>
      </c>
      <c r="X34" s="101">
        <v>46188</v>
      </c>
      <c r="Y34" s="102">
        <v>39371.368729312497</v>
      </c>
      <c r="Z34" s="124">
        <v>614114060</v>
      </c>
      <c r="AA34" s="103">
        <v>1389217.3666199013</v>
      </c>
      <c r="AB34" s="104">
        <f t="shared" si="61"/>
        <v>7.9114205641993007E-2</v>
      </c>
      <c r="AC34" s="105">
        <f t="shared" si="12"/>
        <v>2.3795537460854521</v>
      </c>
      <c r="AD34" s="102">
        <v>5070.7412271776629</v>
      </c>
      <c r="AE34" s="123">
        <v>529749132</v>
      </c>
      <c r="AF34" s="103">
        <v>1298243.3714842624</v>
      </c>
      <c r="AG34" s="104">
        <f t="shared" si="62"/>
        <v>8.3383344942924598E-2</v>
      </c>
      <c r="AH34" s="105">
        <f t="shared" si="14"/>
        <v>2.3437229337563359</v>
      </c>
      <c r="AI34" s="106">
        <v>1866.230372432959</v>
      </c>
      <c r="AJ34" s="123">
        <v>154159215745</v>
      </c>
      <c r="AK34" s="123">
        <v>300334.00993407</v>
      </c>
      <c r="AL34" s="104">
        <f t="shared" si="63"/>
        <v>8.881956937057929E-2</v>
      </c>
      <c r="AM34" s="104">
        <f t="shared" si="16"/>
        <v>0.57754259612200964</v>
      </c>
      <c r="AN34" s="108">
        <f t="shared" si="17"/>
        <v>5.3008192759637982</v>
      </c>
      <c r="AO34" s="101">
        <f t="shared" si="18"/>
        <v>244834.24071821588</v>
      </c>
    </row>
    <row r="35" spans="1:41" ht="15.75" customHeight="1" x14ac:dyDescent="0.3">
      <c r="A35" s="99">
        <v>20105</v>
      </c>
      <c r="B35" s="62" t="s">
        <v>51</v>
      </c>
      <c r="C35" s="62" t="s">
        <v>74</v>
      </c>
      <c r="D35" s="100">
        <v>102242</v>
      </c>
      <c r="E35" s="101">
        <v>857795.25</v>
      </c>
      <c r="F35" s="102">
        <v>79476.858631512165</v>
      </c>
      <c r="G35" s="123">
        <v>422290885</v>
      </c>
      <c r="H35" s="103">
        <f t="shared" si="0"/>
        <v>954922.15534165001</v>
      </c>
      <c r="I35" s="104">
        <f t="shared" si="58"/>
        <v>0.24492467423079298</v>
      </c>
      <c r="J35" s="105">
        <f t="shared" si="2"/>
        <v>0.27265713795083418</v>
      </c>
      <c r="K35" s="106">
        <v>18063.962773462252</v>
      </c>
      <c r="L35" s="124">
        <v>321118170</v>
      </c>
      <c r="M35" s="103">
        <f t="shared" si="3"/>
        <v>870383.32192861743</v>
      </c>
      <c r="N35" s="104">
        <f t="shared" si="59"/>
        <v>0.42883197410585289</v>
      </c>
      <c r="O35" s="105">
        <f t="shared" si="5"/>
        <v>0.43512504664890495</v>
      </c>
      <c r="P35" s="102">
        <v>4696.6931843712564</v>
      </c>
      <c r="Q35" s="103">
        <v>115475189454</v>
      </c>
      <c r="R35" s="103">
        <f t="shared" si="6"/>
        <v>224969.53246619343</v>
      </c>
      <c r="S35" s="104">
        <f t="shared" si="60"/>
        <v>0.33021236271734256</v>
      </c>
      <c r="T35" s="105">
        <f t="shared" si="8"/>
        <v>8.660309188594556E-2</v>
      </c>
      <c r="U35" s="104">
        <f t="shared" si="9"/>
        <v>0.79438527648568469</v>
      </c>
      <c r="V35" s="103">
        <f t="shared" si="10"/>
        <v>681419.916839357</v>
      </c>
      <c r="W35" s="100">
        <v>123758</v>
      </c>
      <c r="X35" s="101">
        <v>885825</v>
      </c>
      <c r="Y35" s="102">
        <v>99023.351728926194</v>
      </c>
      <c r="Z35" s="124">
        <v>614114060</v>
      </c>
      <c r="AA35" s="103">
        <v>1389217.3666199013</v>
      </c>
      <c r="AB35" s="104">
        <f t="shared" si="61"/>
        <v>0.19898098706964795</v>
      </c>
      <c r="AC35" s="105">
        <f t="shared" si="12"/>
        <v>0.31205694450294919</v>
      </c>
      <c r="AD35" s="102">
        <v>19587.96273444108</v>
      </c>
      <c r="AE35" s="123">
        <v>529749132</v>
      </c>
      <c r="AF35" s="103">
        <v>1298243.3714842624</v>
      </c>
      <c r="AG35" s="104">
        <f t="shared" si="62"/>
        <v>0.32210475357350099</v>
      </c>
      <c r="AH35" s="105">
        <f t="shared" si="14"/>
        <v>0.47206881861583211</v>
      </c>
      <c r="AI35" s="106">
        <v>5141.5240707554767</v>
      </c>
      <c r="AJ35" s="123">
        <v>154159215745</v>
      </c>
      <c r="AK35" s="123">
        <v>300334.00993407</v>
      </c>
      <c r="AL35" s="104">
        <f t="shared" si="63"/>
        <v>0.24470074039017078</v>
      </c>
      <c r="AM35" s="104">
        <f t="shared" si="16"/>
        <v>8.2964416894099668E-2</v>
      </c>
      <c r="AN35" s="108">
        <f t="shared" si="17"/>
        <v>0.86709018001288096</v>
      </c>
      <c r="AO35" s="101">
        <f t="shared" si="18"/>
        <v>768090.15870991023</v>
      </c>
    </row>
    <row r="36" spans="1:41" ht="15.75" customHeight="1" x14ac:dyDescent="0.3">
      <c r="A36" s="99">
        <v>20201</v>
      </c>
      <c r="B36" s="62" t="s">
        <v>51</v>
      </c>
      <c r="C36" s="62" t="s">
        <v>52</v>
      </c>
      <c r="D36" s="100">
        <v>164</v>
      </c>
      <c r="E36" s="101">
        <v>46357.75</v>
      </c>
      <c r="F36" s="102">
        <v>133.83898099281879</v>
      </c>
      <c r="G36" s="123">
        <v>422290885</v>
      </c>
      <c r="H36" s="103">
        <f t="shared" si="0"/>
        <v>954922.15534165001</v>
      </c>
      <c r="I36" s="104">
        <f t="shared" si="58"/>
        <v>4.1245300057758129E-4</v>
      </c>
      <c r="J36" s="105">
        <f t="shared" si="2"/>
        <v>8.4961092436253854E-3</v>
      </c>
      <c r="K36" s="106">
        <v>18.878712312948661</v>
      </c>
      <c r="L36" s="124">
        <v>321118170</v>
      </c>
      <c r="M36" s="103">
        <f t="shared" si="3"/>
        <v>870383.32192861743</v>
      </c>
      <c r="N36" s="104">
        <f t="shared" si="59"/>
        <v>4.4817383490358887E-4</v>
      </c>
      <c r="O36" s="105">
        <f t="shared" si="5"/>
        <v>8.4146239026888364E-3</v>
      </c>
      <c r="P36" s="102">
        <v>11.273466696021631</v>
      </c>
      <c r="Q36" s="103">
        <v>115475189454</v>
      </c>
      <c r="R36" s="103">
        <f t="shared" si="6"/>
        <v>224969.53246619343</v>
      </c>
      <c r="S36" s="104">
        <f t="shared" si="60"/>
        <v>7.9260831559022169E-4</v>
      </c>
      <c r="T36" s="105">
        <f t="shared" si="8"/>
        <v>3.8464490228095468E-3</v>
      </c>
      <c r="U36" s="104">
        <f t="shared" si="9"/>
        <v>2.075718216912377E-2</v>
      </c>
      <c r="V36" s="103">
        <f t="shared" si="10"/>
        <v>962.25626170069734</v>
      </c>
      <c r="W36" s="100">
        <v>2180</v>
      </c>
      <c r="X36" s="101">
        <v>47257</v>
      </c>
      <c r="Y36" s="102">
        <v>1724.582510161548</v>
      </c>
      <c r="Z36" s="124">
        <v>614114060</v>
      </c>
      <c r="AA36" s="103">
        <v>1389217.3666199013</v>
      </c>
      <c r="AB36" s="104">
        <f t="shared" si="61"/>
        <v>3.46543642649448E-3</v>
      </c>
      <c r="AC36" s="105">
        <f t="shared" si="12"/>
        <v>0.10187367938301929</v>
      </c>
      <c r="AD36" s="102">
        <v>374.03247092285483</v>
      </c>
      <c r="AE36" s="123">
        <v>529749132</v>
      </c>
      <c r="AF36" s="103">
        <v>1298243.3714842624</v>
      </c>
      <c r="AG36" s="104">
        <f t="shared" si="62"/>
        <v>6.1505955728239506E-3</v>
      </c>
      <c r="AH36" s="105">
        <f t="shared" si="14"/>
        <v>0.16896904020778178</v>
      </c>
      <c r="AI36" s="106">
        <v>81.28713271793896</v>
      </c>
      <c r="AJ36" s="123">
        <v>154159215745</v>
      </c>
      <c r="AK36" s="123">
        <v>300334.00993407</v>
      </c>
      <c r="AL36" s="104">
        <f t="shared" si="63"/>
        <v>3.8687014368778451E-3</v>
      </c>
      <c r="AM36" s="104">
        <f t="shared" si="16"/>
        <v>2.4586889048717052E-2</v>
      </c>
      <c r="AN36" s="108">
        <f t="shared" si="17"/>
        <v>0.29542960863951812</v>
      </c>
      <c r="AO36" s="101">
        <f t="shared" si="18"/>
        <v>13961.117015477708</v>
      </c>
    </row>
    <row r="37" spans="1:41" ht="15.75" customHeight="1" x14ac:dyDescent="0.3">
      <c r="A37" s="99">
        <v>20202</v>
      </c>
      <c r="B37" s="62" t="s">
        <v>51</v>
      </c>
      <c r="C37" s="62" t="s">
        <v>757</v>
      </c>
      <c r="D37" s="112"/>
      <c r="E37" s="113">
        <v>14090.25</v>
      </c>
      <c r="F37" s="114"/>
      <c r="G37" s="123">
        <v>422290885</v>
      </c>
      <c r="H37" s="103">
        <f t="shared" si="0"/>
        <v>954922.15534165001</v>
      </c>
      <c r="I37" s="104">
        <f t="shared" si="58"/>
        <v>0</v>
      </c>
      <c r="J37" s="105">
        <f t="shared" si="2"/>
        <v>0</v>
      </c>
      <c r="K37" s="115"/>
      <c r="L37" s="124">
        <v>321118170</v>
      </c>
      <c r="M37" s="103">
        <f t="shared" si="3"/>
        <v>870383.32192861743</v>
      </c>
      <c r="N37" s="104">
        <f t="shared" si="59"/>
        <v>0</v>
      </c>
      <c r="O37" s="105">
        <f t="shared" si="5"/>
        <v>0</v>
      </c>
      <c r="P37" s="114"/>
      <c r="Q37" s="103">
        <v>115475189454</v>
      </c>
      <c r="R37" s="103">
        <f t="shared" si="6"/>
        <v>224969.53246619343</v>
      </c>
      <c r="S37" s="104">
        <f t="shared" si="60"/>
        <v>0</v>
      </c>
      <c r="T37" s="105">
        <f t="shared" si="8"/>
        <v>0</v>
      </c>
      <c r="U37" s="104">
        <f t="shared" si="9"/>
        <v>0</v>
      </c>
      <c r="V37" s="103">
        <f t="shared" si="10"/>
        <v>0</v>
      </c>
      <c r="W37" s="112">
        <v>2002</v>
      </c>
      <c r="X37" s="101">
        <v>16953</v>
      </c>
      <c r="Y37" s="114">
        <v>1807.0739742776525</v>
      </c>
      <c r="Z37" s="124">
        <v>614114060</v>
      </c>
      <c r="AA37" s="103">
        <v>1389217.3666199013</v>
      </c>
      <c r="AB37" s="104">
        <f t="shared" si="61"/>
        <v>3.631197660264636E-3</v>
      </c>
      <c r="AC37" s="105">
        <f t="shared" si="12"/>
        <v>0.29755930226326816</v>
      </c>
      <c r="AD37" s="114">
        <v>128.80883834227043</v>
      </c>
      <c r="AE37" s="123">
        <v>529749132</v>
      </c>
      <c r="AF37" s="103">
        <v>1298243.3714842624</v>
      </c>
      <c r="AG37" s="104">
        <f t="shared" si="62"/>
        <v>2.118134473442463E-3</v>
      </c>
      <c r="AH37" s="105">
        <f t="shared" si="14"/>
        <v>0.16220456792656085</v>
      </c>
      <c r="AI37" s="115">
        <v>66.062489099800871</v>
      </c>
      <c r="AJ37" s="123">
        <v>154159215745</v>
      </c>
      <c r="AK37" s="123">
        <v>300334.00993407</v>
      </c>
      <c r="AL37" s="104">
        <f t="shared" si="63"/>
        <v>3.1441144244927274E-3</v>
      </c>
      <c r="AM37" s="104">
        <f t="shared" si="16"/>
        <v>5.570014114312815E-2</v>
      </c>
      <c r="AN37" s="108">
        <f t="shared" si="17"/>
        <v>0.51546401133295716</v>
      </c>
      <c r="AO37" s="101">
        <f t="shared" si="18"/>
        <v>8738.661384127623</v>
      </c>
    </row>
    <row r="38" spans="1:41" ht="15.75" customHeight="1" x14ac:dyDescent="0.3">
      <c r="A38" s="99">
        <v>20203</v>
      </c>
      <c r="B38" s="62" t="s">
        <v>51</v>
      </c>
      <c r="C38" s="62" t="s">
        <v>319</v>
      </c>
      <c r="D38" s="112"/>
      <c r="E38" s="113">
        <v>5558.75</v>
      </c>
      <c r="F38" s="114"/>
      <c r="G38" s="123">
        <v>422290885</v>
      </c>
      <c r="H38" s="103">
        <f t="shared" si="0"/>
        <v>954922.15534165001</v>
      </c>
      <c r="I38" s="104">
        <f t="shared" si="58"/>
        <v>0</v>
      </c>
      <c r="J38" s="105">
        <f t="shared" si="2"/>
        <v>0</v>
      </c>
      <c r="K38" s="115"/>
      <c r="L38" s="124">
        <v>321118170</v>
      </c>
      <c r="M38" s="103">
        <f t="shared" si="3"/>
        <v>870383.32192861743</v>
      </c>
      <c r="N38" s="104">
        <f t="shared" si="59"/>
        <v>0</v>
      </c>
      <c r="O38" s="105">
        <f t="shared" si="5"/>
        <v>0</v>
      </c>
      <c r="P38" s="114"/>
      <c r="Q38" s="103">
        <v>115475189454</v>
      </c>
      <c r="R38" s="103">
        <f t="shared" si="6"/>
        <v>224969.53246619343</v>
      </c>
      <c r="S38" s="104">
        <f t="shared" si="60"/>
        <v>0</v>
      </c>
      <c r="T38" s="105">
        <f t="shared" si="8"/>
        <v>0</v>
      </c>
      <c r="U38" s="104">
        <f t="shared" si="9"/>
        <v>0</v>
      </c>
      <c r="V38" s="103">
        <f t="shared" si="10"/>
        <v>0</v>
      </c>
      <c r="W38" s="100">
        <v>763</v>
      </c>
      <c r="X38" s="101">
        <v>7226</v>
      </c>
      <c r="Y38" s="102">
        <v>652.67591472764752</v>
      </c>
      <c r="Z38" s="124">
        <v>614114060</v>
      </c>
      <c r="AA38" s="103">
        <v>1389217.3666199013</v>
      </c>
      <c r="AB38" s="104">
        <f t="shared" si="61"/>
        <v>1.3115098154282702E-3</v>
      </c>
      <c r="AC38" s="105">
        <f t="shared" si="12"/>
        <v>0.2521411862836167</v>
      </c>
      <c r="AD38" s="102">
        <v>76.480609609379144</v>
      </c>
      <c r="AE38" s="123">
        <v>529749132</v>
      </c>
      <c r="AF38" s="103">
        <v>1298243.3714842624</v>
      </c>
      <c r="AG38" s="104">
        <f t="shared" si="62"/>
        <v>1.2576482937689806E-3</v>
      </c>
      <c r="AH38" s="105">
        <f t="shared" si="14"/>
        <v>0.22595261016386264</v>
      </c>
      <c r="AI38" s="106">
        <v>33.806816255406233</v>
      </c>
      <c r="AJ38" s="123">
        <v>154159215745</v>
      </c>
      <c r="AK38" s="123">
        <v>300334.00993407</v>
      </c>
      <c r="AL38" s="104">
        <f t="shared" si="63"/>
        <v>1.6089690243766238E-3</v>
      </c>
      <c r="AM38" s="104">
        <f t="shared" si="16"/>
        <v>6.687352877812619E-2</v>
      </c>
      <c r="AN38" s="108">
        <f t="shared" si="17"/>
        <v>0.54496732522560554</v>
      </c>
      <c r="AO38" s="101">
        <f t="shared" si="18"/>
        <v>3937.9338920802256</v>
      </c>
    </row>
    <row r="39" spans="1:41" ht="15.75" customHeight="1" x14ac:dyDescent="0.3">
      <c r="A39" s="99">
        <v>20204</v>
      </c>
      <c r="B39" s="62" t="s">
        <v>51</v>
      </c>
      <c r="C39" s="62" t="s">
        <v>79</v>
      </c>
      <c r="D39" s="100">
        <v>0</v>
      </c>
      <c r="E39" s="101">
        <v>8130.75</v>
      </c>
      <c r="F39" s="102">
        <v>0</v>
      </c>
      <c r="G39" s="123">
        <v>422290885</v>
      </c>
      <c r="H39" s="103">
        <f t="shared" si="0"/>
        <v>954922.15534165001</v>
      </c>
      <c r="I39" s="104">
        <f t="shared" si="58"/>
        <v>0</v>
      </c>
      <c r="J39" s="105">
        <f t="shared" si="2"/>
        <v>0</v>
      </c>
      <c r="K39" s="106">
        <v>0</v>
      </c>
      <c r="L39" s="124">
        <v>321118170</v>
      </c>
      <c r="M39" s="103">
        <f t="shared" si="3"/>
        <v>870383.32192861743</v>
      </c>
      <c r="N39" s="104">
        <f t="shared" si="59"/>
        <v>0</v>
      </c>
      <c r="O39" s="105">
        <f t="shared" si="5"/>
        <v>0</v>
      </c>
      <c r="P39" s="102">
        <v>0</v>
      </c>
      <c r="Q39" s="103">
        <v>115475189454</v>
      </c>
      <c r="R39" s="103">
        <f t="shared" si="6"/>
        <v>224969.53246619343</v>
      </c>
      <c r="S39" s="104">
        <f t="shared" si="60"/>
        <v>0</v>
      </c>
      <c r="T39" s="105">
        <f t="shared" si="8"/>
        <v>0</v>
      </c>
      <c r="U39" s="104">
        <f t="shared" si="9"/>
        <v>0</v>
      </c>
      <c r="V39" s="103">
        <f t="shared" si="10"/>
        <v>0</v>
      </c>
      <c r="W39" s="100">
        <v>3707</v>
      </c>
      <c r="X39" s="101">
        <v>8679</v>
      </c>
      <c r="Y39" s="102">
        <v>3129.7650680867282</v>
      </c>
      <c r="Z39" s="124">
        <v>614114060</v>
      </c>
      <c r="AA39" s="103">
        <v>1389217.3666199013</v>
      </c>
      <c r="AB39" s="104">
        <f t="shared" si="61"/>
        <v>6.2890594154881808E-3</v>
      </c>
      <c r="AC39" s="105">
        <f t="shared" si="12"/>
        <v>1.006667883362206</v>
      </c>
      <c r="AD39" s="102">
        <v>417.23374526708682</v>
      </c>
      <c r="AE39" s="123">
        <v>529749132</v>
      </c>
      <c r="AF39" s="103">
        <v>1298243.3714842624</v>
      </c>
      <c r="AG39" s="104">
        <f t="shared" si="62"/>
        <v>6.8609979773702401E-3</v>
      </c>
      <c r="AH39" s="105">
        <f t="shared" si="14"/>
        <v>1.0262985535070683</v>
      </c>
      <c r="AI39" s="106">
        <v>159.8535223520432</v>
      </c>
      <c r="AJ39" s="123">
        <v>154159215745</v>
      </c>
      <c r="AK39" s="123">
        <v>300334.00993407</v>
      </c>
      <c r="AL39" s="104">
        <f t="shared" si="63"/>
        <v>7.6079144501163612E-3</v>
      </c>
      <c r="AM39" s="104">
        <f t="shared" si="16"/>
        <v>0.26326943818859333</v>
      </c>
      <c r="AN39" s="108">
        <f t="shared" si="17"/>
        <v>2.2962358750578673</v>
      </c>
      <c r="AO39" s="101">
        <f t="shared" si="18"/>
        <v>19929.031159627233</v>
      </c>
    </row>
    <row r="40" spans="1:41" ht="15.75" customHeight="1" x14ac:dyDescent="0.3">
      <c r="A40" s="99">
        <v>20205</v>
      </c>
      <c r="B40" s="62" t="s">
        <v>51</v>
      </c>
      <c r="C40" s="62" t="s">
        <v>96</v>
      </c>
      <c r="D40" s="100">
        <v>0</v>
      </c>
      <c r="E40" s="101">
        <v>8743.25</v>
      </c>
      <c r="F40" s="102">
        <v>0</v>
      </c>
      <c r="G40" s="123">
        <v>422290885</v>
      </c>
      <c r="H40" s="103">
        <f t="shared" si="0"/>
        <v>954922.15534165001</v>
      </c>
      <c r="I40" s="104">
        <f t="shared" si="58"/>
        <v>0</v>
      </c>
      <c r="J40" s="105">
        <f t="shared" si="2"/>
        <v>0</v>
      </c>
      <c r="K40" s="106">
        <v>0</v>
      </c>
      <c r="L40" s="124">
        <v>321118170</v>
      </c>
      <c r="M40" s="103">
        <f t="shared" si="3"/>
        <v>870383.32192861743</v>
      </c>
      <c r="N40" s="104">
        <f t="shared" si="59"/>
        <v>0</v>
      </c>
      <c r="O40" s="105">
        <f t="shared" si="5"/>
        <v>0</v>
      </c>
      <c r="P40" s="102">
        <v>0</v>
      </c>
      <c r="Q40" s="103">
        <v>115475189454</v>
      </c>
      <c r="R40" s="103">
        <f t="shared" si="6"/>
        <v>224969.53246619343</v>
      </c>
      <c r="S40" s="104">
        <f t="shared" si="60"/>
        <v>0</v>
      </c>
      <c r="T40" s="105">
        <f t="shared" si="8"/>
        <v>0</v>
      </c>
      <c r="U40" s="104">
        <f t="shared" si="9"/>
        <v>0</v>
      </c>
      <c r="V40" s="103">
        <f t="shared" si="10"/>
        <v>0</v>
      </c>
      <c r="W40" s="100">
        <v>4844</v>
      </c>
      <c r="X40" s="101">
        <v>9287</v>
      </c>
      <c r="Y40" s="102">
        <v>4318.0115866469896</v>
      </c>
      <c r="Z40" s="124">
        <v>614114060</v>
      </c>
      <c r="AA40" s="103">
        <v>1389217.3666199013</v>
      </c>
      <c r="AB40" s="104">
        <f t="shared" si="61"/>
        <v>8.6767635379706998E-3</v>
      </c>
      <c r="AC40" s="105">
        <f t="shared" si="12"/>
        <v>1.2979337345755608</v>
      </c>
      <c r="AD40" s="102">
        <v>355.55711402479341</v>
      </c>
      <c r="AE40" s="123">
        <v>529749132</v>
      </c>
      <c r="AF40" s="103">
        <v>1298243.3714842624</v>
      </c>
      <c r="AG40" s="104">
        <f t="shared" si="62"/>
        <v>5.8467865263441424E-3</v>
      </c>
      <c r="AH40" s="105">
        <f t="shared" si="14"/>
        <v>0.81733087674273486</v>
      </c>
      <c r="AI40" s="106">
        <v>170.28965047139931</v>
      </c>
      <c r="AJ40" s="123">
        <v>154159215745</v>
      </c>
      <c r="AK40" s="123">
        <v>300334.00993407</v>
      </c>
      <c r="AL40" s="104">
        <f t="shared" si="63"/>
        <v>8.1046014717989969E-3</v>
      </c>
      <c r="AM40" s="104">
        <f t="shared" si="16"/>
        <v>0.26209620533465683</v>
      </c>
      <c r="AN40" s="108">
        <f t="shared" si="17"/>
        <v>2.3773608166529527</v>
      </c>
      <c r="AO40" s="101">
        <f t="shared" si="18"/>
        <v>22078.549904255971</v>
      </c>
    </row>
    <row r="41" spans="1:41" ht="15.75" customHeight="1" x14ac:dyDescent="0.3">
      <c r="A41" s="99">
        <v>20206</v>
      </c>
      <c r="B41" s="62" t="s">
        <v>51</v>
      </c>
      <c r="C41" s="62" t="s">
        <v>80</v>
      </c>
      <c r="D41" s="100">
        <v>0</v>
      </c>
      <c r="E41" s="101">
        <v>4224.75</v>
      </c>
      <c r="F41" s="102">
        <v>0</v>
      </c>
      <c r="G41" s="123">
        <v>422290885</v>
      </c>
      <c r="H41" s="103">
        <f t="shared" si="0"/>
        <v>954922.15534165001</v>
      </c>
      <c r="I41" s="104">
        <f t="shared" si="58"/>
        <v>0</v>
      </c>
      <c r="J41" s="105">
        <f t="shared" si="2"/>
        <v>0</v>
      </c>
      <c r="K41" s="106">
        <v>0</v>
      </c>
      <c r="L41" s="124">
        <v>321118170</v>
      </c>
      <c r="M41" s="103">
        <f t="shared" si="3"/>
        <v>870383.32192861743</v>
      </c>
      <c r="N41" s="104">
        <f t="shared" si="59"/>
        <v>0</v>
      </c>
      <c r="O41" s="105">
        <f t="shared" si="5"/>
        <v>0</v>
      </c>
      <c r="P41" s="102">
        <v>0</v>
      </c>
      <c r="Q41" s="103">
        <v>115475189454</v>
      </c>
      <c r="R41" s="103">
        <f t="shared" si="6"/>
        <v>224969.53246619343</v>
      </c>
      <c r="S41" s="104">
        <f t="shared" si="60"/>
        <v>0</v>
      </c>
      <c r="T41" s="105">
        <f t="shared" si="8"/>
        <v>0</v>
      </c>
      <c r="U41" s="104">
        <f t="shared" si="9"/>
        <v>0</v>
      </c>
      <c r="V41" s="103">
        <f t="shared" si="10"/>
        <v>0</v>
      </c>
      <c r="W41" s="100">
        <v>3189</v>
      </c>
      <c r="X41" s="101">
        <v>5118</v>
      </c>
      <c r="Y41" s="102">
        <v>2742.159424182641</v>
      </c>
      <c r="Z41" s="124">
        <v>614114060</v>
      </c>
      <c r="AA41" s="103">
        <v>1389217.3666199013</v>
      </c>
      <c r="AB41" s="104">
        <f t="shared" si="61"/>
        <v>5.510191075130115E-3</v>
      </c>
      <c r="AC41" s="105">
        <f t="shared" si="12"/>
        <v>1.4956727500908051</v>
      </c>
      <c r="AD41" s="102">
        <v>340.45988832083981</v>
      </c>
      <c r="AE41" s="123">
        <v>529749132</v>
      </c>
      <c r="AF41" s="103">
        <v>1298243.3714842624</v>
      </c>
      <c r="AG41" s="104">
        <f t="shared" si="62"/>
        <v>5.5985275199868763E-3</v>
      </c>
      <c r="AH41" s="105">
        <f t="shared" si="14"/>
        <v>1.4201350611362229</v>
      </c>
      <c r="AI41" s="106">
        <v>106.2776870849932</v>
      </c>
      <c r="AJ41" s="123">
        <v>154159215745</v>
      </c>
      <c r="AK41" s="123">
        <v>300334.00993407</v>
      </c>
      <c r="AL41" s="104">
        <f t="shared" si="63"/>
        <v>5.0580777914808967E-3</v>
      </c>
      <c r="AM41" s="104">
        <f t="shared" si="16"/>
        <v>0.29681766035051238</v>
      </c>
      <c r="AN41" s="108">
        <f t="shared" si="17"/>
        <v>3.2126254715775402</v>
      </c>
      <c r="AO41" s="101">
        <f t="shared" si="18"/>
        <v>16442.217163533853</v>
      </c>
    </row>
    <row r="42" spans="1:41" ht="15.75" customHeight="1" x14ac:dyDescent="0.3">
      <c r="A42" s="99">
        <v>20301</v>
      </c>
      <c r="B42" s="62" t="s">
        <v>51</v>
      </c>
      <c r="C42" s="62" t="s">
        <v>758</v>
      </c>
      <c r="D42" s="112">
        <v>1</v>
      </c>
      <c r="E42" s="113">
        <v>11373</v>
      </c>
      <c r="F42" s="114">
        <v>0</v>
      </c>
      <c r="G42" s="123">
        <v>422290885</v>
      </c>
      <c r="H42" s="103">
        <f t="shared" si="0"/>
        <v>954922.15534165001</v>
      </c>
      <c r="I42" s="104">
        <f t="shared" si="58"/>
        <v>0</v>
      </c>
      <c r="J42" s="105">
        <f t="shared" si="2"/>
        <v>0</v>
      </c>
      <c r="K42" s="115">
        <v>1</v>
      </c>
      <c r="L42" s="124">
        <v>321118170</v>
      </c>
      <c r="M42" s="103">
        <f t="shared" si="3"/>
        <v>870383.32192861743</v>
      </c>
      <c r="N42" s="104">
        <f t="shared" si="59"/>
        <v>2.3739640049294693E-5</v>
      </c>
      <c r="O42" s="105">
        <f t="shared" si="5"/>
        <v>1.8168105836186372E-3</v>
      </c>
      <c r="P42" s="114">
        <v>0</v>
      </c>
      <c r="Q42" s="103">
        <v>115475189454</v>
      </c>
      <c r="R42" s="103">
        <f t="shared" si="6"/>
        <v>224969.53246619343</v>
      </c>
      <c r="S42" s="104">
        <f t="shared" si="60"/>
        <v>0</v>
      </c>
      <c r="T42" s="105">
        <f t="shared" si="8"/>
        <v>0</v>
      </c>
      <c r="U42" s="104">
        <f t="shared" si="9"/>
        <v>1.8168105836186372E-3</v>
      </c>
      <c r="V42" s="103">
        <f t="shared" si="10"/>
        <v>20.662586767494762</v>
      </c>
      <c r="W42" s="121">
        <v>265</v>
      </c>
      <c r="X42" s="101">
        <v>13551</v>
      </c>
      <c r="Y42" s="114">
        <v>215.49375970283921</v>
      </c>
      <c r="Z42" s="124">
        <v>614114060</v>
      </c>
      <c r="AA42" s="103">
        <v>1389217.3666199013</v>
      </c>
      <c r="AB42" s="104">
        <f t="shared" si="61"/>
        <v>4.330206993033425E-4</v>
      </c>
      <c r="AC42" s="105">
        <f t="shared" si="12"/>
        <v>4.4392286589779173E-2</v>
      </c>
      <c r="AD42" s="114">
        <v>39.324578802775413</v>
      </c>
      <c r="AE42" s="123">
        <v>529749132</v>
      </c>
      <c r="AF42" s="103">
        <v>1298243.3714842624</v>
      </c>
      <c r="AG42" s="104">
        <f t="shared" si="62"/>
        <v>6.4665396480350832E-4</v>
      </c>
      <c r="AH42" s="105">
        <f t="shared" si="14"/>
        <v>6.1952197140445142E-2</v>
      </c>
      <c r="AI42" s="115">
        <v>10.170416989208306</v>
      </c>
      <c r="AJ42" s="123">
        <v>154159215745</v>
      </c>
      <c r="AK42" s="123">
        <v>300334.00993407</v>
      </c>
      <c r="AL42" s="104">
        <f t="shared" si="63"/>
        <v>4.8404102228979013E-4</v>
      </c>
      <c r="AM42" s="104">
        <f t="shared" si="16"/>
        <v>1.0727915371328995E-2</v>
      </c>
      <c r="AN42" s="108">
        <f t="shared" si="17"/>
        <v>0.11707239910155331</v>
      </c>
      <c r="AO42" s="101">
        <f t="shared" si="18"/>
        <v>1586.4480802251489</v>
      </c>
    </row>
    <row r="43" spans="1:41" ht="15.75" customHeight="1" x14ac:dyDescent="0.3">
      <c r="A43" s="99">
        <v>20302</v>
      </c>
      <c r="B43" s="62" t="s">
        <v>51</v>
      </c>
      <c r="C43" s="62" t="s">
        <v>62</v>
      </c>
      <c r="D43" s="100">
        <v>2</v>
      </c>
      <c r="E43" s="101">
        <v>14907.75</v>
      </c>
      <c r="F43" s="102">
        <v>0.35759481961146999</v>
      </c>
      <c r="G43" s="123">
        <v>422290885</v>
      </c>
      <c r="H43" s="103">
        <f t="shared" si="0"/>
        <v>954922.15534165001</v>
      </c>
      <c r="I43" s="104">
        <f t="shared" si="58"/>
        <v>1.1020037304951047E-6</v>
      </c>
      <c r="J43" s="105">
        <f t="shared" si="2"/>
        <v>7.0589309420866612E-5</v>
      </c>
      <c r="K43" s="106">
        <v>1.638556891766882</v>
      </c>
      <c r="L43" s="124">
        <v>321118170</v>
      </c>
      <c r="M43" s="103">
        <f t="shared" si="3"/>
        <v>870383.32192861743</v>
      </c>
      <c r="N43" s="104">
        <f t="shared" si="59"/>
        <v>3.8898750810836903E-5</v>
      </c>
      <c r="O43" s="105">
        <f t="shared" si="5"/>
        <v>2.271088792715851E-3</v>
      </c>
      <c r="P43" s="102">
        <v>3.6262719703977798E-3</v>
      </c>
      <c r="Q43" s="103">
        <v>115475189454</v>
      </c>
      <c r="R43" s="103">
        <f t="shared" si="6"/>
        <v>224969.53246619343</v>
      </c>
      <c r="S43" s="104">
        <f t="shared" si="60"/>
        <v>2.5495381286249056E-7</v>
      </c>
      <c r="T43" s="105">
        <f t="shared" si="8"/>
        <v>3.8474511633310103E-6</v>
      </c>
      <c r="U43" s="104">
        <f t="shared" si="9"/>
        <v>2.3455255533000488E-3</v>
      </c>
      <c r="V43" s="103">
        <f t="shared" si="10"/>
        <v>34.966508567208798</v>
      </c>
      <c r="W43" s="100">
        <v>2</v>
      </c>
      <c r="X43" s="101">
        <v>15570</v>
      </c>
      <c r="Y43" s="102">
        <v>0.35759481961146999</v>
      </c>
      <c r="Z43" s="124">
        <v>614114060</v>
      </c>
      <c r="AA43" s="103">
        <v>1389217.3666199013</v>
      </c>
      <c r="AB43" s="104">
        <f t="shared" si="61"/>
        <v>7.1856354016441246E-7</v>
      </c>
      <c r="AC43" s="105">
        <f t="shared" si="12"/>
        <v>6.411309884497615E-5</v>
      </c>
      <c r="AD43" s="102">
        <v>1.638556891766882</v>
      </c>
      <c r="AE43" s="123">
        <v>529749132</v>
      </c>
      <c r="AF43" s="103">
        <v>1298243.3714842624</v>
      </c>
      <c r="AG43" s="104">
        <f t="shared" si="62"/>
        <v>2.6944454152485043E-5</v>
      </c>
      <c r="AH43" s="105">
        <f t="shared" si="14"/>
        <v>2.2466576109007909E-3</v>
      </c>
      <c r="AI43" s="106">
        <v>3.6262719703977798E-3</v>
      </c>
      <c r="AJ43" s="123">
        <v>154159215745</v>
      </c>
      <c r="AK43" s="123">
        <v>300334.00993407</v>
      </c>
      <c r="AL43" s="104">
        <f t="shared" si="63"/>
        <v>1.7258529257105588E-7</v>
      </c>
      <c r="AM43" s="104">
        <f t="shared" si="16"/>
        <v>3.3290451492299216E-6</v>
      </c>
      <c r="AN43" s="108">
        <f t="shared" si="17"/>
        <v>2.3140997548949972E-3</v>
      </c>
      <c r="AO43" s="101">
        <f t="shared" si="18"/>
        <v>36.0305331837151</v>
      </c>
    </row>
    <row r="44" spans="1:41" ht="15.75" customHeight="1" x14ac:dyDescent="0.3">
      <c r="A44" s="99">
        <v>20303</v>
      </c>
      <c r="B44" s="62" t="s">
        <v>51</v>
      </c>
      <c r="C44" s="62" t="s">
        <v>60</v>
      </c>
      <c r="D44" s="100">
        <v>4</v>
      </c>
      <c r="E44" s="101">
        <v>10464</v>
      </c>
      <c r="F44" s="102">
        <v>1.5361142817825391</v>
      </c>
      <c r="G44" s="123">
        <v>422290885</v>
      </c>
      <c r="H44" s="103">
        <f t="shared" si="0"/>
        <v>954922.15534165001</v>
      </c>
      <c r="I44" s="104">
        <f t="shared" si="58"/>
        <v>4.7338595979394023E-6</v>
      </c>
      <c r="J44" s="105">
        <f t="shared" si="2"/>
        <v>4.3200185496454995E-4</v>
      </c>
      <c r="K44" s="106">
        <v>2.457835337650323</v>
      </c>
      <c r="L44" s="124">
        <v>321118170</v>
      </c>
      <c r="M44" s="103">
        <f t="shared" si="3"/>
        <v>870383.32192861743</v>
      </c>
      <c r="N44" s="104">
        <f t="shared" si="59"/>
        <v>5.8348126216255354E-5</v>
      </c>
      <c r="O44" s="105">
        <f t="shared" si="5"/>
        <v>4.8533291212169904E-3</v>
      </c>
      <c r="P44" s="102">
        <v>5.7173555902622986E-3</v>
      </c>
      <c r="Q44" s="103">
        <v>115475189454</v>
      </c>
      <c r="R44" s="103">
        <f t="shared" si="6"/>
        <v>224969.53246619343</v>
      </c>
      <c r="S44" s="104">
        <f t="shared" si="60"/>
        <v>4.0197249934018374E-7</v>
      </c>
      <c r="T44" s="105">
        <f t="shared" si="8"/>
        <v>8.6421602867764117E-6</v>
      </c>
      <c r="U44" s="104">
        <f t="shared" si="9"/>
        <v>5.2939731364683171E-3</v>
      </c>
      <c r="V44" s="103">
        <f t="shared" si="10"/>
        <v>55.396134900004462</v>
      </c>
      <c r="W44" s="100">
        <v>176</v>
      </c>
      <c r="X44" s="101">
        <v>12219</v>
      </c>
      <c r="Y44" s="102">
        <v>149.46042478766779</v>
      </c>
      <c r="Z44" s="124">
        <v>614114060</v>
      </c>
      <c r="AA44" s="103">
        <v>1389217.3666199013</v>
      </c>
      <c r="AB44" s="104">
        <f t="shared" si="61"/>
        <v>3.0033100609956007E-4</v>
      </c>
      <c r="AC44" s="105">
        <f t="shared" si="12"/>
        <v>3.4145596972578469E-2</v>
      </c>
      <c r="AD44" s="102">
        <v>21.01057321477013</v>
      </c>
      <c r="AE44" s="123">
        <v>529749132</v>
      </c>
      <c r="AF44" s="103">
        <v>1298243.3714842624</v>
      </c>
      <c r="AG44" s="104">
        <f t="shared" si="62"/>
        <v>3.4549818169105469E-4</v>
      </c>
      <c r="AH44" s="105">
        <f t="shared" si="14"/>
        <v>3.6708464214770198E-2</v>
      </c>
      <c r="AI44" s="106">
        <v>5.5242760325663189</v>
      </c>
      <c r="AJ44" s="123">
        <v>154159215745</v>
      </c>
      <c r="AK44" s="123">
        <v>300334.00993407</v>
      </c>
      <c r="AL44" s="104">
        <f t="shared" si="63"/>
        <v>2.6291706830228374E-4</v>
      </c>
      <c r="AM44" s="104">
        <f t="shared" si="16"/>
        <v>6.4623076686582083E-3</v>
      </c>
      <c r="AN44" s="108">
        <f t="shared" si="17"/>
        <v>7.7316368856006873E-2</v>
      </c>
      <c r="AO44" s="101">
        <f t="shared" si="18"/>
        <v>944.72871105154809</v>
      </c>
    </row>
    <row r="45" spans="1:41" ht="15.75" customHeight="1" x14ac:dyDescent="0.3">
      <c r="A45" s="99">
        <v>20304</v>
      </c>
      <c r="B45" s="62" t="s">
        <v>51</v>
      </c>
      <c r="C45" s="62" t="s">
        <v>759</v>
      </c>
      <c r="D45" s="112"/>
      <c r="E45" s="113">
        <v>4219.5</v>
      </c>
      <c r="F45" s="114"/>
      <c r="G45" s="123">
        <v>422290885</v>
      </c>
      <c r="H45" s="103">
        <f t="shared" si="0"/>
        <v>954922.15534165001</v>
      </c>
      <c r="I45" s="104">
        <f t="shared" si="58"/>
        <v>0</v>
      </c>
      <c r="J45" s="105">
        <f t="shared" si="2"/>
        <v>0</v>
      </c>
      <c r="K45" s="115"/>
      <c r="L45" s="124">
        <v>321118170</v>
      </c>
      <c r="M45" s="103">
        <f t="shared" si="3"/>
        <v>870383.32192861743</v>
      </c>
      <c r="N45" s="104">
        <f t="shared" si="59"/>
        <v>0</v>
      </c>
      <c r="O45" s="105">
        <f t="shared" si="5"/>
        <v>0</v>
      </c>
      <c r="P45" s="114"/>
      <c r="Q45" s="103">
        <v>115475189454</v>
      </c>
      <c r="R45" s="103">
        <f t="shared" si="6"/>
        <v>224969.53246619343</v>
      </c>
      <c r="S45" s="104">
        <f t="shared" si="60"/>
        <v>0</v>
      </c>
      <c r="T45" s="105">
        <f t="shared" si="8"/>
        <v>0</v>
      </c>
      <c r="U45" s="104">
        <f t="shared" si="9"/>
        <v>0</v>
      </c>
      <c r="V45" s="103">
        <f t="shared" si="10"/>
        <v>0</v>
      </c>
      <c r="W45" s="112"/>
      <c r="X45" s="101">
        <v>5238</v>
      </c>
      <c r="Y45" s="114"/>
      <c r="Z45" s="124">
        <v>614114060</v>
      </c>
      <c r="AA45" s="103">
        <v>1389217.3666199013</v>
      </c>
      <c r="AB45" s="104">
        <f t="shared" si="61"/>
        <v>0</v>
      </c>
      <c r="AC45" s="105">
        <f t="shared" si="12"/>
        <v>0</v>
      </c>
      <c r="AD45" s="114"/>
      <c r="AE45" s="123">
        <v>529749132</v>
      </c>
      <c r="AF45" s="103">
        <v>1298243.3714842624</v>
      </c>
      <c r="AG45" s="104">
        <f t="shared" si="62"/>
        <v>0</v>
      </c>
      <c r="AH45" s="105">
        <f t="shared" si="14"/>
        <v>0</v>
      </c>
      <c r="AI45" s="115"/>
      <c r="AJ45" s="123">
        <v>154159215745</v>
      </c>
      <c r="AK45" s="123">
        <v>300334.00993407</v>
      </c>
      <c r="AL45" s="104">
        <f t="shared" si="63"/>
        <v>0</v>
      </c>
      <c r="AM45" s="104">
        <f t="shared" si="16"/>
        <v>0</v>
      </c>
      <c r="AN45" s="108">
        <f t="shared" si="17"/>
        <v>0</v>
      </c>
      <c r="AO45" s="101">
        <f t="shared" si="18"/>
        <v>0</v>
      </c>
    </row>
    <row r="46" spans="1:41" ht="15.75" customHeight="1" x14ac:dyDescent="0.3">
      <c r="A46" s="99">
        <v>20305</v>
      </c>
      <c r="B46" s="62" t="s">
        <v>51</v>
      </c>
      <c r="C46" s="62" t="s">
        <v>64</v>
      </c>
      <c r="D46" s="100">
        <v>1</v>
      </c>
      <c r="E46" s="101">
        <v>3489.75</v>
      </c>
      <c r="F46" s="102">
        <v>0.14297497937860901</v>
      </c>
      <c r="G46" s="123">
        <v>422290885</v>
      </c>
      <c r="H46" s="103">
        <f t="shared" si="0"/>
        <v>954922.15534165001</v>
      </c>
      <c r="I46" s="104">
        <f t="shared" si="58"/>
        <v>4.4060750324592794E-7</v>
      </c>
      <c r="J46" s="105">
        <f t="shared" si="2"/>
        <v>1.2056619146337262E-4</v>
      </c>
      <c r="K46" s="106">
        <v>0.85235083860324501</v>
      </c>
      <c r="L46" s="124">
        <v>321118170</v>
      </c>
      <c r="M46" s="103">
        <f t="shared" si="3"/>
        <v>870383.32192861743</v>
      </c>
      <c r="N46" s="104">
        <f t="shared" si="59"/>
        <v>2.0234502104155511E-5</v>
      </c>
      <c r="O46" s="105">
        <f t="shared" si="5"/>
        <v>5.0467148532091048E-3</v>
      </c>
      <c r="P46" s="102">
        <v>4.6741820181468198E-3</v>
      </c>
      <c r="Q46" s="103">
        <v>115475189454</v>
      </c>
      <c r="R46" s="103">
        <f t="shared" si="6"/>
        <v>224969.53246619343</v>
      </c>
      <c r="S46" s="104">
        <f t="shared" si="60"/>
        <v>3.2862966078330318E-7</v>
      </c>
      <c r="T46" s="105">
        <f t="shared" si="8"/>
        <v>2.1185374637422011E-5</v>
      </c>
      <c r="U46" s="104">
        <f t="shared" si="9"/>
        <v>5.1884664193098994E-3</v>
      </c>
      <c r="V46" s="103">
        <f t="shared" si="10"/>
        <v>18.106450686786722</v>
      </c>
      <c r="W46" s="100">
        <v>121</v>
      </c>
      <c r="X46" s="101">
        <v>4221</v>
      </c>
      <c r="Y46" s="102">
        <v>57.323156747937873</v>
      </c>
      <c r="Z46" s="124">
        <v>614114060</v>
      </c>
      <c r="AA46" s="103">
        <v>1389217.3666199013</v>
      </c>
      <c r="AB46" s="104">
        <f t="shared" si="61"/>
        <v>1.1518715648887597E-4</v>
      </c>
      <c r="AC46" s="105">
        <f t="shared" si="12"/>
        <v>3.7910447336155118E-2</v>
      </c>
      <c r="AD46" s="102">
        <v>60.75903421916388</v>
      </c>
      <c r="AE46" s="123">
        <v>529749132</v>
      </c>
      <c r="AF46" s="103">
        <v>1298243.3714842624</v>
      </c>
      <c r="AG46" s="104">
        <f t="shared" si="62"/>
        <v>9.9912247178808632E-4</v>
      </c>
      <c r="AH46" s="105">
        <f t="shared" si="14"/>
        <v>0.30729782665241773</v>
      </c>
      <c r="AI46" s="106">
        <v>2.9141920531174592</v>
      </c>
      <c r="AJ46" s="123">
        <v>154159215745</v>
      </c>
      <c r="AK46" s="123">
        <v>300334.00993407</v>
      </c>
      <c r="AL46" s="104">
        <f t="shared" si="63"/>
        <v>1.386952474059337E-4</v>
      </c>
      <c r="AM46" s="104">
        <f t="shared" si="16"/>
        <v>9.868490834452022E-3</v>
      </c>
      <c r="AN46" s="108">
        <f t="shared" si="17"/>
        <v>0.35507676482302486</v>
      </c>
      <c r="AO46" s="101">
        <f t="shared" si="18"/>
        <v>1498.7790243179879</v>
      </c>
    </row>
    <row r="47" spans="1:41" ht="15.75" customHeight="1" x14ac:dyDescent="0.3">
      <c r="A47" s="99">
        <v>20306</v>
      </c>
      <c r="B47" s="62" t="s">
        <v>51</v>
      </c>
      <c r="C47" s="62" t="s">
        <v>760</v>
      </c>
      <c r="D47" s="112"/>
      <c r="E47" s="113">
        <v>5412.25</v>
      </c>
      <c r="F47" s="114"/>
      <c r="G47" s="123">
        <v>422290885</v>
      </c>
      <c r="H47" s="103">
        <f t="shared" si="0"/>
        <v>954922.15534165001</v>
      </c>
      <c r="I47" s="104">
        <f t="shared" si="58"/>
        <v>0</v>
      </c>
      <c r="J47" s="105">
        <f t="shared" si="2"/>
        <v>0</v>
      </c>
      <c r="K47" s="115"/>
      <c r="L47" s="124">
        <v>321118170</v>
      </c>
      <c r="M47" s="103">
        <f t="shared" si="3"/>
        <v>870383.32192861743</v>
      </c>
      <c r="N47" s="104">
        <f t="shared" si="59"/>
        <v>0</v>
      </c>
      <c r="O47" s="105">
        <f t="shared" si="5"/>
        <v>0</v>
      </c>
      <c r="P47" s="114"/>
      <c r="Q47" s="103">
        <v>115475189454</v>
      </c>
      <c r="R47" s="103">
        <f t="shared" si="6"/>
        <v>224969.53246619343</v>
      </c>
      <c r="S47" s="104">
        <f t="shared" si="60"/>
        <v>0</v>
      </c>
      <c r="T47" s="105">
        <f t="shared" si="8"/>
        <v>0</v>
      </c>
      <c r="U47" s="104">
        <f t="shared" si="9"/>
        <v>0</v>
      </c>
      <c r="V47" s="103">
        <f t="shared" si="10"/>
        <v>0</v>
      </c>
      <c r="W47" s="112">
        <v>284</v>
      </c>
      <c r="X47" s="101">
        <v>6442</v>
      </c>
      <c r="Y47" s="114">
        <v>268.7311423885983</v>
      </c>
      <c r="Z47" s="124">
        <v>614114060</v>
      </c>
      <c r="AA47" s="103">
        <v>1389217.3666199013</v>
      </c>
      <c r="AB47" s="104">
        <f t="shared" si="61"/>
        <v>5.39997758460213E-4</v>
      </c>
      <c r="AC47" s="105">
        <f t="shared" si="12"/>
        <v>0.11645052219632825</v>
      </c>
      <c r="AD47" s="114">
        <v>10.649084076637685</v>
      </c>
      <c r="AE47" s="123">
        <v>529749132</v>
      </c>
      <c r="AF47" s="103">
        <v>1298243.3714842624</v>
      </c>
      <c r="AG47" s="104">
        <f t="shared" si="62"/>
        <v>1.7511369859090909E-4</v>
      </c>
      <c r="AH47" s="105">
        <f t="shared" si="14"/>
        <v>3.5290313326876863E-2</v>
      </c>
      <c r="AI47" s="115">
        <v>4.6153053523778063</v>
      </c>
      <c r="AJ47" s="123">
        <v>154159215745</v>
      </c>
      <c r="AK47" s="123">
        <v>300334.00993407</v>
      </c>
      <c r="AL47" s="104">
        <f t="shared" si="63"/>
        <v>2.1965639396250497E-4</v>
      </c>
      <c r="AM47" s="104">
        <f t="shared" si="16"/>
        <v>1.0240652841728806E-2</v>
      </c>
      <c r="AN47" s="108">
        <f t="shared" si="17"/>
        <v>0.16198148836493392</v>
      </c>
      <c r="AO47" s="101">
        <f t="shared" si="18"/>
        <v>1043.4847480469043</v>
      </c>
    </row>
    <row r="48" spans="1:41" ht="15.75" customHeight="1" x14ac:dyDescent="0.3">
      <c r="A48" s="99">
        <v>20307</v>
      </c>
      <c r="B48" s="62" t="s">
        <v>51</v>
      </c>
      <c r="C48" s="62" t="s">
        <v>761</v>
      </c>
      <c r="D48" s="112"/>
      <c r="E48" s="113">
        <v>1469.75</v>
      </c>
      <c r="F48" s="114"/>
      <c r="G48" s="123">
        <v>422290885</v>
      </c>
      <c r="H48" s="103">
        <f t="shared" si="0"/>
        <v>954922.15534165001</v>
      </c>
      <c r="I48" s="104">
        <f t="shared" si="58"/>
        <v>0</v>
      </c>
      <c r="J48" s="105">
        <f t="shared" si="2"/>
        <v>0</v>
      </c>
      <c r="K48" s="115"/>
      <c r="L48" s="124">
        <v>321118170</v>
      </c>
      <c r="M48" s="103">
        <f t="shared" si="3"/>
        <v>870383.32192861743</v>
      </c>
      <c r="N48" s="104">
        <f t="shared" si="59"/>
        <v>0</v>
      </c>
      <c r="O48" s="105">
        <f t="shared" si="5"/>
        <v>0</v>
      </c>
      <c r="P48" s="114"/>
      <c r="Q48" s="103">
        <v>115475189454</v>
      </c>
      <c r="R48" s="103">
        <f t="shared" si="6"/>
        <v>224969.53246619343</v>
      </c>
      <c r="S48" s="104">
        <f t="shared" si="60"/>
        <v>0</v>
      </c>
      <c r="T48" s="105">
        <f t="shared" si="8"/>
        <v>0</v>
      </c>
      <c r="U48" s="104">
        <f t="shared" si="9"/>
        <v>0</v>
      </c>
      <c r="V48" s="103">
        <f t="shared" si="10"/>
        <v>0</v>
      </c>
      <c r="W48" s="112"/>
      <c r="X48" s="101">
        <v>4022</v>
      </c>
      <c r="Y48" s="114"/>
      <c r="Z48" s="124">
        <v>614114060</v>
      </c>
      <c r="AA48" s="103">
        <v>1389217.3666199013</v>
      </c>
      <c r="AB48" s="104">
        <f t="shared" si="61"/>
        <v>0</v>
      </c>
      <c r="AC48" s="105">
        <f t="shared" si="12"/>
        <v>0</v>
      </c>
      <c r="AD48" s="114"/>
      <c r="AE48" s="123">
        <v>529749132</v>
      </c>
      <c r="AF48" s="103">
        <v>1298243.3714842624</v>
      </c>
      <c r="AG48" s="104">
        <f t="shared" si="62"/>
        <v>0</v>
      </c>
      <c r="AH48" s="105">
        <f t="shared" si="14"/>
        <v>0</v>
      </c>
      <c r="AI48" s="115"/>
      <c r="AJ48" s="123">
        <v>154159215745</v>
      </c>
      <c r="AK48" s="123">
        <v>300334.00993407</v>
      </c>
      <c r="AL48" s="104">
        <f t="shared" si="63"/>
        <v>0</v>
      </c>
      <c r="AM48" s="104">
        <f t="shared" si="16"/>
        <v>0</v>
      </c>
      <c r="AN48" s="108">
        <f t="shared" si="17"/>
        <v>0</v>
      </c>
      <c r="AO48" s="101">
        <f t="shared" si="18"/>
        <v>0</v>
      </c>
    </row>
    <row r="49" spans="1:41" ht="15.75" customHeight="1" x14ac:dyDescent="0.3">
      <c r="A49" s="99">
        <v>20308</v>
      </c>
      <c r="B49" s="62" t="s">
        <v>51</v>
      </c>
      <c r="C49" s="62" t="s">
        <v>388</v>
      </c>
      <c r="D49" s="112"/>
      <c r="E49" s="113">
        <v>7476</v>
      </c>
      <c r="F49" s="114"/>
      <c r="G49" s="123">
        <v>422290885</v>
      </c>
      <c r="H49" s="103">
        <f t="shared" si="0"/>
        <v>954922.15534165001</v>
      </c>
      <c r="I49" s="104">
        <f t="shared" si="58"/>
        <v>0</v>
      </c>
      <c r="J49" s="105">
        <f t="shared" si="2"/>
        <v>0</v>
      </c>
      <c r="K49" s="115"/>
      <c r="L49" s="124">
        <v>321118170</v>
      </c>
      <c r="M49" s="103">
        <f t="shared" si="3"/>
        <v>870383.32192861743</v>
      </c>
      <c r="N49" s="104">
        <f t="shared" si="59"/>
        <v>0</v>
      </c>
      <c r="O49" s="105">
        <f t="shared" si="5"/>
        <v>0</v>
      </c>
      <c r="P49" s="114"/>
      <c r="Q49" s="103">
        <v>115475189454</v>
      </c>
      <c r="R49" s="103">
        <f t="shared" si="6"/>
        <v>224969.53246619343</v>
      </c>
      <c r="S49" s="104">
        <f t="shared" si="60"/>
        <v>0</v>
      </c>
      <c r="T49" s="105">
        <f t="shared" si="8"/>
        <v>0</v>
      </c>
      <c r="U49" s="104">
        <f t="shared" si="9"/>
        <v>0</v>
      </c>
      <c r="V49" s="103">
        <f t="shared" si="10"/>
        <v>0</v>
      </c>
      <c r="W49" s="100">
        <v>31</v>
      </c>
      <c r="X49" s="101">
        <v>8037</v>
      </c>
      <c r="Y49" s="102">
        <v>28.738629821361709</v>
      </c>
      <c r="Z49" s="124">
        <v>614114060</v>
      </c>
      <c r="AA49" s="103">
        <v>1389217.3666199013</v>
      </c>
      <c r="AB49" s="104">
        <f t="shared" si="61"/>
        <v>5.7748408118297732E-5</v>
      </c>
      <c r="AC49" s="105">
        <f t="shared" si="12"/>
        <v>9.9819698211512878E-3</v>
      </c>
      <c r="AD49" s="102">
        <v>1.909841240220701</v>
      </c>
      <c r="AE49" s="123">
        <v>529749132</v>
      </c>
      <c r="AF49" s="103">
        <v>1298243.3714842624</v>
      </c>
      <c r="AG49" s="104">
        <f t="shared" si="62"/>
        <v>3.1405458055327035E-5</v>
      </c>
      <c r="AH49" s="105">
        <f t="shared" si="14"/>
        <v>5.0730282131087922E-3</v>
      </c>
      <c r="AI49" s="106">
        <v>0.35105413974650718</v>
      </c>
      <c r="AJ49" s="123">
        <v>154159215745</v>
      </c>
      <c r="AK49" s="123">
        <v>300334.00993407</v>
      </c>
      <c r="AL49" s="104">
        <f t="shared" si="63"/>
        <v>1.6707732324276074E-5</v>
      </c>
      <c r="AM49" s="104">
        <f t="shared" si="16"/>
        <v>6.2434991238707394E-4</v>
      </c>
      <c r="AN49" s="108">
        <f t="shared" si="17"/>
        <v>1.5679347946647156E-2</v>
      </c>
      <c r="AO49" s="101">
        <f t="shared" si="18"/>
        <v>126.01491944720318</v>
      </c>
    </row>
    <row r="50" spans="1:41" ht="15.75" customHeight="1" x14ac:dyDescent="0.3">
      <c r="A50" s="99">
        <v>20401</v>
      </c>
      <c r="B50" s="62" t="s">
        <v>51</v>
      </c>
      <c r="C50" s="62" t="s">
        <v>93</v>
      </c>
      <c r="D50" s="100">
        <v>8</v>
      </c>
      <c r="E50" s="101">
        <v>11970.5</v>
      </c>
      <c r="F50" s="102">
        <v>4.7782423855951794</v>
      </c>
      <c r="G50" s="123">
        <v>422290885</v>
      </c>
      <c r="H50" s="103">
        <f t="shared" si="0"/>
        <v>954922.15534165001</v>
      </c>
      <c r="I50" s="104">
        <f t="shared" si="58"/>
        <v>1.4725160000519255E-5</v>
      </c>
      <c r="J50" s="105">
        <f t="shared" si="2"/>
        <v>1.1746695230313269E-3</v>
      </c>
      <c r="K50" s="106">
        <v>2.7764339454323759</v>
      </c>
      <c r="L50" s="124">
        <v>321118170</v>
      </c>
      <c r="M50" s="103">
        <f t="shared" si="3"/>
        <v>870383.32192861743</v>
      </c>
      <c r="N50" s="104">
        <f t="shared" si="59"/>
        <v>6.5911542485207702E-5</v>
      </c>
      <c r="O50" s="105">
        <f t="shared" si="5"/>
        <v>4.7924737731685632E-3</v>
      </c>
      <c r="P50" s="102">
        <v>0.44470490574391569</v>
      </c>
      <c r="Q50" s="103">
        <v>115475189454</v>
      </c>
      <c r="R50" s="103">
        <f t="shared" si="6"/>
        <v>224969.53246619343</v>
      </c>
      <c r="S50" s="104">
        <f t="shared" si="60"/>
        <v>3.1266052917048241E-5</v>
      </c>
      <c r="T50" s="105">
        <f t="shared" si="8"/>
        <v>5.8760363450245233E-4</v>
      </c>
      <c r="U50" s="104">
        <f t="shared" si="9"/>
        <v>6.5547469307023426E-3</v>
      </c>
      <c r="V50" s="103">
        <f t="shared" si="10"/>
        <v>78.463598133972397</v>
      </c>
      <c r="W50" s="100">
        <v>2799</v>
      </c>
      <c r="X50" s="101">
        <v>14012</v>
      </c>
      <c r="Y50" s="102">
        <v>2365.090356136126</v>
      </c>
      <c r="Z50" s="124">
        <v>614114060</v>
      </c>
      <c r="AA50" s="103">
        <v>1389217.3666199013</v>
      </c>
      <c r="AB50" s="104">
        <f t="shared" si="61"/>
        <v>4.7524952988982697E-3</v>
      </c>
      <c r="AC50" s="105">
        <f t="shared" si="12"/>
        <v>0.47118534142227486</v>
      </c>
      <c r="AD50" s="102">
        <v>335.77726336600608</v>
      </c>
      <c r="AE50" s="123">
        <v>529749132</v>
      </c>
      <c r="AF50" s="103">
        <v>1298243.3714842624</v>
      </c>
      <c r="AG50" s="104">
        <f t="shared" si="62"/>
        <v>5.521526364858996E-3</v>
      </c>
      <c r="AH50" s="105">
        <f t="shared" si="14"/>
        <v>0.51158185866784089</v>
      </c>
      <c r="AI50" s="106">
        <v>98.038184336444701</v>
      </c>
      <c r="AJ50" s="123">
        <v>154159215745</v>
      </c>
      <c r="AK50" s="123">
        <v>300334.00993407</v>
      </c>
      <c r="AL50" s="104">
        <f t="shared" si="63"/>
        <v>4.6659348402332884E-3</v>
      </c>
      <c r="AM50" s="104">
        <f t="shared" si="16"/>
        <v>0.10000991440610531</v>
      </c>
      <c r="AN50" s="108">
        <f t="shared" si="17"/>
        <v>1.082777114496221</v>
      </c>
      <c r="AO50" s="101">
        <f t="shared" si="18"/>
        <v>15171.872928321049</v>
      </c>
    </row>
    <row r="51" spans="1:41" ht="15.75" customHeight="1" x14ac:dyDescent="0.3">
      <c r="A51" s="99">
        <v>20402</v>
      </c>
      <c r="B51" s="62" t="s">
        <v>51</v>
      </c>
      <c r="C51" s="62" t="s">
        <v>762</v>
      </c>
      <c r="D51" s="112">
        <v>2</v>
      </c>
      <c r="E51" s="113">
        <v>16201.5</v>
      </c>
      <c r="F51" s="114">
        <v>1</v>
      </c>
      <c r="G51" s="123">
        <v>422290885</v>
      </c>
      <c r="H51" s="103">
        <f t="shared" si="0"/>
        <v>954922.15534165001</v>
      </c>
      <c r="I51" s="104">
        <f t="shared" si="58"/>
        <v>3.0817105563566096E-6</v>
      </c>
      <c r="J51" s="105">
        <f t="shared" si="2"/>
        <v>1.8163711302133563E-4</v>
      </c>
      <c r="K51" s="115">
        <v>1</v>
      </c>
      <c r="L51" s="124">
        <v>321118170</v>
      </c>
      <c r="M51" s="103">
        <f t="shared" si="3"/>
        <v>870383.32192861743</v>
      </c>
      <c r="N51" s="104">
        <f t="shared" si="59"/>
        <v>2.3739640049294693E-5</v>
      </c>
      <c r="O51" s="105">
        <f t="shared" si="5"/>
        <v>1.2753502309968065E-3</v>
      </c>
      <c r="P51" s="114">
        <v>0</v>
      </c>
      <c r="Q51" s="103">
        <v>115475189454</v>
      </c>
      <c r="R51" s="103">
        <f t="shared" si="6"/>
        <v>224969.53246619343</v>
      </c>
      <c r="S51" s="104">
        <f t="shared" si="60"/>
        <v>0</v>
      </c>
      <c r="T51" s="105">
        <f t="shared" si="8"/>
        <v>0</v>
      </c>
      <c r="U51" s="104">
        <f t="shared" si="9"/>
        <v>1.4569873440181422E-3</v>
      </c>
      <c r="V51" s="103">
        <f t="shared" si="10"/>
        <v>23.60538045410993</v>
      </c>
      <c r="W51" s="112">
        <v>83</v>
      </c>
      <c r="X51" s="101">
        <v>17811</v>
      </c>
      <c r="Y51" s="114">
        <v>70.363257513980585</v>
      </c>
      <c r="Z51" s="124">
        <v>614114060</v>
      </c>
      <c r="AA51" s="103">
        <v>1389217.3666199013</v>
      </c>
      <c r="AB51" s="104">
        <f t="shared" si="61"/>
        <v>1.4139039114627135E-4</v>
      </c>
      <c r="AC51" s="105">
        <f t="shared" si="12"/>
        <v>1.1028127946414062E-2</v>
      </c>
      <c r="AD51" s="114">
        <v>9.7246951865413109</v>
      </c>
      <c r="AE51" s="123">
        <v>529749132</v>
      </c>
      <c r="AF51" s="103">
        <v>1298243.3714842624</v>
      </c>
      <c r="AG51" s="104">
        <f t="shared" si="62"/>
        <v>1.5991303379042694E-4</v>
      </c>
      <c r="AH51" s="105">
        <f t="shared" si="14"/>
        <v>1.1656057275411861E-2</v>
      </c>
      <c r="AI51" s="115">
        <v>2.9074455890665973</v>
      </c>
      <c r="AJ51" s="123">
        <v>154159215745</v>
      </c>
      <c r="AK51" s="123">
        <v>300334.00993407</v>
      </c>
      <c r="AL51" s="104">
        <f t="shared" si="63"/>
        <v>1.3837416269923134E-4</v>
      </c>
      <c r="AM51" s="104">
        <f t="shared" si="16"/>
        <v>2.3333034166935916E-3</v>
      </c>
      <c r="AN51" s="108">
        <f t="shared" si="17"/>
        <v>2.5017488638519512E-2</v>
      </c>
      <c r="AO51" s="101">
        <f t="shared" si="18"/>
        <v>445.58649014067112</v>
      </c>
    </row>
    <row r="52" spans="1:41" ht="15.75" customHeight="1" x14ac:dyDescent="0.3">
      <c r="A52" s="99">
        <v>20403</v>
      </c>
      <c r="B52" s="62" t="s">
        <v>51</v>
      </c>
      <c r="C52" s="62" t="s">
        <v>763</v>
      </c>
      <c r="D52" s="112">
        <v>0</v>
      </c>
      <c r="E52" s="113">
        <v>15275.75</v>
      </c>
      <c r="F52" s="114">
        <v>0</v>
      </c>
      <c r="G52" s="123">
        <v>422290885</v>
      </c>
      <c r="H52" s="103">
        <f t="shared" si="0"/>
        <v>954922.15534165001</v>
      </c>
      <c r="I52" s="104">
        <f t="shared" si="58"/>
        <v>0</v>
      </c>
      <c r="J52" s="105">
        <f t="shared" si="2"/>
        <v>0</v>
      </c>
      <c r="K52" s="115">
        <v>0</v>
      </c>
      <c r="L52" s="124">
        <v>321118170</v>
      </c>
      <c r="M52" s="103">
        <f t="shared" si="3"/>
        <v>870383.32192861743</v>
      </c>
      <c r="N52" s="104">
        <f t="shared" si="59"/>
        <v>0</v>
      </c>
      <c r="O52" s="105">
        <f t="shared" si="5"/>
        <v>0</v>
      </c>
      <c r="P52" s="114">
        <v>0</v>
      </c>
      <c r="Q52" s="103">
        <v>115475189454</v>
      </c>
      <c r="R52" s="103">
        <f t="shared" si="6"/>
        <v>224969.53246619343</v>
      </c>
      <c r="S52" s="104">
        <f t="shared" si="60"/>
        <v>0</v>
      </c>
      <c r="T52" s="105">
        <f t="shared" si="8"/>
        <v>0</v>
      </c>
      <c r="U52" s="104">
        <f t="shared" si="9"/>
        <v>0</v>
      </c>
      <c r="V52" s="103">
        <f t="shared" si="10"/>
        <v>0</v>
      </c>
      <c r="W52" s="121">
        <v>1557</v>
      </c>
      <c r="X52" s="101">
        <v>17336</v>
      </c>
      <c r="Y52" s="114">
        <v>1429.6996465827456</v>
      </c>
      <c r="Z52" s="124">
        <v>614114060</v>
      </c>
      <c r="AA52" s="103">
        <v>1389217.3666199013</v>
      </c>
      <c r="AB52" s="104">
        <f t="shared" si="61"/>
        <v>2.8728884846165007E-3</v>
      </c>
      <c r="AC52" s="105">
        <f t="shared" si="12"/>
        <v>0.23021842265756656</v>
      </c>
      <c r="AD52" s="114">
        <v>85.174522975687324</v>
      </c>
      <c r="AE52" s="123">
        <v>529749132</v>
      </c>
      <c r="AF52" s="103">
        <v>1298243.3714842624</v>
      </c>
      <c r="AG52" s="104">
        <f t="shared" si="62"/>
        <v>1.4006111358168811E-3</v>
      </c>
      <c r="AH52" s="105">
        <f t="shared" si="14"/>
        <v>0.10488775513966947</v>
      </c>
      <c r="AI52" s="115">
        <v>42.088577277694036</v>
      </c>
      <c r="AJ52" s="123">
        <v>154159215745</v>
      </c>
      <c r="AK52" s="123">
        <v>300334.00993407</v>
      </c>
      <c r="AL52" s="104">
        <f t="shared" si="63"/>
        <v>2.0031231751692132E-3</v>
      </c>
      <c r="AM52" s="104">
        <f t="shared" si="16"/>
        <v>3.4702700483989171E-2</v>
      </c>
      <c r="AN52" s="108">
        <f t="shared" si="17"/>
        <v>0.36980887828122522</v>
      </c>
      <c r="AO52" s="101">
        <f t="shared" si="18"/>
        <v>6411.0067138833201</v>
      </c>
    </row>
    <row r="53" spans="1:41" ht="15.75" customHeight="1" x14ac:dyDescent="0.3">
      <c r="A53" s="99">
        <v>20404</v>
      </c>
      <c r="B53" s="62" t="s">
        <v>51</v>
      </c>
      <c r="C53" s="62" t="s">
        <v>346</v>
      </c>
      <c r="D53" s="112"/>
      <c r="E53" s="113">
        <v>5421</v>
      </c>
      <c r="F53" s="114"/>
      <c r="G53" s="123">
        <v>422290885</v>
      </c>
      <c r="H53" s="103">
        <f t="shared" si="0"/>
        <v>954922.15534165001</v>
      </c>
      <c r="I53" s="104">
        <f t="shared" si="58"/>
        <v>0</v>
      </c>
      <c r="J53" s="105">
        <f t="shared" si="2"/>
        <v>0</v>
      </c>
      <c r="K53" s="115"/>
      <c r="L53" s="124">
        <v>321118170</v>
      </c>
      <c r="M53" s="103">
        <f t="shared" si="3"/>
        <v>870383.32192861743</v>
      </c>
      <c r="N53" s="104">
        <f t="shared" si="59"/>
        <v>0</v>
      </c>
      <c r="O53" s="105">
        <f t="shared" si="5"/>
        <v>0</v>
      </c>
      <c r="P53" s="114"/>
      <c r="Q53" s="103">
        <v>115475189454</v>
      </c>
      <c r="R53" s="103">
        <f t="shared" si="6"/>
        <v>224969.53246619343</v>
      </c>
      <c r="S53" s="104">
        <f t="shared" si="60"/>
        <v>0</v>
      </c>
      <c r="T53" s="105">
        <f t="shared" si="8"/>
        <v>0</v>
      </c>
      <c r="U53" s="104">
        <f t="shared" si="9"/>
        <v>0</v>
      </c>
      <c r="V53" s="103">
        <f t="shared" si="10"/>
        <v>0</v>
      </c>
      <c r="W53" s="100">
        <v>446</v>
      </c>
      <c r="X53" s="101">
        <v>5658</v>
      </c>
      <c r="Y53" s="102">
        <v>388.589964597228</v>
      </c>
      <c r="Z53" s="124">
        <v>614114060</v>
      </c>
      <c r="AA53" s="103">
        <v>1389217.3666199013</v>
      </c>
      <c r="AB53" s="104">
        <f t="shared" si="61"/>
        <v>7.8084626879307165E-4</v>
      </c>
      <c r="AC53" s="105">
        <f t="shared" si="12"/>
        <v>0.19172237491475549</v>
      </c>
      <c r="AD53" s="102">
        <v>44.253146118727159</v>
      </c>
      <c r="AE53" s="123">
        <v>529749132</v>
      </c>
      <c r="AF53" s="103">
        <v>1298243.3714842624</v>
      </c>
      <c r="AG53" s="104">
        <f t="shared" si="62"/>
        <v>7.2769939981364112E-4</v>
      </c>
      <c r="AH53" s="105">
        <f t="shared" si="14"/>
        <v>0.16697259141766271</v>
      </c>
      <c r="AI53" s="106">
        <v>13.144138415128509</v>
      </c>
      <c r="AJ53" s="123">
        <v>154159215745</v>
      </c>
      <c r="AK53" s="123">
        <v>300334.00993407</v>
      </c>
      <c r="AL53" s="104">
        <f t="shared" si="63"/>
        <v>6.2556945328084968E-4</v>
      </c>
      <c r="AM53" s="104">
        <f t="shared" si="16"/>
        <v>3.3206041427377417E-2</v>
      </c>
      <c r="AN53" s="108">
        <f t="shared" si="17"/>
        <v>0.39190100775979564</v>
      </c>
      <c r="AO53" s="101">
        <f t="shared" si="18"/>
        <v>2217.3759019049235</v>
      </c>
    </row>
    <row r="54" spans="1:41" ht="15.75" customHeight="1" x14ac:dyDescent="0.3">
      <c r="A54" s="99">
        <v>20405</v>
      </c>
      <c r="B54" s="62" t="s">
        <v>51</v>
      </c>
      <c r="C54" s="62" t="s">
        <v>339</v>
      </c>
      <c r="D54" s="112"/>
      <c r="E54" s="113">
        <v>7598.75</v>
      </c>
      <c r="F54" s="114"/>
      <c r="G54" s="123">
        <v>422290885</v>
      </c>
      <c r="H54" s="103">
        <f t="shared" si="0"/>
        <v>954922.15534165001</v>
      </c>
      <c r="I54" s="104">
        <f t="shared" si="58"/>
        <v>0</v>
      </c>
      <c r="J54" s="105">
        <f t="shared" si="2"/>
        <v>0</v>
      </c>
      <c r="K54" s="115"/>
      <c r="L54" s="124">
        <v>321118170</v>
      </c>
      <c r="M54" s="103">
        <f t="shared" si="3"/>
        <v>870383.32192861743</v>
      </c>
      <c r="N54" s="104">
        <f t="shared" si="59"/>
        <v>0</v>
      </c>
      <c r="O54" s="105">
        <f t="shared" si="5"/>
        <v>0</v>
      </c>
      <c r="P54" s="114"/>
      <c r="Q54" s="103">
        <v>115475189454</v>
      </c>
      <c r="R54" s="103">
        <f t="shared" si="6"/>
        <v>224969.53246619343</v>
      </c>
      <c r="S54" s="104">
        <f t="shared" si="60"/>
        <v>0</v>
      </c>
      <c r="T54" s="105">
        <f t="shared" si="8"/>
        <v>0</v>
      </c>
      <c r="U54" s="104">
        <f t="shared" si="9"/>
        <v>0</v>
      </c>
      <c r="V54" s="103">
        <f t="shared" si="10"/>
        <v>0</v>
      </c>
      <c r="W54" s="100">
        <v>178</v>
      </c>
      <c r="X54" s="101">
        <v>8837</v>
      </c>
      <c r="Y54" s="102">
        <v>141.2397304251611</v>
      </c>
      <c r="Z54" s="124">
        <v>614114060</v>
      </c>
      <c r="AA54" s="103">
        <v>1389217.3666199013</v>
      </c>
      <c r="AB54" s="104">
        <f t="shared" si="61"/>
        <v>2.8381205526534345E-4</v>
      </c>
      <c r="AC54" s="105">
        <f t="shared" si="12"/>
        <v>4.4616570785413867E-2</v>
      </c>
      <c r="AD54" s="102">
        <v>24.97617697079442</v>
      </c>
      <c r="AE54" s="123">
        <v>529749132</v>
      </c>
      <c r="AF54" s="103">
        <v>1298243.3714842624</v>
      </c>
      <c r="AG54" s="104">
        <f t="shared" si="62"/>
        <v>4.1070862945030202E-4</v>
      </c>
      <c r="AH54" s="105">
        <f t="shared" si="14"/>
        <v>6.0337190878719096E-2</v>
      </c>
      <c r="AI54" s="106">
        <v>11.77054829066336</v>
      </c>
      <c r="AJ54" s="123">
        <v>154159215745</v>
      </c>
      <c r="AK54" s="123">
        <v>300334.00993407</v>
      </c>
      <c r="AL54" s="104">
        <f t="shared" si="63"/>
        <v>5.6019612898561581E-4</v>
      </c>
      <c r="AM54" s="104">
        <f t="shared" si="16"/>
        <v>1.9038808392870147E-2</v>
      </c>
      <c r="AN54" s="108">
        <f t="shared" si="17"/>
        <v>0.12399257005700311</v>
      </c>
      <c r="AO54" s="101">
        <f t="shared" si="18"/>
        <v>1095.7223415937365</v>
      </c>
    </row>
    <row r="55" spans="1:41" ht="15.75" customHeight="1" x14ac:dyDescent="0.3">
      <c r="A55" s="99">
        <v>20501</v>
      </c>
      <c r="B55" s="62" t="s">
        <v>51</v>
      </c>
      <c r="C55" s="62" t="s">
        <v>66</v>
      </c>
      <c r="D55" s="100">
        <v>2</v>
      </c>
      <c r="E55" s="101">
        <v>13062.25</v>
      </c>
      <c r="F55" s="102">
        <v>1.849872476620714</v>
      </c>
      <c r="G55" s="123">
        <v>422290885</v>
      </c>
      <c r="H55" s="103">
        <f t="shared" si="0"/>
        <v>954922.15534165001</v>
      </c>
      <c r="I55" s="104">
        <f t="shared" si="58"/>
        <v>5.7007715391155996E-6</v>
      </c>
      <c r="J55" s="105">
        <f t="shared" si="2"/>
        <v>4.1675768303642968E-4</v>
      </c>
      <c r="K55" s="106">
        <v>7.0212872359932593E-2</v>
      </c>
      <c r="L55" s="124">
        <v>321118170</v>
      </c>
      <c r="M55" s="103">
        <f t="shared" si="3"/>
        <v>870383.32192861743</v>
      </c>
      <c r="N55" s="104">
        <f t="shared" si="59"/>
        <v>1.6668283166518722E-6</v>
      </c>
      <c r="O55" s="105">
        <f t="shared" si="5"/>
        <v>1.11066590161124E-4</v>
      </c>
      <c r="P55" s="102">
        <v>7.9864641851006002E-2</v>
      </c>
      <c r="Q55" s="103">
        <v>115475189454</v>
      </c>
      <c r="R55" s="103">
        <f t="shared" si="6"/>
        <v>224969.53246619343</v>
      </c>
      <c r="S55" s="104">
        <f t="shared" si="60"/>
        <v>5.6150766183645218E-6</v>
      </c>
      <c r="T55" s="105">
        <f t="shared" si="8"/>
        <v>9.6707777113079352E-5</v>
      </c>
      <c r="U55" s="104">
        <f t="shared" si="9"/>
        <v>6.2453205031063296E-4</v>
      </c>
      <c r="V55" s="103">
        <f t="shared" si="10"/>
        <v>8.1577937741700666</v>
      </c>
      <c r="W55" s="100">
        <v>2</v>
      </c>
      <c r="X55" s="101">
        <v>17830</v>
      </c>
      <c r="Y55" s="102">
        <v>1.849872476620714</v>
      </c>
      <c r="Z55" s="124">
        <v>614114060</v>
      </c>
      <c r="AA55" s="103">
        <v>1389217.3666199013</v>
      </c>
      <c r="AB55" s="104">
        <f t="shared" si="61"/>
        <v>3.7171984680805297E-6</v>
      </c>
      <c r="AC55" s="105">
        <f t="shared" si="12"/>
        <v>2.8962404189738442E-4</v>
      </c>
      <c r="AD55" s="102">
        <v>7.0212872359932593E-2</v>
      </c>
      <c r="AE55" s="123">
        <v>529749132</v>
      </c>
      <c r="AF55" s="103">
        <v>1298243.3714842624</v>
      </c>
      <c r="AG55" s="104">
        <f t="shared" si="62"/>
        <v>1.1545815282473828E-6</v>
      </c>
      <c r="AH55" s="105">
        <f t="shared" si="14"/>
        <v>8.4067740655374888E-5</v>
      </c>
      <c r="AI55" s="106">
        <v>7.9864641851006002E-2</v>
      </c>
      <c r="AJ55" s="123">
        <v>154159215745</v>
      </c>
      <c r="AK55" s="123">
        <v>300334.00993407</v>
      </c>
      <c r="AL55" s="104">
        <f t="shared" si="63"/>
        <v>3.8010007777840513E-6</v>
      </c>
      <c r="AM55" s="104">
        <f t="shared" si="16"/>
        <v>6.4025227445563818E-5</v>
      </c>
      <c r="AN55" s="108">
        <f t="shared" si="17"/>
        <v>4.3771700999832314E-4</v>
      </c>
      <c r="AO55" s="101">
        <f t="shared" si="18"/>
        <v>7.8044942882701021</v>
      </c>
    </row>
    <row r="56" spans="1:41" ht="15.75" customHeight="1" x14ac:dyDescent="0.3">
      <c r="A56" s="99">
        <v>20502</v>
      </c>
      <c r="B56" s="62" t="s">
        <v>51</v>
      </c>
      <c r="C56" s="62" t="s">
        <v>57</v>
      </c>
      <c r="D56" s="100">
        <v>0</v>
      </c>
      <c r="E56" s="101">
        <v>8564.75</v>
      </c>
      <c r="F56" s="102">
        <v>0</v>
      </c>
      <c r="G56" s="123">
        <v>422290885</v>
      </c>
      <c r="H56" s="103">
        <f t="shared" si="0"/>
        <v>954922.15534165001</v>
      </c>
      <c r="I56" s="104">
        <f t="shared" si="58"/>
        <v>0</v>
      </c>
      <c r="J56" s="105">
        <f t="shared" si="2"/>
        <v>0</v>
      </c>
      <c r="K56" s="106">
        <v>0</v>
      </c>
      <c r="L56" s="124">
        <v>321118170</v>
      </c>
      <c r="M56" s="103">
        <f t="shared" si="3"/>
        <v>870383.32192861743</v>
      </c>
      <c r="N56" s="104">
        <f t="shared" si="59"/>
        <v>0</v>
      </c>
      <c r="O56" s="105">
        <f t="shared" si="5"/>
        <v>0</v>
      </c>
      <c r="P56" s="102">
        <v>0</v>
      </c>
      <c r="Q56" s="103">
        <v>115475189454</v>
      </c>
      <c r="R56" s="103">
        <f t="shared" si="6"/>
        <v>224969.53246619343</v>
      </c>
      <c r="S56" s="104">
        <f t="shared" si="60"/>
        <v>0</v>
      </c>
      <c r="T56" s="105">
        <f t="shared" si="8"/>
        <v>0</v>
      </c>
      <c r="U56" s="104">
        <f t="shared" si="9"/>
        <v>0</v>
      </c>
      <c r="V56" s="103">
        <f t="shared" si="10"/>
        <v>0</v>
      </c>
      <c r="W56" s="112"/>
      <c r="X56" s="101">
        <v>9029</v>
      </c>
      <c r="Y56" s="102">
        <v>0</v>
      </c>
      <c r="Z56" s="124">
        <v>614114060</v>
      </c>
      <c r="AA56" s="103">
        <v>1389217.3666199013</v>
      </c>
      <c r="AB56" s="104">
        <f t="shared" si="61"/>
        <v>0</v>
      </c>
      <c r="AC56" s="105">
        <f t="shared" si="12"/>
        <v>0</v>
      </c>
      <c r="AD56" s="102">
        <v>0</v>
      </c>
      <c r="AE56" s="123">
        <v>529749132</v>
      </c>
      <c r="AF56" s="103">
        <v>1298243.3714842624</v>
      </c>
      <c r="AG56" s="104">
        <f t="shared" si="62"/>
        <v>0</v>
      </c>
      <c r="AH56" s="105">
        <f t="shared" si="14"/>
        <v>0</v>
      </c>
      <c r="AI56" s="106">
        <v>0</v>
      </c>
      <c r="AJ56" s="123">
        <v>154159215745</v>
      </c>
      <c r="AK56" s="123">
        <v>300334.00993407</v>
      </c>
      <c r="AL56" s="104">
        <f t="shared" si="63"/>
        <v>0</v>
      </c>
      <c r="AM56" s="104">
        <f t="shared" si="16"/>
        <v>0</v>
      </c>
      <c r="AN56" s="108">
        <f t="shared" si="17"/>
        <v>0</v>
      </c>
      <c r="AO56" s="101">
        <f t="shared" si="18"/>
        <v>0</v>
      </c>
    </row>
    <row r="57" spans="1:41" ht="15.75" customHeight="1" x14ac:dyDescent="0.3">
      <c r="A57" s="99">
        <v>20503</v>
      </c>
      <c r="B57" s="62" t="s">
        <v>51</v>
      </c>
      <c r="C57" s="62" t="s">
        <v>764</v>
      </c>
      <c r="D57" s="112"/>
      <c r="E57" s="113">
        <v>5801.5</v>
      </c>
      <c r="F57" s="114"/>
      <c r="G57" s="123">
        <v>422290885</v>
      </c>
      <c r="H57" s="103">
        <f t="shared" si="0"/>
        <v>954922.15534165001</v>
      </c>
      <c r="I57" s="104">
        <f t="shared" si="58"/>
        <v>0</v>
      </c>
      <c r="J57" s="105">
        <f t="shared" si="2"/>
        <v>0</v>
      </c>
      <c r="K57" s="115"/>
      <c r="L57" s="124">
        <v>321118170</v>
      </c>
      <c r="M57" s="103">
        <f t="shared" si="3"/>
        <v>870383.32192861743</v>
      </c>
      <c r="N57" s="104">
        <f t="shared" si="59"/>
        <v>0</v>
      </c>
      <c r="O57" s="105">
        <f t="shared" si="5"/>
        <v>0</v>
      </c>
      <c r="P57" s="114"/>
      <c r="Q57" s="103">
        <v>115475189454</v>
      </c>
      <c r="R57" s="103">
        <f t="shared" si="6"/>
        <v>224969.53246619343</v>
      </c>
      <c r="S57" s="104">
        <f t="shared" si="60"/>
        <v>0</v>
      </c>
      <c r="T57" s="105">
        <f t="shared" si="8"/>
        <v>0</v>
      </c>
      <c r="U57" s="104">
        <f t="shared" si="9"/>
        <v>0</v>
      </c>
      <c r="V57" s="103">
        <f t="shared" si="10"/>
        <v>0</v>
      </c>
      <c r="W57" s="112"/>
      <c r="X57" s="101">
        <v>6721</v>
      </c>
      <c r="Y57" s="114"/>
      <c r="Z57" s="124">
        <v>614114060</v>
      </c>
      <c r="AA57" s="103">
        <v>1389217.3666199013</v>
      </c>
      <c r="AB57" s="104">
        <f t="shared" si="61"/>
        <v>0</v>
      </c>
      <c r="AC57" s="105">
        <f t="shared" si="12"/>
        <v>0</v>
      </c>
      <c r="AD57" s="114"/>
      <c r="AE57" s="123">
        <v>529749132</v>
      </c>
      <c r="AF57" s="103">
        <v>1298243.3714842624</v>
      </c>
      <c r="AG57" s="104">
        <f t="shared" si="62"/>
        <v>0</v>
      </c>
      <c r="AH57" s="105">
        <f t="shared" si="14"/>
        <v>0</v>
      </c>
      <c r="AI57" s="115"/>
      <c r="AJ57" s="123">
        <v>154159215745</v>
      </c>
      <c r="AK57" s="123">
        <v>300334.00993407</v>
      </c>
      <c r="AL57" s="104">
        <f t="shared" si="63"/>
        <v>0</v>
      </c>
      <c r="AM57" s="104">
        <f t="shared" si="16"/>
        <v>0</v>
      </c>
      <c r="AN57" s="108">
        <f t="shared" si="17"/>
        <v>0</v>
      </c>
      <c r="AO57" s="101">
        <f t="shared" si="18"/>
        <v>0</v>
      </c>
    </row>
    <row r="58" spans="1:41" ht="15.75" customHeight="1" x14ac:dyDescent="0.3">
      <c r="A58" s="99">
        <v>20601</v>
      </c>
      <c r="B58" s="62" t="s">
        <v>51</v>
      </c>
      <c r="C58" s="62" t="s">
        <v>99</v>
      </c>
      <c r="D58" s="100">
        <v>9</v>
      </c>
      <c r="E58" s="101">
        <v>25154.75</v>
      </c>
      <c r="F58" s="102">
        <v>5.2927725899633913</v>
      </c>
      <c r="G58" s="123">
        <v>422290885</v>
      </c>
      <c r="H58" s="103">
        <f t="shared" si="0"/>
        <v>954922.15534165001</v>
      </c>
      <c r="I58" s="104">
        <f t="shared" si="58"/>
        <v>1.6310793162885097E-5</v>
      </c>
      <c r="J58" s="105">
        <f t="shared" si="2"/>
        <v>6.191887322447683E-4</v>
      </c>
      <c r="K58" s="106">
        <v>3.512143138899428</v>
      </c>
      <c r="L58" s="124">
        <v>321118170</v>
      </c>
      <c r="M58" s="103">
        <f t="shared" si="3"/>
        <v>870383.32192861743</v>
      </c>
      <c r="N58" s="104">
        <f t="shared" si="59"/>
        <v>8.3377013919072436E-5</v>
      </c>
      <c r="O58" s="105">
        <f t="shared" si="5"/>
        <v>2.8849407108943975E-3</v>
      </c>
      <c r="P58" s="102">
        <v>0.19468144787734401</v>
      </c>
      <c r="Q58" s="103">
        <v>115475189454</v>
      </c>
      <c r="R58" s="103">
        <f t="shared" si="6"/>
        <v>224969.53246619343</v>
      </c>
      <c r="S58" s="104">
        <f t="shared" si="60"/>
        <v>1.3687549592281254E-5</v>
      </c>
      <c r="T58" s="105">
        <f t="shared" si="8"/>
        <v>1.2241352557204306E-4</v>
      </c>
      <c r="U58" s="104">
        <f t="shared" si="9"/>
        <v>3.6265429687112089E-3</v>
      </c>
      <c r="V58" s="103">
        <f t="shared" si="10"/>
        <v>91.224781742188284</v>
      </c>
      <c r="W58" s="100">
        <v>591</v>
      </c>
      <c r="X58" s="101">
        <v>30083</v>
      </c>
      <c r="Y58" s="102">
        <v>514.35367855397169</v>
      </c>
      <c r="Z58" s="124">
        <v>614114060</v>
      </c>
      <c r="AA58" s="103">
        <v>1389217.3666199013</v>
      </c>
      <c r="AB58" s="104">
        <f t="shared" si="61"/>
        <v>1.0335602751737269E-3</v>
      </c>
      <c r="AC58" s="105">
        <f t="shared" si="12"/>
        <v>4.7729278453604536E-2</v>
      </c>
      <c r="AD58" s="102">
        <v>57.876709400961701</v>
      </c>
      <c r="AE58" s="123">
        <v>529749132</v>
      </c>
      <c r="AF58" s="103">
        <v>1298243.3714842624</v>
      </c>
      <c r="AG58" s="104">
        <f t="shared" si="62"/>
        <v>9.5172547916192644E-4</v>
      </c>
      <c r="AH58" s="105">
        <f t="shared" si="14"/>
        <v>4.1072077079900758E-2</v>
      </c>
      <c r="AI58" s="106">
        <v>18.745342628313502</v>
      </c>
      <c r="AJ58" s="123">
        <v>154159215745</v>
      </c>
      <c r="AK58" s="123">
        <v>300334.00993407</v>
      </c>
      <c r="AL58" s="104">
        <f t="shared" si="63"/>
        <v>8.9214776725566258E-4</v>
      </c>
      <c r="AM58" s="104">
        <f t="shared" si="16"/>
        <v>8.9067684869733928E-3</v>
      </c>
      <c r="AN58" s="108">
        <f t="shared" si="17"/>
        <v>9.7708124020478682E-2</v>
      </c>
      <c r="AO58" s="101">
        <f t="shared" si="18"/>
        <v>2939.3534949080604</v>
      </c>
    </row>
    <row r="59" spans="1:41" ht="15.75" customHeight="1" x14ac:dyDescent="0.3">
      <c r="A59" s="99">
        <v>20602</v>
      </c>
      <c r="B59" s="62" t="s">
        <v>51</v>
      </c>
      <c r="C59" s="62" t="s">
        <v>77</v>
      </c>
      <c r="D59" s="100">
        <v>17</v>
      </c>
      <c r="E59" s="101">
        <v>15187.5</v>
      </c>
      <c r="F59" s="102">
        <v>15.804636543975869</v>
      </c>
      <c r="G59" s="123">
        <v>422290885</v>
      </c>
      <c r="H59" s="103">
        <f t="shared" si="0"/>
        <v>954922.15534165001</v>
      </c>
      <c r="I59" s="104">
        <f t="shared" si="58"/>
        <v>4.8705315276949881E-5</v>
      </c>
      <c r="J59" s="105">
        <f t="shared" si="2"/>
        <v>3.062372651250013E-3</v>
      </c>
      <c r="K59" s="106">
        <v>0.51923646460281003</v>
      </c>
      <c r="L59" s="124">
        <v>321118170</v>
      </c>
      <c r="M59" s="103">
        <f t="shared" si="3"/>
        <v>870383.32192861743</v>
      </c>
      <c r="N59" s="104">
        <f t="shared" si="59"/>
        <v>1.2326486770139055E-5</v>
      </c>
      <c r="O59" s="105">
        <f t="shared" si="5"/>
        <v>7.0642097137137681E-4</v>
      </c>
      <c r="P59" s="102">
        <v>0.67574214964457346</v>
      </c>
      <c r="Q59" s="103">
        <v>115475189454</v>
      </c>
      <c r="R59" s="103">
        <f t="shared" si="6"/>
        <v>224969.53246619343</v>
      </c>
      <c r="S59" s="104">
        <f t="shared" si="60"/>
        <v>4.7509684593481081E-5</v>
      </c>
      <c r="T59" s="105">
        <f t="shared" si="8"/>
        <v>7.0375187032834581E-4</v>
      </c>
      <c r="U59" s="104">
        <f t="shared" si="9"/>
        <v>4.4725454929497354E-3</v>
      </c>
      <c r="V59" s="103">
        <f t="shared" si="10"/>
        <v>67.926784674174115</v>
      </c>
      <c r="W59" s="100">
        <v>671</v>
      </c>
      <c r="X59" s="101">
        <v>16386</v>
      </c>
      <c r="Y59" s="102">
        <v>578.8965626636691</v>
      </c>
      <c r="Z59" s="124">
        <v>614114060</v>
      </c>
      <c r="AA59" s="103">
        <v>1389217.3666199013</v>
      </c>
      <c r="AB59" s="104">
        <f t="shared" si="61"/>
        <v>1.1632550043889764E-3</v>
      </c>
      <c r="AC59" s="105">
        <f t="shared" si="12"/>
        <v>9.8621631508890237E-2</v>
      </c>
      <c r="AD59" s="102">
        <v>68.550569954329291</v>
      </c>
      <c r="AE59" s="123">
        <v>529749132</v>
      </c>
      <c r="AF59" s="103">
        <v>1298243.3714842624</v>
      </c>
      <c r="AG59" s="104">
        <f t="shared" si="62"/>
        <v>1.1272466025085235E-3</v>
      </c>
      <c r="AH59" s="105">
        <f t="shared" si="14"/>
        <v>8.9310413141391778E-2</v>
      </c>
      <c r="AI59" s="106">
        <v>23.530575066858521</v>
      </c>
      <c r="AJ59" s="123">
        <v>154159215745</v>
      </c>
      <c r="AK59" s="123">
        <v>300334.00993407</v>
      </c>
      <c r="AL59" s="104">
        <f t="shared" si="63"/>
        <v>1.1198915071539714E-3</v>
      </c>
      <c r="AM59" s="104">
        <f t="shared" si="16"/>
        <v>2.0526150801578266E-2</v>
      </c>
      <c r="AN59" s="108">
        <f t="shared" si="17"/>
        <v>0.20845819545186028</v>
      </c>
      <c r="AO59" s="101">
        <f t="shared" si="18"/>
        <v>3415.7959906741826</v>
      </c>
    </row>
    <row r="60" spans="1:41" ht="15.75" customHeight="1" x14ac:dyDescent="0.3">
      <c r="A60" s="99">
        <v>20603</v>
      </c>
      <c r="B60" s="62" t="s">
        <v>51</v>
      </c>
      <c r="C60" s="62" t="s">
        <v>100</v>
      </c>
      <c r="D60" s="100">
        <v>0</v>
      </c>
      <c r="E60" s="101">
        <v>8576.75</v>
      </c>
      <c r="F60" s="102">
        <v>0</v>
      </c>
      <c r="G60" s="123">
        <v>422290885</v>
      </c>
      <c r="H60" s="103">
        <f t="shared" si="0"/>
        <v>954922.15534165001</v>
      </c>
      <c r="I60" s="104">
        <f t="shared" si="58"/>
        <v>0</v>
      </c>
      <c r="J60" s="105">
        <f t="shared" si="2"/>
        <v>0</v>
      </c>
      <c r="K60" s="106">
        <v>0</v>
      </c>
      <c r="L60" s="124">
        <v>321118170</v>
      </c>
      <c r="M60" s="103">
        <f t="shared" si="3"/>
        <v>870383.32192861743</v>
      </c>
      <c r="N60" s="104">
        <f t="shared" si="59"/>
        <v>0</v>
      </c>
      <c r="O60" s="105">
        <f t="shared" si="5"/>
        <v>0</v>
      </c>
      <c r="P60" s="102">
        <v>0</v>
      </c>
      <c r="Q60" s="103">
        <v>115475189454</v>
      </c>
      <c r="R60" s="103">
        <f t="shared" si="6"/>
        <v>224969.53246619343</v>
      </c>
      <c r="S60" s="104">
        <f t="shared" si="60"/>
        <v>0</v>
      </c>
      <c r="T60" s="105">
        <f t="shared" si="8"/>
        <v>0</v>
      </c>
      <c r="U60" s="104">
        <f t="shared" si="9"/>
        <v>0</v>
      </c>
      <c r="V60" s="103">
        <f t="shared" si="10"/>
        <v>0</v>
      </c>
      <c r="W60" s="112"/>
      <c r="X60" s="101">
        <v>9761</v>
      </c>
      <c r="Y60" s="102">
        <v>0</v>
      </c>
      <c r="Z60" s="124">
        <v>614114060</v>
      </c>
      <c r="AA60" s="103">
        <v>1389217.3666199013</v>
      </c>
      <c r="AB60" s="104">
        <f t="shared" si="61"/>
        <v>0</v>
      </c>
      <c r="AC60" s="105">
        <f t="shared" si="12"/>
        <v>0</v>
      </c>
      <c r="AD60" s="102">
        <v>0</v>
      </c>
      <c r="AE60" s="123">
        <v>529749132</v>
      </c>
      <c r="AF60" s="103">
        <v>1298243.3714842624</v>
      </c>
      <c r="AG60" s="104">
        <f t="shared" si="62"/>
        <v>0</v>
      </c>
      <c r="AH60" s="105">
        <f t="shared" si="14"/>
        <v>0</v>
      </c>
      <c r="AI60" s="106">
        <v>0</v>
      </c>
      <c r="AJ60" s="123">
        <v>154159215745</v>
      </c>
      <c r="AK60" s="123">
        <v>300334.00993407</v>
      </c>
      <c r="AL60" s="104">
        <f t="shared" si="63"/>
        <v>0</v>
      </c>
      <c r="AM60" s="104">
        <f t="shared" si="16"/>
        <v>0</v>
      </c>
      <c r="AN60" s="108">
        <f t="shared" si="17"/>
        <v>0</v>
      </c>
      <c r="AO60" s="101">
        <f t="shared" si="18"/>
        <v>0</v>
      </c>
    </row>
    <row r="61" spans="1:41" ht="15.75" customHeight="1" x14ac:dyDescent="0.3">
      <c r="A61" s="99">
        <v>20604</v>
      </c>
      <c r="B61" s="62" t="s">
        <v>51</v>
      </c>
      <c r="C61" s="62" t="s">
        <v>765</v>
      </c>
      <c r="D61" s="112"/>
      <c r="E61" s="113">
        <v>3069</v>
      </c>
      <c r="F61" s="114"/>
      <c r="G61" s="123">
        <v>422290885</v>
      </c>
      <c r="H61" s="103">
        <f t="shared" si="0"/>
        <v>954922.15534165001</v>
      </c>
      <c r="I61" s="104">
        <f t="shared" si="58"/>
        <v>0</v>
      </c>
      <c r="J61" s="105">
        <f t="shared" si="2"/>
        <v>0</v>
      </c>
      <c r="K61" s="115"/>
      <c r="L61" s="124">
        <v>321118170</v>
      </c>
      <c r="M61" s="103">
        <f t="shared" si="3"/>
        <v>870383.32192861743</v>
      </c>
      <c r="N61" s="104">
        <f t="shared" si="59"/>
        <v>0</v>
      </c>
      <c r="O61" s="105">
        <f t="shared" si="5"/>
        <v>0</v>
      </c>
      <c r="P61" s="114"/>
      <c r="Q61" s="103">
        <v>115475189454</v>
      </c>
      <c r="R61" s="103">
        <f t="shared" si="6"/>
        <v>224969.53246619343</v>
      </c>
      <c r="S61" s="104">
        <f t="shared" si="60"/>
        <v>0</v>
      </c>
      <c r="T61" s="105">
        <f t="shared" si="8"/>
        <v>0</v>
      </c>
      <c r="U61" s="104">
        <f t="shared" si="9"/>
        <v>0</v>
      </c>
      <c r="V61" s="103">
        <f t="shared" si="10"/>
        <v>0</v>
      </c>
      <c r="W61" s="112"/>
      <c r="X61" s="101">
        <v>4224</v>
      </c>
      <c r="Y61" s="114"/>
      <c r="Z61" s="124">
        <v>614114060</v>
      </c>
      <c r="AA61" s="103">
        <v>1389217.3666199013</v>
      </c>
      <c r="AB61" s="104">
        <f t="shared" si="61"/>
        <v>0</v>
      </c>
      <c r="AC61" s="105">
        <f t="shared" si="12"/>
        <v>0</v>
      </c>
      <c r="AD61" s="114"/>
      <c r="AE61" s="123">
        <v>529749132</v>
      </c>
      <c r="AF61" s="103">
        <v>1298243.3714842624</v>
      </c>
      <c r="AG61" s="104">
        <f t="shared" si="62"/>
        <v>0</v>
      </c>
      <c r="AH61" s="105">
        <f t="shared" si="14"/>
        <v>0</v>
      </c>
      <c r="AI61" s="115"/>
      <c r="AJ61" s="123">
        <v>154159215745</v>
      </c>
      <c r="AK61" s="123">
        <v>300334.00993407</v>
      </c>
      <c r="AL61" s="104">
        <f t="shared" si="63"/>
        <v>0</v>
      </c>
      <c r="AM61" s="104">
        <f t="shared" si="16"/>
        <v>0</v>
      </c>
      <c r="AN61" s="108">
        <f t="shared" si="17"/>
        <v>0</v>
      </c>
      <c r="AO61" s="101">
        <f t="shared" si="18"/>
        <v>0</v>
      </c>
    </row>
    <row r="62" spans="1:41" ht="15.75" customHeight="1" x14ac:dyDescent="0.3">
      <c r="A62" s="99">
        <v>20605</v>
      </c>
      <c r="B62" s="62" t="s">
        <v>51</v>
      </c>
      <c r="C62" s="62" t="s">
        <v>328</v>
      </c>
      <c r="D62" s="112"/>
      <c r="E62" s="113">
        <v>3680.5</v>
      </c>
      <c r="F62" s="114"/>
      <c r="G62" s="123">
        <v>422290885</v>
      </c>
      <c r="H62" s="103">
        <f t="shared" si="0"/>
        <v>954922.15534165001</v>
      </c>
      <c r="I62" s="104">
        <f t="shared" si="58"/>
        <v>0</v>
      </c>
      <c r="J62" s="105">
        <f t="shared" si="2"/>
        <v>0</v>
      </c>
      <c r="K62" s="115"/>
      <c r="L62" s="124">
        <v>321118170</v>
      </c>
      <c r="M62" s="103">
        <f t="shared" si="3"/>
        <v>870383.32192861743</v>
      </c>
      <c r="N62" s="104">
        <f t="shared" si="59"/>
        <v>0</v>
      </c>
      <c r="O62" s="105">
        <f t="shared" si="5"/>
        <v>0</v>
      </c>
      <c r="P62" s="114"/>
      <c r="Q62" s="103">
        <v>115475189454</v>
      </c>
      <c r="R62" s="103">
        <f t="shared" si="6"/>
        <v>224969.53246619343</v>
      </c>
      <c r="S62" s="104">
        <f t="shared" si="60"/>
        <v>0</v>
      </c>
      <c r="T62" s="105">
        <f t="shared" si="8"/>
        <v>0</v>
      </c>
      <c r="U62" s="104">
        <f t="shared" si="9"/>
        <v>0</v>
      </c>
      <c r="V62" s="103">
        <f t="shared" si="10"/>
        <v>0</v>
      </c>
      <c r="W62" s="100">
        <v>223</v>
      </c>
      <c r="X62" s="101">
        <v>3529</v>
      </c>
      <c r="Y62" s="102">
        <v>197.92756887383081</v>
      </c>
      <c r="Z62" s="124">
        <v>614114060</v>
      </c>
      <c r="AA62" s="103">
        <v>1389217.3666199013</v>
      </c>
      <c r="AB62" s="104">
        <f t="shared" si="61"/>
        <v>3.9772258093851191E-4</v>
      </c>
      <c r="AC62" s="105">
        <f t="shared" si="12"/>
        <v>0.1565664824416747</v>
      </c>
      <c r="AD62" s="102">
        <v>20.513206134389399</v>
      </c>
      <c r="AE62" s="123">
        <v>529749132</v>
      </c>
      <c r="AF62" s="103">
        <v>1298243.3714842624</v>
      </c>
      <c r="AG62" s="104">
        <f t="shared" si="62"/>
        <v>3.3731946994683014E-4</v>
      </c>
      <c r="AH62" s="105">
        <f t="shared" si="14"/>
        <v>0.12409259448315588</v>
      </c>
      <c r="AI62" s="106">
        <v>4.5549947005335563</v>
      </c>
      <c r="AJ62" s="123">
        <v>154159215745</v>
      </c>
      <c r="AK62" s="123">
        <v>300334.00993407</v>
      </c>
      <c r="AL62" s="104">
        <f t="shared" si="63"/>
        <v>2.167860269358009E-4</v>
      </c>
      <c r="AM62" s="104">
        <f t="shared" si="16"/>
        <v>1.8449480523463985E-2</v>
      </c>
      <c r="AN62" s="108">
        <f t="shared" si="17"/>
        <v>0.29910855744829457</v>
      </c>
      <c r="AO62" s="101">
        <f t="shared" si="18"/>
        <v>1055.5540992350316</v>
      </c>
    </row>
    <row r="63" spans="1:41" ht="15.75" customHeight="1" x14ac:dyDescent="0.3">
      <c r="A63" s="99">
        <v>20606</v>
      </c>
      <c r="B63" s="62" t="s">
        <v>51</v>
      </c>
      <c r="C63" s="62" t="s">
        <v>766</v>
      </c>
      <c r="D63" s="112"/>
      <c r="E63" s="113">
        <v>9417.75</v>
      </c>
      <c r="F63" s="114"/>
      <c r="G63" s="123">
        <v>422290885</v>
      </c>
      <c r="H63" s="103">
        <f t="shared" si="0"/>
        <v>954922.15534165001</v>
      </c>
      <c r="I63" s="104">
        <f t="shared" si="58"/>
        <v>0</v>
      </c>
      <c r="J63" s="105">
        <f t="shared" si="2"/>
        <v>0</v>
      </c>
      <c r="K63" s="115"/>
      <c r="L63" s="124">
        <v>321118170</v>
      </c>
      <c r="M63" s="103">
        <f t="shared" si="3"/>
        <v>870383.32192861743</v>
      </c>
      <c r="N63" s="104">
        <f t="shared" si="59"/>
        <v>0</v>
      </c>
      <c r="O63" s="105">
        <f t="shared" si="5"/>
        <v>0</v>
      </c>
      <c r="P63" s="114"/>
      <c r="Q63" s="103">
        <v>115475189454</v>
      </c>
      <c r="R63" s="103">
        <f t="shared" si="6"/>
        <v>224969.53246619343</v>
      </c>
      <c r="S63" s="104">
        <f t="shared" si="60"/>
        <v>0</v>
      </c>
      <c r="T63" s="105">
        <f t="shared" si="8"/>
        <v>0</v>
      </c>
      <c r="U63" s="104">
        <f t="shared" si="9"/>
        <v>0</v>
      </c>
      <c r="V63" s="103">
        <f t="shared" si="10"/>
        <v>0</v>
      </c>
      <c r="W63" s="112"/>
      <c r="X63" s="101">
        <v>7716</v>
      </c>
      <c r="Y63" s="114"/>
      <c r="Z63" s="124">
        <v>614114060</v>
      </c>
      <c r="AA63" s="103">
        <v>1389217.3666199013</v>
      </c>
      <c r="AB63" s="104">
        <f t="shared" si="61"/>
        <v>0</v>
      </c>
      <c r="AC63" s="105">
        <f t="shared" si="12"/>
        <v>0</v>
      </c>
      <c r="AD63" s="114"/>
      <c r="AE63" s="123">
        <v>529749132</v>
      </c>
      <c r="AF63" s="103">
        <v>1298243.3714842624</v>
      </c>
      <c r="AG63" s="104">
        <f t="shared" si="62"/>
        <v>0</v>
      </c>
      <c r="AH63" s="105">
        <f t="shared" si="14"/>
        <v>0</v>
      </c>
      <c r="AI63" s="115"/>
      <c r="AJ63" s="123">
        <v>154159215745</v>
      </c>
      <c r="AK63" s="123">
        <v>300334.00993407</v>
      </c>
      <c r="AL63" s="104">
        <f t="shared" si="63"/>
        <v>0</v>
      </c>
      <c r="AM63" s="104">
        <f t="shared" si="16"/>
        <v>0</v>
      </c>
      <c r="AN63" s="108">
        <f t="shared" si="17"/>
        <v>0</v>
      </c>
      <c r="AO63" s="101">
        <f t="shared" si="18"/>
        <v>0</v>
      </c>
    </row>
    <row r="64" spans="1:41" ht="15.75" customHeight="1" x14ac:dyDescent="0.3">
      <c r="A64" s="99">
        <v>20607</v>
      </c>
      <c r="B64" s="62" t="s">
        <v>51</v>
      </c>
      <c r="C64" s="62" t="s">
        <v>767</v>
      </c>
      <c r="D64" s="112"/>
      <c r="E64" s="113">
        <v>15879</v>
      </c>
      <c r="F64" s="114"/>
      <c r="G64" s="123">
        <v>422290885</v>
      </c>
      <c r="H64" s="103">
        <f t="shared" si="0"/>
        <v>954922.15534165001</v>
      </c>
      <c r="I64" s="104">
        <f t="shared" si="58"/>
        <v>0</v>
      </c>
      <c r="J64" s="105">
        <f t="shared" si="2"/>
        <v>0</v>
      </c>
      <c r="K64" s="115"/>
      <c r="L64" s="124">
        <v>321118170</v>
      </c>
      <c r="M64" s="103">
        <f t="shared" si="3"/>
        <v>870383.32192861743</v>
      </c>
      <c r="N64" s="104">
        <f t="shared" si="59"/>
        <v>0</v>
      </c>
      <c r="O64" s="105">
        <f t="shared" si="5"/>
        <v>0</v>
      </c>
      <c r="P64" s="114"/>
      <c r="Q64" s="103">
        <v>115475189454</v>
      </c>
      <c r="R64" s="103">
        <f t="shared" si="6"/>
        <v>224969.53246619343</v>
      </c>
      <c r="S64" s="104">
        <f t="shared" si="60"/>
        <v>0</v>
      </c>
      <c r="T64" s="105">
        <f t="shared" si="8"/>
        <v>0</v>
      </c>
      <c r="U64" s="104">
        <f t="shared" si="9"/>
        <v>0</v>
      </c>
      <c r="V64" s="103">
        <f t="shared" si="10"/>
        <v>0</v>
      </c>
      <c r="W64" s="112"/>
      <c r="X64" s="101">
        <v>21843</v>
      </c>
      <c r="Y64" s="114"/>
      <c r="Z64" s="124">
        <v>614114060</v>
      </c>
      <c r="AA64" s="103">
        <v>1389217.3666199013</v>
      </c>
      <c r="AB64" s="104">
        <f t="shared" si="61"/>
        <v>0</v>
      </c>
      <c r="AC64" s="105">
        <f t="shared" si="12"/>
        <v>0</v>
      </c>
      <c r="AD64" s="114"/>
      <c r="AE64" s="123">
        <v>529749132</v>
      </c>
      <c r="AF64" s="103">
        <v>1298243.3714842624</v>
      </c>
      <c r="AG64" s="104">
        <f t="shared" si="62"/>
        <v>0</v>
      </c>
      <c r="AH64" s="105">
        <f t="shared" si="14"/>
        <v>0</v>
      </c>
      <c r="AI64" s="115"/>
      <c r="AJ64" s="123">
        <v>154159215745</v>
      </c>
      <c r="AK64" s="123">
        <v>300334.00993407</v>
      </c>
      <c r="AL64" s="104">
        <f t="shared" si="63"/>
        <v>0</v>
      </c>
      <c r="AM64" s="104">
        <f t="shared" si="16"/>
        <v>0</v>
      </c>
      <c r="AN64" s="108">
        <f t="shared" si="17"/>
        <v>0</v>
      </c>
      <c r="AO64" s="101">
        <f t="shared" si="18"/>
        <v>0</v>
      </c>
    </row>
    <row r="65" spans="1:41" ht="15.75" customHeight="1" x14ac:dyDescent="0.3">
      <c r="A65" s="99">
        <v>20608</v>
      </c>
      <c r="B65" s="62" t="s">
        <v>51</v>
      </c>
      <c r="C65" s="62" t="s">
        <v>768</v>
      </c>
      <c r="D65" s="112"/>
      <c r="E65" s="113">
        <v>10356.5</v>
      </c>
      <c r="F65" s="114"/>
      <c r="G65" s="123">
        <v>422290885</v>
      </c>
      <c r="H65" s="103">
        <f t="shared" si="0"/>
        <v>954922.15534165001</v>
      </c>
      <c r="I65" s="104">
        <f t="shared" si="58"/>
        <v>0</v>
      </c>
      <c r="J65" s="105">
        <f t="shared" si="2"/>
        <v>0</v>
      </c>
      <c r="K65" s="115"/>
      <c r="L65" s="124">
        <v>321118170</v>
      </c>
      <c r="M65" s="103">
        <f t="shared" si="3"/>
        <v>870383.32192861743</v>
      </c>
      <c r="N65" s="104">
        <f t="shared" si="59"/>
        <v>0</v>
      </c>
      <c r="O65" s="105">
        <f t="shared" si="5"/>
        <v>0</v>
      </c>
      <c r="P65" s="114"/>
      <c r="Q65" s="103">
        <v>115475189454</v>
      </c>
      <c r="R65" s="103">
        <f t="shared" si="6"/>
        <v>224969.53246619343</v>
      </c>
      <c r="S65" s="104">
        <f t="shared" si="60"/>
        <v>0</v>
      </c>
      <c r="T65" s="105">
        <f t="shared" si="8"/>
        <v>0</v>
      </c>
      <c r="U65" s="104">
        <f t="shared" si="9"/>
        <v>0</v>
      </c>
      <c r="V65" s="103">
        <f t="shared" si="10"/>
        <v>0</v>
      </c>
      <c r="W65" s="112"/>
      <c r="X65" s="101">
        <v>13379</v>
      </c>
      <c r="Y65" s="114"/>
      <c r="Z65" s="124">
        <v>614114060</v>
      </c>
      <c r="AA65" s="103">
        <v>1389217.3666199013</v>
      </c>
      <c r="AB65" s="104">
        <f t="shared" si="61"/>
        <v>0</v>
      </c>
      <c r="AC65" s="105">
        <f t="shared" si="12"/>
        <v>0</v>
      </c>
      <c r="AD65" s="114"/>
      <c r="AE65" s="123">
        <v>529749132</v>
      </c>
      <c r="AF65" s="103">
        <v>1298243.3714842624</v>
      </c>
      <c r="AG65" s="104">
        <f t="shared" si="62"/>
        <v>0</v>
      </c>
      <c r="AH65" s="105">
        <f t="shared" si="14"/>
        <v>0</v>
      </c>
      <c r="AI65" s="115"/>
      <c r="AJ65" s="123">
        <v>154159215745</v>
      </c>
      <c r="AK65" s="123">
        <v>300334.00993407</v>
      </c>
      <c r="AL65" s="104">
        <f t="shared" si="63"/>
        <v>0</v>
      </c>
      <c r="AM65" s="104">
        <f t="shared" si="16"/>
        <v>0</v>
      </c>
      <c r="AN65" s="108">
        <f t="shared" si="17"/>
        <v>0</v>
      </c>
      <c r="AO65" s="101">
        <f t="shared" si="18"/>
        <v>0</v>
      </c>
    </row>
    <row r="66" spans="1:41" ht="15.75" customHeight="1" x14ac:dyDescent="0.3">
      <c r="A66" s="99">
        <v>20701</v>
      </c>
      <c r="B66" s="62" t="s">
        <v>51</v>
      </c>
      <c r="C66" s="62" t="s">
        <v>299</v>
      </c>
      <c r="D66" s="112"/>
      <c r="E66" s="113">
        <v>20020</v>
      </c>
      <c r="F66" s="114"/>
      <c r="G66" s="123">
        <v>422290885</v>
      </c>
      <c r="H66" s="103">
        <f t="shared" si="0"/>
        <v>954922.15534165001</v>
      </c>
      <c r="I66" s="104">
        <f t="shared" si="58"/>
        <v>0</v>
      </c>
      <c r="J66" s="105">
        <f t="shared" si="2"/>
        <v>0</v>
      </c>
      <c r="K66" s="115"/>
      <c r="L66" s="124">
        <v>321118170</v>
      </c>
      <c r="M66" s="103">
        <f t="shared" si="3"/>
        <v>870383.32192861743</v>
      </c>
      <c r="N66" s="104">
        <f t="shared" si="59"/>
        <v>0</v>
      </c>
      <c r="O66" s="105">
        <f t="shared" si="5"/>
        <v>0</v>
      </c>
      <c r="P66" s="114"/>
      <c r="Q66" s="103">
        <v>115475189454</v>
      </c>
      <c r="R66" s="103">
        <f t="shared" si="6"/>
        <v>224969.53246619343</v>
      </c>
      <c r="S66" s="104">
        <f t="shared" si="60"/>
        <v>0</v>
      </c>
      <c r="T66" s="105">
        <f t="shared" si="8"/>
        <v>0</v>
      </c>
      <c r="U66" s="104">
        <f t="shared" si="9"/>
        <v>0</v>
      </c>
      <c r="V66" s="103">
        <f t="shared" si="10"/>
        <v>0</v>
      </c>
      <c r="W66" s="100">
        <v>34</v>
      </c>
      <c r="X66" s="101">
        <v>19156</v>
      </c>
      <c r="Y66" s="102">
        <v>31.003500706255199</v>
      </c>
      <c r="Z66" s="124">
        <v>614114060</v>
      </c>
      <c r="AA66" s="103">
        <v>1389217.3666199013</v>
      </c>
      <c r="AB66" s="104">
        <f t="shared" si="61"/>
        <v>6.2299518905732003E-5</v>
      </c>
      <c r="AC66" s="105">
        <f t="shared" si="12"/>
        <v>4.5180399663764751E-3</v>
      </c>
      <c r="AD66" s="102">
        <v>2.2323717712713602</v>
      </c>
      <c r="AE66" s="123">
        <v>529749132</v>
      </c>
      <c r="AF66" s="103">
        <v>1298243.3714842624</v>
      </c>
      <c r="AG66" s="104">
        <f t="shared" si="62"/>
        <v>3.6709154954920271E-5</v>
      </c>
      <c r="AH66" s="105">
        <f t="shared" si="14"/>
        <v>2.4878584826171389E-3</v>
      </c>
      <c r="AI66" s="106">
        <v>0.76312729377049116</v>
      </c>
      <c r="AJ66" s="123">
        <v>154159215745</v>
      </c>
      <c r="AK66" s="123">
        <v>300334.00993407</v>
      </c>
      <c r="AL66" s="104">
        <f t="shared" si="63"/>
        <v>3.6319544794068808E-5</v>
      </c>
      <c r="AM66" s="104">
        <f t="shared" si="16"/>
        <v>5.694296579130696E-4</v>
      </c>
      <c r="AN66" s="108">
        <f t="shared" si="17"/>
        <v>7.5753281069066833E-3</v>
      </c>
      <c r="AO66" s="101">
        <f t="shared" si="18"/>
        <v>145.11298521590442</v>
      </c>
    </row>
    <row r="67" spans="1:41" ht="15.75" customHeight="1" x14ac:dyDescent="0.3">
      <c r="A67" s="99">
        <v>20702</v>
      </c>
      <c r="B67" s="62" t="s">
        <v>51</v>
      </c>
      <c r="C67" s="62" t="s">
        <v>373</v>
      </c>
      <c r="D67" s="112"/>
      <c r="E67" s="113">
        <v>7350</v>
      </c>
      <c r="F67" s="114"/>
      <c r="G67" s="123">
        <v>422290885</v>
      </c>
      <c r="H67" s="103">
        <f t="shared" si="0"/>
        <v>954922.15534165001</v>
      </c>
      <c r="I67" s="104">
        <f t="shared" si="58"/>
        <v>0</v>
      </c>
      <c r="J67" s="105">
        <f t="shared" si="2"/>
        <v>0</v>
      </c>
      <c r="K67" s="115"/>
      <c r="L67" s="124">
        <v>321118170</v>
      </c>
      <c r="M67" s="103">
        <f t="shared" si="3"/>
        <v>870383.32192861743</v>
      </c>
      <c r="N67" s="104">
        <f t="shared" si="59"/>
        <v>0</v>
      </c>
      <c r="O67" s="105">
        <f t="shared" si="5"/>
        <v>0</v>
      </c>
      <c r="P67" s="114"/>
      <c r="Q67" s="103">
        <v>115475189454</v>
      </c>
      <c r="R67" s="103">
        <f t="shared" si="6"/>
        <v>224969.53246619343</v>
      </c>
      <c r="S67" s="104">
        <f t="shared" si="60"/>
        <v>0</v>
      </c>
      <c r="T67" s="105">
        <f t="shared" si="8"/>
        <v>0</v>
      </c>
      <c r="U67" s="104">
        <f t="shared" si="9"/>
        <v>0</v>
      </c>
      <c r="V67" s="103">
        <f t="shared" si="10"/>
        <v>0</v>
      </c>
      <c r="W67" s="100">
        <v>123</v>
      </c>
      <c r="X67" s="101">
        <v>9060</v>
      </c>
      <c r="Y67" s="102">
        <v>80.883589865583531</v>
      </c>
      <c r="Z67" s="124">
        <v>614114060</v>
      </c>
      <c r="AA67" s="103">
        <v>1389217.3666199013</v>
      </c>
      <c r="AB67" s="104">
        <f t="shared" si="61"/>
        <v>1.6253031500335492E-4</v>
      </c>
      <c r="AC67" s="105">
        <f t="shared" si="12"/>
        <v>2.4921626512678118E-2</v>
      </c>
      <c r="AD67" s="102">
        <v>38.716192533397248</v>
      </c>
      <c r="AE67" s="123">
        <v>529749132</v>
      </c>
      <c r="AF67" s="103">
        <v>1298243.3714842624</v>
      </c>
      <c r="AG67" s="104">
        <f t="shared" si="62"/>
        <v>6.3664965184701103E-4</v>
      </c>
      <c r="AH67" s="105">
        <f t="shared" si="14"/>
        <v>9.1228056343062414E-2</v>
      </c>
      <c r="AI67" s="106">
        <v>3.3944494962744489</v>
      </c>
      <c r="AJ67" s="123">
        <v>154159215745</v>
      </c>
      <c r="AK67" s="123">
        <v>300334.00993407</v>
      </c>
      <c r="AL67" s="104">
        <f t="shared" si="63"/>
        <v>1.615521572056651E-4</v>
      </c>
      <c r="AM67" s="104">
        <f t="shared" si="16"/>
        <v>5.3553650316861658E-3</v>
      </c>
      <c r="AN67" s="108">
        <f t="shared" si="17"/>
        <v>0.12150504788742671</v>
      </c>
      <c r="AO67" s="101">
        <f t="shared" si="18"/>
        <v>1100.8357338600858</v>
      </c>
    </row>
    <row r="68" spans="1:41" ht="15.75" customHeight="1" x14ac:dyDescent="0.3">
      <c r="A68" s="99">
        <v>20801</v>
      </c>
      <c r="B68" s="62" t="s">
        <v>51</v>
      </c>
      <c r="C68" s="62" t="s">
        <v>104</v>
      </c>
      <c r="D68" s="100">
        <v>9018</v>
      </c>
      <c r="E68" s="101">
        <v>88931.5</v>
      </c>
      <c r="F68" s="102">
        <v>7596.560175552343</v>
      </c>
      <c r="G68" s="123">
        <v>422290885</v>
      </c>
      <c r="H68" s="103">
        <f t="shared" si="0"/>
        <v>954922.15534165001</v>
      </c>
      <c r="I68" s="104">
        <f t="shared" si="58"/>
        <v>2.3410399684997876E-2</v>
      </c>
      <c r="J68" s="105">
        <f t="shared" si="2"/>
        <v>0.25137447726179873</v>
      </c>
      <c r="K68" s="106">
        <v>1070.0757971417411</v>
      </c>
      <c r="L68" s="124">
        <v>321118170</v>
      </c>
      <c r="M68" s="103">
        <f t="shared" si="3"/>
        <v>870383.32192861743</v>
      </c>
      <c r="N68" s="104">
        <f t="shared" si="59"/>
        <v>2.5403214249607019E-2</v>
      </c>
      <c r="O68" s="105">
        <f t="shared" si="5"/>
        <v>0.24862432328519532</v>
      </c>
      <c r="P68" s="102">
        <v>351.02902804311287</v>
      </c>
      <c r="Q68" s="103">
        <v>115475189454</v>
      </c>
      <c r="R68" s="103">
        <f t="shared" si="6"/>
        <v>224969.53246619343</v>
      </c>
      <c r="S68" s="104">
        <f t="shared" si="60"/>
        <v>2.4679943990849801E-2</v>
      </c>
      <c r="T68" s="105">
        <f t="shared" si="8"/>
        <v>6.2432720250005E-2</v>
      </c>
      <c r="U68" s="104">
        <f t="shared" si="9"/>
        <v>0.5624315207969991</v>
      </c>
      <c r="V68" s="103">
        <f t="shared" si="10"/>
        <v>50017.878791758325</v>
      </c>
      <c r="W68" s="100">
        <v>16073</v>
      </c>
      <c r="X68" s="101">
        <v>113554</v>
      </c>
      <c r="Y68" s="102">
        <v>13273.644769365859</v>
      </c>
      <c r="Z68" s="124">
        <v>614114060</v>
      </c>
      <c r="AA68" s="103">
        <v>1389217.3666199013</v>
      </c>
      <c r="AB68" s="104">
        <f t="shared" si="61"/>
        <v>2.6672526147675867E-2</v>
      </c>
      <c r="AC68" s="105">
        <f t="shared" si="12"/>
        <v>0.32631115183943077</v>
      </c>
      <c r="AD68" s="102">
        <v>2199.8890766156251</v>
      </c>
      <c r="AE68" s="123">
        <v>529749132</v>
      </c>
      <c r="AF68" s="103">
        <v>1298243.3714842624</v>
      </c>
      <c r="AG68" s="104">
        <f t="shared" si="62"/>
        <v>3.6175009035850685E-2</v>
      </c>
      <c r="AH68" s="105">
        <f t="shared" si="14"/>
        <v>0.41358266282276668</v>
      </c>
      <c r="AI68" s="106">
        <v>598.8527065508689</v>
      </c>
      <c r="AJ68" s="123">
        <v>154159215745</v>
      </c>
      <c r="AK68" s="123">
        <v>300334.00993407</v>
      </c>
      <c r="AL68" s="104">
        <f t="shared" si="63"/>
        <v>2.8501218444383029E-2</v>
      </c>
      <c r="AM68" s="104">
        <f t="shared" si="16"/>
        <v>7.5381626568931354E-2</v>
      </c>
      <c r="AN68" s="108">
        <f t="shared" si="17"/>
        <v>0.81527544123112872</v>
      </c>
      <c r="AO68" s="101">
        <f t="shared" si="18"/>
        <v>92577.787453559606</v>
      </c>
    </row>
    <row r="69" spans="1:41" ht="15.75" customHeight="1" x14ac:dyDescent="0.3">
      <c r="A69" s="99">
        <v>20802</v>
      </c>
      <c r="B69" s="62" t="s">
        <v>51</v>
      </c>
      <c r="C69" s="62" t="s">
        <v>769</v>
      </c>
      <c r="D69" s="112">
        <v>3</v>
      </c>
      <c r="E69" s="113">
        <v>7606.5</v>
      </c>
      <c r="F69" s="114">
        <v>1</v>
      </c>
      <c r="G69" s="123">
        <v>422290885</v>
      </c>
      <c r="H69" s="103">
        <f t="shared" si="0"/>
        <v>954922.15534165001</v>
      </c>
      <c r="I69" s="104">
        <f t="shared" si="58"/>
        <v>3.0817105563566096E-6</v>
      </c>
      <c r="J69" s="105">
        <f t="shared" si="2"/>
        <v>3.8687881241243269E-4</v>
      </c>
      <c r="K69" s="115">
        <v>2</v>
      </c>
      <c r="L69" s="124">
        <v>321118170</v>
      </c>
      <c r="M69" s="103">
        <f t="shared" si="3"/>
        <v>870383.32192861743</v>
      </c>
      <c r="N69" s="104">
        <f t="shared" si="59"/>
        <v>4.7479280098589387E-5</v>
      </c>
      <c r="O69" s="105">
        <f t="shared" si="5"/>
        <v>5.432876294615069E-3</v>
      </c>
      <c r="P69" s="114">
        <v>0</v>
      </c>
      <c r="Q69" s="103">
        <v>115475189454</v>
      </c>
      <c r="R69" s="103">
        <f t="shared" si="6"/>
        <v>224969.53246619343</v>
      </c>
      <c r="S69" s="104">
        <f t="shared" si="60"/>
        <v>0</v>
      </c>
      <c r="T69" s="105">
        <f t="shared" si="8"/>
        <v>0</v>
      </c>
      <c r="U69" s="104">
        <f t="shared" si="9"/>
        <v>5.8197551070275017E-3</v>
      </c>
      <c r="V69" s="103">
        <f t="shared" si="10"/>
        <v>44.267967221604692</v>
      </c>
      <c r="W69" s="121">
        <v>1638</v>
      </c>
      <c r="X69" s="101">
        <v>8592</v>
      </c>
      <c r="Y69" s="114">
        <v>1458.2445372183752</v>
      </c>
      <c r="Z69" s="124">
        <v>614114060</v>
      </c>
      <c r="AA69" s="103">
        <v>1389217.3666199013</v>
      </c>
      <c r="AB69" s="104">
        <f t="shared" si="61"/>
        <v>2.9302475864374663E-3</v>
      </c>
      <c r="AC69" s="105">
        <f t="shared" si="12"/>
        <v>0.47378384957809339</v>
      </c>
      <c r="AD69" s="114">
        <v>121.83641000942183</v>
      </c>
      <c r="AE69" s="123">
        <v>529749132</v>
      </c>
      <c r="AF69" s="103">
        <v>1298243.3714842624</v>
      </c>
      <c r="AG69" s="104">
        <f t="shared" si="62"/>
        <v>2.003479757155288E-3</v>
      </c>
      <c r="AH69" s="105">
        <f t="shared" si="14"/>
        <v>0.30272396585541811</v>
      </c>
      <c r="AI69" s="115">
        <v>57.868200305062885</v>
      </c>
      <c r="AJ69" s="123">
        <v>154159215745</v>
      </c>
      <c r="AK69" s="123">
        <v>300334.00993407</v>
      </c>
      <c r="AL69" s="104">
        <f t="shared" si="63"/>
        <v>2.7541233425782481E-3</v>
      </c>
      <c r="AM69" s="104">
        <f t="shared" si="16"/>
        <v>9.6270589772992285E-2</v>
      </c>
      <c r="AN69" s="108">
        <f t="shared" si="17"/>
        <v>0.87277840520650374</v>
      </c>
      <c r="AO69" s="101">
        <f t="shared" si="18"/>
        <v>7498.9120575342804</v>
      </c>
    </row>
    <row r="70" spans="1:41" ht="15.75" customHeight="1" x14ac:dyDescent="0.3">
      <c r="A70" s="99">
        <v>20803</v>
      </c>
      <c r="B70" s="62" t="s">
        <v>51</v>
      </c>
      <c r="C70" s="62" t="s">
        <v>770</v>
      </c>
      <c r="D70" s="112">
        <v>1</v>
      </c>
      <c r="E70" s="113">
        <v>12553.75</v>
      </c>
      <c r="F70" s="114">
        <v>1</v>
      </c>
      <c r="G70" s="123">
        <v>422290885</v>
      </c>
      <c r="H70" s="103">
        <f t="shared" si="0"/>
        <v>954922.15534165001</v>
      </c>
      <c r="I70" s="104">
        <f t="shared" si="58"/>
        <v>3.0817105563566096E-6</v>
      </c>
      <c r="J70" s="105">
        <f t="shared" si="2"/>
        <v>2.3441550824376535E-4</v>
      </c>
      <c r="K70" s="115">
        <v>0</v>
      </c>
      <c r="L70" s="124">
        <v>321118170</v>
      </c>
      <c r="M70" s="103">
        <f t="shared" si="3"/>
        <v>870383.32192861743</v>
      </c>
      <c r="N70" s="104">
        <f t="shared" si="59"/>
        <v>0</v>
      </c>
      <c r="O70" s="105">
        <f t="shared" si="5"/>
        <v>0</v>
      </c>
      <c r="P70" s="114">
        <v>0</v>
      </c>
      <c r="Q70" s="103">
        <v>115475189454</v>
      </c>
      <c r="R70" s="103">
        <f t="shared" si="6"/>
        <v>224969.53246619343</v>
      </c>
      <c r="S70" s="104">
        <f t="shared" si="60"/>
        <v>0</v>
      </c>
      <c r="T70" s="105">
        <f t="shared" si="8"/>
        <v>0</v>
      </c>
      <c r="U70" s="104">
        <f t="shared" si="9"/>
        <v>2.3441550824376535E-4</v>
      </c>
      <c r="V70" s="103">
        <f t="shared" si="10"/>
        <v>2.9427936866151692</v>
      </c>
      <c r="W70" s="112">
        <v>427</v>
      </c>
      <c r="X70" s="101">
        <v>13648</v>
      </c>
      <c r="Y70" s="114">
        <v>356.70204108259168</v>
      </c>
      <c r="Z70" s="124">
        <v>614114060</v>
      </c>
      <c r="AA70" s="103">
        <v>1389217.3666199013</v>
      </c>
      <c r="AB70" s="104">
        <f t="shared" si="61"/>
        <v>7.1676955975666888E-4</v>
      </c>
      <c r="AC70" s="105">
        <f t="shared" si="12"/>
        <v>7.2959314205631995E-2</v>
      </c>
      <c r="AD70" s="114">
        <v>45.231920168173943</v>
      </c>
      <c r="AE70" s="123">
        <v>529749132</v>
      </c>
      <c r="AF70" s="103">
        <v>1298243.3714842624</v>
      </c>
      <c r="AG70" s="104">
        <f t="shared" si="62"/>
        <v>7.4379437499178284E-4</v>
      </c>
      <c r="AH70" s="105">
        <f t="shared" si="14"/>
        <v>7.0752206702840117E-2</v>
      </c>
      <c r="AI70" s="115">
        <v>25.048274870847195</v>
      </c>
      <c r="AJ70" s="123">
        <v>154159215745</v>
      </c>
      <c r="AK70" s="123">
        <v>300334.00993407</v>
      </c>
      <c r="AL70" s="104">
        <f t="shared" si="63"/>
        <v>1.1921234486202059E-3</v>
      </c>
      <c r="AM70" s="104">
        <f t="shared" si="16"/>
        <v>2.6233529869617432E-2</v>
      </c>
      <c r="AN70" s="108">
        <f t="shared" si="17"/>
        <v>0.16994505077808955</v>
      </c>
      <c r="AO70" s="101">
        <f t="shared" si="18"/>
        <v>2319.4100530193659</v>
      </c>
    </row>
    <row r="71" spans="1:41" ht="15.75" customHeight="1" x14ac:dyDescent="0.3">
      <c r="A71" s="99">
        <v>20804</v>
      </c>
      <c r="B71" s="62" t="s">
        <v>51</v>
      </c>
      <c r="C71" s="62" t="s">
        <v>73</v>
      </c>
      <c r="D71" s="100">
        <v>3</v>
      </c>
      <c r="E71" s="101">
        <v>7214.5</v>
      </c>
      <c r="F71" s="102">
        <v>0.86942100222973195</v>
      </c>
      <c r="G71" s="123">
        <v>422290885</v>
      </c>
      <c r="H71" s="103">
        <f t="shared" si="0"/>
        <v>954922.15534165001</v>
      </c>
      <c r="I71" s="104">
        <f t="shared" si="58"/>
        <v>2.6793038804895084E-6</v>
      </c>
      <c r="J71" s="105">
        <f t="shared" si="2"/>
        <v>3.5463672276280932E-4</v>
      </c>
      <c r="K71" s="106">
        <v>2.1151795540331091</v>
      </c>
      <c r="L71" s="124">
        <v>321118170</v>
      </c>
      <c r="M71" s="103">
        <f t="shared" si="3"/>
        <v>870383.32192861743</v>
      </c>
      <c r="N71" s="104">
        <f t="shared" si="59"/>
        <v>5.0213601252373683E-5</v>
      </c>
      <c r="O71" s="105">
        <f t="shared" si="5"/>
        <v>6.0579501093686308E-3</v>
      </c>
      <c r="P71" s="102">
        <v>1.5177427085909381E-2</v>
      </c>
      <c r="Q71" s="103">
        <v>115475189454</v>
      </c>
      <c r="R71" s="103">
        <f t="shared" si="6"/>
        <v>224969.53246619343</v>
      </c>
      <c r="S71" s="104">
        <f t="shared" si="60"/>
        <v>1.0670856837499064E-6</v>
      </c>
      <c r="T71" s="105">
        <f t="shared" si="8"/>
        <v>3.3274900183600357E-5</v>
      </c>
      <c r="U71" s="104">
        <f t="shared" si="9"/>
        <v>6.44586173231504E-3</v>
      </c>
      <c r="V71" s="103">
        <f t="shared" si="10"/>
        <v>46.503669467786857</v>
      </c>
      <c r="W71" s="100">
        <v>4554</v>
      </c>
      <c r="X71" s="101">
        <v>7897</v>
      </c>
      <c r="Y71" s="102">
        <v>3620.4884771248239</v>
      </c>
      <c r="Z71" s="124">
        <v>614114060</v>
      </c>
      <c r="AA71" s="103">
        <v>1389217.3666199013</v>
      </c>
      <c r="AB71" s="104">
        <f t="shared" si="61"/>
        <v>7.2751362004457578E-3</v>
      </c>
      <c r="AC71" s="105">
        <f t="shared" si="12"/>
        <v>1.2798208882087336</v>
      </c>
      <c r="AD71" s="102">
        <v>744.00879654257312</v>
      </c>
      <c r="AE71" s="123">
        <v>529749132</v>
      </c>
      <c r="AF71" s="103">
        <v>1298243.3714842624</v>
      </c>
      <c r="AG71" s="104">
        <f t="shared" si="62"/>
        <v>1.223449183132728E-2</v>
      </c>
      <c r="AH71" s="105">
        <f t="shared" si="14"/>
        <v>2.0113141602506008</v>
      </c>
      <c r="AI71" s="106">
        <v>189.31465030730831</v>
      </c>
      <c r="AJ71" s="123">
        <v>154159215745</v>
      </c>
      <c r="AK71" s="123">
        <v>300334.00993407</v>
      </c>
      <c r="AL71" s="104">
        <f t="shared" si="63"/>
        <v>9.0100589746140644E-3</v>
      </c>
      <c r="AM71" s="104">
        <f t="shared" si="16"/>
        <v>0.34266520724177502</v>
      </c>
      <c r="AN71" s="108">
        <f t="shared" si="17"/>
        <v>3.6338002557011095</v>
      </c>
      <c r="AO71" s="101">
        <f t="shared" si="18"/>
        <v>28696.120619271664</v>
      </c>
    </row>
    <row r="72" spans="1:41" ht="15.75" customHeight="1" x14ac:dyDescent="0.3">
      <c r="A72" s="99">
        <v>20805</v>
      </c>
      <c r="B72" s="62" t="s">
        <v>51</v>
      </c>
      <c r="C72" s="62" t="s">
        <v>771</v>
      </c>
      <c r="D72" s="112"/>
      <c r="E72" s="113">
        <v>6592.75</v>
      </c>
      <c r="F72" s="114"/>
      <c r="G72" s="123">
        <v>422290885</v>
      </c>
      <c r="H72" s="103">
        <f t="shared" si="0"/>
        <v>954922.15534165001</v>
      </c>
      <c r="I72" s="104">
        <f t="shared" si="58"/>
        <v>0</v>
      </c>
      <c r="J72" s="105">
        <f t="shared" si="2"/>
        <v>0</v>
      </c>
      <c r="K72" s="115"/>
      <c r="L72" s="124">
        <v>321118170</v>
      </c>
      <c r="M72" s="103">
        <f t="shared" si="3"/>
        <v>870383.32192861743</v>
      </c>
      <c r="N72" s="104">
        <f t="shared" si="59"/>
        <v>0</v>
      </c>
      <c r="O72" s="105">
        <f t="shared" si="5"/>
        <v>0</v>
      </c>
      <c r="P72" s="114"/>
      <c r="Q72" s="103">
        <v>115475189454</v>
      </c>
      <c r="R72" s="103">
        <f t="shared" si="6"/>
        <v>224969.53246619343</v>
      </c>
      <c r="S72" s="104">
        <f t="shared" si="60"/>
        <v>0</v>
      </c>
      <c r="T72" s="105">
        <f t="shared" si="8"/>
        <v>0</v>
      </c>
      <c r="U72" s="104">
        <f t="shared" si="9"/>
        <v>0</v>
      </c>
      <c r="V72" s="103">
        <f t="shared" si="10"/>
        <v>0</v>
      </c>
      <c r="W72" s="112">
        <v>75</v>
      </c>
      <c r="X72" s="101">
        <v>7936</v>
      </c>
      <c r="Y72" s="114">
        <v>47.845191840208912</v>
      </c>
      <c r="Z72" s="124">
        <v>614114060</v>
      </c>
      <c r="AA72" s="103">
        <v>1389217.3666199013</v>
      </c>
      <c r="AB72" s="104">
        <f t="shared" si="61"/>
        <v>9.6141802238354442E-5</v>
      </c>
      <c r="AC72" s="105">
        <f t="shared" si="12"/>
        <v>1.6829871639069818E-2</v>
      </c>
      <c r="AD72" s="114">
        <v>24.176056241590562</v>
      </c>
      <c r="AE72" s="123">
        <v>529749132</v>
      </c>
      <c r="AF72" s="103">
        <v>1298243.3714842624</v>
      </c>
      <c r="AG72" s="104">
        <f t="shared" si="62"/>
        <v>3.9755143215504119E-4</v>
      </c>
      <c r="AH72" s="105">
        <f t="shared" si="14"/>
        <v>6.5035094710100522E-2</v>
      </c>
      <c r="AI72" s="115">
        <v>2.9752437276897901</v>
      </c>
      <c r="AJ72" s="123">
        <v>154159215745</v>
      </c>
      <c r="AK72" s="123">
        <v>300334.00993407</v>
      </c>
      <c r="AL72" s="104">
        <f t="shared" si="63"/>
        <v>1.4160088195404037E-4</v>
      </c>
      <c r="AM72" s="104">
        <f t="shared" si="16"/>
        <v>5.3588156108187795E-3</v>
      </c>
      <c r="AN72" s="108">
        <f t="shared" si="17"/>
        <v>8.7223781959989116E-2</v>
      </c>
      <c r="AO72" s="101">
        <f t="shared" si="18"/>
        <v>692.20793363447365</v>
      </c>
    </row>
    <row r="73" spans="1:41" ht="15.75" customHeight="1" x14ac:dyDescent="0.3">
      <c r="A73" s="99">
        <v>20806</v>
      </c>
      <c r="B73" s="62" t="s">
        <v>51</v>
      </c>
      <c r="C73" s="62" t="s">
        <v>772</v>
      </c>
      <c r="D73" s="112">
        <v>27</v>
      </c>
      <c r="E73" s="113">
        <v>15533.25</v>
      </c>
      <c r="F73" s="114">
        <v>16</v>
      </c>
      <c r="G73" s="123">
        <v>422290885</v>
      </c>
      <c r="H73" s="103">
        <f t="shared" si="0"/>
        <v>954922.15534165001</v>
      </c>
      <c r="I73" s="104">
        <f t="shared" si="58"/>
        <v>4.9307368901705753E-5</v>
      </c>
      <c r="J73" s="105">
        <f t="shared" si="2"/>
        <v>3.0312200592820374E-3</v>
      </c>
      <c r="K73" s="115">
        <v>10</v>
      </c>
      <c r="L73" s="124">
        <v>321118170</v>
      </c>
      <c r="M73" s="103">
        <f t="shared" si="3"/>
        <v>870383.32192861743</v>
      </c>
      <c r="N73" s="104">
        <f t="shared" si="59"/>
        <v>2.3739640049294693E-4</v>
      </c>
      <c r="O73" s="105">
        <f t="shared" si="5"/>
        <v>1.3302165849062341E-2</v>
      </c>
      <c r="P73" s="114">
        <v>1</v>
      </c>
      <c r="Q73" s="103">
        <v>115475189454</v>
      </c>
      <c r="R73" s="103">
        <f t="shared" si="6"/>
        <v>224969.53246619343</v>
      </c>
      <c r="S73" s="104">
        <f t="shared" si="60"/>
        <v>7.0307416251110284E-5</v>
      </c>
      <c r="T73" s="105">
        <f t="shared" si="8"/>
        <v>1.0182689754506193E-3</v>
      </c>
      <c r="U73" s="104">
        <f t="shared" si="9"/>
        <v>1.7351654883794997E-2</v>
      </c>
      <c r="V73" s="103">
        <f t="shared" si="10"/>
        <v>269.52759322370866</v>
      </c>
      <c r="W73" s="112">
        <v>48</v>
      </c>
      <c r="X73" s="101">
        <v>17016</v>
      </c>
      <c r="Y73" s="114">
        <v>37.482588001298055</v>
      </c>
      <c r="Z73" s="124">
        <v>614114060</v>
      </c>
      <c r="AA73" s="103">
        <v>1389217.3666199013</v>
      </c>
      <c r="AB73" s="104">
        <f t="shared" si="61"/>
        <v>7.5318823572445714E-5</v>
      </c>
      <c r="AC73" s="105">
        <f t="shared" si="12"/>
        <v>6.1491665338635395E-3</v>
      </c>
      <c r="AD73" s="114">
        <v>8.4857408241293921</v>
      </c>
      <c r="AE73" s="123">
        <v>529749132</v>
      </c>
      <c r="AF73" s="103">
        <v>1298243.3714842624</v>
      </c>
      <c r="AG73" s="104">
        <f t="shared" si="62"/>
        <v>1.3953964963589086E-4</v>
      </c>
      <c r="AH73" s="105">
        <f t="shared" si="14"/>
        <v>1.0646240314940743E-2</v>
      </c>
      <c r="AI73" s="115">
        <v>1.0302045719572648</v>
      </c>
      <c r="AJ73" s="123">
        <v>154159215745</v>
      </c>
      <c r="AK73" s="123">
        <v>300334.00993407</v>
      </c>
      <c r="AL73" s="104">
        <f t="shared" si="63"/>
        <v>4.903056331976682E-5</v>
      </c>
      <c r="AM73" s="104">
        <f t="shared" si="16"/>
        <v>8.6539408152044514E-4</v>
      </c>
      <c r="AN73" s="108">
        <f t="shared" si="17"/>
        <v>1.7660800930324728E-2</v>
      </c>
      <c r="AO73" s="101">
        <f t="shared" si="18"/>
        <v>300.51618863040557</v>
      </c>
    </row>
    <row r="74" spans="1:41" ht="15.75" customHeight="1" x14ac:dyDescent="0.3">
      <c r="A74" s="99">
        <v>20807</v>
      </c>
      <c r="B74" s="62" t="s">
        <v>51</v>
      </c>
      <c r="C74" s="62" t="s">
        <v>101</v>
      </c>
      <c r="D74" s="100">
        <v>0</v>
      </c>
      <c r="E74" s="101">
        <v>6837.25</v>
      </c>
      <c r="F74" s="102">
        <v>0</v>
      </c>
      <c r="G74" s="123">
        <v>422290885</v>
      </c>
      <c r="H74" s="103">
        <f t="shared" si="0"/>
        <v>954922.15534165001</v>
      </c>
      <c r="I74" s="104">
        <f t="shared" si="58"/>
        <v>0</v>
      </c>
      <c r="J74" s="105">
        <f t="shared" si="2"/>
        <v>0</v>
      </c>
      <c r="K74" s="106">
        <v>0</v>
      </c>
      <c r="L74" s="124">
        <v>321118170</v>
      </c>
      <c r="M74" s="103">
        <f t="shared" si="3"/>
        <v>870383.32192861743</v>
      </c>
      <c r="N74" s="104">
        <f t="shared" si="59"/>
        <v>0</v>
      </c>
      <c r="O74" s="105">
        <f t="shared" si="5"/>
        <v>0</v>
      </c>
      <c r="P74" s="102">
        <v>0</v>
      </c>
      <c r="Q74" s="103">
        <v>115475189454</v>
      </c>
      <c r="R74" s="103">
        <f t="shared" si="6"/>
        <v>224969.53246619343</v>
      </c>
      <c r="S74" s="104">
        <f t="shared" si="60"/>
        <v>0</v>
      </c>
      <c r="T74" s="105">
        <f t="shared" si="8"/>
        <v>0</v>
      </c>
      <c r="U74" s="104">
        <f t="shared" si="9"/>
        <v>0</v>
      </c>
      <c r="V74" s="103">
        <f t="shared" si="10"/>
        <v>0</v>
      </c>
      <c r="W74" s="100">
        <v>2592</v>
      </c>
      <c r="X74" s="101">
        <v>7540</v>
      </c>
      <c r="Y74" s="102">
        <v>2160.753081939778</v>
      </c>
      <c r="Z74" s="124">
        <v>614114060</v>
      </c>
      <c r="AA74" s="103">
        <v>1389217.3666199013</v>
      </c>
      <c r="AB74" s="104">
        <f t="shared" si="61"/>
        <v>4.3418928318558064E-3</v>
      </c>
      <c r="AC74" s="105">
        <f t="shared" si="12"/>
        <v>0.79997784164675723</v>
      </c>
      <c r="AD74" s="102">
        <v>311.01324952207659</v>
      </c>
      <c r="AE74" s="123">
        <v>529749132</v>
      </c>
      <c r="AF74" s="103">
        <v>1298243.3714842624</v>
      </c>
      <c r="AG74" s="104">
        <f t="shared" si="62"/>
        <v>5.1143065490552525E-3</v>
      </c>
      <c r="AH74" s="105">
        <f t="shared" si="14"/>
        <v>0.88058548767235201</v>
      </c>
      <c r="AI74" s="106">
        <v>120.12648255935601</v>
      </c>
      <c r="AJ74" s="123">
        <v>154159215745</v>
      </c>
      <c r="AK74" s="123">
        <v>300334.00993407</v>
      </c>
      <c r="AL74" s="104">
        <f t="shared" si="63"/>
        <v>5.717184013576378E-3</v>
      </c>
      <c r="AM74" s="104">
        <f t="shared" si="16"/>
        <v>0.2277274270992512</v>
      </c>
      <c r="AN74" s="108">
        <f t="shared" si="17"/>
        <v>1.9082907564183604</v>
      </c>
      <c r="AO74" s="101">
        <f t="shared" si="18"/>
        <v>14388.512303394436</v>
      </c>
    </row>
    <row r="75" spans="1:41" ht="15.75" customHeight="1" x14ac:dyDescent="0.3">
      <c r="A75" s="99">
        <v>20901</v>
      </c>
      <c r="B75" s="62" t="s">
        <v>51</v>
      </c>
      <c r="C75" s="62" t="s">
        <v>86</v>
      </c>
      <c r="D75" s="100">
        <v>37</v>
      </c>
      <c r="E75" s="101">
        <v>11030</v>
      </c>
      <c r="F75" s="102">
        <v>23.16823803300468</v>
      </c>
      <c r="G75" s="123">
        <v>422290885</v>
      </c>
      <c r="H75" s="103">
        <f t="shared" si="0"/>
        <v>954922.15534165001</v>
      </c>
      <c r="I75" s="104">
        <f t="shared" si="58"/>
        <v>7.1397803718493215E-5</v>
      </c>
      <c r="J75" s="105">
        <f t="shared" si="2"/>
        <v>6.1812642441997833E-3</v>
      </c>
      <c r="K75" s="106">
        <v>13.28042282872209</v>
      </c>
      <c r="L75" s="124">
        <v>321118170</v>
      </c>
      <c r="M75" s="103">
        <f t="shared" si="3"/>
        <v>870383.32192861743</v>
      </c>
      <c r="N75" s="104">
        <f t="shared" si="59"/>
        <v>3.1527245765629845E-4</v>
      </c>
      <c r="O75" s="105">
        <f t="shared" si="5"/>
        <v>2.487832175951844E-2</v>
      </c>
      <c r="P75" s="102">
        <v>0.54968965086155352</v>
      </c>
      <c r="Q75" s="103">
        <v>115475189454</v>
      </c>
      <c r="R75" s="103">
        <f t="shared" si="6"/>
        <v>224969.53246619343</v>
      </c>
      <c r="S75" s="104">
        <f t="shared" si="60"/>
        <v>3.8647259092050722E-5</v>
      </c>
      <c r="T75" s="105">
        <f t="shared" si="8"/>
        <v>7.8825528640421531E-4</v>
      </c>
      <c r="U75" s="104">
        <f t="shared" si="9"/>
        <v>3.1847841290122442E-2</v>
      </c>
      <c r="V75" s="103">
        <f t="shared" si="10"/>
        <v>351.28168943005051</v>
      </c>
      <c r="W75" s="100">
        <v>31</v>
      </c>
      <c r="X75" s="101">
        <v>10703</v>
      </c>
      <c r="Y75" s="102">
        <v>21.38513717609278</v>
      </c>
      <c r="Z75" s="124">
        <v>614114060</v>
      </c>
      <c r="AA75" s="103">
        <v>1389217.3666199013</v>
      </c>
      <c r="AB75" s="104">
        <f t="shared" si="61"/>
        <v>4.2972042751767886E-5</v>
      </c>
      <c r="AC75" s="105">
        <f t="shared" si="12"/>
        <v>5.5776425366615709E-3</v>
      </c>
      <c r="AD75" s="102">
        <v>9.115851770405115</v>
      </c>
      <c r="AE75" s="123">
        <v>529749132</v>
      </c>
      <c r="AF75" s="103">
        <v>1298243.3714842624</v>
      </c>
      <c r="AG75" s="104">
        <f t="shared" si="62"/>
        <v>1.4990120350577056E-4</v>
      </c>
      <c r="AH75" s="105">
        <f t="shared" si="14"/>
        <v>1.8182588417161551E-2</v>
      </c>
      <c r="AI75" s="106">
        <v>0.49783060397710821</v>
      </c>
      <c r="AJ75" s="123">
        <v>154159215745</v>
      </c>
      <c r="AK75" s="123">
        <v>300334.00993407</v>
      </c>
      <c r="AL75" s="104">
        <f t="shared" si="63"/>
        <v>2.3693269875946445E-5</v>
      </c>
      <c r="AM75" s="104">
        <f t="shared" si="16"/>
        <v>6.648504858724751E-4</v>
      </c>
      <c r="AN75" s="108">
        <f t="shared" si="17"/>
        <v>2.4425081439695597E-2</v>
      </c>
      <c r="AO75" s="101">
        <f t="shared" si="18"/>
        <v>261.42164664906198</v>
      </c>
    </row>
    <row r="76" spans="1:41" ht="15.75" customHeight="1" x14ac:dyDescent="0.3">
      <c r="A76" s="99">
        <v>20902</v>
      </c>
      <c r="B76" s="62" t="s">
        <v>51</v>
      </c>
      <c r="C76" s="62" t="s">
        <v>97</v>
      </c>
      <c r="D76" s="100">
        <v>2</v>
      </c>
      <c r="E76" s="101">
        <v>13487.25</v>
      </c>
      <c r="F76" s="102">
        <v>1.12413824441267</v>
      </c>
      <c r="G76" s="123">
        <v>422290885</v>
      </c>
      <c r="H76" s="103">
        <f t="shared" si="0"/>
        <v>954922.15534165001</v>
      </c>
      <c r="I76" s="104">
        <f t="shared" si="58"/>
        <v>3.4642686946107118E-6</v>
      </c>
      <c r="J76" s="105">
        <f t="shared" si="2"/>
        <v>2.4527660779923743E-4</v>
      </c>
      <c r="K76" s="106">
        <v>0.85511036028615328</v>
      </c>
      <c r="L76" s="124">
        <v>321118170</v>
      </c>
      <c r="M76" s="103">
        <f t="shared" si="3"/>
        <v>870383.32192861743</v>
      </c>
      <c r="N76" s="104">
        <f t="shared" si="59"/>
        <v>2.0300012155615977E-5</v>
      </c>
      <c r="O76" s="105">
        <f t="shared" si="5"/>
        <v>1.3100366653837031E-3</v>
      </c>
      <c r="P76" s="102">
        <v>2.0711402233309521E-2</v>
      </c>
      <c r="Q76" s="103">
        <v>115475189454</v>
      </c>
      <c r="R76" s="103">
        <f t="shared" si="6"/>
        <v>224969.53246619343</v>
      </c>
      <c r="S76" s="104">
        <f t="shared" si="60"/>
        <v>1.4561651779614677E-6</v>
      </c>
      <c r="T76" s="105">
        <f t="shared" si="8"/>
        <v>2.4289072959983891E-5</v>
      </c>
      <c r="U76" s="104">
        <f t="shared" si="9"/>
        <v>1.5796023461429243E-3</v>
      </c>
      <c r="V76" s="103">
        <f t="shared" si="10"/>
        <v>21.304491743016158</v>
      </c>
      <c r="W76" s="100">
        <v>1077</v>
      </c>
      <c r="X76" s="101">
        <v>16497</v>
      </c>
      <c r="Y76" s="102">
        <v>803.40995444703401</v>
      </c>
      <c r="Z76" s="124">
        <v>614114060</v>
      </c>
      <c r="AA76" s="103">
        <v>1389217.3666199013</v>
      </c>
      <c r="AB76" s="104">
        <f t="shared" si="61"/>
        <v>1.6144000679261322E-3</v>
      </c>
      <c r="AC76" s="105">
        <f t="shared" si="12"/>
        <v>0.135949118690388</v>
      </c>
      <c r="AD76" s="102">
        <v>228.25490151021279</v>
      </c>
      <c r="AE76" s="123">
        <v>529749132</v>
      </c>
      <c r="AF76" s="103">
        <v>1298243.3714842624</v>
      </c>
      <c r="AG76" s="104">
        <f t="shared" si="62"/>
        <v>3.7534270306538182E-3</v>
      </c>
      <c r="AH76" s="105">
        <f t="shared" si="14"/>
        <v>0.2953786605380479</v>
      </c>
      <c r="AI76" s="106">
        <v>45.290317934079113</v>
      </c>
      <c r="AJ76" s="123">
        <v>154159215745</v>
      </c>
      <c r="AK76" s="123">
        <v>300334.00993407</v>
      </c>
      <c r="AL76" s="104">
        <f t="shared" si="63"/>
        <v>2.155503733613165E-3</v>
      </c>
      <c r="AM76" s="104">
        <f t="shared" si="16"/>
        <v>3.9241745756434583E-2</v>
      </c>
      <c r="AN76" s="108">
        <f t="shared" si="17"/>
        <v>0.47056952498487048</v>
      </c>
      <c r="AO76" s="101">
        <f t="shared" si="18"/>
        <v>7762.9854536754092</v>
      </c>
    </row>
    <row r="77" spans="1:41" ht="15.75" customHeight="1" x14ac:dyDescent="0.3">
      <c r="A77" s="99">
        <v>20903</v>
      </c>
      <c r="B77" s="62" t="s">
        <v>51</v>
      </c>
      <c r="C77" s="62" t="s">
        <v>407</v>
      </c>
      <c r="D77" s="112"/>
      <c r="E77" s="113">
        <v>8560.25</v>
      </c>
      <c r="F77" s="114"/>
      <c r="G77" s="123">
        <v>422290885</v>
      </c>
      <c r="H77" s="103">
        <f t="shared" si="0"/>
        <v>954922.15534165001</v>
      </c>
      <c r="I77" s="104">
        <f t="shared" si="58"/>
        <v>0</v>
      </c>
      <c r="J77" s="105">
        <f t="shared" si="2"/>
        <v>0</v>
      </c>
      <c r="K77" s="115"/>
      <c r="L77" s="124">
        <v>321118170</v>
      </c>
      <c r="M77" s="103">
        <f t="shared" si="3"/>
        <v>870383.32192861743</v>
      </c>
      <c r="N77" s="104">
        <f t="shared" si="59"/>
        <v>0</v>
      </c>
      <c r="O77" s="105">
        <f t="shared" si="5"/>
        <v>0</v>
      </c>
      <c r="P77" s="114"/>
      <c r="Q77" s="103">
        <v>115475189454</v>
      </c>
      <c r="R77" s="103">
        <f t="shared" si="6"/>
        <v>224969.53246619343</v>
      </c>
      <c r="S77" s="104">
        <f t="shared" si="60"/>
        <v>0</v>
      </c>
      <c r="T77" s="105">
        <f t="shared" si="8"/>
        <v>0</v>
      </c>
      <c r="U77" s="104">
        <f t="shared" si="9"/>
        <v>0</v>
      </c>
      <c r="V77" s="103">
        <f t="shared" si="10"/>
        <v>0</v>
      </c>
      <c r="W77" s="100">
        <v>24</v>
      </c>
      <c r="X77" s="101">
        <v>12296</v>
      </c>
      <c r="Y77" s="102">
        <v>20.615114444031331</v>
      </c>
      <c r="Z77" s="124">
        <v>614114060</v>
      </c>
      <c r="AA77" s="103">
        <v>1389217.3666199013</v>
      </c>
      <c r="AB77" s="104">
        <f t="shared" si="61"/>
        <v>4.1424732136478987E-5</v>
      </c>
      <c r="AC77" s="105">
        <f t="shared" si="12"/>
        <v>4.6802177367903496E-3</v>
      </c>
      <c r="AD77" s="102">
        <v>2.3982088424611478</v>
      </c>
      <c r="AE77" s="123">
        <v>529749132</v>
      </c>
      <c r="AF77" s="103">
        <v>1298243.3714842624</v>
      </c>
      <c r="AG77" s="104">
        <f t="shared" si="62"/>
        <v>3.9436182245768437E-5</v>
      </c>
      <c r="AH77" s="105">
        <f t="shared" si="14"/>
        <v>4.1637737635990745E-3</v>
      </c>
      <c r="AI77" s="106">
        <v>0.98555649807496737</v>
      </c>
      <c r="AJ77" s="123">
        <v>154159215745</v>
      </c>
      <c r="AK77" s="123">
        <v>300334.00993407</v>
      </c>
      <c r="AL77" s="104">
        <f t="shared" si="63"/>
        <v>4.6905625930455354E-5</v>
      </c>
      <c r="AM77" s="104">
        <f t="shared" si="16"/>
        <v>1.1456859730124553E-3</v>
      </c>
      <c r="AN77" s="108">
        <f t="shared" si="17"/>
        <v>9.9896774734018791E-3</v>
      </c>
      <c r="AO77" s="101">
        <f t="shared" si="18"/>
        <v>122.8330742129495</v>
      </c>
    </row>
    <row r="78" spans="1:41" ht="15.75" customHeight="1" x14ac:dyDescent="0.3">
      <c r="A78" s="99">
        <v>20904</v>
      </c>
      <c r="B78" s="62" t="s">
        <v>51</v>
      </c>
      <c r="C78" s="62" t="s">
        <v>773</v>
      </c>
      <c r="D78" s="112"/>
      <c r="E78" s="113">
        <v>5209.25</v>
      </c>
      <c r="F78" s="114"/>
      <c r="G78" s="123">
        <v>422290885</v>
      </c>
      <c r="H78" s="103">
        <f t="shared" si="0"/>
        <v>954922.15534165001</v>
      </c>
      <c r="I78" s="104">
        <f t="shared" si="58"/>
        <v>0</v>
      </c>
      <c r="J78" s="105">
        <f t="shared" si="2"/>
        <v>0</v>
      </c>
      <c r="K78" s="115"/>
      <c r="L78" s="124">
        <v>321118170</v>
      </c>
      <c r="M78" s="103">
        <f t="shared" si="3"/>
        <v>870383.32192861743</v>
      </c>
      <c r="N78" s="104">
        <f t="shared" si="59"/>
        <v>0</v>
      </c>
      <c r="O78" s="105">
        <f t="shared" si="5"/>
        <v>0</v>
      </c>
      <c r="P78" s="114"/>
      <c r="Q78" s="103">
        <v>115475189454</v>
      </c>
      <c r="R78" s="103">
        <f t="shared" si="6"/>
        <v>224969.53246619343</v>
      </c>
      <c r="S78" s="104">
        <f t="shared" si="60"/>
        <v>0</v>
      </c>
      <c r="T78" s="105">
        <f t="shared" si="8"/>
        <v>0</v>
      </c>
      <c r="U78" s="104">
        <f t="shared" si="9"/>
        <v>0</v>
      </c>
      <c r="V78" s="103">
        <f t="shared" si="10"/>
        <v>0</v>
      </c>
      <c r="W78" s="112"/>
      <c r="X78" s="101">
        <v>5297</v>
      </c>
      <c r="Y78" s="114"/>
      <c r="Z78" s="124">
        <v>614114060</v>
      </c>
      <c r="AA78" s="103">
        <v>1389217.3666199013</v>
      </c>
      <c r="AB78" s="104">
        <f t="shared" si="61"/>
        <v>0</v>
      </c>
      <c r="AC78" s="105">
        <f t="shared" si="12"/>
        <v>0</v>
      </c>
      <c r="AD78" s="114"/>
      <c r="AE78" s="123">
        <v>529749132</v>
      </c>
      <c r="AF78" s="103">
        <v>1298243.3714842624</v>
      </c>
      <c r="AG78" s="104">
        <f t="shared" si="62"/>
        <v>0</v>
      </c>
      <c r="AH78" s="105">
        <f t="shared" si="14"/>
        <v>0</v>
      </c>
      <c r="AI78" s="115"/>
      <c r="AJ78" s="123">
        <v>154159215745</v>
      </c>
      <c r="AK78" s="123">
        <v>300334.00993407</v>
      </c>
      <c r="AL78" s="104">
        <f t="shared" si="63"/>
        <v>0</v>
      </c>
      <c r="AM78" s="104">
        <f t="shared" si="16"/>
        <v>0</v>
      </c>
      <c r="AN78" s="108">
        <f t="shared" si="17"/>
        <v>0</v>
      </c>
      <c r="AO78" s="101">
        <f t="shared" si="18"/>
        <v>0</v>
      </c>
    </row>
    <row r="79" spans="1:41" ht="15.75" customHeight="1" x14ac:dyDescent="0.3">
      <c r="A79" s="99">
        <v>20905</v>
      </c>
      <c r="B79" s="62" t="s">
        <v>51</v>
      </c>
      <c r="C79" s="62" t="s">
        <v>304</v>
      </c>
      <c r="D79" s="112"/>
      <c r="E79" s="113">
        <v>11915.75</v>
      </c>
      <c r="F79" s="114"/>
      <c r="G79" s="123">
        <v>422290885</v>
      </c>
      <c r="H79" s="103">
        <f t="shared" si="0"/>
        <v>954922.15534165001</v>
      </c>
      <c r="I79" s="104">
        <f t="shared" si="58"/>
        <v>0</v>
      </c>
      <c r="J79" s="105">
        <f t="shared" si="2"/>
        <v>0</v>
      </c>
      <c r="K79" s="115"/>
      <c r="L79" s="124">
        <v>321118170</v>
      </c>
      <c r="M79" s="103">
        <f t="shared" si="3"/>
        <v>870383.32192861743</v>
      </c>
      <c r="N79" s="104">
        <f t="shared" si="59"/>
        <v>0</v>
      </c>
      <c r="O79" s="105">
        <f t="shared" si="5"/>
        <v>0</v>
      </c>
      <c r="P79" s="114"/>
      <c r="Q79" s="103">
        <v>115475189454</v>
      </c>
      <c r="R79" s="103">
        <f t="shared" si="6"/>
        <v>224969.53246619343</v>
      </c>
      <c r="S79" s="104">
        <f t="shared" si="60"/>
        <v>0</v>
      </c>
      <c r="T79" s="105">
        <f t="shared" si="8"/>
        <v>0</v>
      </c>
      <c r="U79" s="104">
        <f t="shared" si="9"/>
        <v>0</v>
      </c>
      <c r="V79" s="103">
        <f t="shared" si="10"/>
        <v>0</v>
      </c>
      <c r="W79" s="100">
        <v>19</v>
      </c>
      <c r="X79" s="101">
        <v>13598</v>
      </c>
      <c r="Y79" s="102">
        <v>11.873302950253899</v>
      </c>
      <c r="Z79" s="124">
        <v>614114060</v>
      </c>
      <c r="AA79" s="103">
        <v>1389217.3666199013</v>
      </c>
      <c r="AB79" s="104">
        <f t="shared" si="61"/>
        <v>2.3858630308595628E-5</v>
      </c>
      <c r="AC79" s="105">
        <f t="shared" si="12"/>
        <v>2.4374778326566389E-3</v>
      </c>
      <c r="AD79" s="102">
        <v>6.2401217628022074</v>
      </c>
      <c r="AE79" s="123">
        <v>529749132</v>
      </c>
      <c r="AF79" s="103">
        <v>1298243.3714842624</v>
      </c>
      <c r="AG79" s="104">
        <f t="shared" si="62"/>
        <v>1.0261265604421204E-4</v>
      </c>
      <c r="AH79" s="105">
        <f t="shared" si="14"/>
        <v>9.7967495616850149E-3</v>
      </c>
      <c r="AI79" s="106">
        <v>0.88600833157925718</v>
      </c>
      <c r="AJ79" s="123">
        <v>154159215745</v>
      </c>
      <c r="AK79" s="123">
        <v>300334.00993407</v>
      </c>
      <c r="AL79" s="104">
        <f t="shared" si="63"/>
        <v>4.2167826454899272E-5</v>
      </c>
      <c r="AM79" s="104">
        <f t="shared" si="16"/>
        <v>9.3134522793086177E-4</v>
      </c>
      <c r="AN79" s="108">
        <f t="shared" si="17"/>
        <v>1.3165572622272515E-2</v>
      </c>
      <c r="AO79" s="101">
        <f t="shared" si="18"/>
        <v>179.02545651766167</v>
      </c>
    </row>
    <row r="80" spans="1:41" ht="15.75" customHeight="1" x14ac:dyDescent="0.3">
      <c r="A80" s="99">
        <v>21001</v>
      </c>
      <c r="B80" s="62" t="s">
        <v>51</v>
      </c>
      <c r="C80" s="62" t="s">
        <v>81</v>
      </c>
      <c r="D80" s="100">
        <v>0</v>
      </c>
      <c r="E80" s="101">
        <v>15707.5</v>
      </c>
      <c r="F80" s="102">
        <v>0</v>
      </c>
      <c r="G80" s="123">
        <v>422290885</v>
      </c>
      <c r="H80" s="103">
        <f t="shared" si="0"/>
        <v>954922.15534165001</v>
      </c>
      <c r="I80" s="104">
        <f t="shared" si="58"/>
        <v>0</v>
      </c>
      <c r="J80" s="105">
        <f t="shared" si="2"/>
        <v>0</v>
      </c>
      <c r="K80" s="106">
        <v>0</v>
      </c>
      <c r="L80" s="124">
        <v>321118170</v>
      </c>
      <c r="M80" s="103">
        <f t="shared" si="3"/>
        <v>870383.32192861743</v>
      </c>
      <c r="N80" s="104">
        <f t="shared" si="59"/>
        <v>0</v>
      </c>
      <c r="O80" s="105">
        <f t="shared" si="5"/>
        <v>0</v>
      </c>
      <c r="P80" s="102">
        <v>0</v>
      </c>
      <c r="Q80" s="103">
        <v>115475189454</v>
      </c>
      <c r="R80" s="103">
        <f t="shared" si="6"/>
        <v>224969.53246619343</v>
      </c>
      <c r="S80" s="104">
        <f t="shared" si="60"/>
        <v>0</v>
      </c>
      <c r="T80" s="105">
        <f t="shared" si="8"/>
        <v>0</v>
      </c>
      <c r="U80" s="104">
        <f t="shared" si="9"/>
        <v>0</v>
      </c>
      <c r="V80" s="103">
        <f t="shared" si="10"/>
        <v>0</v>
      </c>
      <c r="W80" s="100">
        <v>3061</v>
      </c>
      <c r="X80" s="101">
        <v>18679</v>
      </c>
      <c r="Y80" s="102">
        <v>2284.0174378637721</v>
      </c>
      <c r="Z80" s="124">
        <v>614114060</v>
      </c>
      <c r="AA80" s="103">
        <v>1389217.3666199013</v>
      </c>
      <c r="AB80" s="104">
        <f t="shared" si="61"/>
        <v>4.5895845407711282E-3</v>
      </c>
      <c r="AC80" s="105">
        <f t="shared" si="12"/>
        <v>0.34134217836123326</v>
      </c>
      <c r="AD80" s="102">
        <v>677.34211258836933</v>
      </c>
      <c r="AE80" s="123">
        <v>529749132</v>
      </c>
      <c r="AF80" s="103">
        <v>1298243.3714842624</v>
      </c>
      <c r="AG80" s="104">
        <f t="shared" si="62"/>
        <v>1.1138223878515902E-2</v>
      </c>
      <c r="AH80" s="105">
        <f t="shared" si="14"/>
        <v>0.77413808664227213</v>
      </c>
      <c r="AI80" s="106">
        <v>99.521777410579162</v>
      </c>
      <c r="AJ80" s="123">
        <v>154159215745</v>
      </c>
      <c r="AK80" s="123">
        <v>300334.00993407</v>
      </c>
      <c r="AL80" s="104">
        <f t="shared" si="63"/>
        <v>4.7365435388764306E-3</v>
      </c>
      <c r="AM80" s="104">
        <f t="shared" si="16"/>
        <v>7.6157455659193157E-2</v>
      </c>
      <c r="AN80" s="108">
        <f t="shared" si="17"/>
        <v>1.1916377206626985</v>
      </c>
      <c r="AO80" s="101">
        <f t="shared" si="18"/>
        <v>22258.600984258544</v>
      </c>
    </row>
    <row r="81" spans="1:41" ht="15.75" customHeight="1" x14ac:dyDescent="0.3">
      <c r="A81" s="99">
        <v>21002</v>
      </c>
      <c r="B81" s="62" t="s">
        <v>51</v>
      </c>
      <c r="C81" s="62" t="s">
        <v>95</v>
      </c>
      <c r="D81" s="100">
        <v>3</v>
      </c>
      <c r="E81" s="101">
        <v>8921.25</v>
      </c>
      <c r="F81" s="102">
        <v>2.0512992263439531</v>
      </c>
      <c r="G81" s="123">
        <v>422290885</v>
      </c>
      <c r="H81" s="103">
        <f t="shared" si="0"/>
        <v>954922.15534165001</v>
      </c>
      <c r="I81" s="104">
        <f t="shared" si="58"/>
        <v>6.3215104800703066E-6</v>
      </c>
      <c r="J81" s="105">
        <f t="shared" si="2"/>
        <v>6.7664849798442655E-4</v>
      </c>
      <c r="K81" s="106">
        <v>0.90078874682899901</v>
      </c>
      <c r="L81" s="124">
        <v>321118170</v>
      </c>
      <c r="M81" s="103">
        <f t="shared" si="3"/>
        <v>870383.32192861743</v>
      </c>
      <c r="N81" s="104">
        <f t="shared" si="59"/>
        <v>2.1384400610175682E-5</v>
      </c>
      <c r="O81" s="105">
        <f t="shared" si="5"/>
        <v>2.086324858123813E-3</v>
      </c>
      <c r="P81" s="102">
        <v>4.7817223959912822E-2</v>
      </c>
      <c r="Q81" s="103">
        <v>115475189454</v>
      </c>
      <c r="R81" s="103">
        <f t="shared" si="6"/>
        <v>224969.53246619343</v>
      </c>
      <c r="S81" s="104">
        <f t="shared" si="60"/>
        <v>3.3619054689221545E-6</v>
      </c>
      <c r="T81" s="105">
        <f t="shared" si="8"/>
        <v>8.477806378466648E-5</v>
      </c>
      <c r="U81" s="104">
        <f t="shared" si="9"/>
        <v>2.847751419892906E-3</v>
      </c>
      <c r="V81" s="103">
        <f t="shared" si="10"/>
        <v>25.405502354719587</v>
      </c>
      <c r="W81" s="100">
        <v>901</v>
      </c>
      <c r="X81" s="101">
        <v>10887</v>
      </c>
      <c r="Y81" s="102">
        <v>703.10160173487282</v>
      </c>
      <c r="Z81" s="124">
        <v>614114060</v>
      </c>
      <c r="AA81" s="103">
        <v>1389217.3666199013</v>
      </c>
      <c r="AB81" s="104">
        <f t="shared" si="61"/>
        <v>1.4128369549279505E-3</v>
      </c>
      <c r="AC81" s="105">
        <f t="shared" si="12"/>
        <v>0.18028268889393659</v>
      </c>
      <c r="AD81" s="102">
        <v>169.41465184296749</v>
      </c>
      <c r="AE81" s="123">
        <v>529749132</v>
      </c>
      <c r="AF81" s="103">
        <v>1298243.3714842624</v>
      </c>
      <c r="AG81" s="104">
        <f t="shared" si="62"/>
        <v>2.7858570808730189E-3</v>
      </c>
      <c r="AH81" s="105">
        <f t="shared" si="14"/>
        <v>0.33220542749571907</v>
      </c>
      <c r="AI81" s="106">
        <v>28.4470881805202</v>
      </c>
      <c r="AJ81" s="123">
        <v>154159215745</v>
      </c>
      <c r="AK81" s="123">
        <v>300334.00993407</v>
      </c>
      <c r="AL81" s="104">
        <f t="shared" si="63"/>
        <v>1.3538832929542121E-3</v>
      </c>
      <c r="AM81" s="104">
        <f t="shared" si="16"/>
        <v>3.7348874653778064E-2</v>
      </c>
      <c r="AN81" s="108">
        <f t="shared" si="17"/>
        <v>0.54983699104343375</v>
      </c>
      <c r="AO81" s="101">
        <f t="shared" si="18"/>
        <v>5986.0753214898632</v>
      </c>
    </row>
    <row r="82" spans="1:41" ht="15.75" customHeight="1" x14ac:dyDescent="0.3">
      <c r="A82" s="99">
        <v>21003</v>
      </c>
      <c r="B82" s="62" t="s">
        <v>51</v>
      </c>
      <c r="C82" s="62" t="s">
        <v>307</v>
      </c>
      <c r="D82" s="112"/>
      <c r="E82" s="113">
        <v>11734.75</v>
      </c>
      <c r="F82" s="114"/>
      <c r="G82" s="123">
        <v>422290885</v>
      </c>
      <c r="H82" s="103">
        <f t="shared" si="0"/>
        <v>954922.15534165001</v>
      </c>
      <c r="I82" s="104">
        <f t="shared" si="58"/>
        <v>0</v>
      </c>
      <c r="J82" s="105">
        <f t="shared" si="2"/>
        <v>0</v>
      </c>
      <c r="K82" s="115"/>
      <c r="L82" s="124">
        <v>321118170</v>
      </c>
      <c r="M82" s="103">
        <f t="shared" si="3"/>
        <v>870383.32192861743</v>
      </c>
      <c r="N82" s="104">
        <f t="shared" si="59"/>
        <v>0</v>
      </c>
      <c r="O82" s="105">
        <f t="shared" si="5"/>
        <v>0</v>
      </c>
      <c r="P82" s="114"/>
      <c r="Q82" s="103">
        <v>115475189454</v>
      </c>
      <c r="R82" s="103">
        <f t="shared" si="6"/>
        <v>224969.53246619343</v>
      </c>
      <c r="S82" s="104">
        <f t="shared" si="60"/>
        <v>0</v>
      </c>
      <c r="T82" s="105">
        <f t="shared" si="8"/>
        <v>0</v>
      </c>
      <c r="U82" s="104">
        <f t="shared" si="9"/>
        <v>0</v>
      </c>
      <c r="V82" s="103">
        <f t="shared" si="10"/>
        <v>0</v>
      </c>
      <c r="W82" s="100">
        <v>23</v>
      </c>
      <c r="X82" s="101">
        <v>15565</v>
      </c>
      <c r="Y82" s="102">
        <v>17.864254369331089</v>
      </c>
      <c r="Z82" s="124">
        <v>614114060</v>
      </c>
      <c r="AA82" s="103">
        <v>1389217.3666199013</v>
      </c>
      <c r="AB82" s="104">
        <f t="shared" si="61"/>
        <v>3.5897057669826439E-5</v>
      </c>
      <c r="AC82" s="105">
        <f t="shared" si="12"/>
        <v>3.2039072229668496E-3</v>
      </c>
      <c r="AD82" s="102">
        <v>4.5471542754182099</v>
      </c>
      <c r="AE82" s="123">
        <v>529749132</v>
      </c>
      <c r="AF82" s="103">
        <v>1298243.3714842624</v>
      </c>
      <c r="AG82" s="104">
        <f t="shared" si="62"/>
        <v>7.4773473239715465E-5</v>
      </c>
      <c r="AH82" s="105">
        <f t="shared" si="14"/>
        <v>6.2366955346171852E-3</v>
      </c>
      <c r="AI82" s="106">
        <v>0.58775728737283672</v>
      </c>
      <c r="AJ82" s="123">
        <v>154159215745</v>
      </c>
      <c r="AK82" s="123">
        <v>300334.00993407</v>
      </c>
      <c r="AL82" s="104">
        <f t="shared" si="63"/>
        <v>2.7973153759585232E-5</v>
      </c>
      <c r="AM82" s="104">
        <f t="shared" si="16"/>
        <v>5.3975518401018561E-4</v>
      </c>
      <c r="AN82" s="108">
        <f t="shared" si="17"/>
        <v>9.9803579415942197E-3</v>
      </c>
      <c r="AO82" s="101">
        <f t="shared" si="18"/>
        <v>155.34427136091401</v>
      </c>
    </row>
    <row r="83" spans="1:41" ht="15.75" customHeight="1" x14ac:dyDescent="0.3">
      <c r="A83" s="99">
        <v>21004</v>
      </c>
      <c r="B83" s="62" t="s">
        <v>51</v>
      </c>
      <c r="C83" s="62" t="s">
        <v>69</v>
      </c>
      <c r="D83" s="100">
        <v>6</v>
      </c>
      <c r="E83" s="101">
        <v>20591.25</v>
      </c>
      <c r="F83" s="102">
        <v>4.7695202969889916</v>
      </c>
      <c r="G83" s="123">
        <v>422290885</v>
      </c>
      <c r="H83" s="103">
        <f t="shared" si="0"/>
        <v>954922.15534165001</v>
      </c>
      <c r="I83" s="104">
        <f t="shared" si="58"/>
        <v>1.4698281047988088E-5</v>
      </c>
      <c r="J83" s="105">
        <f t="shared" si="2"/>
        <v>6.8163487977476408E-4</v>
      </c>
      <c r="K83" s="106">
        <v>0.97135955495789217</v>
      </c>
      <c r="L83" s="124">
        <v>321118170</v>
      </c>
      <c r="M83" s="103">
        <f t="shared" si="3"/>
        <v>870383.32192861743</v>
      </c>
      <c r="N83" s="104">
        <f t="shared" si="59"/>
        <v>2.3059726193143444E-5</v>
      </c>
      <c r="O83" s="105">
        <f t="shared" si="5"/>
        <v>9.7472475380331659E-4</v>
      </c>
      <c r="P83" s="102">
        <v>0.2589841351433167</v>
      </c>
      <c r="Q83" s="103">
        <v>115475189454</v>
      </c>
      <c r="R83" s="103">
        <f t="shared" si="6"/>
        <v>224969.53246619343</v>
      </c>
      <c r="S83" s="104">
        <f t="shared" si="60"/>
        <v>1.8208505391954966E-5</v>
      </c>
      <c r="T83" s="105">
        <f t="shared" si="8"/>
        <v>1.9893687585436878E-4</v>
      </c>
      <c r="U83" s="104">
        <f t="shared" si="9"/>
        <v>1.8552965094324496E-3</v>
      </c>
      <c r="V83" s="103">
        <f t="shared" si="10"/>
        <v>38.202874249850922</v>
      </c>
      <c r="W83" s="100">
        <v>254</v>
      </c>
      <c r="X83" s="101">
        <v>23505</v>
      </c>
      <c r="Y83" s="102">
        <v>201.88334786377189</v>
      </c>
      <c r="Z83" s="124">
        <v>614114060</v>
      </c>
      <c r="AA83" s="103">
        <v>1389217.3666199013</v>
      </c>
      <c r="AB83" s="104">
        <f t="shared" si="61"/>
        <v>4.0567146162478259E-4</v>
      </c>
      <c r="AC83" s="105">
        <f t="shared" si="12"/>
        <v>2.3976423723940727E-2</v>
      </c>
      <c r="AD83" s="102">
        <v>40.777412396137883</v>
      </c>
      <c r="AE83" s="123">
        <v>529749132</v>
      </c>
      <c r="AF83" s="103">
        <v>1298243.3714842624</v>
      </c>
      <c r="AG83" s="104">
        <f t="shared" si="62"/>
        <v>6.7054438224597719E-4</v>
      </c>
      <c r="AH83" s="105">
        <f t="shared" si="14"/>
        <v>3.7035941269383081E-2</v>
      </c>
      <c r="AI83" s="106">
        <v>11.32901826529201</v>
      </c>
      <c r="AJ83" s="123">
        <v>154159215745</v>
      </c>
      <c r="AK83" s="123">
        <v>300334.00993407</v>
      </c>
      <c r="AL83" s="104">
        <f t="shared" si="63"/>
        <v>5.3918237457621849E-4</v>
      </c>
      <c r="AM83" s="104">
        <f t="shared" si="16"/>
        <v>6.8893769258561773E-3</v>
      </c>
      <c r="AN83" s="108">
        <f t="shared" si="17"/>
        <v>6.7901741919179984E-2</v>
      </c>
      <c r="AO83" s="101">
        <f t="shared" si="18"/>
        <v>1596.0304438103256</v>
      </c>
    </row>
    <row r="84" spans="1:41" ht="15.75" customHeight="1" x14ac:dyDescent="0.3">
      <c r="A84" s="99">
        <v>21005</v>
      </c>
      <c r="B84" s="62" t="s">
        <v>51</v>
      </c>
      <c r="C84" s="62" t="s">
        <v>774</v>
      </c>
      <c r="D84" s="112"/>
      <c r="E84" s="113">
        <v>8322.75</v>
      </c>
      <c r="F84" s="114"/>
      <c r="G84" s="123">
        <v>422290885</v>
      </c>
      <c r="H84" s="103">
        <f t="shared" si="0"/>
        <v>954922.15534165001</v>
      </c>
      <c r="I84" s="104">
        <f t="shared" si="58"/>
        <v>0</v>
      </c>
      <c r="J84" s="105">
        <f t="shared" si="2"/>
        <v>0</v>
      </c>
      <c r="K84" s="115"/>
      <c r="L84" s="124">
        <v>321118170</v>
      </c>
      <c r="M84" s="103">
        <f t="shared" si="3"/>
        <v>870383.32192861743</v>
      </c>
      <c r="N84" s="104">
        <f t="shared" si="59"/>
        <v>0</v>
      </c>
      <c r="O84" s="105">
        <f t="shared" si="5"/>
        <v>0</v>
      </c>
      <c r="P84" s="114"/>
      <c r="Q84" s="103">
        <v>115475189454</v>
      </c>
      <c r="R84" s="103">
        <f t="shared" si="6"/>
        <v>224969.53246619343</v>
      </c>
      <c r="S84" s="104">
        <f t="shared" si="60"/>
        <v>0</v>
      </c>
      <c r="T84" s="105">
        <f t="shared" si="8"/>
        <v>0</v>
      </c>
      <c r="U84" s="104">
        <f t="shared" si="9"/>
        <v>0</v>
      </c>
      <c r="V84" s="103">
        <f t="shared" si="10"/>
        <v>0</v>
      </c>
      <c r="W84" s="112"/>
      <c r="X84" s="101">
        <v>9552</v>
      </c>
      <c r="Y84" s="114"/>
      <c r="Z84" s="124">
        <v>614114060</v>
      </c>
      <c r="AA84" s="103">
        <v>1389217.3666199013</v>
      </c>
      <c r="AB84" s="104">
        <f t="shared" si="61"/>
        <v>0</v>
      </c>
      <c r="AC84" s="105">
        <f t="shared" si="12"/>
        <v>0</v>
      </c>
      <c r="AD84" s="114"/>
      <c r="AE84" s="123">
        <v>529749132</v>
      </c>
      <c r="AF84" s="103">
        <v>1298243.3714842624</v>
      </c>
      <c r="AG84" s="104">
        <f t="shared" si="62"/>
        <v>0</v>
      </c>
      <c r="AH84" s="105">
        <f t="shared" si="14"/>
        <v>0</v>
      </c>
      <c r="AI84" s="115"/>
      <c r="AJ84" s="123">
        <v>154159215745</v>
      </c>
      <c r="AK84" s="123">
        <v>300334.00993407</v>
      </c>
      <c r="AL84" s="104">
        <f t="shared" si="63"/>
        <v>0</v>
      </c>
      <c r="AM84" s="104">
        <f t="shared" si="16"/>
        <v>0</v>
      </c>
      <c r="AN84" s="108">
        <f t="shared" si="17"/>
        <v>0</v>
      </c>
      <c r="AO84" s="101">
        <f t="shared" si="18"/>
        <v>0</v>
      </c>
    </row>
    <row r="85" spans="1:41" ht="15.75" customHeight="1" x14ac:dyDescent="0.3">
      <c r="A85" s="99">
        <v>21006</v>
      </c>
      <c r="B85" s="62" t="s">
        <v>51</v>
      </c>
      <c r="C85" s="62" t="s">
        <v>775</v>
      </c>
      <c r="D85" s="112"/>
      <c r="E85" s="113">
        <v>6085.25</v>
      </c>
      <c r="F85" s="114"/>
      <c r="G85" s="123">
        <v>422290885</v>
      </c>
      <c r="H85" s="103">
        <f t="shared" si="0"/>
        <v>954922.15534165001</v>
      </c>
      <c r="I85" s="104">
        <f t="shared" si="58"/>
        <v>0</v>
      </c>
      <c r="J85" s="105">
        <f t="shared" si="2"/>
        <v>0</v>
      </c>
      <c r="K85" s="115"/>
      <c r="L85" s="124">
        <v>321118170</v>
      </c>
      <c r="M85" s="103">
        <f t="shared" si="3"/>
        <v>870383.32192861743</v>
      </c>
      <c r="N85" s="104">
        <f t="shared" si="59"/>
        <v>0</v>
      </c>
      <c r="O85" s="105">
        <f t="shared" si="5"/>
        <v>0</v>
      </c>
      <c r="P85" s="114"/>
      <c r="Q85" s="103">
        <v>115475189454</v>
      </c>
      <c r="R85" s="103">
        <f t="shared" si="6"/>
        <v>224969.53246619343</v>
      </c>
      <c r="S85" s="104">
        <f t="shared" si="60"/>
        <v>0</v>
      </c>
      <c r="T85" s="105">
        <f t="shared" si="8"/>
        <v>0</v>
      </c>
      <c r="U85" s="104">
        <f t="shared" si="9"/>
        <v>0</v>
      </c>
      <c r="V85" s="103">
        <f t="shared" si="10"/>
        <v>0</v>
      </c>
      <c r="W85" s="112"/>
      <c r="X85" s="101">
        <v>7877</v>
      </c>
      <c r="Y85" s="114"/>
      <c r="Z85" s="124">
        <v>614114060</v>
      </c>
      <c r="AA85" s="103">
        <v>1389217.3666199013</v>
      </c>
      <c r="AB85" s="104">
        <f t="shared" si="61"/>
        <v>0</v>
      </c>
      <c r="AC85" s="105">
        <f t="shared" si="12"/>
        <v>0</v>
      </c>
      <c r="AD85" s="114"/>
      <c r="AE85" s="123">
        <v>529749132</v>
      </c>
      <c r="AF85" s="103">
        <v>1298243.3714842624</v>
      </c>
      <c r="AG85" s="104">
        <f t="shared" si="62"/>
        <v>0</v>
      </c>
      <c r="AH85" s="105">
        <f t="shared" si="14"/>
        <v>0</v>
      </c>
      <c r="AI85" s="115"/>
      <c r="AJ85" s="123">
        <v>154159215745</v>
      </c>
      <c r="AK85" s="123">
        <v>300334.00993407</v>
      </c>
      <c r="AL85" s="104">
        <f t="shared" si="63"/>
        <v>0</v>
      </c>
      <c r="AM85" s="104">
        <f t="shared" si="16"/>
        <v>0</v>
      </c>
      <c r="AN85" s="108">
        <f t="shared" si="17"/>
        <v>0</v>
      </c>
      <c r="AO85" s="101">
        <f t="shared" si="18"/>
        <v>0</v>
      </c>
    </row>
    <row r="86" spans="1:41" ht="15.75" customHeight="1" x14ac:dyDescent="0.3">
      <c r="A86" s="99">
        <v>21101</v>
      </c>
      <c r="B86" s="62" t="s">
        <v>51</v>
      </c>
      <c r="C86" s="62" t="s">
        <v>65</v>
      </c>
      <c r="D86" s="100">
        <v>21</v>
      </c>
      <c r="E86" s="101">
        <v>17943</v>
      </c>
      <c r="F86" s="102">
        <v>14.180654713618489</v>
      </c>
      <c r="G86" s="123">
        <v>422290885</v>
      </c>
      <c r="H86" s="103">
        <f t="shared" si="0"/>
        <v>954922.15534165001</v>
      </c>
      <c r="I86" s="104">
        <f t="shared" si="58"/>
        <v>4.3700673327006217E-5</v>
      </c>
      <c r="J86" s="105">
        <f t="shared" si="2"/>
        <v>2.325739350348667E-3</v>
      </c>
      <c r="K86" s="106">
        <v>5.9891787030286876</v>
      </c>
      <c r="L86" s="124">
        <v>321118170</v>
      </c>
      <c r="M86" s="103">
        <f t="shared" si="3"/>
        <v>870383.32192861743</v>
      </c>
      <c r="N86" s="104">
        <f t="shared" si="59"/>
        <v>1.4218094660080268E-4</v>
      </c>
      <c r="O86" s="105">
        <f t="shared" si="5"/>
        <v>6.8969472561646317E-3</v>
      </c>
      <c r="P86" s="102">
        <v>0.8292330423878026</v>
      </c>
      <c r="Q86" s="103">
        <v>115475189454</v>
      </c>
      <c r="R86" s="103">
        <f t="shared" si="6"/>
        <v>224969.53246619343</v>
      </c>
      <c r="S86" s="104">
        <f t="shared" si="60"/>
        <v>5.8301232680333812E-5</v>
      </c>
      <c r="T86" s="105">
        <f t="shared" si="8"/>
        <v>7.3098150021163992E-4</v>
      </c>
      <c r="U86" s="104">
        <f t="shared" si="9"/>
        <v>9.9536681067249385E-3</v>
      </c>
      <c r="V86" s="103">
        <f t="shared" si="10"/>
        <v>178.59866683896558</v>
      </c>
      <c r="W86" s="100">
        <v>275</v>
      </c>
      <c r="X86" s="101">
        <v>18303</v>
      </c>
      <c r="Y86" s="102">
        <v>178.8350919417401</v>
      </c>
      <c r="Z86" s="124">
        <v>614114060</v>
      </c>
      <c r="AA86" s="103">
        <v>1389217.3666199013</v>
      </c>
      <c r="AB86" s="104">
        <f t="shared" si="61"/>
        <v>3.5935748988451824E-4</v>
      </c>
      <c r="AC86" s="105">
        <f t="shared" si="12"/>
        <v>2.727561961276885E-2</v>
      </c>
      <c r="AD86" s="102">
        <v>88.005642083008766</v>
      </c>
      <c r="AE86" s="123">
        <v>529749132</v>
      </c>
      <c r="AF86" s="103">
        <v>1298243.3714842624</v>
      </c>
      <c r="AG86" s="104">
        <f t="shared" si="62"/>
        <v>1.4471661009637976E-3</v>
      </c>
      <c r="AH86" s="105">
        <f t="shared" si="14"/>
        <v>0.10264840725635005</v>
      </c>
      <c r="AI86" s="106">
        <v>8.1488938781354712</v>
      </c>
      <c r="AJ86" s="123">
        <v>154159215745</v>
      </c>
      <c r="AK86" s="123">
        <v>300334.00993407</v>
      </c>
      <c r="AL86" s="104">
        <f t="shared" si="63"/>
        <v>3.8783060001266957E-4</v>
      </c>
      <c r="AM86" s="104">
        <f t="shared" si="16"/>
        <v>6.3639140729356627E-3</v>
      </c>
      <c r="AN86" s="108">
        <f t="shared" si="17"/>
        <v>0.13628794094205457</v>
      </c>
      <c r="AO86" s="101">
        <f t="shared" si="18"/>
        <v>2494.4781830624247</v>
      </c>
    </row>
    <row r="87" spans="1:41" ht="15.75" customHeight="1" x14ac:dyDescent="0.3">
      <c r="A87" s="99">
        <v>21102</v>
      </c>
      <c r="B87" s="62" t="s">
        <v>51</v>
      </c>
      <c r="C87" s="62" t="s">
        <v>82</v>
      </c>
      <c r="D87" s="100">
        <v>421</v>
      </c>
      <c r="E87" s="101">
        <v>18776.75</v>
      </c>
      <c r="F87" s="102">
        <v>375.58986631593552</v>
      </c>
      <c r="G87" s="123">
        <v>422290885</v>
      </c>
      <c r="H87" s="103">
        <f t="shared" si="0"/>
        <v>954922.15534165001</v>
      </c>
      <c r="I87" s="104">
        <f t="shared" si="58"/>
        <v>1.1574592558863863E-3</v>
      </c>
      <c r="J87" s="105">
        <f t="shared" si="2"/>
        <v>5.886447267770889E-2</v>
      </c>
      <c r="K87" s="106">
        <v>30.06190156280876</v>
      </c>
      <c r="L87" s="124">
        <v>321118170</v>
      </c>
      <c r="M87" s="103">
        <f t="shared" si="3"/>
        <v>870383.32192861743</v>
      </c>
      <c r="N87" s="104">
        <f t="shared" si="59"/>
        <v>7.136587222984095E-4</v>
      </c>
      <c r="O87" s="105">
        <f t="shared" si="5"/>
        <v>3.3081158850036471E-2</v>
      </c>
      <c r="P87" s="102">
        <v>15.33436305606652</v>
      </c>
      <c r="Q87" s="103">
        <v>115475189454</v>
      </c>
      <c r="R87" s="103">
        <f t="shared" si="6"/>
        <v>224969.53246619343</v>
      </c>
      <c r="S87" s="104">
        <f t="shared" si="60"/>
        <v>1.0781194463285162E-3</v>
      </c>
      <c r="T87" s="105">
        <f t="shared" si="8"/>
        <v>1.2917252867681448E-2</v>
      </c>
      <c r="U87" s="104">
        <f t="shared" si="9"/>
        <v>0.10486288439542681</v>
      </c>
      <c r="V87" s="103">
        <f t="shared" si="10"/>
        <v>1968.9841645718302</v>
      </c>
      <c r="W87" s="100">
        <v>354</v>
      </c>
      <c r="X87" s="101">
        <v>23279</v>
      </c>
      <c r="Y87" s="102">
        <v>313.39048891423499</v>
      </c>
      <c r="Z87" s="124">
        <v>614114060</v>
      </c>
      <c r="AA87" s="103">
        <v>1389217.3666199013</v>
      </c>
      <c r="AB87" s="104">
        <f t="shared" si="61"/>
        <v>6.2973781167395212E-4</v>
      </c>
      <c r="AC87" s="105">
        <f t="shared" si="12"/>
        <v>3.758076826301246E-2</v>
      </c>
      <c r="AD87" s="102">
        <v>30.063699979456501</v>
      </c>
      <c r="AE87" s="123">
        <v>529749132</v>
      </c>
      <c r="AF87" s="103">
        <v>1298243.3714842624</v>
      </c>
      <c r="AG87" s="104">
        <f t="shared" si="62"/>
        <v>4.943679342601534E-4</v>
      </c>
      <c r="AH87" s="105">
        <f t="shared" si="14"/>
        <v>2.757033780349722E-2</v>
      </c>
      <c r="AI87" s="106">
        <v>10.534545916298059</v>
      </c>
      <c r="AJ87" s="123">
        <v>154159215745</v>
      </c>
      <c r="AK87" s="123">
        <v>300334.00993407</v>
      </c>
      <c r="AL87" s="104">
        <f t="shared" si="63"/>
        <v>5.0137102343928363E-4</v>
      </c>
      <c r="AM87" s="104">
        <f t="shared" si="16"/>
        <v>6.4684380744133617E-3</v>
      </c>
      <c r="AN87" s="108">
        <f t="shared" si="17"/>
        <v>7.161954414092303E-2</v>
      </c>
      <c r="AO87" s="101">
        <f t="shared" si="18"/>
        <v>1667.2313680565476</v>
      </c>
    </row>
    <row r="88" spans="1:41" ht="15.75" customHeight="1" x14ac:dyDescent="0.3">
      <c r="A88" s="99">
        <v>21103</v>
      </c>
      <c r="B88" s="62" t="s">
        <v>51</v>
      </c>
      <c r="C88" s="62" t="s">
        <v>776</v>
      </c>
      <c r="D88" s="112"/>
      <c r="E88" s="113">
        <v>6718.75</v>
      </c>
      <c r="F88" s="114"/>
      <c r="G88" s="123">
        <v>422290885</v>
      </c>
      <c r="H88" s="103">
        <f t="shared" si="0"/>
        <v>954922.15534165001</v>
      </c>
      <c r="I88" s="104">
        <f t="shared" si="58"/>
        <v>0</v>
      </c>
      <c r="J88" s="105">
        <f t="shared" si="2"/>
        <v>0</v>
      </c>
      <c r="K88" s="115"/>
      <c r="L88" s="124">
        <v>321118170</v>
      </c>
      <c r="M88" s="103">
        <f t="shared" si="3"/>
        <v>870383.32192861743</v>
      </c>
      <c r="N88" s="104">
        <f t="shared" si="59"/>
        <v>0</v>
      </c>
      <c r="O88" s="105">
        <f t="shared" si="5"/>
        <v>0</v>
      </c>
      <c r="P88" s="114"/>
      <c r="Q88" s="103">
        <v>115475189454</v>
      </c>
      <c r="R88" s="103">
        <f t="shared" si="6"/>
        <v>224969.53246619343</v>
      </c>
      <c r="S88" s="104">
        <f t="shared" si="60"/>
        <v>0</v>
      </c>
      <c r="T88" s="105">
        <f t="shared" si="8"/>
        <v>0</v>
      </c>
      <c r="U88" s="104">
        <f t="shared" si="9"/>
        <v>0</v>
      </c>
      <c r="V88" s="103">
        <f t="shared" si="10"/>
        <v>0</v>
      </c>
      <c r="W88" s="112"/>
      <c r="X88" s="101">
        <v>7615</v>
      </c>
      <c r="Y88" s="114"/>
      <c r="Z88" s="124">
        <v>614114060</v>
      </c>
      <c r="AA88" s="103">
        <v>1389217.3666199013</v>
      </c>
      <c r="AB88" s="104">
        <f t="shared" si="61"/>
        <v>0</v>
      </c>
      <c r="AC88" s="105">
        <f t="shared" si="12"/>
        <v>0</v>
      </c>
      <c r="AD88" s="114"/>
      <c r="AE88" s="123">
        <v>529749132</v>
      </c>
      <c r="AF88" s="103">
        <v>1298243.3714842624</v>
      </c>
      <c r="AG88" s="104">
        <f t="shared" si="62"/>
        <v>0</v>
      </c>
      <c r="AH88" s="105">
        <f t="shared" si="14"/>
        <v>0</v>
      </c>
      <c r="AI88" s="115"/>
      <c r="AJ88" s="123">
        <v>154159215745</v>
      </c>
      <c r="AK88" s="123">
        <v>300334.00993407</v>
      </c>
      <c r="AL88" s="104">
        <f t="shared" si="63"/>
        <v>0</v>
      </c>
      <c r="AM88" s="104">
        <f t="shared" si="16"/>
        <v>0</v>
      </c>
      <c r="AN88" s="108">
        <f t="shared" si="17"/>
        <v>0</v>
      </c>
      <c r="AO88" s="101">
        <f t="shared" si="18"/>
        <v>0</v>
      </c>
    </row>
    <row r="89" spans="1:41" ht="15.75" customHeight="1" x14ac:dyDescent="0.3">
      <c r="A89" s="99">
        <v>21104</v>
      </c>
      <c r="B89" s="62" t="s">
        <v>51</v>
      </c>
      <c r="C89" s="62" t="s">
        <v>90</v>
      </c>
      <c r="D89" s="100">
        <v>360</v>
      </c>
      <c r="E89" s="101">
        <v>25332.5</v>
      </c>
      <c r="F89" s="102">
        <v>342.35554847612758</v>
      </c>
      <c r="G89" s="123">
        <v>422290885</v>
      </c>
      <c r="H89" s="103">
        <f t="shared" si="0"/>
        <v>954922.15534165001</v>
      </c>
      <c r="I89" s="104">
        <f t="shared" si="58"/>
        <v>1.0550407077661395E-3</v>
      </c>
      <c r="J89" s="105">
        <f t="shared" si="2"/>
        <v>3.9770324548829436E-2</v>
      </c>
      <c r="K89" s="106">
        <v>10.359752755488699</v>
      </c>
      <c r="L89" s="124">
        <v>321118170</v>
      </c>
      <c r="M89" s="103">
        <f t="shared" si="3"/>
        <v>870383.32192861743</v>
      </c>
      <c r="N89" s="104">
        <f t="shared" si="59"/>
        <v>2.4593680141499056E-4</v>
      </c>
      <c r="O89" s="105">
        <f t="shared" si="5"/>
        <v>8.4499867837788678E-3</v>
      </c>
      <c r="P89" s="102">
        <v>7.2797279314572547</v>
      </c>
      <c r="Q89" s="103">
        <v>115475189454</v>
      </c>
      <c r="R89" s="103">
        <f t="shared" si="6"/>
        <v>224969.53246619343</v>
      </c>
      <c r="S89" s="104">
        <f t="shared" si="60"/>
        <v>5.1181886187179923E-4</v>
      </c>
      <c r="T89" s="105">
        <f t="shared" si="8"/>
        <v>4.5452935976582612E-3</v>
      </c>
      <c r="U89" s="104">
        <f t="shared" si="9"/>
        <v>5.2765604930266566E-2</v>
      </c>
      <c r="V89" s="103">
        <f t="shared" si="10"/>
        <v>1336.6846868959778</v>
      </c>
      <c r="W89" s="100">
        <v>310</v>
      </c>
      <c r="X89" s="101">
        <v>27137</v>
      </c>
      <c r="Y89" s="102">
        <v>297.36733466610059</v>
      </c>
      <c r="Z89" s="124">
        <v>614114060</v>
      </c>
      <c r="AA89" s="103">
        <v>1389217.3666199013</v>
      </c>
      <c r="AB89" s="104">
        <f t="shared" si="61"/>
        <v>5.9754032499433638E-4</v>
      </c>
      <c r="AC89" s="105">
        <f t="shared" si="12"/>
        <v>3.0589726083864538E-2</v>
      </c>
      <c r="AD89" s="102">
        <v>7.5353917591417208</v>
      </c>
      <c r="AE89" s="123">
        <v>529749132</v>
      </c>
      <c r="AF89" s="103">
        <v>1298243.3714842624</v>
      </c>
      <c r="AG89" s="104">
        <f t="shared" si="62"/>
        <v>1.2391209532936612E-4</v>
      </c>
      <c r="AH89" s="105">
        <f t="shared" si="14"/>
        <v>5.9279970670330397E-3</v>
      </c>
      <c r="AI89" s="106">
        <v>5.0938652516845826</v>
      </c>
      <c r="AJ89" s="123">
        <v>154159215745</v>
      </c>
      <c r="AK89" s="123">
        <v>300334.00993407</v>
      </c>
      <c r="AL89" s="104">
        <f t="shared" si="63"/>
        <v>2.4243251249659694E-4</v>
      </c>
      <c r="AM89" s="104">
        <f t="shared" si="16"/>
        <v>2.6830795082910604E-3</v>
      </c>
      <c r="AN89" s="108">
        <f t="shared" si="17"/>
        <v>3.9200802659188634E-2</v>
      </c>
      <c r="AO89" s="101">
        <f t="shared" si="18"/>
        <v>1063.7921817624022</v>
      </c>
    </row>
    <row r="90" spans="1:41" ht="15.75" customHeight="1" x14ac:dyDescent="0.3">
      <c r="A90" s="99">
        <v>21105</v>
      </c>
      <c r="B90" s="62" t="s">
        <v>51</v>
      </c>
      <c r="C90" s="62" t="s">
        <v>354</v>
      </c>
      <c r="D90" s="112"/>
      <c r="E90" s="113">
        <v>41530.25</v>
      </c>
      <c r="F90" s="114"/>
      <c r="G90" s="123">
        <v>422290885</v>
      </c>
      <c r="H90" s="103">
        <f t="shared" si="0"/>
        <v>954922.15534165001</v>
      </c>
      <c r="I90" s="104">
        <f t="shared" si="58"/>
        <v>0</v>
      </c>
      <c r="J90" s="105">
        <f t="shared" si="2"/>
        <v>0</v>
      </c>
      <c r="K90" s="115"/>
      <c r="L90" s="124">
        <v>321118170</v>
      </c>
      <c r="M90" s="103">
        <f t="shared" si="3"/>
        <v>870383.32192861743</v>
      </c>
      <c r="N90" s="104">
        <f t="shared" si="59"/>
        <v>0</v>
      </c>
      <c r="O90" s="105">
        <f t="shared" si="5"/>
        <v>0</v>
      </c>
      <c r="P90" s="114"/>
      <c r="Q90" s="103">
        <v>115475189454</v>
      </c>
      <c r="R90" s="103">
        <f t="shared" si="6"/>
        <v>224969.53246619343</v>
      </c>
      <c r="S90" s="104">
        <f t="shared" si="60"/>
        <v>0</v>
      </c>
      <c r="T90" s="105">
        <f t="shared" si="8"/>
        <v>0</v>
      </c>
      <c r="U90" s="104">
        <f t="shared" si="9"/>
        <v>0</v>
      </c>
      <c r="V90" s="103">
        <f t="shared" si="10"/>
        <v>0</v>
      </c>
      <c r="W90" s="100">
        <v>53</v>
      </c>
      <c r="X90" s="101">
        <v>45587</v>
      </c>
      <c r="Y90" s="102">
        <v>43.720151099418359</v>
      </c>
      <c r="Z90" s="124">
        <v>614114060</v>
      </c>
      <c r="AA90" s="103">
        <v>1389217.3666199013</v>
      </c>
      <c r="AB90" s="104">
        <f t="shared" si="61"/>
        <v>8.7852801068691482E-5</v>
      </c>
      <c r="AC90" s="105">
        <f t="shared" si="12"/>
        <v>2.6772245804907017E-3</v>
      </c>
      <c r="AD90" s="102">
        <v>7.7285358301519276</v>
      </c>
      <c r="AE90" s="123">
        <v>529749132</v>
      </c>
      <c r="AF90" s="103">
        <v>1298243.3714842624</v>
      </c>
      <c r="AG90" s="104">
        <f t="shared" si="62"/>
        <v>1.2708815933563147E-4</v>
      </c>
      <c r="AH90" s="105">
        <f t="shared" si="14"/>
        <v>3.6192633963985201E-3</v>
      </c>
      <c r="AI90" s="106">
        <v>1.5493678884081601</v>
      </c>
      <c r="AJ90" s="123">
        <v>154159215745</v>
      </c>
      <c r="AK90" s="123">
        <v>300334.00993407</v>
      </c>
      <c r="AL90" s="104">
        <f t="shared" si="63"/>
        <v>7.3739121749268429E-5</v>
      </c>
      <c r="AM90" s="104">
        <f t="shared" si="16"/>
        <v>4.8580442064567492E-4</v>
      </c>
      <c r="AN90" s="108">
        <f t="shared" si="17"/>
        <v>6.782292397534897E-3</v>
      </c>
      <c r="AO90" s="101">
        <f t="shared" si="18"/>
        <v>309.18436352642328</v>
      </c>
    </row>
    <row r="91" spans="1:41" ht="15.75" customHeight="1" x14ac:dyDescent="0.3">
      <c r="A91" s="99">
        <v>21201</v>
      </c>
      <c r="B91" s="62" t="s">
        <v>51</v>
      </c>
      <c r="C91" s="62" t="s">
        <v>92</v>
      </c>
      <c r="D91" s="100">
        <v>105</v>
      </c>
      <c r="E91" s="101">
        <v>35055.5</v>
      </c>
      <c r="F91" s="102">
        <v>98.839218807532575</v>
      </c>
      <c r="G91" s="123">
        <v>422290885</v>
      </c>
      <c r="H91" s="103">
        <f t="shared" si="0"/>
        <v>954922.15534165001</v>
      </c>
      <c r="I91" s="104">
        <f t="shared" si="58"/>
        <v>3.0459386398121391E-4</v>
      </c>
      <c r="J91" s="105">
        <f t="shared" si="2"/>
        <v>8.2972266576366669E-3</v>
      </c>
      <c r="K91" s="106">
        <v>4.3545196748258483</v>
      </c>
      <c r="L91" s="124">
        <v>321118170</v>
      </c>
      <c r="M91" s="103">
        <f t="shared" si="3"/>
        <v>870383.32192861743</v>
      </c>
      <c r="N91" s="104">
        <f t="shared" si="59"/>
        <v>1.0337472966793742E-4</v>
      </c>
      <c r="O91" s="105">
        <f t="shared" si="5"/>
        <v>2.5666625953659817E-3</v>
      </c>
      <c r="P91" s="102">
        <v>1.8042696298709919</v>
      </c>
      <c r="Q91" s="103">
        <v>115475189454</v>
      </c>
      <c r="R91" s="103">
        <f t="shared" si="6"/>
        <v>224969.53246619343</v>
      </c>
      <c r="S91" s="104">
        <f t="shared" si="60"/>
        <v>1.268535358965765E-4</v>
      </c>
      <c r="T91" s="105">
        <f t="shared" si="8"/>
        <v>8.140856830550499E-4</v>
      </c>
      <c r="U91" s="104">
        <f t="shared" si="9"/>
        <v>1.1677974936057697E-2</v>
      </c>
      <c r="V91" s="103">
        <f t="shared" si="10"/>
        <v>409.37725037097061</v>
      </c>
      <c r="W91" s="100">
        <v>2324</v>
      </c>
      <c r="X91" s="101">
        <v>49850</v>
      </c>
      <c r="Y91" s="102">
        <v>1963.5886474214369</v>
      </c>
      <c r="Z91" s="124">
        <v>614114060</v>
      </c>
      <c r="AA91" s="103">
        <v>1389217.3666199013</v>
      </c>
      <c r="AB91" s="104">
        <f t="shared" si="61"/>
        <v>3.945703719787726E-3</v>
      </c>
      <c r="AC91" s="105">
        <f t="shared" si="12"/>
        <v>0.10995867865728894</v>
      </c>
      <c r="AD91" s="102">
        <v>285.09455798665221</v>
      </c>
      <c r="AE91" s="123">
        <v>529749132</v>
      </c>
      <c r="AF91" s="103">
        <v>1298243.3714842624</v>
      </c>
      <c r="AG91" s="104">
        <f t="shared" si="62"/>
        <v>4.6880991959400448E-3</v>
      </c>
      <c r="AH91" s="105">
        <f t="shared" si="14"/>
        <v>0.12209215057151179</v>
      </c>
      <c r="AI91" s="106">
        <v>75.24037541927072</v>
      </c>
      <c r="AJ91" s="123">
        <v>154159215745</v>
      </c>
      <c r="AK91" s="123">
        <v>300334.00993407</v>
      </c>
      <c r="AL91" s="104">
        <f t="shared" si="63"/>
        <v>3.5809178988487457E-3</v>
      </c>
      <c r="AM91" s="104">
        <f t="shared" si="16"/>
        <v>2.1574151089386723E-2</v>
      </c>
      <c r="AN91" s="108">
        <f t="shared" si="17"/>
        <v>0.25362498031818742</v>
      </c>
      <c r="AO91" s="101">
        <f t="shared" si="18"/>
        <v>12643.205268861644</v>
      </c>
    </row>
    <row r="92" spans="1:41" ht="15.75" customHeight="1" x14ac:dyDescent="0.3">
      <c r="A92" s="99">
        <v>21202</v>
      </c>
      <c r="B92" s="62" t="s">
        <v>51</v>
      </c>
      <c r="C92" s="62" t="s">
        <v>85</v>
      </c>
      <c r="D92" s="100">
        <v>19</v>
      </c>
      <c r="E92" s="101">
        <v>28061.25</v>
      </c>
      <c r="F92" s="102">
        <v>15.471532691459959</v>
      </c>
      <c r="G92" s="123">
        <v>422290885</v>
      </c>
      <c r="H92" s="103">
        <f t="shared" si="0"/>
        <v>954922.15534165001</v>
      </c>
      <c r="I92" s="104">
        <f t="shared" si="58"/>
        <v>4.7678785618288549E-5</v>
      </c>
      <c r="J92" s="105">
        <f t="shared" si="2"/>
        <v>1.622505366891659E-3</v>
      </c>
      <c r="K92" s="106">
        <v>3.389262481870543</v>
      </c>
      <c r="L92" s="124">
        <v>321118170</v>
      </c>
      <c r="M92" s="103">
        <f t="shared" si="3"/>
        <v>870383.32192861743</v>
      </c>
      <c r="N92" s="104">
        <f t="shared" si="59"/>
        <v>8.0459871352185863E-5</v>
      </c>
      <c r="O92" s="105">
        <f t="shared" si="5"/>
        <v>2.4956454224050865E-3</v>
      </c>
      <c r="P92" s="102">
        <v>0.13877782363257329</v>
      </c>
      <c r="Q92" s="103">
        <v>115475189454</v>
      </c>
      <c r="R92" s="103">
        <f t="shared" si="6"/>
        <v>224969.53246619343</v>
      </c>
      <c r="S92" s="104">
        <f t="shared" si="60"/>
        <v>9.7571102125584991E-6</v>
      </c>
      <c r="T92" s="105">
        <f t="shared" si="8"/>
        <v>7.8223618788913772E-5</v>
      </c>
      <c r="U92" s="104">
        <f t="shared" si="9"/>
        <v>4.1963744080856591E-3</v>
      </c>
      <c r="V92" s="103">
        <f t="shared" si="10"/>
        <v>117.75551135889371</v>
      </c>
      <c r="W92" s="100">
        <v>6985</v>
      </c>
      <c r="X92" s="101">
        <v>38652</v>
      </c>
      <c r="Y92" s="102">
        <v>5560.3204074770729</v>
      </c>
      <c r="Z92" s="124">
        <v>614114060</v>
      </c>
      <c r="AA92" s="103">
        <v>1389217.3666199013</v>
      </c>
      <c r="AB92" s="104">
        <f t="shared" si="61"/>
        <v>1.117310234188023E-2</v>
      </c>
      <c r="AC92" s="105">
        <f t="shared" si="12"/>
        <v>0.40157993926217284</v>
      </c>
      <c r="AD92" s="102">
        <v>1139.6556426457789</v>
      </c>
      <c r="AE92" s="123">
        <v>529749132</v>
      </c>
      <c r="AF92" s="103">
        <v>1298243.3714842624</v>
      </c>
      <c r="AG92" s="104">
        <f t="shared" si="62"/>
        <v>1.8740514514438245E-2</v>
      </c>
      <c r="AH92" s="105">
        <f t="shared" si="14"/>
        <v>0.62945639932148567</v>
      </c>
      <c r="AI92" s="106">
        <v>284.75974629918261</v>
      </c>
      <c r="AJ92" s="123">
        <v>154159215745</v>
      </c>
      <c r="AK92" s="123">
        <v>300334.00993407</v>
      </c>
      <c r="AL92" s="104">
        <f t="shared" si="63"/>
        <v>1.3552580867814263E-2</v>
      </c>
      <c r="AM92" s="104">
        <f t="shared" si="16"/>
        <v>0.10530634784710793</v>
      </c>
      <c r="AN92" s="108">
        <f t="shared" si="17"/>
        <v>1.1363426864307664</v>
      </c>
      <c r="AO92" s="101">
        <f t="shared" si="18"/>
        <v>43921.917515921981</v>
      </c>
    </row>
    <row r="93" spans="1:41" ht="15.75" customHeight="1" x14ac:dyDescent="0.3">
      <c r="A93" s="99">
        <v>21203</v>
      </c>
      <c r="B93" s="62" t="s">
        <v>51</v>
      </c>
      <c r="C93" s="62" t="s">
        <v>59</v>
      </c>
      <c r="D93" s="100">
        <v>4</v>
      </c>
      <c r="E93" s="101">
        <v>18221.25</v>
      </c>
      <c r="F93" s="102">
        <v>2.0613241643754479</v>
      </c>
      <c r="G93" s="123">
        <v>422290885</v>
      </c>
      <c r="H93" s="103">
        <f t="shared" si="0"/>
        <v>954922.15534165001</v>
      </c>
      <c r="I93" s="104">
        <f t="shared" si="58"/>
        <v>6.3524044374287853E-6</v>
      </c>
      <c r="J93" s="105">
        <f t="shared" si="2"/>
        <v>3.3291084513912915E-4</v>
      </c>
      <c r="K93" s="106">
        <v>1.7830525046007191</v>
      </c>
      <c r="L93" s="124">
        <v>321118170</v>
      </c>
      <c r="M93" s="103">
        <f t="shared" si="3"/>
        <v>870383.32192861743</v>
      </c>
      <c r="N93" s="104">
        <f t="shared" si="59"/>
        <v>4.232902464821444E-5</v>
      </c>
      <c r="O93" s="105">
        <f t="shared" si="5"/>
        <v>2.0219511332818115E-3</v>
      </c>
      <c r="P93" s="102">
        <v>0.15543333312186269</v>
      </c>
      <c r="Q93" s="103">
        <v>115475189454</v>
      </c>
      <c r="R93" s="103">
        <f t="shared" si="6"/>
        <v>224969.53246619343</v>
      </c>
      <c r="S93" s="104">
        <f t="shared" si="60"/>
        <v>1.0928116051096287E-5</v>
      </c>
      <c r="T93" s="105">
        <f t="shared" si="8"/>
        <v>1.3492450620848932E-4</v>
      </c>
      <c r="U93" s="104">
        <f t="shared" si="9"/>
        <v>2.4897864846294302E-3</v>
      </c>
      <c r="V93" s="103">
        <f t="shared" si="10"/>
        <v>45.367021983054002</v>
      </c>
      <c r="W93" s="100">
        <v>706</v>
      </c>
      <c r="X93" s="101">
        <v>20607</v>
      </c>
      <c r="Y93" s="102">
        <v>535.36391651894246</v>
      </c>
      <c r="Z93" s="124">
        <v>614114060</v>
      </c>
      <c r="AA93" s="103">
        <v>1389217.3666199013</v>
      </c>
      <c r="AB93" s="104">
        <f t="shared" si="61"/>
        <v>1.0757789823356745E-3</v>
      </c>
      <c r="AC93" s="105">
        <f t="shared" si="12"/>
        <v>7.2523455374649534E-2</v>
      </c>
      <c r="AD93" s="102">
        <v>140.2041451821637</v>
      </c>
      <c r="AE93" s="123">
        <v>529749132</v>
      </c>
      <c r="AF93" s="103">
        <v>1298243.3714842624</v>
      </c>
      <c r="AG93" s="104">
        <f t="shared" si="62"/>
        <v>2.3055190703665995E-3</v>
      </c>
      <c r="AH93" s="105">
        <f t="shared" si="14"/>
        <v>0.1452479667556654</v>
      </c>
      <c r="AI93" s="106">
        <v>30.403547033145859</v>
      </c>
      <c r="AJ93" s="123">
        <v>154159215745</v>
      </c>
      <c r="AK93" s="123">
        <v>300334.00993407</v>
      </c>
      <c r="AL93" s="104">
        <f t="shared" si="63"/>
        <v>1.4469971096342646E-3</v>
      </c>
      <c r="AM93" s="104">
        <f t="shared" si="16"/>
        <v>2.1089068971682817E-2</v>
      </c>
      <c r="AN93" s="108">
        <f t="shared" si="17"/>
        <v>0.23886049110199772</v>
      </c>
      <c r="AO93" s="101">
        <f t="shared" si="18"/>
        <v>4922.1981401388675</v>
      </c>
    </row>
    <row r="94" spans="1:41" ht="15.75" customHeight="1" x14ac:dyDescent="0.3">
      <c r="A94" s="99">
        <v>21204</v>
      </c>
      <c r="B94" s="62" t="s">
        <v>51</v>
      </c>
      <c r="C94" s="62" t="s">
        <v>777</v>
      </c>
      <c r="D94" s="112"/>
      <c r="E94" s="113">
        <v>6848.5</v>
      </c>
      <c r="F94" s="114"/>
      <c r="G94" s="123">
        <v>422290885</v>
      </c>
      <c r="H94" s="103">
        <f t="shared" si="0"/>
        <v>954922.15534165001</v>
      </c>
      <c r="I94" s="104">
        <f t="shared" si="58"/>
        <v>0</v>
      </c>
      <c r="J94" s="105">
        <f t="shared" si="2"/>
        <v>0</v>
      </c>
      <c r="K94" s="115"/>
      <c r="L94" s="124">
        <v>321118170</v>
      </c>
      <c r="M94" s="103">
        <f t="shared" si="3"/>
        <v>870383.32192861743</v>
      </c>
      <c r="N94" s="104">
        <f t="shared" si="59"/>
        <v>0</v>
      </c>
      <c r="O94" s="105">
        <f t="shared" si="5"/>
        <v>0</v>
      </c>
      <c r="P94" s="114"/>
      <c r="Q94" s="103">
        <v>115475189454</v>
      </c>
      <c r="R94" s="103">
        <f t="shared" si="6"/>
        <v>224969.53246619343</v>
      </c>
      <c r="S94" s="104">
        <f t="shared" si="60"/>
        <v>0</v>
      </c>
      <c r="T94" s="105">
        <f t="shared" si="8"/>
        <v>0</v>
      </c>
      <c r="U94" s="104">
        <f t="shared" si="9"/>
        <v>0</v>
      </c>
      <c r="V94" s="103">
        <f t="shared" si="10"/>
        <v>0</v>
      </c>
      <c r="W94" s="121">
        <v>624</v>
      </c>
      <c r="X94" s="101">
        <v>7900</v>
      </c>
      <c r="Y94" s="114">
        <v>593.53615663712299</v>
      </c>
      <c r="Z94" s="124">
        <v>614114060</v>
      </c>
      <c r="AA94" s="103">
        <v>1389217.3666199013</v>
      </c>
      <c r="AB94" s="104">
        <f t="shared" si="61"/>
        <v>1.1926723166519563E-3</v>
      </c>
      <c r="AC94" s="105">
        <f t="shared" si="12"/>
        <v>0.20973178417464403</v>
      </c>
      <c r="AD94" s="114">
        <v>20.966956075550986</v>
      </c>
      <c r="AE94" s="123">
        <v>529749132</v>
      </c>
      <c r="AF94" s="103">
        <v>1298243.3714842624</v>
      </c>
      <c r="AG94" s="104">
        <f t="shared" si="62"/>
        <v>3.4478094079825575E-4</v>
      </c>
      <c r="AH94" s="105">
        <f t="shared" si="14"/>
        <v>5.6659439367777648E-2</v>
      </c>
      <c r="AI94" s="115">
        <v>9.4874301225072362</v>
      </c>
      <c r="AJ94" s="123">
        <v>154159215745</v>
      </c>
      <c r="AK94" s="123">
        <v>300334.00993407</v>
      </c>
      <c r="AL94" s="104">
        <f t="shared" si="63"/>
        <v>4.5153560372934417E-4</v>
      </c>
      <c r="AM94" s="104">
        <f t="shared" si="16"/>
        <v>1.716601246785255E-2</v>
      </c>
      <c r="AN94" s="108">
        <f t="shared" si="17"/>
        <v>0.28355723601027422</v>
      </c>
      <c r="AO94" s="101">
        <f t="shared" si="18"/>
        <v>2240.1021644811663</v>
      </c>
    </row>
    <row r="95" spans="1:41" ht="15.75" customHeight="1" x14ac:dyDescent="0.3">
      <c r="A95" s="99">
        <v>21301</v>
      </c>
      <c r="B95" s="62" t="s">
        <v>51</v>
      </c>
      <c r="C95" s="62" t="s">
        <v>778</v>
      </c>
      <c r="D95" s="112">
        <v>22</v>
      </c>
      <c r="E95" s="113">
        <v>31955.25</v>
      </c>
      <c r="F95" s="114">
        <v>13</v>
      </c>
      <c r="G95" s="123">
        <v>422290885</v>
      </c>
      <c r="H95" s="103">
        <f t="shared" si="0"/>
        <v>954922.15534165001</v>
      </c>
      <c r="I95" s="104">
        <f t="shared" si="58"/>
        <v>4.0062237232635924E-5</v>
      </c>
      <c r="J95" s="105">
        <f t="shared" si="2"/>
        <v>1.1971841223585231E-3</v>
      </c>
      <c r="K95" s="115">
        <v>8</v>
      </c>
      <c r="L95" s="124">
        <v>321118170</v>
      </c>
      <c r="M95" s="103">
        <f t="shared" si="3"/>
        <v>870383.32192861743</v>
      </c>
      <c r="N95" s="104">
        <f t="shared" si="59"/>
        <v>1.8991712039435755E-4</v>
      </c>
      <c r="O95" s="105">
        <f t="shared" si="5"/>
        <v>5.172880642146693E-3</v>
      </c>
      <c r="P95" s="114">
        <v>0</v>
      </c>
      <c r="Q95" s="103">
        <v>115475189454</v>
      </c>
      <c r="R95" s="103">
        <f t="shared" si="6"/>
        <v>224969.53246619343</v>
      </c>
      <c r="S95" s="104">
        <f t="shared" si="60"/>
        <v>0</v>
      </c>
      <c r="T95" s="105">
        <f t="shared" si="8"/>
        <v>0</v>
      </c>
      <c r="U95" s="104">
        <f t="shared" si="9"/>
        <v>6.370064764505216E-3</v>
      </c>
      <c r="V95" s="103">
        <f t="shared" si="10"/>
        <v>203.55701206595529</v>
      </c>
      <c r="W95" s="121">
        <v>4441</v>
      </c>
      <c r="X95" s="101">
        <v>33885</v>
      </c>
      <c r="Y95" s="114">
        <v>3536.0411821249536</v>
      </c>
      <c r="Z95" s="124">
        <v>614114060</v>
      </c>
      <c r="AA95" s="103">
        <v>1389217.3666199013</v>
      </c>
      <c r="AB95" s="104">
        <f t="shared" si="61"/>
        <v>7.1054448516774914E-3</v>
      </c>
      <c r="AC95" s="105">
        <f t="shared" si="12"/>
        <v>0.29130905667730089</v>
      </c>
      <c r="AD95" s="114">
        <v>740.42217383632033</v>
      </c>
      <c r="AE95" s="123">
        <v>529749132</v>
      </c>
      <c r="AF95" s="103">
        <v>1298243.3714842624</v>
      </c>
      <c r="AG95" s="104">
        <f t="shared" si="62"/>
        <v>1.2175513353645809E-2</v>
      </c>
      <c r="AH95" s="105">
        <f t="shared" si="14"/>
        <v>0.46648309003360761</v>
      </c>
      <c r="AI95" s="115">
        <v>164.33542269522809</v>
      </c>
      <c r="AJ95" s="123">
        <v>154159215745</v>
      </c>
      <c r="AK95" s="123">
        <v>300334.00993407</v>
      </c>
      <c r="AL95" s="104">
        <f t="shared" si="63"/>
        <v>7.8212216946686852E-3</v>
      </c>
      <c r="AM95" s="104">
        <f t="shared" si="16"/>
        <v>6.9322085705863609E-2</v>
      </c>
      <c r="AN95" s="108">
        <f t="shared" si="17"/>
        <v>0.82711423241677218</v>
      </c>
      <c r="AO95" s="101">
        <f t="shared" si="18"/>
        <v>28026.76576544232</v>
      </c>
    </row>
    <row r="96" spans="1:41" ht="15.75" customHeight="1" x14ac:dyDescent="0.3">
      <c r="A96" s="99">
        <v>21302</v>
      </c>
      <c r="B96" s="62" t="s">
        <v>51</v>
      </c>
      <c r="C96" s="62" t="s">
        <v>103</v>
      </c>
      <c r="D96" s="100">
        <v>4</v>
      </c>
      <c r="E96" s="101">
        <v>8952.75</v>
      </c>
      <c r="F96" s="102">
        <v>2.1631552897129258</v>
      </c>
      <c r="G96" s="123">
        <v>422290885</v>
      </c>
      <c r="H96" s="103">
        <f t="shared" si="0"/>
        <v>954922.15534165001</v>
      </c>
      <c r="I96" s="104">
        <f t="shared" si="58"/>
        <v>6.6662184913469634E-6</v>
      </c>
      <c r="J96" s="105">
        <f t="shared" si="2"/>
        <v>7.1103512660751218E-4</v>
      </c>
      <c r="K96" s="106">
        <v>1.735979388890273</v>
      </c>
      <c r="L96" s="124">
        <v>321118170</v>
      </c>
      <c r="M96" s="103">
        <f t="shared" si="3"/>
        <v>870383.32192861743</v>
      </c>
      <c r="N96" s="104">
        <f t="shared" si="59"/>
        <v>4.121152582524965E-5</v>
      </c>
      <c r="O96" s="105">
        <f t="shared" si="5"/>
        <v>4.0065705788196694E-3</v>
      </c>
      <c r="P96" s="102">
        <v>0.1007293084870024</v>
      </c>
      <c r="Q96" s="103">
        <v>115475189454</v>
      </c>
      <c r="R96" s="103">
        <f t="shared" si="6"/>
        <v>224969.53246619343</v>
      </c>
      <c r="S96" s="104">
        <f t="shared" si="60"/>
        <v>7.0820174204821729E-6</v>
      </c>
      <c r="T96" s="105">
        <f t="shared" si="8"/>
        <v>1.7796075485223105E-4</v>
      </c>
      <c r="U96" s="104">
        <f t="shared" si="9"/>
        <v>4.8955664602794123E-3</v>
      </c>
      <c r="V96" s="103">
        <f t="shared" si="10"/>
        <v>43.828782627266506</v>
      </c>
      <c r="W96" s="100">
        <v>274</v>
      </c>
      <c r="X96" s="101">
        <v>9102</v>
      </c>
      <c r="Y96" s="102">
        <v>236.82138270763659</v>
      </c>
      <c r="Z96" s="124">
        <v>614114060</v>
      </c>
      <c r="AA96" s="103">
        <v>1389217.3666199013</v>
      </c>
      <c r="AB96" s="104">
        <f t="shared" si="61"/>
        <v>4.7587717106730766E-4</v>
      </c>
      <c r="AC96" s="105">
        <f t="shared" si="12"/>
        <v>7.2632040257597605E-2</v>
      </c>
      <c r="AD96" s="102">
        <v>22.56776493044363</v>
      </c>
      <c r="AE96" s="123">
        <v>529749132</v>
      </c>
      <c r="AF96" s="103">
        <v>1298243.3714842624</v>
      </c>
      <c r="AG96" s="104">
        <f t="shared" si="62"/>
        <v>3.7110466566510244E-4</v>
      </c>
      <c r="AH96" s="105">
        <f t="shared" si="14"/>
        <v>5.2931682303515991E-2</v>
      </c>
      <c r="AI96" s="106">
        <v>14.601103634275431</v>
      </c>
      <c r="AJ96" s="123">
        <v>154159215745</v>
      </c>
      <c r="AK96" s="123">
        <v>300334.00993407</v>
      </c>
      <c r="AL96" s="104">
        <f t="shared" si="63"/>
        <v>6.9491085146195224E-4</v>
      </c>
      <c r="AM96" s="104">
        <f t="shared" si="16"/>
        <v>2.2929615751073062E-2</v>
      </c>
      <c r="AN96" s="108">
        <f t="shared" si="17"/>
        <v>0.14849333831218664</v>
      </c>
      <c r="AO96" s="101">
        <f t="shared" si="18"/>
        <v>1351.5863653175229</v>
      </c>
    </row>
    <row r="97" spans="1:41" ht="15.75" customHeight="1" x14ac:dyDescent="0.3">
      <c r="A97" s="99">
        <v>21303</v>
      </c>
      <c r="B97" s="62" t="s">
        <v>51</v>
      </c>
      <c r="C97" s="62" t="s">
        <v>58</v>
      </c>
      <c r="D97" s="100">
        <v>1</v>
      </c>
      <c r="E97" s="101">
        <v>8663</v>
      </c>
      <c r="F97" s="102">
        <v>0.178797409805735</v>
      </c>
      <c r="G97" s="123">
        <v>422290885</v>
      </c>
      <c r="H97" s="103">
        <f t="shared" si="0"/>
        <v>954922.15534165001</v>
      </c>
      <c r="I97" s="104">
        <f t="shared" si="58"/>
        <v>5.5100186524755235E-7</v>
      </c>
      <c r="J97" s="105">
        <f t="shared" si="2"/>
        <v>6.0736914320612036E-5</v>
      </c>
      <c r="K97" s="106">
        <v>0.81927844588344101</v>
      </c>
      <c r="L97" s="124">
        <v>321118170</v>
      </c>
      <c r="M97" s="103">
        <f t="shared" si="3"/>
        <v>870383.32192861743</v>
      </c>
      <c r="N97" s="104">
        <f t="shared" si="59"/>
        <v>1.9449375405418451E-5</v>
      </c>
      <c r="O97" s="105">
        <f t="shared" si="5"/>
        <v>1.9541050415335178E-3</v>
      </c>
      <c r="P97" s="102">
        <v>1.8131359851988899E-3</v>
      </c>
      <c r="Q97" s="103">
        <v>115475189454</v>
      </c>
      <c r="R97" s="103">
        <f t="shared" si="6"/>
        <v>224969.53246619343</v>
      </c>
      <c r="S97" s="104">
        <f t="shared" si="60"/>
        <v>1.2747690643124528E-7</v>
      </c>
      <c r="T97" s="105">
        <f t="shared" si="8"/>
        <v>3.3104490407565437E-6</v>
      </c>
      <c r="U97" s="104">
        <f t="shared" si="9"/>
        <v>2.0181524048948863E-3</v>
      </c>
      <c r="V97" s="103">
        <f t="shared" si="10"/>
        <v>17.483254283604399</v>
      </c>
      <c r="W97" s="100">
        <v>4359</v>
      </c>
      <c r="X97" s="101">
        <v>11258</v>
      </c>
      <c r="Y97" s="102">
        <v>3985.3395446721688</v>
      </c>
      <c r="Z97" s="124">
        <v>614114060</v>
      </c>
      <c r="AA97" s="103">
        <v>1389217.3666199013</v>
      </c>
      <c r="AB97" s="104">
        <f t="shared" si="61"/>
        <v>8.0082806990557608E-3</v>
      </c>
      <c r="AC97" s="105">
        <f t="shared" si="12"/>
        <v>0.98820772996049266</v>
      </c>
      <c r="AD97" s="102">
        <v>274.59660497165862</v>
      </c>
      <c r="AE97" s="123">
        <v>529749132</v>
      </c>
      <c r="AF97" s="103">
        <v>1298243.3714842624</v>
      </c>
      <c r="AG97" s="104">
        <f t="shared" si="62"/>
        <v>4.5154706987980122E-3</v>
      </c>
      <c r="AH97" s="105">
        <f t="shared" si="14"/>
        <v>0.52071237376496082</v>
      </c>
      <c r="AI97" s="106">
        <v>98.964083829280696</v>
      </c>
      <c r="AJ97" s="123">
        <v>154159215745</v>
      </c>
      <c r="AK97" s="123">
        <v>300334.00993407</v>
      </c>
      <c r="AL97" s="104">
        <f t="shared" si="63"/>
        <v>4.7100012081634814E-3</v>
      </c>
      <c r="AM97" s="104">
        <f t="shared" si="16"/>
        <v>0.12565051959869006</v>
      </c>
      <c r="AN97" s="108">
        <f t="shared" si="17"/>
        <v>1.6345706233241435</v>
      </c>
      <c r="AO97" s="101">
        <f t="shared" si="18"/>
        <v>18401.99607738321</v>
      </c>
    </row>
    <row r="98" spans="1:41" ht="15.75" customHeight="1" x14ac:dyDescent="0.3">
      <c r="A98" s="99">
        <v>21304</v>
      </c>
      <c r="B98" s="62" t="s">
        <v>51</v>
      </c>
      <c r="C98" s="62" t="s">
        <v>61</v>
      </c>
      <c r="D98" s="100">
        <v>1486</v>
      </c>
      <c r="E98" s="101">
        <v>13141.5</v>
      </c>
      <c r="F98" s="102">
        <v>1014.275556146447</v>
      </c>
      <c r="G98" s="123">
        <v>422290885</v>
      </c>
      <c r="H98" s="103">
        <f t="shared" si="0"/>
        <v>954922.15534165001</v>
      </c>
      <c r="I98" s="104">
        <f t="shared" si="58"/>
        <v>3.1257036884309768E-3</v>
      </c>
      <c r="J98" s="105">
        <f t="shared" si="2"/>
        <v>0.2271280830282581</v>
      </c>
      <c r="K98" s="106">
        <v>442.46595363971619</v>
      </c>
      <c r="L98" s="124">
        <v>321118170</v>
      </c>
      <c r="M98" s="103">
        <f t="shared" si="3"/>
        <v>870383.32192861743</v>
      </c>
      <c r="N98" s="104">
        <f t="shared" si="59"/>
        <v>1.0503982473474775E-2</v>
      </c>
      <c r="O98" s="105">
        <f t="shared" si="5"/>
        <v>0.69569616548666058</v>
      </c>
      <c r="P98" s="102">
        <v>29.204342767149619</v>
      </c>
      <c r="Q98" s="103">
        <v>115475189454</v>
      </c>
      <c r="R98" s="103">
        <f t="shared" si="6"/>
        <v>224969.53246619343</v>
      </c>
      <c r="S98" s="104">
        <f t="shared" si="60"/>
        <v>2.05328188327009E-3</v>
      </c>
      <c r="T98" s="105">
        <f t="shared" si="8"/>
        <v>3.5150162865774631E-2</v>
      </c>
      <c r="U98" s="104">
        <f t="shared" si="9"/>
        <v>0.95797441138069339</v>
      </c>
      <c r="V98" s="103">
        <f t="shared" si="10"/>
        <v>12589.220727159383</v>
      </c>
      <c r="W98" s="100">
        <v>12648</v>
      </c>
      <c r="X98" s="101">
        <v>15327</v>
      </c>
      <c r="Y98" s="102">
        <v>9401.2832828814608</v>
      </c>
      <c r="Z98" s="124">
        <v>614114060</v>
      </c>
      <c r="AA98" s="103">
        <v>1389217.3666199013</v>
      </c>
      <c r="AB98" s="104">
        <f t="shared" si="61"/>
        <v>1.8891267511021655E-2</v>
      </c>
      <c r="AC98" s="105">
        <f t="shared" si="12"/>
        <v>1.7122774779000196</v>
      </c>
      <c r="AD98" s="102">
        <v>2562.6977023951699</v>
      </c>
      <c r="AE98" s="123">
        <v>529749132</v>
      </c>
      <c r="AF98" s="103">
        <v>1298243.3714842624</v>
      </c>
      <c r="AG98" s="104">
        <f t="shared" si="62"/>
        <v>4.2141039530465843E-2</v>
      </c>
      <c r="AH98" s="105">
        <f t="shared" si="14"/>
        <v>3.569473819918024</v>
      </c>
      <c r="AI98" s="106">
        <v>683.38563901540613</v>
      </c>
      <c r="AJ98" s="123">
        <v>154159215745</v>
      </c>
      <c r="AK98" s="123">
        <v>300334.00993407</v>
      </c>
      <c r="AL98" s="104">
        <f t="shared" si="63"/>
        <v>3.252439734557315E-2</v>
      </c>
      <c r="AM98" s="104">
        <f t="shared" si="16"/>
        <v>0.63731863218405471</v>
      </c>
      <c r="AN98" s="108">
        <f t="shared" si="17"/>
        <v>5.9190699300020988</v>
      </c>
      <c r="AO98" s="101">
        <f t="shared" si="18"/>
        <v>90721.584817142153</v>
      </c>
    </row>
    <row r="99" spans="1:41" ht="15.75" customHeight="1" x14ac:dyDescent="0.3">
      <c r="A99" s="99">
        <v>21305</v>
      </c>
      <c r="B99" s="62" t="s">
        <v>51</v>
      </c>
      <c r="C99" s="62" t="s">
        <v>91</v>
      </c>
      <c r="D99" s="100">
        <v>462</v>
      </c>
      <c r="E99" s="101">
        <v>23430.5</v>
      </c>
      <c r="F99" s="102">
        <v>366.04643821288539</v>
      </c>
      <c r="G99" s="123">
        <v>422290885</v>
      </c>
      <c r="H99" s="103">
        <f t="shared" si="0"/>
        <v>954922.15534165001</v>
      </c>
      <c r="I99" s="104">
        <f t="shared" si="58"/>
        <v>1.1280491727573864E-3</v>
      </c>
      <c r="J99" s="105">
        <f t="shared" si="2"/>
        <v>4.5974227924322944E-2</v>
      </c>
      <c r="K99" s="106">
        <v>81.549582769398739</v>
      </c>
      <c r="L99" s="124">
        <v>321118170</v>
      </c>
      <c r="M99" s="103">
        <f t="shared" si="3"/>
        <v>870383.32192861743</v>
      </c>
      <c r="N99" s="104">
        <f t="shared" si="59"/>
        <v>1.9359577411156906E-3</v>
      </c>
      <c r="O99" s="105">
        <f t="shared" si="5"/>
        <v>7.1915892952591584E-2</v>
      </c>
      <c r="P99" s="102">
        <v>14.38822135133886</v>
      </c>
      <c r="Q99" s="103">
        <v>115475189454</v>
      </c>
      <c r="R99" s="103">
        <f t="shared" si="6"/>
        <v>224969.53246619343</v>
      </c>
      <c r="S99" s="104">
        <f t="shared" si="60"/>
        <v>1.0115986676616936E-3</v>
      </c>
      <c r="T99" s="105">
        <f t="shared" si="8"/>
        <v>9.712933113133539E-3</v>
      </c>
      <c r="U99" s="104">
        <f t="shared" si="9"/>
        <v>0.12760305399004807</v>
      </c>
      <c r="V99" s="103">
        <f t="shared" si="10"/>
        <v>2989.8033565138212</v>
      </c>
      <c r="W99" s="100">
        <v>4307</v>
      </c>
      <c r="X99" s="101">
        <v>25148</v>
      </c>
      <c r="Y99" s="102">
        <v>3225.989924453932</v>
      </c>
      <c r="Z99" s="124">
        <v>614114060</v>
      </c>
      <c r="AA99" s="103">
        <v>1389217.3666199013</v>
      </c>
      <c r="AB99" s="104">
        <f t="shared" si="61"/>
        <v>6.4824170080790217E-3</v>
      </c>
      <c r="AC99" s="105">
        <f t="shared" si="12"/>
        <v>0.35809950235786536</v>
      </c>
      <c r="AD99" s="102">
        <v>931.73594083003161</v>
      </c>
      <c r="AE99" s="123">
        <v>529749132</v>
      </c>
      <c r="AF99" s="103">
        <v>1298243.3714842624</v>
      </c>
      <c r="AG99" s="104">
        <f t="shared" si="62"/>
        <v>1.5321479813158062E-2</v>
      </c>
      <c r="AH99" s="105">
        <f t="shared" si="14"/>
        <v>0.79095791350256039</v>
      </c>
      <c r="AI99" s="106">
        <v>149.07643754827501</v>
      </c>
      <c r="AJ99" s="123">
        <v>154159215745</v>
      </c>
      <c r="AK99" s="123">
        <v>300334.00993407</v>
      </c>
      <c r="AL99" s="104">
        <f t="shared" si="63"/>
        <v>7.0950002646650735E-3</v>
      </c>
      <c r="AM99" s="104">
        <f t="shared" si="16"/>
        <v>8.4733174803966485E-2</v>
      </c>
      <c r="AN99" s="108">
        <f t="shared" si="17"/>
        <v>1.2337905906643922</v>
      </c>
      <c r="AO99" s="101">
        <f t="shared" si="18"/>
        <v>31027.365774028138</v>
      </c>
    </row>
    <row r="100" spans="1:41" ht="15.75" customHeight="1" x14ac:dyDescent="0.3">
      <c r="A100" s="99">
        <v>21306</v>
      </c>
      <c r="B100" s="62" t="s">
        <v>51</v>
      </c>
      <c r="C100" s="62" t="s">
        <v>68</v>
      </c>
      <c r="D100" s="100">
        <v>3</v>
      </c>
      <c r="E100" s="101">
        <v>10531.75</v>
      </c>
      <c r="F100" s="102">
        <v>0.50056979899007903</v>
      </c>
      <c r="G100" s="123">
        <v>422290885</v>
      </c>
      <c r="H100" s="103">
        <f t="shared" si="0"/>
        <v>954922.15534165001</v>
      </c>
      <c r="I100" s="104">
        <f t="shared" si="58"/>
        <v>1.5426112337410327E-6</v>
      </c>
      <c r="J100" s="105">
        <f t="shared" si="2"/>
        <v>1.3986978841866061E-4</v>
      </c>
      <c r="K100" s="106">
        <v>2.490907730370127</v>
      </c>
      <c r="L100" s="124">
        <v>321118170</v>
      </c>
      <c r="M100" s="103">
        <f t="shared" si="3"/>
        <v>870383.32192861743</v>
      </c>
      <c r="N100" s="104">
        <f t="shared" si="59"/>
        <v>5.9133252914992414E-5</v>
      </c>
      <c r="O100" s="105">
        <f t="shared" si="5"/>
        <v>4.8869938147597693E-3</v>
      </c>
      <c r="P100" s="102">
        <v>8.3004539885445996E-3</v>
      </c>
      <c r="Q100" s="103">
        <v>115475189454</v>
      </c>
      <c r="R100" s="103">
        <f t="shared" si="6"/>
        <v>224969.53246619343</v>
      </c>
      <c r="S100" s="104">
        <f t="shared" si="60"/>
        <v>5.8358347364579368E-7</v>
      </c>
      <c r="T100" s="105">
        <f t="shared" si="8"/>
        <v>1.2465972057928769E-5</v>
      </c>
      <c r="U100" s="104">
        <f t="shared" si="9"/>
        <v>5.0393295752363589E-3</v>
      </c>
      <c r="V100" s="103">
        <f t="shared" si="10"/>
        <v>53.072959253995521</v>
      </c>
      <c r="W100" s="100">
        <v>242</v>
      </c>
      <c r="X100" s="101">
        <v>12490</v>
      </c>
      <c r="Y100" s="102">
        <v>76.068092897043101</v>
      </c>
      <c r="Z100" s="124">
        <v>614114060</v>
      </c>
      <c r="AA100" s="103">
        <v>1389217.3666199013</v>
      </c>
      <c r="AB100" s="104">
        <f t="shared" si="61"/>
        <v>1.5285388693561897E-4</v>
      </c>
      <c r="AC100" s="105">
        <f t="shared" si="12"/>
        <v>1.7001383049344815E-2</v>
      </c>
      <c r="AD100" s="102">
        <v>162.34040908019961</v>
      </c>
      <c r="AE100" s="123">
        <v>529749132</v>
      </c>
      <c r="AF100" s="103">
        <v>1298243.3714842624</v>
      </c>
      <c r="AG100" s="104">
        <f t="shared" si="62"/>
        <v>2.6695281265701819E-3</v>
      </c>
      <c r="AH100" s="105">
        <f t="shared" si="14"/>
        <v>0.27747775783110806</v>
      </c>
      <c r="AI100" s="106">
        <v>3.5715630676742141</v>
      </c>
      <c r="AJ100" s="123">
        <v>154159215745</v>
      </c>
      <c r="AK100" s="123">
        <v>300334.00993407</v>
      </c>
      <c r="AL100" s="104">
        <f t="shared" si="63"/>
        <v>1.6998152979212888E-4</v>
      </c>
      <c r="AM100" s="104">
        <f t="shared" si="16"/>
        <v>4.0873686514970101E-3</v>
      </c>
      <c r="AN100" s="108">
        <f t="shared" si="17"/>
        <v>0.29856650953194991</v>
      </c>
      <c r="AO100" s="101">
        <f t="shared" si="18"/>
        <v>3729.0957040540543</v>
      </c>
    </row>
    <row r="101" spans="1:41" ht="15.75" customHeight="1" x14ac:dyDescent="0.3">
      <c r="A101" s="99">
        <v>21307</v>
      </c>
      <c r="B101" s="62" t="s">
        <v>51</v>
      </c>
      <c r="C101" s="62" t="s">
        <v>67</v>
      </c>
      <c r="D101" s="100">
        <v>127</v>
      </c>
      <c r="E101" s="101">
        <v>5163</v>
      </c>
      <c r="F101" s="102">
        <v>64.829719053476111</v>
      </c>
      <c r="G101" s="123">
        <v>422290885</v>
      </c>
      <c r="H101" s="103">
        <f t="shared" si="0"/>
        <v>954922.15534165001</v>
      </c>
      <c r="I101" s="104">
        <f t="shared" si="58"/>
        <v>1.9978642957273058E-4</v>
      </c>
      <c r="J101" s="105">
        <f t="shared" si="2"/>
        <v>3.6951479359985405E-2</v>
      </c>
      <c r="K101" s="106">
        <v>59.455718061800731</v>
      </c>
      <c r="L101" s="124">
        <v>321118170</v>
      </c>
      <c r="M101" s="103">
        <f t="shared" si="3"/>
        <v>870383.32192861743</v>
      </c>
      <c r="N101" s="104">
        <f t="shared" si="59"/>
        <v>1.4114573456594985E-3</v>
      </c>
      <c r="O101" s="105">
        <f t="shared" si="5"/>
        <v>0.23794478661159466</v>
      </c>
      <c r="P101" s="102">
        <v>2.7060856907854811</v>
      </c>
      <c r="Q101" s="103">
        <v>115475189454</v>
      </c>
      <c r="R101" s="103">
        <f t="shared" si="6"/>
        <v>224969.53246619343</v>
      </c>
      <c r="S101" s="104">
        <f t="shared" si="60"/>
        <v>1.9025789307322813E-4</v>
      </c>
      <c r="T101" s="105">
        <f t="shared" si="8"/>
        <v>8.2901857936639855E-3</v>
      </c>
      <c r="U101" s="104">
        <f t="shared" si="9"/>
        <v>0.28318645176524404</v>
      </c>
      <c r="V101" s="103">
        <f t="shared" si="10"/>
        <v>1462.0916504639549</v>
      </c>
      <c r="W101" s="100">
        <v>437</v>
      </c>
      <c r="X101" s="101">
        <v>5526</v>
      </c>
      <c r="Y101" s="102">
        <v>239.26829510796611</v>
      </c>
      <c r="Z101" s="124">
        <v>614114060</v>
      </c>
      <c r="AA101" s="103">
        <v>1389217.3666199013</v>
      </c>
      <c r="AB101" s="104">
        <f t="shared" si="61"/>
        <v>4.8079408244416526E-4</v>
      </c>
      <c r="AC101" s="105">
        <f t="shared" si="12"/>
        <v>0.12086997631189197</v>
      </c>
      <c r="AD101" s="102">
        <v>184.14772751284741</v>
      </c>
      <c r="AE101" s="123">
        <v>529749132</v>
      </c>
      <c r="AF101" s="103">
        <v>1298243.3714842624</v>
      </c>
      <c r="AG101" s="104">
        <f t="shared" si="62"/>
        <v>3.0281279985975226E-3</v>
      </c>
      <c r="AH101" s="105">
        <f t="shared" si="14"/>
        <v>0.71140917520541802</v>
      </c>
      <c r="AI101" s="106">
        <v>13.559812845336291</v>
      </c>
      <c r="AJ101" s="123">
        <v>154159215745</v>
      </c>
      <c r="AK101" s="123">
        <v>300334.00993407</v>
      </c>
      <c r="AL101" s="104">
        <f t="shared" si="63"/>
        <v>6.4535266141784104E-4</v>
      </c>
      <c r="AM101" s="104">
        <f t="shared" si="16"/>
        <v>3.5074439490634164E-2</v>
      </c>
      <c r="AN101" s="108">
        <f t="shared" si="17"/>
        <v>0.86735359100794418</v>
      </c>
      <c r="AO101" s="101">
        <f t="shared" si="18"/>
        <v>4792.9959439098993</v>
      </c>
    </row>
    <row r="102" spans="1:41" ht="15.75" customHeight="1" x14ac:dyDescent="0.3">
      <c r="A102" s="99">
        <v>21401</v>
      </c>
      <c r="B102" s="62" t="s">
        <v>51</v>
      </c>
      <c r="C102" s="62" t="s">
        <v>72</v>
      </c>
      <c r="D102" s="100">
        <v>29</v>
      </c>
      <c r="E102" s="101">
        <v>21475.5</v>
      </c>
      <c r="F102" s="102">
        <v>15.98823891242515</v>
      </c>
      <c r="G102" s="123">
        <v>422290885</v>
      </c>
      <c r="H102" s="103">
        <f t="shared" si="0"/>
        <v>954922.15534165001</v>
      </c>
      <c r="I102" s="104">
        <f t="shared" si="58"/>
        <v>4.9271124633972105E-5</v>
      </c>
      <c r="J102" s="105">
        <f t="shared" si="2"/>
        <v>2.1908727867374317E-3</v>
      </c>
      <c r="K102" s="106">
        <v>12.531583396640171</v>
      </c>
      <c r="L102" s="124">
        <v>321118170</v>
      </c>
      <c r="M102" s="103">
        <f t="shared" si="3"/>
        <v>870383.32192861743</v>
      </c>
      <c r="N102" s="104">
        <f t="shared" si="59"/>
        <v>2.9749527908395543E-4</v>
      </c>
      <c r="O102" s="105">
        <f t="shared" si="5"/>
        <v>1.2057224710352459E-2</v>
      </c>
      <c r="P102" s="102">
        <v>0.47821299721290172</v>
      </c>
      <c r="Q102" s="103">
        <v>115475189454</v>
      </c>
      <c r="R102" s="103">
        <f t="shared" si="6"/>
        <v>224969.53246619343</v>
      </c>
      <c r="S102" s="104">
        <f t="shared" si="60"/>
        <v>3.3621920251738523E-5</v>
      </c>
      <c r="T102" s="105">
        <f t="shared" si="8"/>
        <v>3.5221101625802683E-4</v>
      </c>
      <c r="U102" s="104">
        <f t="shared" si="9"/>
        <v>1.4600308513347917E-2</v>
      </c>
      <c r="V102" s="103">
        <f t="shared" si="10"/>
        <v>313.54892547840325</v>
      </c>
      <c r="W102" s="100">
        <v>45</v>
      </c>
      <c r="X102" s="101">
        <v>27711</v>
      </c>
      <c r="Y102" s="102">
        <v>37.982479940745698</v>
      </c>
      <c r="Z102" s="124">
        <v>614114060</v>
      </c>
      <c r="AA102" s="103">
        <v>1389217.3666199013</v>
      </c>
      <c r="AB102" s="104">
        <f t="shared" si="61"/>
        <v>7.6323323923148308E-5</v>
      </c>
      <c r="AC102" s="105">
        <f t="shared" si="12"/>
        <v>3.8262670806608859E-3</v>
      </c>
      <c r="AD102" s="102">
        <v>5.2711833975368654</v>
      </c>
      <c r="AE102" s="123">
        <v>529749132</v>
      </c>
      <c r="AF102" s="103">
        <v>1298243.3714842624</v>
      </c>
      <c r="AG102" s="104">
        <f t="shared" si="62"/>
        <v>8.667941900456084E-5</v>
      </c>
      <c r="AH102" s="105">
        <f t="shared" si="14"/>
        <v>4.0608776719273255E-3</v>
      </c>
      <c r="AI102" s="106">
        <v>1.744381909296389</v>
      </c>
      <c r="AJ102" s="123">
        <v>154159215745</v>
      </c>
      <c r="AK102" s="123">
        <v>300334.00993407</v>
      </c>
      <c r="AL102" s="104">
        <f t="shared" si="63"/>
        <v>8.3020431073334676E-5</v>
      </c>
      <c r="AM102" s="104">
        <f t="shared" si="16"/>
        <v>8.997819988708337E-4</v>
      </c>
      <c r="AN102" s="108">
        <f t="shared" si="17"/>
        <v>8.7869267514590448E-3</v>
      </c>
      <c r="AO102" s="101">
        <f t="shared" si="18"/>
        <v>243.49452720968159</v>
      </c>
    </row>
    <row r="103" spans="1:41" ht="15.75" customHeight="1" x14ac:dyDescent="0.3">
      <c r="A103" s="99">
        <v>21402</v>
      </c>
      <c r="B103" s="62" t="s">
        <v>51</v>
      </c>
      <c r="C103" s="62" t="s">
        <v>334</v>
      </c>
      <c r="D103" s="112"/>
      <c r="E103" s="113">
        <v>18580</v>
      </c>
      <c r="F103" s="114"/>
      <c r="G103" s="123">
        <v>422290885</v>
      </c>
      <c r="H103" s="103">
        <f t="shared" si="0"/>
        <v>954922.15534165001</v>
      </c>
      <c r="I103" s="104">
        <f t="shared" si="58"/>
        <v>0</v>
      </c>
      <c r="J103" s="105">
        <f t="shared" si="2"/>
        <v>0</v>
      </c>
      <c r="K103" s="115"/>
      <c r="L103" s="124">
        <v>321118170</v>
      </c>
      <c r="M103" s="103">
        <f t="shared" si="3"/>
        <v>870383.32192861743</v>
      </c>
      <c r="N103" s="104">
        <f t="shared" si="59"/>
        <v>0</v>
      </c>
      <c r="O103" s="105">
        <f t="shared" si="5"/>
        <v>0</v>
      </c>
      <c r="P103" s="114"/>
      <c r="Q103" s="103">
        <v>115475189454</v>
      </c>
      <c r="R103" s="103">
        <f t="shared" si="6"/>
        <v>224969.53246619343</v>
      </c>
      <c r="S103" s="104">
        <f t="shared" si="60"/>
        <v>0</v>
      </c>
      <c r="T103" s="105">
        <f t="shared" si="8"/>
        <v>0</v>
      </c>
      <c r="U103" s="104">
        <f t="shared" si="9"/>
        <v>0</v>
      </c>
      <c r="V103" s="103">
        <f t="shared" si="10"/>
        <v>0</v>
      </c>
      <c r="W103" s="100">
        <v>36</v>
      </c>
      <c r="X103" s="101">
        <v>23530</v>
      </c>
      <c r="Y103" s="102">
        <v>29.688582513603109</v>
      </c>
      <c r="Z103" s="124">
        <v>614114060</v>
      </c>
      <c r="AA103" s="103">
        <v>1389217.3666199013</v>
      </c>
      <c r="AB103" s="104">
        <f t="shared" si="61"/>
        <v>5.9657276290010471E-5</v>
      </c>
      <c r="AC103" s="105">
        <f t="shared" si="12"/>
        <v>3.5221812268306082E-3</v>
      </c>
      <c r="AD103" s="102">
        <v>4.1642256414447818</v>
      </c>
      <c r="AE103" s="123">
        <v>529749132</v>
      </c>
      <c r="AF103" s="103">
        <v>1298243.3714842624</v>
      </c>
      <c r="AG103" s="104">
        <f t="shared" si="62"/>
        <v>6.8476589027996151E-5</v>
      </c>
      <c r="AH103" s="105">
        <f t="shared" si="14"/>
        <v>3.7781248536951965E-3</v>
      </c>
      <c r="AI103" s="106">
        <v>2.1454302647287751</v>
      </c>
      <c r="AJ103" s="123">
        <v>154159215745</v>
      </c>
      <c r="AK103" s="123">
        <v>300334.00993407</v>
      </c>
      <c r="AL103" s="104">
        <f t="shared" si="63"/>
        <v>1.021075399064448E-4</v>
      </c>
      <c r="AM103" s="104">
        <f t="shared" si="16"/>
        <v>1.3032880112454587E-3</v>
      </c>
      <c r="AN103" s="108">
        <f t="shared" si="17"/>
        <v>8.6035940917712633E-3</v>
      </c>
      <c r="AO103" s="101">
        <f t="shared" si="18"/>
        <v>202.44256897937782</v>
      </c>
    </row>
    <row r="104" spans="1:41" ht="15.75" customHeight="1" x14ac:dyDescent="0.3">
      <c r="A104" s="99">
        <v>21501</v>
      </c>
      <c r="B104" s="62" t="s">
        <v>51</v>
      </c>
      <c r="C104" s="62" t="s">
        <v>353</v>
      </c>
      <c r="D104" s="112"/>
      <c r="E104" s="113">
        <v>10170.25</v>
      </c>
      <c r="F104" s="114"/>
      <c r="G104" s="123">
        <v>422290885</v>
      </c>
      <c r="H104" s="103">
        <f t="shared" si="0"/>
        <v>954922.15534165001</v>
      </c>
      <c r="I104" s="104">
        <f t="shared" si="58"/>
        <v>0</v>
      </c>
      <c r="J104" s="105">
        <f t="shared" si="2"/>
        <v>0</v>
      </c>
      <c r="K104" s="115"/>
      <c r="L104" s="124">
        <v>321118170</v>
      </c>
      <c r="M104" s="103">
        <f t="shared" si="3"/>
        <v>870383.32192861743</v>
      </c>
      <c r="N104" s="104">
        <f t="shared" si="59"/>
        <v>0</v>
      </c>
      <c r="O104" s="105">
        <f t="shared" si="5"/>
        <v>0</v>
      </c>
      <c r="P104" s="114"/>
      <c r="Q104" s="103">
        <v>115475189454</v>
      </c>
      <c r="R104" s="103">
        <f t="shared" si="6"/>
        <v>224969.53246619343</v>
      </c>
      <c r="S104" s="104">
        <f t="shared" si="60"/>
        <v>0</v>
      </c>
      <c r="T104" s="105">
        <f t="shared" si="8"/>
        <v>0</v>
      </c>
      <c r="U104" s="104">
        <f t="shared" si="9"/>
        <v>0</v>
      </c>
      <c r="V104" s="103">
        <f t="shared" si="10"/>
        <v>0</v>
      </c>
      <c r="W104" s="100">
        <v>57</v>
      </c>
      <c r="X104" s="101">
        <v>12595</v>
      </c>
      <c r="Y104" s="102">
        <v>46.854752395732703</v>
      </c>
      <c r="Z104" s="124">
        <v>614114060</v>
      </c>
      <c r="AA104" s="103">
        <v>1389217.3666199013</v>
      </c>
      <c r="AB104" s="104">
        <f t="shared" si="61"/>
        <v>9.4151578570364619E-5</v>
      </c>
      <c r="AC104" s="105">
        <f t="shared" si="12"/>
        <v>1.0384835890800212E-2</v>
      </c>
      <c r="AD104" s="102">
        <v>9.1497506911317235</v>
      </c>
      <c r="AE104" s="123">
        <v>529749132</v>
      </c>
      <c r="AF104" s="103">
        <v>1298243.3714842624</v>
      </c>
      <c r="AG104" s="104">
        <f t="shared" si="62"/>
        <v>1.5045863786763267E-4</v>
      </c>
      <c r="AH104" s="105">
        <f t="shared" si="14"/>
        <v>1.5508688312362457E-2</v>
      </c>
      <c r="AI104" s="106">
        <v>0.99401248431955991</v>
      </c>
      <c r="AJ104" s="123">
        <v>154159215745</v>
      </c>
      <c r="AK104" s="123">
        <v>300334.00993407</v>
      </c>
      <c r="AL104" s="104">
        <f t="shared" si="63"/>
        <v>4.7308071988531837E-5</v>
      </c>
      <c r="AM104" s="104">
        <f t="shared" si="16"/>
        <v>1.1280843955986835E-3</v>
      </c>
      <c r="AN104" s="108">
        <f t="shared" si="17"/>
        <v>2.7021608598761352E-2</v>
      </c>
      <c r="AO104" s="101">
        <f t="shared" si="18"/>
        <v>340.33716030139919</v>
      </c>
    </row>
    <row r="105" spans="1:41" ht="15.75" customHeight="1" x14ac:dyDescent="0.3">
      <c r="A105" s="99">
        <v>21502</v>
      </c>
      <c r="B105" s="62" t="s">
        <v>51</v>
      </c>
      <c r="C105" s="62" t="s">
        <v>384</v>
      </c>
      <c r="D105" s="112"/>
      <c r="E105" s="113">
        <v>9059.5</v>
      </c>
      <c r="F105" s="114"/>
      <c r="G105" s="123">
        <v>422290885</v>
      </c>
      <c r="H105" s="103">
        <f t="shared" si="0"/>
        <v>954922.15534165001</v>
      </c>
      <c r="I105" s="104">
        <f t="shared" si="58"/>
        <v>0</v>
      </c>
      <c r="J105" s="105">
        <f t="shared" si="2"/>
        <v>0</v>
      </c>
      <c r="K105" s="115"/>
      <c r="L105" s="124">
        <v>321118170</v>
      </c>
      <c r="M105" s="103">
        <f t="shared" si="3"/>
        <v>870383.32192861743</v>
      </c>
      <c r="N105" s="104">
        <f t="shared" si="59"/>
        <v>0</v>
      </c>
      <c r="O105" s="105">
        <f t="shared" si="5"/>
        <v>0</v>
      </c>
      <c r="P105" s="114"/>
      <c r="Q105" s="103">
        <v>115475189454</v>
      </c>
      <c r="R105" s="103">
        <f t="shared" si="6"/>
        <v>224969.53246619343</v>
      </c>
      <c r="S105" s="104">
        <f t="shared" si="60"/>
        <v>0</v>
      </c>
      <c r="T105" s="105">
        <f t="shared" si="8"/>
        <v>0</v>
      </c>
      <c r="U105" s="104">
        <f t="shared" si="9"/>
        <v>0</v>
      </c>
      <c r="V105" s="103">
        <f t="shared" si="10"/>
        <v>0</v>
      </c>
      <c r="W105" s="100">
        <v>90</v>
      </c>
      <c r="X105" s="101">
        <v>10105</v>
      </c>
      <c r="Y105" s="102">
        <v>51.827091143307307</v>
      </c>
      <c r="Z105" s="124">
        <v>614114060</v>
      </c>
      <c r="AA105" s="103">
        <v>1389217.3666199013</v>
      </c>
      <c r="AB105" s="104">
        <f t="shared" si="61"/>
        <v>1.0414316999564287E-4</v>
      </c>
      <c r="AC105" s="105">
        <f t="shared" si="12"/>
        <v>1.4317417157129708E-2</v>
      </c>
      <c r="AD105" s="102">
        <v>37.340220634911631</v>
      </c>
      <c r="AE105" s="123">
        <v>529749132</v>
      </c>
      <c r="AF105" s="103">
        <v>1298243.3714842624</v>
      </c>
      <c r="AG105" s="104">
        <f t="shared" si="62"/>
        <v>6.1402314927017641E-4</v>
      </c>
      <c r="AH105" s="105">
        <f t="shared" si="14"/>
        <v>7.8886836563869203E-2</v>
      </c>
      <c r="AI105" s="106">
        <v>0.8296136165553305</v>
      </c>
      <c r="AJ105" s="123">
        <v>154159215745</v>
      </c>
      <c r="AK105" s="123">
        <v>300334.00993407</v>
      </c>
      <c r="AL105" s="104">
        <f t="shared" si="63"/>
        <v>3.948383075040773E-5</v>
      </c>
      <c r="AM105" s="104">
        <f t="shared" si="16"/>
        <v>1.1735118472863031E-3</v>
      </c>
      <c r="AN105" s="108">
        <f t="shared" si="17"/>
        <v>9.4377765568285213E-2</v>
      </c>
      <c r="AO105" s="101">
        <f t="shared" si="18"/>
        <v>953.68732106752202</v>
      </c>
    </row>
    <row r="106" spans="1:41" ht="15.75" customHeight="1" x14ac:dyDescent="0.3">
      <c r="A106" s="99">
        <v>21601</v>
      </c>
      <c r="B106" s="62" t="s">
        <v>51</v>
      </c>
      <c r="C106" s="62" t="s">
        <v>779</v>
      </c>
      <c r="D106" s="112">
        <v>0</v>
      </c>
      <c r="E106" s="113">
        <v>13708</v>
      </c>
      <c r="F106" s="114">
        <v>0</v>
      </c>
      <c r="G106" s="123">
        <v>422290885</v>
      </c>
      <c r="H106" s="103">
        <f t="shared" si="0"/>
        <v>954922.15534165001</v>
      </c>
      <c r="I106" s="104">
        <f t="shared" si="58"/>
        <v>0</v>
      </c>
      <c r="J106" s="105">
        <f t="shared" si="2"/>
        <v>0</v>
      </c>
      <c r="K106" s="115">
        <v>0</v>
      </c>
      <c r="L106" s="124">
        <v>321118170</v>
      </c>
      <c r="M106" s="103">
        <f t="shared" si="3"/>
        <v>870383.32192861743</v>
      </c>
      <c r="N106" s="104">
        <f t="shared" si="59"/>
        <v>0</v>
      </c>
      <c r="O106" s="105">
        <f t="shared" si="5"/>
        <v>0</v>
      </c>
      <c r="P106" s="114">
        <v>0</v>
      </c>
      <c r="Q106" s="103">
        <v>115475189454</v>
      </c>
      <c r="R106" s="103">
        <f t="shared" si="6"/>
        <v>224969.53246619343</v>
      </c>
      <c r="S106" s="104">
        <f t="shared" si="60"/>
        <v>0</v>
      </c>
      <c r="T106" s="105">
        <f t="shared" si="8"/>
        <v>0</v>
      </c>
      <c r="U106" s="104">
        <f t="shared" si="9"/>
        <v>0</v>
      </c>
      <c r="V106" s="103">
        <f t="shared" si="10"/>
        <v>0</v>
      </c>
      <c r="W106" s="121">
        <v>41</v>
      </c>
      <c r="X106" s="101">
        <v>15763</v>
      </c>
      <c r="Y106" s="114">
        <v>29.590756066848385</v>
      </c>
      <c r="Z106" s="124">
        <v>614114060</v>
      </c>
      <c r="AA106" s="103">
        <v>1389217.3666199013</v>
      </c>
      <c r="AB106" s="104">
        <f t="shared" si="61"/>
        <v>5.9460700405666973E-5</v>
      </c>
      <c r="AC106" s="105">
        <f t="shared" si="12"/>
        <v>5.2403627250482507E-3</v>
      </c>
      <c r="AD106" s="114">
        <v>9.6905515658424584</v>
      </c>
      <c r="AE106" s="123">
        <v>529749132</v>
      </c>
      <c r="AF106" s="103">
        <v>1298243.3714842624</v>
      </c>
      <c r="AG106" s="104">
        <f t="shared" si="62"/>
        <v>1.5935157557854391E-4</v>
      </c>
      <c r="AH106" s="105">
        <f t="shared" si="14"/>
        <v>1.3124222973445289E-2</v>
      </c>
      <c r="AI106" s="115">
        <v>1.7166904050405045</v>
      </c>
      <c r="AJ106" s="123">
        <v>154159215745</v>
      </c>
      <c r="AK106" s="123">
        <v>300334.00993407</v>
      </c>
      <c r="AL106" s="104">
        <f t="shared" si="63"/>
        <v>8.1702508313335445E-5</v>
      </c>
      <c r="AM106" s="104">
        <f t="shared" si="16"/>
        <v>1.5566860333322162E-3</v>
      </c>
      <c r="AN106" s="108">
        <f t="shared" si="17"/>
        <v>1.9921271731825757E-2</v>
      </c>
      <c r="AO106" s="101">
        <f t="shared" si="18"/>
        <v>314.01900630876941</v>
      </c>
    </row>
    <row r="107" spans="1:41" ht="15.75" customHeight="1" x14ac:dyDescent="0.3">
      <c r="A107" s="99">
        <v>21602</v>
      </c>
      <c r="B107" s="62" t="s">
        <v>51</v>
      </c>
      <c r="C107" s="62" t="s">
        <v>780</v>
      </c>
      <c r="D107" s="112"/>
      <c r="E107" s="113">
        <v>4116.5</v>
      </c>
      <c r="F107" s="114"/>
      <c r="G107" s="123">
        <v>422290885</v>
      </c>
      <c r="H107" s="103">
        <f t="shared" si="0"/>
        <v>954922.15534165001</v>
      </c>
      <c r="I107" s="104">
        <f t="shared" si="58"/>
        <v>0</v>
      </c>
      <c r="J107" s="105">
        <f t="shared" si="2"/>
        <v>0</v>
      </c>
      <c r="K107" s="115"/>
      <c r="L107" s="124">
        <v>321118170</v>
      </c>
      <c r="M107" s="103">
        <f t="shared" si="3"/>
        <v>870383.32192861743</v>
      </c>
      <c r="N107" s="104">
        <f t="shared" si="59"/>
        <v>0</v>
      </c>
      <c r="O107" s="105">
        <f t="shared" si="5"/>
        <v>0</v>
      </c>
      <c r="P107" s="114"/>
      <c r="Q107" s="103">
        <v>115475189454</v>
      </c>
      <c r="R107" s="103">
        <f t="shared" si="6"/>
        <v>224969.53246619343</v>
      </c>
      <c r="S107" s="104">
        <f t="shared" si="60"/>
        <v>0</v>
      </c>
      <c r="T107" s="105">
        <f t="shared" si="8"/>
        <v>0</v>
      </c>
      <c r="U107" s="104">
        <f t="shared" si="9"/>
        <v>0</v>
      </c>
      <c r="V107" s="103">
        <f t="shared" si="10"/>
        <v>0</v>
      </c>
      <c r="W107" s="112"/>
      <c r="X107" s="101">
        <v>6611</v>
      </c>
      <c r="Y107" s="114"/>
      <c r="Z107" s="124">
        <v>614114060</v>
      </c>
      <c r="AA107" s="103">
        <v>1389217.3666199013</v>
      </c>
      <c r="AB107" s="104">
        <f t="shared" si="61"/>
        <v>0</v>
      </c>
      <c r="AC107" s="105">
        <f t="shared" si="12"/>
        <v>0</v>
      </c>
      <c r="AD107" s="114"/>
      <c r="AE107" s="123">
        <v>529749132</v>
      </c>
      <c r="AF107" s="103">
        <v>1298243.3714842624</v>
      </c>
      <c r="AG107" s="104">
        <f t="shared" si="62"/>
        <v>0</v>
      </c>
      <c r="AH107" s="105">
        <f t="shared" si="14"/>
        <v>0</v>
      </c>
      <c r="AI107" s="115"/>
      <c r="AJ107" s="123">
        <v>154159215745</v>
      </c>
      <c r="AK107" s="123">
        <v>300334.00993407</v>
      </c>
      <c r="AL107" s="104">
        <f t="shared" si="63"/>
        <v>0</v>
      </c>
      <c r="AM107" s="104">
        <f t="shared" si="16"/>
        <v>0</v>
      </c>
      <c r="AN107" s="108">
        <f t="shared" si="17"/>
        <v>0</v>
      </c>
      <c r="AO107" s="101">
        <f t="shared" si="18"/>
        <v>0</v>
      </c>
    </row>
    <row r="108" spans="1:41" ht="15.75" customHeight="1" x14ac:dyDescent="0.3">
      <c r="A108" s="99">
        <v>21701</v>
      </c>
      <c r="B108" s="62" t="s">
        <v>51</v>
      </c>
      <c r="C108" s="62" t="s">
        <v>70</v>
      </c>
      <c r="D108" s="100">
        <v>2</v>
      </c>
      <c r="E108" s="101">
        <v>15564</v>
      </c>
      <c r="F108" s="102">
        <v>1.849872476620714</v>
      </c>
      <c r="G108" s="123">
        <v>422290885</v>
      </c>
      <c r="H108" s="103">
        <f t="shared" si="0"/>
        <v>954922.15534165001</v>
      </c>
      <c r="I108" s="104">
        <f t="shared" si="58"/>
        <v>5.7007715391155996E-6</v>
      </c>
      <c r="J108" s="105">
        <f t="shared" si="2"/>
        <v>3.4976825014408917E-4</v>
      </c>
      <c r="K108" s="106">
        <v>7.0212872359932593E-2</v>
      </c>
      <c r="L108" s="124">
        <v>321118170</v>
      </c>
      <c r="M108" s="103">
        <f t="shared" si="3"/>
        <v>870383.32192861743</v>
      </c>
      <c r="N108" s="104">
        <f t="shared" si="59"/>
        <v>1.6668283166518722E-6</v>
      </c>
      <c r="O108" s="105">
        <f t="shared" si="5"/>
        <v>9.3213798980476862E-5</v>
      </c>
      <c r="P108" s="102">
        <v>7.9864641851006002E-2</v>
      </c>
      <c r="Q108" s="103">
        <v>115475189454</v>
      </c>
      <c r="R108" s="103">
        <f t="shared" si="6"/>
        <v>224969.53246619343</v>
      </c>
      <c r="S108" s="104">
        <f t="shared" si="60"/>
        <v>5.6150766183645218E-6</v>
      </c>
      <c r="T108" s="105">
        <f t="shared" si="8"/>
        <v>8.1163014751691129E-5</v>
      </c>
      <c r="U108" s="104">
        <f t="shared" si="9"/>
        <v>5.2414506387625721E-4</v>
      </c>
      <c r="V108" s="103">
        <f t="shared" si="10"/>
        <v>8.1577937741700666</v>
      </c>
      <c r="W108" s="100">
        <v>222</v>
      </c>
      <c r="X108" s="101">
        <v>17463</v>
      </c>
      <c r="Y108" s="102">
        <v>175.04916374767129</v>
      </c>
      <c r="Z108" s="124">
        <v>614114060</v>
      </c>
      <c r="AA108" s="103">
        <v>1389217.3666199013</v>
      </c>
      <c r="AB108" s="104">
        <f t="shared" si="61"/>
        <v>3.5174991332931501E-4</v>
      </c>
      <c r="AC108" s="105">
        <f t="shared" si="12"/>
        <v>2.7982425030300035E-2</v>
      </c>
      <c r="AD108" s="102">
        <v>37.529117823798828</v>
      </c>
      <c r="AE108" s="123">
        <v>529749132</v>
      </c>
      <c r="AF108" s="103">
        <v>1298243.3714842624</v>
      </c>
      <c r="AG108" s="104">
        <f t="shared" si="62"/>
        <v>6.1712937748298867E-4</v>
      </c>
      <c r="AH108" s="105">
        <f t="shared" si="14"/>
        <v>4.5878951134713346E-2</v>
      </c>
      <c r="AI108" s="106">
        <v>9.4087445779213219</v>
      </c>
      <c r="AJ108" s="123">
        <v>154159215745</v>
      </c>
      <c r="AK108" s="123">
        <v>300334.00993407</v>
      </c>
      <c r="AL108" s="104">
        <f t="shared" si="63"/>
        <v>4.4779071977019006E-4</v>
      </c>
      <c r="AM108" s="104">
        <f t="shared" si="16"/>
        <v>7.7012416239961405E-3</v>
      </c>
      <c r="AN108" s="108">
        <f t="shared" si="17"/>
        <v>8.1562617789009528E-2</v>
      </c>
      <c r="AO108" s="101">
        <f t="shared" si="18"/>
        <v>1424.3279944494732</v>
      </c>
    </row>
    <row r="109" spans="1:41" ht="15.75" customHeight="1" x14ac:dyDescent="0.3">
      <c r="A109" s="99">
        <v>21702</v>
      </c>
      <c r="B109" s="62" t="s">
        <v>51</v>
      </c>
      <c r="C109" s="62" t="s">
        <v>386</v>
      </c>
      <c r="D109" s="112"/>
      <c r="E109" s="113">
        <v>6830</v>
      </c>
      <c r="F109" s="114"/>
      <c r="G109" s="123">
        <v>422290885</v>
      </c>
      <c r="H109" s="103">
        <f t="shared" si="0"/>
        <v>954922.15534165001</v>
      </c>
      <c r="I109" s="104">
        <f t="shared" si="58"/>
        <v>0</v>
      </c>
      <c r="J109" s="105">
        <f t="shared" si="2"/>
        <v>0</v>
      </c>
      <c r="K109" s="115"/>
      <c r="L109" s="124">
        <v>321118170</v>
      </c>
      <c r="M109" s="103">
        <f t="shared" si="3"/>
        <v>870383.32192861743</v>
      </c>
      <c r="N109" s="104">
        <f t="shared" si="59"/>
        <v>0</v>
      </c>
      <c r="O109" s="105">
        <f t="shared" si="5"/>
        <v>0</v>
      </c>
      <c r="P109" s="114"/>
      <c r="Q109" s="103">
        <v>115475189454</v>
      </c>
      <c r="R109" s="103">
        <f t="shared" si="6"/>
        <v>224969.53246619343</v>
      </c>
      <c r="S109" s="104">
        <f t="shared" si="60"/>
        <v>0</v>
      </c>
      <c r="T109" s="105">
        <f t="shared" si="8"/>
        <v>0</v>
      </c>
      <c r="U109" s="104">
        <f t="shared" si="9"/>
        <v>0</v>
      </c>
      <c r="V109" s="103">
        <f t="shared" si="10"/>
        <v>0</v>
      </c>
      <c r="W109" s="100">
        <v>615</v>
      </c>
      <c r="X109" s="101">
        <v>9164</v>
      </c>
      <c r="Y109" s="102">
        <v>477.89183570199327</v>
      </c>
      <c r="Z109" s="124">
        <v>614114060</v>
      </c>
      <c r="AA109" s="103">
        <v>1389217.3666199013</v>
      </c>
      <c r="AB109" s="104">
        <f t="shared" si="61"/>
        <v>9.6029257261275914E-4</v>
      </c>
      <c r="AC109" s="105">
        <f t="shared" si="12"/>
        <v>0.14557563497487425</v>
      </c>
      <c r="AD109" s="102">
        <v>111.8416039660605</v>
      </c>
      <c r="AE109" s="123">
        <v>529749132</v>
      </c>
      <c r="AF109" s="103">
        <v>1298243.3714842624</v>
      </c>
      <c r="AG109" s="104">
        <f t="shared" si="62"/>
        <v>1.8391250163760807E-3</v>
      </c>
      <c r="AH109" s="105">
        <f t="shared" si="14"/>
        <v>0.26054472521182154</v>
      </c>
      <c r="AI109" s="106">
        <v>25.23755902938403</v>
      </c>
      <c r="AJ109" s="123">
        <v>154159215745</v>
      </c>
      <c r="AK109" s="123">
        <v>300334.00993407</v>
      </c>
      <c r="AL109" s="104">
        <f t="shared" si="63"/>
        <v>1.201132056398889E-3</v>
      </c>
      <c r="AM109" s="104">
        <f t="shared" si="16"/>
        <v>3.936499421198536E-2</v>
      </c>
      <c r="AN109" s="108">
        <f t="shared" si="17"/>
        <v>0.44548535439868114</v>
      </c>
      <c r="AO109" s="101">
        <f t="shared" si="18"/>
        <v>4082.4277877095142</v>
      </c>
    </row>
    <row r="110" spans="1:41" ht="15.75" customHeight="1" x14ac:dyDescent="0.3">
      <c r="A110" s="99">
        <v>21703</v>
      </c>
      <c r="B110" s="62" t="s">
        <v>51</v>
      </c>
      <c r="C110" s="62" t="s">
        <v>400</v>
      </c>
      <c r="D110" s="112"/>
      <c r="E110" s="113">
        <v>6577</v>
      </c>
      <c r="F110" s="114"/>
      <c r="G110" s="123">
        <v>422290885</v>
      </c>
      <c r="H110" s="103">
        <f t="shared" si="0"/>
        <v>954922.15534165001</v>
      </c>
      <c r="I110" s="104">
        <f t="shared" si="58"/>
        <v>0</v>
      </c>
      <c r="J110" s="105">
        <f t="shared" si="2"/>
        <v>0</v>
      </c>
      <c r="K110" s="115"/>
      <c r="L110" s="124">
        <v>321118170</v>
      </c>
      <c r="M110" s="103">
        <f t="shared" si="3"/>
        <v>870383.32192861743</v>
      </c>
      <c r="N110" s="104">
        <f t="shared" si="59"/>
        <v>0</v>
      </c>
      <c r="O110" s="105">
        <f t="shared" si="5"/>
        <v>0</v>
      </c>
      <c r="P110" s="114"/>
      <c r="Q110" s="103">
        <v>115475189454</v>
      </c>
      <c r="R110" s="103">
        <f t="shared" si="6"/>
        <v>224969.53246619343</v>
      </c>
      <c r="S110" s="104">
        <f t="shared" si="60"/>
        <v>0</v>
      </c>
      <c r="T110" s="105">
        <f t="shared" si="8"/>
        <v>0</v>
      </c>
      <c r="U110" s="104">
        <f t="shared" si="9"/>
        <v>0</v>
      </c>
      <c r="V110" s="103">
        <f t="shared" si="10"/>
        <v>0</v>
      </c>
      <c r="W110" s="100">
        <v>137</v>
      </c>
      <c r="X110" s="101">
        <v>7525</v>
      </c>
      <c r="Y110" s="102">
        <v>136.5404315099853</v>
      </c>
      <c r="Z110" s="124">
        <v>614114060</v>
      </c>
      <c r="AA110" s="103">
        <v>1389217.3666199013</v>
      </c>
      <c r="AB110" s="104">
        <f t="shared" si="61"/>
        <v>2.7436911963096155E-4</v>
      </c>
      <c r="AC110" s="105">
        <f t="shared" si="12"/>
        <v>5.0652271874491041E-2</v>
      </c>
      <c r="AD110" s="102">
        <v>0.17577332451762009</v>
      </c>
      <c r="AE110" s="123">
        <v>529749132</v>
      </c>
      <c r="AF110" s="103">
        <v>1298243.3714842624</v>
      </c>
      <c r="AG110" s="104">
        <f t="shared" si="62"/>
        <v>2.8904191898932847E-6</v>
      </c>
      <c r="AH110" s="105">
        <f t="shared" si="14"/>
        <v>4.9866678459666025E-4</v>
      </c>
      <c r="AI110" s="106">
        <v>0.28369117133653871</v>
      </c>
      <c r="AJ110" s="123">
        <v>154159215745</v>
      </c>
      <c r="AK110" s="123">
        <v>300334.00993407</v>
      </c>
      <c r="AL110" s="104">
        <f t="shared" si="63"/>
        <v>1.3501724141107751E-5</v>
      </c>
      <c r="AM110" s="104">
        <f t="shared" si="16"/>
        <v>5.3887401359767816E-4</v>
      </c>
      <c r="AN110" s="108">
        <f t="shared" si="17"/>
        <v>5.1689812672685381E-2</v>
      </c>
      <c r="AO110" s="101">
        <f t="shared" si="18"/>
        <v>388.96584036195748</v>
      </c>
    </row>
    <row r="111" spans="1:41" ht="15.75" customHeight="1" x14ac:dyDescent="0.3">
      <c r="A111" s="99">
        <v>21801</v>
      </c>
      <c r="B111" s="62" t="s">
        <v>51</v>
      </c>
      <c r="C111" s="62" t="s">
        <v>781</v>
      </c>
      <c r="D111" s="112"/>
      <c r="E111" s="113">
        <v>8947.75</v>
      </c>
      <c r="F111" s="114"/>
      <c r="G111" s="123">
        <v>422290885</v>
      </c>
      <c r="H111" s="103">
        <f t="shared" si="0"/>
        <v>954922.15534165001</v>
      </c>
      <c r="I111" s="104">
        <f t="shared" si="58"/>
        <v>0</v>
      </c>
      <c r="J111" s="105">
        <f t="shared" si="2"/>
        <v>0</v>
      </c>
      <c r="K111" s="115"/>
      <c r="L111" s="124">
        <v>321118170</v>
      </c>
      <c r="M111" s="103">
        <f t="shared" si="3"/>
        <v>870383.32192861743</v>
      </c>
      <c r="N111" s="104">
        <f t="shared" si="59"/>
        <v>0</v>
      </c>
      <c r="O111" s="105">
        <f t="shared" si="5"/>
        <v>0</v>
      </c>
      <c r="P111" s="114"/>
      <c r="Q111" s="103">
        <v>115475189454</v>
      </c>
      <c r="R111" s="103">
        <f t="shared" si="6"/>
        <v>224969.53246619343</v>
      </c>
      <c r="S111" s="104">
        <f t="shared" si="60"/>
        <v>0</v>
      </c>
      <c r="T111" s="105">
        <f t="shared" si="8"/>
        <v>0</v>
      </c>
      <c r="U111" s="104">
        <f t="shared" si="9"/>
        <v>0</v>
      </c>
      <c r="V111" s="103">
        <f t="shared" si="10"/>
        <v>0</v>
      </c>
      <c r="W111" s="112"/>
      <c r="X111" s="101">
        <v>9217</v>
      </c>
      <c r="Y111" s="114"/>
      <c r="Z111" s="124">
        <v>614114060</v>
      </c>
      <c r="AA111" s="103">
        <v>1389217.3666199013</v>
      </c>
      <c r="AB111" s="104">
        <f t="shared" si="61"/>
        <v>0</v>
      </c>
      <c r="AC111" s="105">
        <f t="shared" si="12"/>
        <v>0</v>
      </c>
      <c r="AD111" s="114"/>
      <c r="AE111" s="123">
        <v>529749132</v>
      </c>
      <c r="AF111" s="103">
        <v>1298243.3714842624</v>
      </c>
      <c r="AG111" s="104">
        <f t="shared" si="62"/>
        <v>0</v>
      </c>
      <c r="AH111" s="105">
        <f t="shared" si="14"/>
        <v>0</v>
      </c>
      <c r="AI111" s="115"/>
      <c r="AJ111" s="123">
        <v>154159215745</v>
      </c>
      <c r="AK111" s="123">
        <v>300334.00993407</v>
      </c>
      <c r="AL111" s="104">
        <f t="shared" si="63"/>
        <v>0</v>
      </c>
      <c r="AM111" s="104">
        <f t="shared" si="16"/>
        <v>0</v>
      </c>
      <c r="AN111" s="108">
        <f t="shared" si="17"/>
        <v>0</v>
      </c>
      <c r="AO111" s="101">
        <f t="shared" si="18"/>
        <v>0</v>
      </c>
    </row>
    <row r="112" spans="1:41" ht="15.75" customHeight="1" x14ac:dyDescent="0.3">
      <c r="A112" s="99">
        <v>21802</v>
      </c>
      <c r="B112" s="62" t="s">
        <v>51</v>
      </c>
      <c r="C112" s="62" t="s">
        <v>369</v>
      </c>
      <c r="D112" s="112"/>
      <c r="E112" s="113">
        <v>6914.5</v>
      </c>
      <c r="F112" s="114"/>
      <c r="G112" s="123">
        <v>422290885</v>
      </c>
      <c r="H112" s="103">
        <f t="shared" si="0"/>
        <v>954922.15534165001</v>
      </c>
      <c r="I112" s="104">
        <f t="shared" si="58"/>
        <v>0</v>
      </c>
      <c r="J112" s="105">
        <f t="shared" si="2"/>
        <v>0</v>
      </c>
      <c r="K112" s="115"/>
      <c r="L112" s="124">
        <v>321118170</v>
      </c>
      <c r="M112" s="103">
        <f t="shared" si="3"/>
        <v>870383.32192861743</v>
      </c>
      <c r="N112" s="104">
        <f t="shared" si="59"/>
        <v>0</v>
      </c>
      <c r="O112" s="105">
        <f t="shared" si="5"/>
        <v>0</v>
      </c>
      <c r="P112" s="114"/>
      <c r="Q112" s="103">
        <v>115475189454</v>
      </c>
      <c r="R112" s="103">
        <f t="shared" si="6"/>
        <v>224969.53246619343</v>
      </c>
      <c r="S112" s="104">
        <f t="shared" si="60"/>
        <v>0</v>
      </c>
      <c r="T112" s="105">
        <f t="shared" si="8"/>
        <v>0</v>
      </c>
      <c r="U112" s="104">
        <f t="shared" si="9"/>
        <v>0</v>
      </c>
      <c r="V112" s="103">
        <f t="shared" si="10"/>
        <v>0</v>
      </c>
      <c r="W112" s="100">
        <v>3776</v>
      </c>
      <c r="X112" s="101">
        <v>6649</v>
      </c>
      <c r="Y112" s="102">
        <v>2345.2131921214482</v>
      </c>
      <c r="Z112" s="124">
        <v>614114060</v>
      </c>
      <c r="AA112" s="103">
        <v>1389217.3666199013</v>
      </c>
      <c r="AB112" s="104">
        <f t="shared" si="61"/>
        <v>4.7125534301700415E-3</v>
      </c>
      <c r="AC112" s="105">
        <f t="shared" si="12"/>
        <v>0.98462341198923264</v>
      </c>
      <c r="AD112" s="102">
        <v>1327.531677107391</v>
      </c>
      <c r="AE112" s="123">
        <v>529749132</v>
      </c>
      <c r="AF112" s="103">
        <v>1298243.3714842624</v>
      </c>
      <c r="AG112" s="104">
        <f t="shared" si="62"/>
        <v>2.1829950848530337E-2</v>
      </c>
      <c r="AH112" s="105">
        <f t="shared" si="14"/>
        <v>4.2623836650521518</v>
      </c>
      <c r="AI112" s="106">
        <v>103.0403550858901</v>
      </c>
      <c r="AJ112" s="123">
        <v>154159215745</v>
      </c>
      <c r="AK112" s="123">
        <v>300334.00993407</v>
      </c>
      <c r="AL112" s="104">
        <f t="shared" si="63"/>
        <v>4.9040033329803218E-3</v>
      </c>
      <c r="AM112" s="104">
        <f t="shared" si="16"/>
        <v>0.22151285692946673</v>
      </c>
      <c r="AN112" s="108">
        <f t="shared" si="17"/>
        <v>5.4685199339708515</v>
      </c>
      <c r="AO112" s="101">
        <f t="shared" si="18"/>
        <v>36360.189040972189</v>
      </c>
    </row>
    <row r="113" spans="1:41" ht="15.75" customHeight="1" x14ac:dyDescent="0.3">
      <c r="A113" s="99">
        <v>21803</v>
      </c>
      <c r="B113" s="62" t="s">
        <v>51</v>
      </c>
      <c r="C113" s="62" t="s">
        <v>782</v>
      </c>
      <c r="D113" s="112"/>
      <c r="E113" s="113">
        <v>2016</v>
      </c>
      <c r="F113" s="114"/>
      <c r="G113" s="123">
        <v>422290885</v>
      </c>
      <c r="H113" s="103">
        <f t="shared" si="0"/>
        <v>954922.15534165001</v>
      </c>
      <c r="I113" s="104">
        <f t="shared" si="58"/>
        <v>0</v>
      </c>
      <c r="J113" s="105">
        <f t="shared" si="2"/>
        <v>0</v>
      </c>
      <c r="K113" s="115"/>
      <c r="L113" s="124">
        <v>321118170</v>
      </c>
      <c r="M113" s="103">
        <f t="shared" si="3"/>
        <v>870383.32192861743</v>
      </c>
      <c r="N113" s="104">
        <f t="shared" si="59"/>
        <v>0</v>
      </c>
      <c r="O113" s="105">
        <f t="shared" si="5"/>
        <v>0</v>
      </c>
      <c r="P113" s="114"/>
      <c r="Q113" s="103">
        <v>115475189454</v>
      </c>
      <c r="R113" s="103">
        <f t="shared" si="6"/>
        <v>224969.53246619343</v>
      </c>
      <c r="S113" s="104">
        <f t="shared" si="60"/>
        <v>0</v>
      </c>
      <c r="T113" s="105">
        <f t="shared" si="8"/>
        <v>0</v>
      </c>
      <c r="U113" s="104">
        <f t="shared" si="9"/>
        <v>0</v>
      </c>
      <c r="V113" s="103">
        <f t="shared" si="10"/>
        <v>0</v>
      </c>
      <c r="W113" s="112"/>
      <c r="X113" s="101">
        <v>2052</v>
      </c>
      <c r="Y113" s="114"/>
      <c r="Z113" s="124">
        <v>614114060</v>
      </c>
      <c r="AA113" s="103">
        <v>1389217.3666199013</v>
      </c>
      <c r="AB113" s="104">
        <f t="shared" si="61"/>
        <v>0</v>
      </c>
      <c r="AC113" s="105">
        <f t="shared" si="12"/>
        <v>0</v>
      </c>
      <c r="AD113" s="114"/>
      <c r="AE113" s="123">
        <v>529749132</v>
      </c>
      <c r="AF113" s="103">
        <v>1298243.3714842624</v>
      </c>
      <c r="AG113" s="104">
        <f t="shared" si="62"/>
        <v>0</v>
      </c>
      <c r="AH113" s="105">
        <f t="shared" si="14"/>
        <v>0</v>
      </c>
      <c r="AI113" s="115"/>
      <c r="AJ113" s="123">
        <v>154159215745</v>
      </c>
      <c r="AK113" s="123">
        <v>300334.00993407</v>
      </c>
      <c r="AL113" s="104">
        <f t="shared" si="63"/>
        <v>0</v>
      </c>
      <c r="AM113" s="104">
        <f t="shared" si="16"/>
        <v>0</v>
      </c>
      <c r="AN113" s="108">
        <f t="shared" si="17"/>
        <v>0</v>
      </c>
      <c r="AO113" s="101">
        <f t="shared" si="18"/>
        <v>0</v>
      </c>
    </row>
    <row r="114" spans="1:41" ht="15.75" customHeight="1" x14ac:dyDescent="0.3">
      <c r="A114" s="99">
        <v>21901</v>
      </c>
      <c r="B114" s="62" t="s">
        <v>51</v>
      </c>
      <c r="C114" s="62" t="s">
        <v>783</v>
      </c>
      <c r="D114" s="112"/>
      <c r="E114" s="113">
        <v>5146</v>
      </c>
      <c r="F114" s="114"/>
      <c r="G114" s="123">
        <v>422290885</v>
      </c>
      <c r="H114" s="103">
        <f t="shared" si="0"/>
        <v>954922.15534165001</v>
      </c>
      <c r="I114" s="104">
        <f t="shared" si="58"/>
        <v>0</v>
      </c>
      <c r="J114" s="105">
        <f t="shared" si="2"/>
        <v>0</v>
      </c>
      <c r="K114" s="115"/>
      <c r="L114" s="124">
        <v>321118170</v>
      </c>
      <c r="M114" s="103">
        <f t="shared" si="3"/>
        <v>870383.32192861743</v>
      </c>
      <c r="N114" s="104">
        <f t="shared" si="59"/>
        <v>0</v>
      </c>
      <c r="O114" s="105">
        <f t="shared" si="5"/>
        <v>0</v>
      </c>
      <c r="P114" s="114"/>
      <c r="Q114" s="103">
        <v>115475189454</v>
      </c>
      <c r="R114" s="103">
        <f t="shared" si="6"/>
        <v>224969.53246619343</v>
      </c>
      <c r="S114" s="104">
        <f t="shared" si="60"/>
        <v>0</v>
      </c>
      <c r="T114" s="105">
        <f t="shared" si="8"/>
        <v>0</v>
      </c>
      <c r="U114" s="104">
        <f t="shared" si="9"/>
        <v>0</v>
      </c>
      <c r="V114" s="103">
        <f t="shared" si="10"/>
        <v>0</v>
      </c>
      <c r="W114" s="112"/>
      <c r="X114" s="101">
        <v>6805</v>
      </c>
      <c r="Y114" s="114"/>
      <c r="Z114" s="124">
        <v>614114060</v>
      </c>
      <c r="AA114" s="103">
        <v>1389217.3666199013</v>
      </c>
      <c r="AB114" s="104">
        <f t="shared" si="61"/>
        <v>0</v>
      </c>
      <c r="AC114" s="105">
        <f t="shared" si="12"/>
        <v>0</v>
      </c>
      <c r="AD114" s="114"/>
      <c r="AE114" s="123">
        <v>529749132</v>
      </c>
      <c r="AF114" s="103">
        <v>1298243.3714842624</v>
      </c>
      <c r="AG114" s="104">
        <f t="shared" si="62"/>
        <v>0</v>
      </c>
      <c r="AH114" s="105">
        <f t="shared" si="14"/>
        <v>0</v>
      </c>
      <c r="AI114" s="115"/>
      <c r="AJ114" s="123">
        <v>154159215745</v>
      </c>
      <c r="AK114" s="123">
        <v>300334.00993407</v>
      </c>
      <c r="AL114" s="104">
        <f t="shared" si="63"/>
        <v>0</v>
      </c>
      <c r="AM114" s="104">
        <f t="shared" si="16"/>
        <v>0</v>
      </c>
      <c r="AN114" s="108">
        <f t="shared" si="17"/>
        <v>0</v>
      </c>
      <c r="AO114" s="101">
        <f t="shared" si="18"/>
        <v>0</v>
      </c>
    </row>
    <row r="115" spans="1:41" ht="15.75" customHeight="1" x14ac:dyDescent="0.3">
      <c r="A115" s="99">
        <v>21902</v>
      </c>
      <c r="B115" s="62" t="s">
        <v>51</v>
      </c>
      <c r="C115" s="62" t="s">
        <v>784</v>
      </c>
      <c r="D115" s="112"/>
      <c r="E115" s="113">
        <v>3498.5</v>
      </c>
      <c r="F115" s="114"/>
      <c r="G115" s="123">
        <v>422290885</v>
      </c>
      <c r="H115" s="103">
        <f t="shared" si="0"/>
        <v>954922.15534165001</v>
      </c>
      <c r="I115" s="104">
        <f t="shared" si="58"/>
        <v>0</v>
      </c>
      <c r="J115" s="105">
        <f t="shared" si="2"/>
        <v>0</v>
      </c>
      <c r="K115" s="115"/>
      <c r="L115" s="124">
        <v>321118170</v>
      </c>
      <c r="M115" s="103">
        <f t="shared" si="3"/>
        <v>870383.32192861743</v>
      </c>
      <c r="N115" s="104">
        <f t="shared" si="59"/>
        <v>0</v>
      </c>
      <c r="O115" s="105">
        <f t="shared" si="5"/>
        <v>0</v>
      </c>
      <c r="P115" s="114"/>
      <c r="Q115" s="103">
        <v>115475189454</v>
      </c>
      <c r="R115" s="103">
        <f t="shared" si="6"/>
        <v>224969.53246619343</v>
      </c>
      <c r="S115" s="104">
        <f t="shared" si="60"/>
        <v>0</v>
      </c>
      <c r="T115" s="105">
        <f t="shared" si="8"/>
        <v>0</v>
      </c>
      <c r="U115" s="104">
        <f t="shared" si="9"/>
        <v>0</v>
      </c>
      <c r="V115" s="103">
        <f t="shared" si="10"/>
        <v>0</v>
      </c>
      <c r="W115" s="112"/>
      <c r="X115" s="101">
        <v>5351</v>
      </c>
      <c r="Y115" s="114"/>
      <c r="Z115" s="124">
        <v>614114060</v>
      </c>
      <c r="AA115" s="103">
        <v>1389217.3666199013</v>
      </c>
      <c r="AB115" s="104">
        <f t="shared" si="61"/>
        <v>0</v>
      </c>
      <c r="AC115" s="105">
        <f t="shared" si="12"/>
        <v>0</v>
      </c>
      <c r="AD115" s="114"/>
      <c r="AE115" s="123">
        <v>529749132</v>
      </c>
      <c r="AF115" s="103">
        <v>1298243.3714842624</v>
      </c>
      <c r="AG115" s="104">
        <f t="shared" si="62"/>
        <v>0</v>
      </c>
      <c r="AH115" s="105">
        <f t="shared" si="14"/>
        <v>0</v>
      </c>
      <c r="AI115" s="115"/>
      <c r="AJ115" s="123">
        <v>154159215745</v>
      </c>
      <c r="AK115" s="123">
        <v>300334.00993407</v>
      </c>
      <c r="AL115" s="104">
        <f t="shared" si="63"/>
        <v>0</v>
      </c>
      <c r="AM115" s="104">
        <f t="shared" si="16"/>
        <v>0</v>
      </c>
      <c r="AN115" s="108">
        <f t="shared" si="17"/>
        <v>0</v>
      </c>
      <c r="AO115" s="101">
        <f t="shared" si="18"/>
        <v>0</v>
      </c>
    </row>
    <row r="116" spans="1:41" ht="15.75" customHeight="1" x14ac:dyDescent="0.3">
      <c r="A116" s="99">
        <v>22001</v>
      </c>
      <c r="B116" s="62" t="s">
        <v>51</v>
      </c>
      <c r="C116" s="62" t="s">
        <v>63</v>
      </c>
      <c r="D116" s="100">
        <v>2811</v>
      </c>
      <c r="E116" s="101">
        <v>52666.5</v>
      </c>
      <c r="F116" s="102">
        <v>2583.002136150772</v>
      </c>
      <c r="G116" s="123">
        <v>422290885</v>
      </c>
      <c r="H116" s="103">
        <f t="shared" si="0"/>
        <v>954922.15534165001</v>
      </c>
      <c r="I116" s="104">
        <f t="shared" si="58"/>
        <v>7.9600649500675066E-3</v>
      </c>
      <c r="J116" s="105">
        <f t="shared" si="2"/>
        <v>0.14432784367250504</v>
      </c>
      <c r="K116" s="106">
        <v>130.74517239587539</v>
      </c>
      <c r="L116" s="124">
        <v>321118170</v>
      </c>
      <c r="M116" s="103">
        <f t="shared" si="3"/>
        <v>870383.32192861743</v>
      </c>
      <c r="N116" s="104">
        <f t="shared" si="59"/>
        <v>3.1038433308610623E-3</v>
      </c>
      <c r="O116" s="105">
        <f t="shared" si="5"/>
        <v>5.1295101612236167E-2</v>
      </c>
      <c r="P116" s="102">
        <v>97.18595960361597</v>
      </c>
      <c r="Q116" s="103">
        <v>115475189454</v>
      </c>
      <c r="R116" s="103">
        <f t="shared" si="6"/>
        <v>224969.53246619343</v>
      </c>
      <c r="S116" s="104">
        <f t="shared" si="60"/>
        <v>6.8328937156150165E-3</v>
      </c>
      <c r="T116" s="105">
        <f t="shared" si="8"/>
        <v>2.9187299414107668E-2</v>
      </c>
      <c r="U116" s="104">
        <f t="shared" si="9"/>
        <v>0.22481024469884886</v>
      </c>
      <c r="V116" s="103">
        <f t="shared" si="10"/>
        <v>11839.968752431925</v>
      </c>
      <c r="W116" s="100">
        <v>3432</v>
      </c>
      <c r="X116" s="101">
        <v>59676</v>
      </c>
      <c r="Y116" s="102">
        <v>3054.4834547313449</v>
      </c>
      <c r="Z116" s="124">
        <v>614114060</v>
      </c>
      <c r="AA116" s="103">
        <v>1389217.3666199013</v>
      </c>
      <c r="AB116" s="104">
        <f t="shared" si="61"/>
        <v>6.1377859080567615E-3</v>
      </c>
      <c r="AC116" s="105">
        <f t="shared" si="12"/>
        <v>0.14288355077530923</v>
      </c>
      <c r="AD116" s="102">
        <v>248.42864375873489</v>
      </c>
      <c r="AE116" s="123">
        <v>529749132</v>
      </c>
      <c r="AF116" s="103">
        <v>1298243.3714842624</v>
      </c>
      <c r="AG116" s="104">
        <f t="shared" si="62"/>
        <v>4.0851643513599755E-3</v>
      </c>
      <c r="AH116" s="105">
        <f t="shared" si="14"/>
        <v>8.8872202235017336E-2</v>
      </c>
      <c r="AI116" s="106">
        <v>128.99094116347001</v>
      </c>
      <c r="AJ116" s="123">
        <v>154159215745</v>
      </c>
      <c r="AK116" s="123">
        <v>300334.00993407</v>
      </c>
      <c r="AL116" s="104">
        <f t="shared" si="63"/>
        <v>6.13907051138013E-3</v>
      </c>
      <c r="AM116" s="104">
        <f t="shared" si="16"/>
        <v>3.089636812036323E-2</v>
      </c>
      <c r="AN116" s="108">
        <f t="shared" si="17"/>
        <v>0.26265212113068981</v>
      </c>
      <c r="AO116" s="101">
        <f t="shared" si="18"/>
        <v>15674.027980595045</v>
      </c>
    </row>
    <row r="117" spans="1:41" ht="15.75" customHeight="1" x14ac:dyDescent="0.3">
      <c r="A117" s="99">
        <v>22002</v>
      </c>
      <c r="B117" s="62" t="s">
        <v>51</v>
      </c>
      <c r="C117" s="62" t="s">
        <v>56</v>
      </c>
      <c r="D117" s="100">
        <v>321</v>
      </c>
      <c r="E117" s="101">
        <v>11041.75</v>
      </c>
      <c r="F117" s="102">
        <v>298.78536350634829</v>
      </c>
      <c r="G117" s="123">
        <v>422290885</v>
      </c>
      <c r="H117" s="103">
        <f t="shared" si="0"/>
        <v>954922.15534165001</v>
      </c>
      <c r="I117" s="104">
        <f t="shared" si="58"/>
        <v>9.2077000880236043E-4</v>
      </c>
      <c r="J117" s="105">
        <f t="shared" si="2"/>
        <v>7.9630826760205595E-2</v>
      </c>
      <c r="K117" s="106">
        <v>11.19922285510261</v>
      </c>
      <c r="L117" s="124">
        <v>321118170</v>
      </c>
      <c r="M117" s="103">
        <f t="shared" si="3"/>
        <v>870383.32192861743</v>
      </c>
      <c r="N117" s="104">
        <f t="shared" si="59"/>
        <v>2.6586551941197036E-4</v>
      </c>
      <c r="O117" s="105">
        <f t="shared" si="5"/>
        <v>2.0957268002994821E-2</v>
      </c>
      <c r="P117" s="102">
        <v>11.0082650951951</v>
      </c>
      <c r="Q117" s="103">
        <v>115475189454</v>
      </c>
      <c r="R117" s="103">
        <f t="shared" si="6"/>
        <v>224969.53246619343</v>
      </c>
      <c r="S117" s="104">
        <f t="shared" si="60"/>
        <v>7.7396267625044995E-4</v>
      </c>
      <c r="T117" s="105">
        <f t="shared" si="8"/>
        <v>1.5769060286851953E-2</v>
      </c>
      <c r="U117" s="104">
        <f t="shared" si="9"/>
        <v>0.11635715505005237</v>
      </c>
      <c r="V117" s="103">
        <f t="shared" si="10"/>
        <v>1284.7866167739157</v>
      </c>
      <c r="W117" s="100">
        <v>365</v>
      </c>
      <c r="X117" s="101">
        <v>10585</v>
      </c>
      <c r="Y117" s="102">
        <v>311.48324304950899</v>
      </c>
      <c r="Z117" s="124">
        <v>614114060</v>
      </c>
      <c r="AA117" s="103">
        <v>1389217.3666199013</v>
      </c>
      <c r="AB117" s="104">
        <f t="shared" si="61"/>
        <v>6.2590532511273595E-4</v>
      </c>
      <c r="AC117" s="105">
        <f t="shared" si="12"/>
        <v>8.2146296410627137E-2</v>
      </c>
      <c r="AD117" s="102">
        <v>44.318585991027447</v>
      </c>
      <c r="AE117" s="123">
        <v>529749132</v>
      </c>
      <c r="AF117" s="103">
        <v>1298243.3714842624</v>
      </c>
      <c r="AG117" s="104">
        <f t="shared" si="62"/>
        <v>7.2877549405717893E-4</v>
      </c>
      <c r="AH117" s="105">
        <f t="shared" si="14"/>
        <v>8.9383840761445538E-2</v>
      </c>
      <c r="AI117" s="106">
        <v>9.1879507625589589</v>
      </c>
      <c r="AJ117" s="123">
        <v>154159215745</v>
      </c>
      <c r="AK117" s="123">
        <v>300334.00993407</v>
      </c>
      <c r="AL117" s="104">
        <f t="shared" si="63"/>
        <v>4.372824717586618E-4</v>
      </c>
      <c r="AM117" s="104">
        <f t="shared" si="16"/>
        <v>1.2407255381876297E-2</v>
      </c>
      <c r="AN117" s="108">
        <f t="shared" si="17"/>
        <v>0.18393739255394895</v>
      </c>
      <c r="AO117" s="101">
        <f t="shared" si="18"/>
        <v>1946.9773001835499</v>
      </c>
    </row>
    <row r="118" spans="1:41" ht="15.75" customHeight="1" x14ac:dyDescent="0.3">
      <c r="A118" s="99">
        <v>30101</v>
      </c>
      <c r="B118" s="62" t="s">
        <v>105</v>
      </c>
      <c r="C118" s="62" t="s">
        <v>105</v>
      </c>
      <c r="D118" s="100">
        <v>205083</v>
      </c>
      <c r="E118" s="101">
        <v>640386</v>
      </c>
      <c r="F118" s="102">
        <v>177329.29792583809</v>
      </c>
      <c r="G118" s="103">
        <v>220240099</v>
      </c>
      <c r="H118" s="103">
        <f t="shared" si="0"/>
        <v>498026.73346770997</v>
      </c>
      <c r="I118" s="104">
        <f t="shared" ref="I118:I165" si="64">F118/SUM($F$118:$F$165)</f>
        <v>0.63937115853201609</v>
      </c>
      <c r="J118" s="105">
        <f t="shared" si="2"/>
        <v>0.49723749356976155</v>
      </c>
      <c r="K118" s="106">
        <v>18242.619154566921</v>
      </c>
      <c r="L118" s="107">
        <v>300284090</v>
      </c>
      <c r="M118" s="103">
        <f t="shared" si="3"/>
        <v>813913.03325038229</v>
      </c>
      <c r="N118" s="104">
        <f t="shared" ref="N118:N165" si="65">K118/SUM($K$118:$K$165)</f>
        <v>0.39079507677313458</v>
      </c>
      <c r="O118" s="105">
        <f t="shared" si="5"/>
        <v>0.49668981882136393</v>
      </c>
      <c r="P118" s="102">
        <v>9492.9780605712331</v>
      </c>
      <c r="Q118" s="103">
        <v>215025815918</v>
      </c>
      <c r="R118" s="103">
        <f t="shared" si="6"/>
        <v>418914.72535322671</v>
      </c>
      <c r="S118" s="104">
        <f t="shared" ref="S118:S165" si="66">P118/SUM($P$118:$P$165)</f>
        <v>0.58379890551808822</v>
      </c>
      <c r="T118" s="105">
        <f t="shared" si="8"/>
        <v>0.38189772756841073</v>
      </c>
      <c r="U118" s="104">
        <f t="shared" si="9"/>
        <v>1.3758250399595362</v>
      </c>
      <c r="V118" s="103">
        <f t="shared" si="10"/>
        <v>881059.09403952758</v>
      </c>
      <c r="W118" s="100">
        <v>305332</v>
      </c>
      <c r="X118" s="101">
        <v>665505</v>
      </c>
      <c r="Y118" s="102">
        <v>274949.60175014148</v>
      </c>
      <c r="Z118" s="107">
        <v>378780105</v>
      </c>
      <c r="AA118" s="103">
        <v>866801.9064986615</v>
      </c>
      <c r="AB118" s="104">
        <f t="shared" ref="AB118:AB165" si="67">Y118/SUM($Y$118:$Y$165)</f>
        <v>0.60201474519606735</v>
      </c>
      <c r="AC118" s="105">
        <f t="shared" si="12"/>
        <v>0.78410760080879494</v>
      </c>
      <c r="AD118" s="102">
        <v>18685.128377896701</v>
      </c>
      <c r="AE118" s="103">
        <v>326008197</v>
      </c>
      <c r="AF118" s="103">
        <v>760140.49290227005</v>
      </c>
      <c r="AG118" s="104">
        <f t="shared" ref="AG118:AG165" si="68">AD118/SUM($AD$118:$AD$165)</f>
        <v>0.31775026992051614</v>
      </c>
      <c r="AH118" s="105">
        <f t="shared" si="14"/>
        <v>0.36293468388248096</v>
      </c>
      <c r="AI118" s="106">
        <v>11669.078940284509</v>
      </c>
      <c r="AJ118" s="103">
        <v>281040866790</v>
      </c>
      <c r="AK118" s="103">
        <v>547525.68680481997</v>
      </c>
      <c r="AL118" s="104">
        <f t="shared" ref="AL118:AL165" si="69">AI118/SUM($AI$118:$AI$165)</f>
        <v>0.52723191564316096</v>
      </c>
      <c r="AM118" s="104">
        <f t="shared" si="16"/>
        <v>0.43376536121883774</v>
      </c>
      <c r="AN118" s="108">
        <f t="shared" si="17"/>
        <v>1.5808076459101135</v>
      </c>
      <c r="AO118" s="101">
        <f t="shared" si="18"/>
        <v>1052035.3923914102</v>
      </c>
    </row>
    <row r="119" spans="1:41" ht="15.75" customHeight="1" x14ac:dyDescent="0.3">
      <c r="A119" s="99">
        <v>30201</v>
      </c>
      <c r="B119" s="62" t="s">
        <v>105</v>
      </c>
      <c r="C119" s="62" t="s">
        <v>106</v>
      </c>
      <c r="D119" s="100">
        <v>51</v>
      </c>
      <c r="E119" s="101">
        <v>23231</v>
      </c>
      <c r="F119" s="102">
        <v>39.986146311415908</v>
      </c>
      <c r="G119" s="103">
        <v>220240099</v>
      </c>
      <c r="H119" s="103">
        <f t="shared" si="0"/>
        <v>498026.73346770997</v>
      </c>
      <c r="I119" s="104">
        <f t="shared" si="64"/>
        <v>1.4417238996261515E-4</v>
      </c>
      <c r="J119" s="105">
        <f t="shared" si="2"/>
        <v>3.0907711432703751E-3</v>
      </c>
      <c r="K119" s="106">
        <v>8.7709946143321549</v>
      </c>
      <c r="L119" s="107">
        <v>300284090</v>
      </c>
      <c r="M119" s="103">
        <f t="shared" si="3"/>
        <v>813913.03325038229</v>
      </c>
      <c r="N119" s="104">
        <f t="shared" si="65"/>
        <v>1.8789305881149152E-4</v>
      </c>
      <c r="O119" s="105">
        <f t="shared" si="5"/>
        <v>6.5829542173799459E-3</v>
      </c>
      <c r="P119" s="102">
        <v>2.2392215761203311</v>
      </c>
      <c r="Q119" s="103">
        <v>215025815918</v>
      </c>
      <c r="R119" s="103">
        <f t="shared" si="6"/>
        <v>418914.72535322671</v>
      </c>
      <c r="S119" s="104">
        <f t="shared" si="66"/>
        <v>1.3770758733565162E-4</v>
      </c>
      <c r="T119" s="105">
        <f t="shared" si="8"/>
        <v>2.4832222516366054E-3</v>
      </c>
      <c r="U119" s="104">
        <f t="shared" si="9"/>
        <v>1.2156947612286927E-2</v>
      </c>
      <c r="V119" s="103">
        <f t="shared" si="10"/>
        <v>282.4180499810376</v>
      </c>
      <c r="W119" s="100">
        <v>62</v>
      </c>
      <c r="X119" s="101">
        <v>23123</v>
      </c>
      <c r="Y119" s="102">
        <v>49.520461742416153</v>
      </c>
      <c r="Z119" s="107">
        <v>378780105</v>
      </c>
      <c r="AA119" s="103">
        <v>866801.9064986615</v>
      </c>
      <c r="AB119" s="104">
        <f t="shared" si="67"/>
        <v>1.0842731892713833E-4</v>
      </c>
      <c r="AC119" s="105">
        <f t="shared" si="12"/>
        <v>4.0645680388609572E-3</v>
      </c>
      <c r="AD119" s="102">
        <v>9.1980784338690427</v>
      </c>
      <c r="AE119" s="103">
        <v>326008197</v>
      </c>
      <c r="AF119" s="103">
        <v>760140.49290227005</v>
      </c>
      <c r="AG119" s="104">
        <f t="shared" si="68"/>
        <v>1.564180799832942E-4</v>
      </c>
      <c r="AH119" s="105">
        <f t="shared" si="14"/>
        <v>5.1420540767775783E-3</v>
      </c>
      <c r="AI119" s="106">
        <v>3.2770505706273458</v>
      </c>
      <c r="AJ119" s="103">
        <v>281040866790</v>
      </c>
      <c r="AK119" s="103">
        <v>547525.68680481997</v>
      </c>
      <c r="AL119" s="104">
        <f t="shared" si="69"/>
        <v>1.4806358401147672E-4</v>
      </c>
      <c r="AM119" s="104">
        <f t="shared" si="16"/>
        <v>3.5059730799060218E-3</v>
      </c>
      <c r="AN119" s="108">
        <f t="shared" si="17"/>
        <v>1.2712595195544556E-2</v>
      </c>
      <c r="AO119" s="101">
        <f t="shared" si="18"/>
        <v>293.9533387065768</v>
      </c>
    </row>
    <row r="120" spans="1:41" ht="15.75" customHeight="1" x14ac:dyDescent="0.3">
      <c r="A120" s="99">
        <v>30202</v>
      </c>
      <c r="B120" s="62" t="s">
        <v>105</v>
      </c>
      <c r="C120" s="62" t="s">
        <v>125</v>
      </c>
      <c r="D120" s="100">
        <v>1</v>
      </c>
      <c r="E120" s="101">
        <v>6758.5</v>
      </c>
      <c r="F120" s="102">
        <v>0.84043022962402203</v>
      </c>
      <c r="G120" s="103">
        <v>220240099</v>
      </c>
      <c r="H120" s="103">
        <f t="shared" si="0"/>
        <v>498026.73346770997</v>
      </c>
      <c r="I120" s="104">
        <f t="shared" si="64"/>
        <v>3.0302203632744671E-6</v>
      </c>
      <c r="J120" s="105">
        <f t="shared" si="2"/>
        <v>2.23293741097717E-4</v>
      </c>
      <c r="K120" s="106">
        <v>7.7750441584658103E-2</v>
      </c>
      <c r="L120" s="107">
        <v>300284090</v>
      </c>
      <c r="M120" s="103">
        <f t="shared" si="3"/>
        <v>813913.03325038229</v>
      </c>
      <c r="N120" s="104">
        <f t="shared" si="65"/>
        <v>1.665577159221406E-6</v>
      </c>
      <c r="O120" s="105">
        <f t="shared" si="5"/>
        <v>2.0058222353694599E-4</v>
      </c>
      <c r="P120" s="102">
        <v>8.17877870300278E-2</v>
      </c>
      <c r="Q120" s="103">
        <v>215025815918</v>
      </c>
      <c r="R120" s="103">
        <f t="shared" si="6"/>
        <v>418914.72535322671</v>
      </c>
      <c r="S120" s="104">
        <f t="shared" si="66"/>
        <v>5.0297830931680828E-6</v>
      </c>
      <c r="T120" s="105">
        <f t="shared" si="8"/>
        <v>3.1176299520023829E-4</v>
      </c>
      <c r="U120" s="104">
        <f t="shared" si="9"/>
        <v>7.3563895983490128E-4</v>
      </c>
      <c r="V120" s="103">
        <f t="shared" si="10"/>
        <v>4.9718159100441799</v>
      </c>
      <c r="W120" s="100">
        <v>1</v>
      </c>
      <c r="X120" s="101">
        <v>6475</v>
      </c>
      <c r="Y120" s="102">
        <v>0.84043022962402203</v>
      </c>
      <c r="Z120" s="107">
        <v>378780105</v>
      </c>
      <c r="AA120" s="103">
        <v>866801.9064986615</v>
      </c>
      <c r="AB120" s="104">
        <f t="shared" si="67"/>
        <v>1.8401604778535295E-6</v>
      </c>
      <c r="AC120" s="105">
        <f t="shared" si="12"/>
        <v>2.4634048038099264E-4</v>
      </c>
      <c r="AD120" s="102">
        <v>7.7750441584658103E-2</v>
      </c>
      <c r="AE120" s="103">
        <v>326008197</v>
      </c>
      <c r="AF120" s="103">
        <v>760140.49290227005</v>
      </c>
      <c r="AG120" s="104">
        <f t="shared" si="68"/>
        <v>1.3221864629621232E-6</v>
      </c>
      <c r="AH120" s="105">
        <f t="shared" si="14"/>
        <v>1.5521968643470848E-4</v>
      </c>
      <c r="AI120" s="106">
        <v>8.17877870300278E-2</v>
      </c>
      <c r="AJ120" s="103">
        <v>281040866790</v>
      </c>
      <c r="AK120" s="103">
        <v>547525.68680481997</v>
      </c>
      <c r="AL120" s="104">
        <f t="shared" si="69"/>
        <v>3.695332926679565E-6</v>
      </c>
      <c r="AM120" s="104">
        <f t="shared" si="16"/>
        <v>3.1247717353709569E-4</v>
      </c>
      <c r="AN120" s="108">
        <f t="shared" si="17"/>
        <v>7.1403734035279678E-4</v>
      </c>
      <c r="AO120" s="101">
        <f t="shared" si="18"/>
        <v>4.6233917787843595</v>
      </c>
    </row>
    <row r="121" spans="1:41" ht="15.75" customHeight="1" x14ac:dyDescent="0.3">
      <c r="A121" s="99">
        <v>30203</v>
      </c>
      <c r="B121" s="62" t="s">
        <v>105</v>
      </c>
      <c r="C121" s="62" t="s">
        <v>124</v>
      </c>
      <c r="D121" s="100">
        <v>6</v>
      </c>
      <c r="E121" s="101">
        <v>5907.25</v>
      </c>
      <c r="F121" s="102">
        <v>3.3172155089897299</v>
      </c>
      <c r="G121" s="103">
        <v>220240099</v>
      </c>
      <c r="H121" s="103">
        <f t="shared" si="0"/>
        <v>498026.73346770997</v>
      </c>
      <c r="I121" s="104">
        <f t="shared" si="64"/>
        <v>1.1960414595281048E-5</v>
      </c>
      <c r="J121" s="105">
        <f t="shared" si="2"/>
        <v>1.0083551926543389E-3</v>
      </c>
      <c r="K121" s="106">
        <v>2.6601829948537059</v>
      </c>
      <c r="L121" s="107">
        <v>300284090</v>
      </c>
      <c r="M121" s="103">
        <f t="shared" si="3"/>
        <v>813913.03325038229</v>
      </c>
      <c r="N121" s="104">
        <f t="shared" si="65"/>
        <v>5.6986686445415781E-5</v>
      </c>
      <c r="O121" s="105">
        <f t="shared" si="5"/>
        <v>7.8517426585427742E-3</v>
      </c>
      <c r="P121" s="102">
        <v>2.1509412975853029E-2</v>
      </c>
      <c r="Q121" s="103">
        <v>215025815918</v>
      </c>
      <c r="R121" s="103">
        <f t="shared" si="6"/>
        <v>418914.72535322671</v>
      </c>
      <c r="S121" s="104">
        <f t="shared" si="66"/>
        <v>1.3227852917721738E-6</v>
      </c>
      <c r="T121" s="105">
        <f t="shared" si="8"/>
        <v>9.3805787329811346E-5</v>
      </c>
      <c r="U121" s="104">
        <f t="shared" si="9"/>
        <v>8.9539036385269249E-3</v>
      </c>
      <c r="V121" s="103">
        <f t="shared" si="10"/>
        <v>52.892947268688168</v>
      </c>
      <c r="W121" s="100">
        <v>111</v>
      </c>
      <c r="X121" s="101">
        <v>6700</v>
      </c>
      <c r="Y121" s="102">
        <v>81.595525339271958</v>
      </c>
      <c r="Z121" s="107">
        <v>378780105</v>
      </c>
      <c r="AA121" s="103">
        <v>866801.9064986615</v>
      </c>
      <c r="AB121" s="104">
        <f t="shared" si="67"/>
        <v>1.7865713964881487E-4</v>
      </c>
      <c r="AC121" s="105">
        <f t="shared" si="12"/>
        <v>2.3113484963759753E-2</v>
      </c>
      <c r="AD121" s="102">
        <v>26.876659132899469</v>
      </c>
      <c r="AE121" s="103">
        <v>326008197</v>
      </c>
      <c r="AF121" s="103">
        <v>760140.49290227005</v>
      </c>
      <c r="AG121" s="104">
        <f t="shared" si="68"/>
        <v>4.5705148615103212E-4</v>
      </c>
      <c r="AH121" s="105">
        <f t="shared" si="14"/>
        <v>5.1854230143964272E-2</v>
      </c>
      <c r="AI121" s="106">
        <v>2.5103172590393368</v>
      </c>
      <c r="AJ121" s="103">
        <v>281040866790</v>
      </c>
      <c r="AK121" s="103">
        <v>547525.68680481997</v>
      </c>
      <c r="AL121" s="104">
        <f t="shared" si="69"/>
        <v>1.134210664036462E-4</v>
      </c>
      <c r="AM121" s="104">
        <f t="shared" si="16"/>
        <v>9.2687981016106678E-3</v>
      </c>
      <c r="AN121" s="108">
        <f t="shared" si="17"/>
        <v>8.4236513209334701E-2</v>
      </c>
      <c r="AO121" s="101">
        <f t="shared" si="18"/>
        <v>564.38463850254243</v>
      </c>
    </row>
    <row r="122" spans="1:41" ht="15.75" customHeight="1" x14ac:dyDescent="0.3">
      <c r="A122" s="99">
        <v>30301</v>
      </c>
      <c r="B122" s="62" t="s">
        <v>105</v>
      </c>
      <c r="C122" s="62" t="s">
        <v>785</v>
      </c>
      <c r="D122" s="112"/>
      <c r="E122" s="113">
        <v>23197.25</v>
      </c>
      <c r="F122" s="114"/>
      <c r="G122" s="103">
        <v>220240099</v>
      </c>
      <c r="H122" s="103">
        <f t="shared" si="0"/>
        <v>498026.73346770997</v>
      </c>
      <c r="I122" s="104">
        <f t="shared" si="64"/>
        <v>0</v>
      </c>
      <c r="J122" s="105">
        <f t="shared" si="2"/>
        <v>0</v>
      </c>
      <c r="K122" s="115"/>
      <c r="L122" s="107">
        <v>300284090</v>
      </c>
      <c r="M122" s="103">
        <f t="shared" si="3"/>
        <v>813913.03325038229</v>
      </c>
      <c r="N122" s="104">
        <f t="shared" si="65"/>
        <v>0</v>
      </c>
      <c r="O122" s="105">
        <f t="shared" si="5"/>
        <v>0</v>
      </c>
      <c r="P122" s="114"/>
      <c r="Q122" s="103">
        <v>215025815918</v>
      </c>
      <c r="R122" s="103">
        <f t="shared" si="6"/>
        <v>418914.72535322671</v>
      </c>
      <c r="S122" s="104">
        <f t="shared" si="66"/>
        <v>0</v>
      </c>
      <c r="T122" s="105">
        <f t="shared" si="8"/>
        <v>0</v>
      </c>
      <c r="U122" s="104">
        <f t="shared" si="9"/>
        <v>0</v>
      </c>
      <c r="V122" s="103">
        <f t="shared" si="10"/>
        <v>0</v>
      </c>
      <c r="W122" s="112"/>
      <c r="X122" s="101">
        <v>21815</v>
      </c>
      <c r="Y122" s="114"/>
      <c r="Z122" s="107">
        <v>378780105</v>
      </c>
      <c r="AA122" s="103">
        <v>866801.9064986615</v>
      </c>
      <c r="AB122" s="104">
        <f t="shared" si="67"/>
        <v>0</v>
      </c>
      <c r="AC122" s="105">
        <f t="shared" si="12"/>
        <v>0</v>
      </c>
      <c r="AD122" s="114"/>
      <c r="AE122" s="103">
        <v>326008197</v>
      </c>
      <c r="AF122" s="103">
        <v>760140.49290227005</v>
      </c>
      <c r="AG122" s="104">
        <f t="shared" si="68"/>
        <v>0</v>
      </c>
      <c r="AH122" s="105">
        <f t="shared" si="14"/>
        <v>0</v>
      </c>
      <c r="AI122" s="115"/>
      <c r="AJ122" s="103">
        <v>281040866790</v>
      </c>
      <c r="AK122" s="103">
        <v>547525.68680481997</v>
      </c>
      <c r="AL122" s="104">
        <f t="shared" si="69"/>
        <v>0</v>
      </c>
      <c r="AM122" s="104">
        <f t="shared" si="16"/>
        <v>0</v>
      </c>
      <c r="AN122" s="108">
        <f t="shared" si="17"/>
        <v>0</v>
      </c>
      <c r="AO122" s="101">
        <f t="shared" si="18"/>
        <v>0</v>
      </c>
    </row>
    <row r="123" spans="1:41" ht="15.75" customHeight="1" x14ac:dyDescent="0.3">
      <c r="A123" s="99">
        <v>30302</v>
      </c>
      <c r="B123" s="62" t="s">
        <v>105</v>
      </c>
      <c r="C123" s="62" t="s">
        <v>123</v>
      </c>
      <c r="D123" s="100">
        <v>24</v>
      </c>
      <c r="E123" s="101">
        <v>13277.75</v>
      </c>
      <c r="F123" s="102">
        <v>20.12587056153566</v>
      </c>
      <c r="G123" s="103">
        <v>220240099</v>
      </c>
      <c r="H123" s="103">
        <f t="shared" si="0"/>
        <v>498026.73346770997</v>
      </c>
      <c r="I123" s="104">
        <f t="shared" si="64"/>
        <v>7.2565003797488739E-5</v>
      </c>
      <c r="J123" s="105">
        <f t="shared" si="2"/>
        <v>2.7217948677551009E-3</v>
      </c>
      <c r="K123" s="106">
        <v>3.1981434814249141</v>
      </c>
      <c r="L123" s="107">
        <v>300284090</v>
      </c>
      <c r="M123" s="103">
        <f t="shared" si="3"/>
        <v>813913.03325038229</v>
      </c>
      <c r="N123" s="104">
        <f t="shared" si="65"/>
        <v>6.8510925803220822E-5</v>
      </c>
      <c r="O123" s="105">
        <f t="shared" si="5"/>
        <v>4.1996524585333614E-3</v>
      </c>
      <c r="P123" s="102">
        <v>0.67318164851362061</v>
      </c>
      <c r="Q123" s="103">
        <v>215025815918</v>
      </c>
      <c r="R123" s="103">
        <f t="shared" si="6"/>
        <v>418914.72535322671</v>
      </c>
      <c r="S123" s="104">
        <f t="shared" si="66"/>
        <v>4.1399306635863586E-5</v>
      </c>
      <c r="T123" s="105">
        <f t="shared" si="8"/>
        <v>1.3061534649452514E-3</v>
      </c>
      <c r="U123" s="104">
        <f t="shared" si="9"/>
        <v>8.2276007912337138E-3</v>
      </c>
      <c r="V123" s="103">
        <f t="shared" si="10"/>
        <v>109.24402640580344</v>
      </c>
      <c r="W123" s="100">
        <v>113</v>
      </c>
      <c r="X123" s="101">
        <v>14720</v>
      </c>
      <c r="Y123" s="102">
        <v>93.438831426807056</v>
      </c>
      <c r="Z123" s="107">
        <v>378780105</v>
      </c>
      <c r="AA123" s="103">
        <v>866801.9064986615</v>
      </c>
      <c r="AB123" s="104">
        <f t="shared" si="67"/>
        <v>2.0458860072816452E-4</v>
      </c>
      <c r="AC123" s="105">
        <f t="shared" si="12"/>
        <v>1.2047404154827884E-2</v>
      </c>
      <c r="AD123" s="102">
        <v>16.98968327081451</v>
      </c>
      <c r="AE123" s="103">
        <v>326008197</v>
      </c>
      <c r="AF123" s="103">
        <v>760140.49290227005</v>
      </c>
      <c r="AG123" s="104">
        <f t="shared" si="68"/>
        <v>2.8891834918038007E-4</v>
      </c>
      <c r="AH123" s="105">
        <f t="shared" si="14"/>
        <v>1.4919737524081813E-2</v>
      </c>
      <c r="AI123" s="106">
        <v>2.5565313265348619</v>
      </c>
      <c r="AJ123" s="103">
        <v>281040866790</v>
      </c>
      <c r="AK123" s="103">
        <v>547525.68680481997</v>
      </c>
      <c r="AL123" s="104">
        <f t="shared" si="69"/>
        <v>1.1550910878128512E-4</v>
      </c>
      <c r="AM123" s="104">
        <f t="shared" si="16"/>
        <v>4.2964812579949592E-3</v>
      </c>
      <c r="AN123" s="108">
        <f t="shared" si="17"/>
        <v>3.1263622936904656E-2</v>
      </c>
      <c r="AO123" s="101">
        <f t="shared" si="18"/>
        <v>460.20052963123652</v>
      </c>
    </row>
    <row r="124" spans="1:41" ht="15.75" customHeight="1" x14ac:dyDescent="0.3">
      <c r="A124" s="99">
        <v>30303</v>
      </c>
      <c r="B124" s="62" t="s">
        <v>105</v>
      </c>
      <c r="C124" s="62" t="s">
        <v>117</v>
      </c>
      <c r="D124" s="100">
        <v>302</v>
      </c>
      <c r="E124" s="101">
        <v>18459</v>
      </c>
      <c r="F124" s="102">
        <v>242.7214792160612</v>
      </c>
      <c r="G124" s="103">
        <v>220240099</v>
      </c>
      <c r="H124" s="103">
        <f t="shared" si="0"/>
        <v>498026.73346770997</v>
      </c>
      <c r="I124" s="104">
        <f t="shared" si="64"/>
        <v>8.7514649402085974E-4</v>
      </c>
      <c r="J124" s="105">
        <f t="shared" si="2"/>
        <v>2.3611590537024083E-2</v>
      </c>
      <c r="K124" s="106">
        <v>51.573748765124989</v>
      </c>
      <c r="L124" s="107">
        <v>300284090</v>
      </c>
      <c r="M124" s="103">
        <f t="shared" si="3"/>
        <v>813913.03325038229</v>
      </c>
      <c r="N124" s="104">
        <f t="shared" si="65"/>
        <v>1.1048176217119438E-3</v>
      </c>
      <c r="O124" s="105">
        <f t="shared" si="5"/>
        <v>4.8714744118101824E-2</v>
      </c>
      <c r="P124" s="102">
        <v>7.6698242025468826</v>
      </c>
      <c r="Q124" s="103">
        <v>215025815918</v>
      </c>
      <c r="R124" s="103">
        <f t="shared" si="6"/>
        <v>418914.72535322671</v>
      </c>
      <c r="S124" s="104">
        <f t="shared" si="66"/>
        <v>4.7167863934719509E-4</v>
      </c>
      <c r="T124" s="105">
        <f t="shared" si="8"/>
        <v>1.0704432940956386E-2</v>
      </c>
      <c r="U124" s="104">
        <f t="shared" si="9"/>
        <v>8.3030767596082286E-2</v>
      </c>
      <c r="V124" s="103">
        <f t="shared" si="10"/>
        <v>1532.6649390560831</v>
      </c>
      <c r="W124" s="100">
        <v>640</v>
      </c>
      <c r="X124" s="101">
        <v>19608</v>
      </c>
      <c r="Y124" s="102">
        <v>440.53556753314467</v>
      </c>
      <c r="Z124" s="107">
        <v>378780105</v>
      </c>
      <c r="AA124" s="103">
        <v>866801.9064986615</v>
      </c>
      <c r="AB124" s="104">
        <f t="shared" si="67"/>
        <v>9.6457280079742665E-4</v>
      </c>
      <c r="AC124" s="105">
        <f t="shared" si="12"/>
        <v>4.2640429553649682E-2</v>
      </c>
      <c r="AD124" s="102">
        <v>182.50316094179081</v>
      </c>
      <c r="AE124" s="103">
        <v>326008197</v>
      </c>
      <c r="AF124" s="103">
        <v>760140.49290227005</v>
      </c>
      <c r="AG124" s="104">
        <f t="shared" si="68"/>
        <v>3.1035606219971365E-3</v>
      </c>
      <c r="AH124" s="105">
        <f t="shared" si="14"/>
        <v>0.12031528462652892</v>
      </c>
      <c r="AI124" s="106">
        <v>16.874728661163999</v>
      </c>
      <c r="AJ124" s="103">
        <v>281040866790</v>
      </c>
      <c r="AK124" s="103">
        <v>547525.68680481997</v>
      </c>
      <c r="AL124" s="104">
        <f t="shared" si="69"/>
        <v>7.6243339885805322E-4</v>
      </c>
      <c r="AM124" s="104">
        <f t="shared" si="16"/>
        <v>2.128987506898658E-2</v>
      </c>
      <c r="AN124" s="108">
        <f t="shared" si="17"/>
        <v>0.18424558924916518</v>
      </c>
      <c r="AO124" s="101">
        <f t="shared" si="18"/>
        <v>3612.6875139976305</v>
      </c>
    </row>
    <row r="125" spans="1:41" ht="15.75" customHeight="1" x14ac:dyDescent="0.3">
      <c r="A125" s="99">
        <v>30401</v>
      </c>
      <c r="B125" s="62" t="s">
        <v>105</v>
      </c>
      <c r="C125" s="62" t="s">
        <v>139</v>
      </c>
      <c r="D125" s="100">
        <v>407</v>
      </c>
      <c r="E125" s="101">
        <v>8999.75</v>
      </c>
      <c r="F125" s="102">
        <v>327.19304377771022</v>
      </c>
      <c r="G125" s="103">
        <v>220240099</v>
      </c>
      <c r="H125" s="103">
        <f t="shared" si="0"/>
        <v>498026.73346770997</v>
      </c>
      <c r="I125" s="104">
        <f t="shared" si="64"/>
        <v>1.1797136621567242E-3</v>
      </c>
      <c r="J125" s="105">
        <f t="shared" si="2"/>
        <v>6.5282806921430361E-2</v>
      </c>
      <c r="K125" s="106">
        <v>51.801522608305753</v>
      </c>
      <c r="L125" s="107">
        <v>300284090</v>
      </c>
      <c r="M125" s="103">
        <f t="shared" si="3"/>
        <v>813913.03325038229</v>
      </c>
      <c r="N125" s="104">
        <f t="shared" si="65"/>
        <v>1.1096970140721386E-3</v>
      </c>
      <c r="O125" s="105">
        <f t="shared" si="5"/>
        <v>0.10035799469011322</v>
      </c>
      <c r="P125" s="102">
        <v>27.97392674198727</v>
      </c>
      <c r="Q125" s="103">
        <v>215025815918</v>
      </c>
      <c r="R125" s="103">
        <f t="shared" si="6"/>
        <v>418914.72535322671</v>
      </c>
      <c r="S125" s="104">
        <f t="shared" si="66"/>
        <v>1.7203397828175991E-3</v>
      </c>
      <c r="T125" s="105">
        <f t="shared" si="8"/>
        <v>8.0077298550877987E-2</v>
      </c>
      <c r="U125" s="104">
        <f t="shared" si="9"/>
        <v>0.24571810016242157</v>
      </c>
      <c r="V125" s="103">
        <f t="shared" si="10"/>
        <v>2211.4014719367538</v>
      </c>
      <c r="W125" s="100">
        <v>700</v>
      </c>
      <c r="X125" s="101">
        <v>11273</v>
      </c>
      <c r="Y125" s="102">
        <v>585.29809120752111</v>
      </c>
      <c r="Z125" s="107">
        <v>378780105</v>
      </c>
      <c r="AA125" s="103">
        <v>866801.9064986615</v>
      </c>
      <c r="AB125" s="104">
        <f t="shared" si="67"/>
        <v>1.2815369762282593E-3</v>
      </c>
      <c r="AC125" s="105">
        <f t="shared" si="12"/>
        <v>9.8539758204842107E-2</v>
      </c>
      <c r="AD125" s="102">
        <v>66.943451416819073</v>
      </c>
      <c r="AE125" s="103">
        <v>326008197</v>
      </c>
      <c r="AF125" s="103">
        <v>760140.49290227005</v>
      </c>
      <c r="AG125" s="104">
        <f t="shared" si="68"/>
        <v>1.138408006993829E-3</v>
      </c>
      <c r="AH125" s="105">
        <f t="shared" si="14"/>
        <v>7.6763064273944831E-2</v>
      </c>
      <c r="AI125" s="106">
        <v>47.705652823791169</v>
      </c>
      <c r="AJ125" s="103">
        <v>281040866790</v>
      </c>
      <c r="AK125" s="103">
        <v>547525.68680481997</v>
      </c>
      <c r="AL125" s="104">
        <f t="shared" si="69"/>
        <v>2.155435133656037E-3</v>
      </c>
      <c r="AM125" s="104">
        <f t="shared" si="16"/>
        <v>0.10468873431369295</v>
      </c>
      <c r="AN125" s="108">
        <f t="shared" si="17"/>
        <v>0.27999155679247989</v>
      </c>
      <c r="AO125" s="101">
        <f t="shared" si="18"/>
        <v>3156.3448197216258</v>
      </c>
    </row>
    <row r="126" spans="1:41" ht="15.75" customHeight="1" x14ac:dyDescent="0.3">
      <c r="A126" s="99">
        <v>30402</v>
      </c>
      <c r="B126" s="62" t="s">
        <v>105</v>
      </c>
      <c r="C126" s="62" t="s">
        <v>108</v>
      </c>
      <c r="D126" s="100">
        <v>1</v>
      </c>
      <c r="E126" s="101">
        <v>7227.75</v>
      </c>
      <c r="F126" s="102">
        <v>0.99951376648635504</v>
      </c>
      <c r="G126" s="103">
        <v>220240099</v>
      </c>
      <c r="H126" s="103">
        <f t="shared" si="0"/>
        <v>498026.73346770997</v>
      </c>
      <c r="I126" s="104">
        <f t="shared" si="64"/>
        <v>3.6038053628021748E-6</v>
      </c>
      <c r="J126" s="105">
        <f t="shared" si="2"/>
        <v>2.4831952030573588E-4</v>
      </c>
      <c r="K126" s="106">
        <v>2.4311675682246399E-5</v>
      </c>
      <c r="L126" s="107">
        <v>300284090</v>
      </c>
      <c r="M126" s="103">
        <f t="shared" si="3"/>
        <v>813913.03325038229</v>
      </c>
      <c r="N126" s="104">
        <f t="shared" si="65"/>
        <v>5.2080696769622282E-10</v>
      </c>
      <c r="O126" s="105">
        <f t="shared" si="5"/>
        <v>5.8647792025950896E-8</v>
      </c>
      <c r="P126" s="102">
        <v>3.4036345955145E-4</v>
      </c>
      <c r="Q126" s="103">
        <v>215025815918</v>
      </c>
      <c r="R126" s="103">
        <f t="shared" si="6"/>
        <v>418914.72535322671</v>
      </c>
      <c r="S126" s="104">
        <f t="shared" si="66"/>
        <v>2.0931662740251795E-8</v>
      </c>
      <c r="T126" s="105">
        <f t="shared" si="8"/>
        <v>1.2131827675305524E-6</v>
      </c>
      <c r="U126" s="104">
        <f t="shared" si="9"/>
        <v>2.495913508652924E-4</v>
      </c>
      <c r="V126" s="103">
        <f t="shared" si="10"/>
        <v>1.8039838862166171</v>
      </c>
      <c r="W126" s="100">
        <v>141</v>
      </c>
      <c r="X126" s="101">
        <v>7335</v>
      </c>
      <c r="Y126" s="102">
        <v>103.35603121019381</v>
      </c>
      <c r="Z126" s="107">
        <v>378780105</v>
      </c>
      <c r="AA126" s="103">
        <v>866801.9064986615</v>
      </c>
      <c r="AB126" s="104">
        <f t="shared" si="67"/>
        <v>2.263027638426088E-4</v>
      </c>
      <c r="AC126" s="105">
        <f t="shared" si="12"/>
        <v>2.6742967572554826E-2</v>
      </c>
      <c r="AD126" s="102">
        <v>29.650820385348069</v>
      </c>
      <c r="AE126" s="103">
        <v>326008197</v>
      </c>
      <c r="AF126" s="103">
        <v>760140.49290227005</v>
      </c>
      <c r="AG126" s="104">
        <f t="shared" si="68"/>
        <v>5.0422753273422424E-4</v>
      </c>
      <c r="AH126" s="105">
        <f t="shared" si="14"/>
        <v>5.2254092061007326E-2</v>
      </c>
      <c r="AI126" s="106">
        <v>7.9781862683710623</v>
      </c>
      <c r="AJ126" s="103">
        <v>281040866790</v>
      </c>
      <c r="AK126" s="103">
        <v>547525.68680481997</v>
      </c>
      <c r="AL126" s="104">
        <f t="shared" si="69"/>
        <v>3.6047013231780227E-4</v>
      </c>
      <c r="AM126" s="104">
        <f t="shared" si="16"/>
        <v>2.690751966870198E-2</v>
      </c>
      <c r="AN126" s="108">
        <f t="shared" si="17"/>
        <v>0.10590457930226413</v>
      </c>
      <c r="AO126" s="101">
        <f t="shared" si="18"/>
        <v>776.81008918210739</v>
      </c>
    </row>
    <row r="127" spans="1:41" ht="15.75" customHeight="1" x14ac:dyDescent="0.3">
      <c r="A127" s="99">
        <v>30403</v>
      </c>
      <c r="B127" s="62" t="s">
        <v>105</v>
      </c>
      <c r="C127" s="62" t="s">
        <v>110</v>
      </c>
      <c r="D127" s="100">
        <v>208</v>
      </c>
      <c r="E127" s="101">
        <v>20427.5</v>
      </c>
      <c r="F127" s="102">
        <v>169.24682241569079</v>
      </c>
      <c r="G127" s="103">
        <v>220240099</v>
      </c>
      <c r="H127" s="103">
        <f t="shared" si="0"/>
        <v>498026.73346770997</v>
      </c>
      <c r="I127" s="104">
        <f t="shared" si="64"/>
        <v>6.102293202053864E-4</v>
      </c>
      <c r="J127" s="105">
        <f t="shared" si="2"/>
        <v>1.4877518786347318E-2</v>
      </c>
      <c r="K127" s="106">
        <v>26.920596771233619</v>
      </c>
      <c r="L127" s="107">
        <v>300284090</v>
      </c>
      <c r="M127" s="103">
        <f t="shared" si="3"/>
        <v>813913.03325038229</v>
      </c>
      <c r="N127" s="104">
        <f t="shared" si="65"/>
        <v>5.7669551684737762E-4</v>
      </c>
      <c r="O127" s="105">
        <f t="shared" si="5"/>
        <v>2.2977848360256813E-2</v>
      </c>
      <c r="P127" s="102">
        <v>11.81346143606241</v>
      </c>
      <c r="Q127" s="103">
        <v>215025815918</v>
      </c>
      <c r="R127" s="103">
        <f t="shared" si="6"/>
        <v>418914.72535322671</v>
      </c>
      <c r="S127" s="104">
        <f t="shared" si="66"/>
        <v>7.265039287722081E-4</v>
      </c>
      <c r="T127" s="105">
        <f t="shared" si="8"/>
        <v>1.4898699977464189E-2</v>
      </c>
      <c r="U127" s="104">
        <f t="shared" si="9"/>
        <v>5.275406712406832E-2</v>
      </c>
      <c r="V127" s="103">
        <f t="shared" si="10"/>
        <v>1077.6337061769054</v>
      </c>
      <c r="W127" s="100">
        <v>2851</v>
      </c>
      <c r="X127" s="101">
        <v>29375</v>
      </c>
      <c r="Y127" s="102">
        <v>2365.8748225517988</v>
      </c>
      <c r="Z127" s="107">
        <v>378780105</v>
      </c>
      <c r="AA127" s="103">
        <v>866801.9064986615</v>
      </c>
      <c r="AB127" s="104">
        <f t="shared" si="67"/>
        <v>5.1801912765039289E-3</v>
      </c>
      <c r="AC127" s="105">
        <f t="shared" si="12"/>
        <v>0.15285786125962009</v>
      </c>
      <c r="AD127" s="102">
        <v>309.32440773001127</v>
      </c>
      <c r="AE127" s="103">
        <v>326008197</v>
      </c>
      <c r="AF127" s="103">
        <v>760140.49290227005</v>
      </c>
      <c r="AG127" s="104">
        <f t="shared" si="68"/>
        <v>5.2602215013669972E-3</v>
      </c>
      <c r="AH127" s="105">
        <f t="shared" si="14"/>
        <v>0.13611939965359074</v>
      </c>
      <c r="AI127" s="106">
        <v>175.5729157272832</v>
      </c>
      <c r="AJ127" s="103">
        <v>281040866790</v>
      </c>
      <c r="AK127" s="103">
        <v>547525.68680481997</v>
      </c>
      <c r="AL127" s="104">
        <f t="shared" si="69"/>
        <v>7.9327293240244248E-3</v>
      </c>
      <c r="AM127" s="104">
        <f t="shared" si="16"/>
        <v>0.14785950881270496</v>
      </c>
      <c r="AN127" s="108">
        <f t="shared" si="17"/>
        <v>0.43683676972591579</v>
      </c>
      <c r="AO127" s="101">
        <f t="shared" si="18"/>
        <v>12832.080110698778</v>
      </c>
    </row>
    <row r="128" spans="1:41" ht="15.75" customHeight="1" x14ac:dyDescent="0.3">
      <c r="A128" s="99">
        <v>30404</v>
      </c>
      <c r="B128" s="62" t="s">
        <v>105</v>
      </c>
      <c r="C128" s="62" t="s">
        <v>132</v>
      </c>
      <c r="D128" s="100">
        <v>5</v>
      </c>
      <c r="E128" s="101">
        <v>4521.25</v>
      </c>
      <c r="F128" s="102">
        <v>3.2807508054093342</v>
      </c>
      <c r="G128" s="103">
        <v>220240099</v>
      </c>
      <c r="H128" s="103">
        <f t="shared" si="0"/>
        <v>498026.73346770997</v>
      </c>
      <c r="I128" s="104">
        <f t="shared" si="64"/>
        <v>1.1828938973111299E-5</v>
      </c>
      <c r="J128" s="105">
        <f t="shared" si="2"/>
        <v>1.3029865274354455E-3</v>
      </c>
      <c r="K128" s="106">
        <v>1.619624152517956</v>
      </c>
      <c r="L128" s="107">
        <v>300284090</v>
      </c>
      <c r="M128" s="103">
        <f t="shared" si="3"/>
        <v>813913.03325038229</v>
      </c>
      <c r="N128" s="104">
        <f t="shared" si="65"/>
        <v>3.4695738570435759E-5</v>
      </c>
      <c r="O128" s="105">
        <f t="shared" si="5"/>
        <v>6.2459085033399284E-3</v>
      </c>
      <c r="P128" s="102">
        <v>9.9026875287162239E-2</v>
      </c>
      <c r="Q128" s="103">
        <v>215025815918</v>
      </c>
      <c r="R128" s="103">
        <f t="shared" si="6"/>
        <v>418914.72535322671</v>
      </c>
      <c r="S128" s="104">
        <f t="shared" si="66"/>
        <v>6.0899520720100296E-6</v>
      </c>
      <c r="T128" s="105">
        <f t="shared" si="8"/>
        <v>5.6426222829093623E-4</v>
      </c>
      <c r="U128" s="104">
        <f t="shared" si="9"/>
        <v>8.1131572590663094E-3</v>
      </c>
      <c r="V128" s="103">
        <f t="shared" si="10"/>
        <v>36.681612257553553</v>
      </c>
      <c r="W128" s="100">
        <v>6</v>
      </c>
      <c r="X128" s="101">
        <v>4987</v>
      </c>
      <c r="Y128" s="102">
        <v>4.1211810350333558</v>
      </c>
      <c r="Z128" s="107">
        <v>378780105</v>
      </c>
      <c r="AA128" s="103">
        <v>866801.9064986615</v>
      </c>
      <c r="AB128" s="104">
        <f t="shared" si="67"/>
        <v>9.0235146183884014E-6</v>
      </c>
      <c r="AC128" s="105">
        <f t="shared" si="12"/>
        <v>1.5683977691072003E-3</v>
      </c>
      <c r="AD128" s="102">
        <v>1.697374594102613</v>
      </c>
      <c r="AE128" s="103">
        <v>326008197</v>
      </c>
      <c r="AF128" s="103">
        <v>760140.49290227005</v>
      </c>
      <c r="AG128" s="104">
        <f t="shared" si="68"/>
        <v>2.886473266463278E-5</v>
      </c>
      <c r="AH128" s="105">
        <f t="shared" si="14"/>
        <v>4.3996896160389447E-3</v>
      </c>
      <c r="AI128" s="106">
        <v>0.18081466231719001</v>
      </c>
      <c r="AJ128" s="103">
        <v>281040866790</v>
      </c>
      <c r="AK128" s="103">
        <v>547525.68680481997</v>
      </c>
      <c r="AL128" s="104">
        <f t="shared" si="69"/>
        <v>8.169561734710404E-6</v>
      </c>
      <c r="AM128" s="104">
        <f t="shared" si="16"/>
        <v>8.9694102660751768E-4</v>
      </c>
      <c r="AN128" s="108">
        <f t="shared" si="17"/>
        <v>6.865028411753662E-3</v>
      </c>
      <c r="AO128" s="101">
        <f t="shared" si="18"/>
        <v>34.235896689415519</v>
      </c>
    </row>
    <row r="129" spans="1:41" ht="15.75" customHeight="1" x14ac:dyDescent="0.3">
      <c r="A129" s="99">
        <v>30501</v>
      </c>
      <c r="B129" s="62" t="s">
        <v>105</v>
      </c>
      <c r="C129" s="62" t="s">
        <v>109</v>
      </c>
      <c r="D129" s="100">
        <v>49</v>
      </c>
      <c r="E129" s="101">
        <v>9923.75</v>
      </c>
      <c r="F129" s="102">
        <v>30.62615655873002</v>
      </c>
      <c r="G129" s="103">
        <v>220240099</v>
      </c>
      <c r="H129" s="103">
        <f t="shared" si="0"/>
        <v>498026.73346770997</v>
      </c>
      <c r="I129" s="104">
        <f t="shared" si="64"/>
        <v>1.1042439929203014E-4</v>
      </c>
      <c r="J129" s="105">
        <f t="shared" si="2"/>
        <v>5.5416856404629173E-3</v>
      </c>
      <c r="K129" s="106">
        <v>16.265801272686289</v>
      </c>
      <c r="L129" s="107">
        <v>300284090</v>
      </c>
      <c r="M129" s="103">
        <f t="shared" si="3"/>
        <v>813913.03325038229</v>
      </c>
      <c r="N129" s="104">
        <f t="shared" si="65"/>
        <v>3.4844750105659345E-4</v>
      </c>
      <c r="O129" s="105">
        <f t="shared" si="5"/>
        <v>2.8578507370045376E-2</v>
      </c>
      <c r="P129" s="102">
        <v>2.100302882933458</v>
      </c>
      <c r="Q129" s="103">
        <v>215025815918</v>
      </c>
      <c r="R129" s="103">
        <f t="shared" si="6"/>
        <v>418914.72535322671</v>
      </c>
      <c r="S129" s="104">
        <f t="shared" si="66"/>
        <v>1.2916436933588102E-4</v>
      </c>
      <c r="T129" s="105">
        <f t="shared" si="8"/>
        <v>5.4524606429790495E-3</v>
      </c>
      <c r="U129" s="104">
        <f t="shared" si="9"/>
        <v>3.9572653653487347E-2</v>
      </c>
      <c r="V129" s="103">
        <f t="shared" si="10"/>
        <v>392.70912169379494</v>
      </c>
      <c r="W129" s="100">
        <v>469</v>
      </c>
      <c r="X129" s="101">
        <v>11183</v>
      </c>
      <c r="Y129" s="102">
        <v>381.1674747606786</v>
      </c>
      <c r="Z129" s="107">
        <v>378780105</v>
      </c>
      <c r="AA129" s="103">
        <v>866801.9064986615</v>
      </c>
      <c r="AB129" s="104">
        <f t="shared" si="67"/>
        <v>8.3458364272739037E-4</v>
      </c>
      <c r="AC129" s="105">
        <f t="shared" si="12"/>
        <v>6.468914357942411E-2</v>
      </c>
      <c r="AD129" s="102">
        <v>61.428728879923383</v>
      </c>
      <c r="AE129" s="103">
        <v>326008197</v>
      </c>
      <c r="AF129" s="103">
        <v>760140.49290227005</v>
      </c>
      <c r="AG129" s="104">
        <f t="shared" si="68"/>
        <v>1.0446272986574484E-3</v>
      </c>
      <c r="AH129" s="105">
        <f t="shared" si="14"/>
        <v>7.100630507919517E-2</v>
      </c>
      <c r="AI129" s="106">
        <v>26.36043506946255</v>
      </c>
      <c r="AJ129" s="103">
        <v>281040866790</v>
      </c>
      <c r="AK129" s="103">
        <v>547525.68680481997</v>
      </c>
      <c r="AL129" s="104">
        <f t="shared" si="69"/>
        <v>1.1910162532948849E-3</v>
      </c>
      <c r="AM129" s="104">
        <f t="shared" si="16"/>
        <v>5.8312795500401075E-2</v>
      </c>
      <c r="AN129" s="108">
        <f t="shared" si="17"/>
        <v>0.19400824415902035</v>
      </c>
      <c r="AO129" s="101">
        <f t="shared" si="18"/>
        <v>2169.5941944303245</v>
      </c>
    </row>
    <row r="130" spans="1:41" ht="15.75" customHeight="1" x14ac:dyDescent="0.3">
      <c r="A130" s="99">
        <v>30502</v>
      </c>
      <c r="B130" s="62" t="s">
        <v>105</v>
      </c>
      <c r="C130" s="62" t="s">
        <v>145</v>
      </c>
      <c r="D130" s="100">
        <v>25</v>
      </c>
      <c r="E130" s="101">
        <v>8807.25</v>
      </c>
      <c r="F130" s="102">
        <v>14.707026674985361</v>
      </c>
      <c r="G130" s="103">
        <v>220240099</v>
      </c>
      <c r="H130" s="103">
        <f t="shared" si="0"/>
        <v>498026.73346770997</v>
      </c>
      <c r="I130" s="104">
        <f t="shared" si="64"/>
        <v>5.3027045128657998E-5</v>
      </c>
      <c r="J130" s="105">
        <f t="shared" si="2"/>
        <v>2.9985393932124536E-3</v>
      </c>
      <c r="K130" s="106">
        <v>9.4137501337458165</v>
      </c>
      <c r="L130" s="107">
        <v>300284090</v>
      </c>
      <c r="M130" s="103">
        <f t="shared" si="3"/>
        <v>813913.03325038229</v>
      </c>
      <c r="N130" s="104">
        <f t="shared" si="65"/>
        <v>2.0166222706673821E-4</v>
      </c>
      <c r="O130" s="105">
        <f t="shared" si="5"/>
        <v>1.8636409199683925E-2</v>
      </c>
      <c r="P130" s="102">
        <v>0.87462643628900039</v>
      </c>
      <c r="Q130" s="103">
        <v>215025815918</v>
      </c>
      <c r="R130" s="103">
        <f t="shared" si="6"/>
        <v>418914.72535322671</v>
      </c>
      <c r="S130" s="104">
        <f t="shared" si="66"/>
        <v>5.3787752693065745E-5</v>
      </c>
      <c r="T130" s="105">
        <f t="shared" si="8"/>
        <v>2.5584015040770861E-3</v>
      </c>
      <c r="U130" s="104">
        <f t="shared" si="9"/>
        <v>2.4193350096973466E-2</v>
      </c>
      <c r="V130" s="103">
        <f t="shared" si="10"/>
        <v>213.07688264156954</v>
      </c>
      <c r="W130" s="100">
        <v>137</v>
      </c>
      <c r="X130" s="101">
        <v>8409</v>
      </c>
      <c r="Y130" s="102">
        <v>97.22346390631418</v>
      </c>
      <c r="Z130" s="107">
        <v>378780105</v>
      </c>
      <c r="AA130" s="103">
        <v>866801.9064986615</v>
      </c>
      <c r="AB130" s="104">
        <f t="shared" si="67"/>
        <v>2.1287522687095023E-4</v>
      </c>
      <c r="AC130" s="105">
        <f t="shared" si="12"/>
        <v>2.1943233737433079E-2</v>
      </c>
      <c r="AD130" s="102">
        <v>31.412213487298249</v>
      </c>
      <c r="AE130" s="103">
        <v>326008197</v>
      </c>
      <c r="AF130" s="103">
        <v>760140.49290227005</v>
      </c>
      <c r="AG130" s="104">
        <f t="shared" si="68"/>
        <v>5.3418093322800267E-4</v>
      </c>
      <c r="AH130" s="105">
        <f t="shared" si="14"/>
        <v>4.8287853238545439E-2</v>
      </c>
      <c r="AI130" s="106">
        <v>8.3503074848836949</v>
      </c>
      <c r="AJ130" s="103">
        <v>281040866790</v>
      </c>
      <c r="AK130" s="103">
        <v>547525.68680481997</v>
      </c>
      <c r="AL130" s="104">
        <f t="shared" si="69"/>
        <v>3.772833000782935E-4</v>
      </c>
      <c r="AM130" s="104">
        <f t="shared" si="16"/>
        <v>2.456561993047409E-2</v>
      </c>
      <c r="AN130" s="108">
        <f t="shared" si="17"/>
        <v>9.4796706906452616E-2</v>
      </c>
      <c r="AO130" s="101">
        <f t="shared" si="18"/>
        <v>797.14550837635989</v>
      </c>
    </row>
    <row r="131" spans="1:41" ht="15.75" customHeight="1" x14ac:dyDescent="0.3">
      <c r="A131" s="99">
        <v>30601</v>
      </c>
      <c r="B131" s="62" t="s">
        <v>105</v>
      </c>
      <c r="C131" s="62" t="s">
        <v>111</v>
      </c>
      <c r="D131" s="100">
        <v>4</v>
      </c>
      <c r="E131" s="101">
        <v>10605.75</v>
      </c>
      <c r="F131" s="102">
        <v>2.990068833768551</v>
      </c>
      <c r="G131" s="103">
        <v>220240099</v>
      </c>
      <c r="H131" s="103">
        <f t="shared" si="0"/>
        <v>498026.73346770997</v>
      </c>
      <c r="I131" s="104">
        <f t="shared" si="64"/>
        <v>1.0780868117667745E-5</v>
      </c>
      <c r="J131" s="105">
        <f t="shared" si="2"/>
        <v>5.0624996182148797E-4</v>
      </c>
      <c r="K131" s="106">
        <v>0.92549856170093958</v>
      </c>
      <c r="L131" s="107">
        <v>300284090</v>
      </c>
      <c r="M131" s="103">
        <f t="shared" si="3"/>
        <v>813913.03325038229</v>
      </c>
      <c r="N131" s="104">
        <f t="shared" si="65"/>
        <v>1.9826115888781247E-5</v>
      </c>
      <c r="O131" s="105">
        <f t="shared" si="5"/>
        <v>1.5215080612508822E-3</v>
      </c>
      <c r="P131" s="102">
        <v>8.3834437744961035E-2</v>
      </c>
      <c r="Q131" s="103">
        <v>215025815918</v>
      </c>
      <c r="R131" s="103">
        <f t="shared" si="6"/>
        <v>418914.72535322671</v>
      </c>
      <c r="S131" s="104">
        <f t="shared" si="66"/>
        <v>5.1556479629415139E-6</v>
      </c>
      <c r="T131" s="105">
        <f t="shared" si="8"/>
        <v>2.0364206684237956E-4</v>
      </c>
      <c r="U131" s="104">
        <f t="shared" si="9"/>
        <v>2.2314000899147498E-3</v>
      </c>
      <c r="V131" s="103">
        <f t="shared" si="10"/>
        <v>23.665671503613357</v>
      </c>
      <c r="W131" s="100">
        <v>172</v>
      </c>
      <c r="X131" s="101">
        <v>10632</v>
      </c>
      <c r="Y131" s="102">
        <v>134.6414538210536</v>
      </c>
      <c r="Z131" s="107">
        <v>378780105</v>
      </c>
      <c r="AA131" s="103">
        <v>866801.9064986615</v>
      </c>
      <c r="AB131" s="104">
        <f t="shared" si="67"/>
        <v>2.9480362946140526E-4</v>
      </c>
      <c r="AC131" s="105">
        <f t="shared" si="12"/>
        <v>2.4034645227602618E-2</v>
      </c>
      <c r="AD131" s="102">
        <v>27.996026083895462</v>
      </c>
      <c r="AE131" s="103">
        <v>326008197</v>
      </c>
      <c r="AF131" s="103">
        <v>760140.49290227005</v>
      </c>
      <c r="AG131" s="104">
        <f t="shared" si="68"/>
        <v>4.7608689996386029E-4</v>
      </c>
      <c r="AH131" s="105">
        <f t="shared" si="14"/>
        <v>3.4038086042404297E-2</v>
      </c>
      <c r="AI131" s="106">
        <v>9.3457425942814769</v>
      </c>
      <c r="AJ131" s="103">
        <v>281040866790</v>
      </c>
      <c r="AK131" s="103">
        <v>547525.68680481997</v>
      </c>
      <c r="AL131" s="104">
        <f t="shared" si="69"/>
        <v>4.2225901429807035E-4</v>
      </c>
      <c r="AM131" s="104">
        <f t="shared" si="16"/>
        <v>2.1745453048634053E-2</v>
      </c>
      <c r="AN131" s="108">
        <f t="shared" si="17"/>
        <v>7.9818184318640961E-2</v>
      </c>
      <c r="AO131" s="101">
        <f t="shared" si="18"/>
        <v>848.62693567579083</v>
      </c>
    </row>
    <row r="132" spans="1:41" ht="15.75" customHeight="1" x14ac:dyDescent="0.3">
      <c r="A132" s="99">
        <v>30602</v>
      </c>
      <c r="B132" s="62" t="s">
        <v>105</v>
      </c>
      <c r="C132" s="62" t="s">
        <v>137</v>
      </c>
      <c r="D132" s="100">
        <v>9</v>
      </c>
      <c r="E132" s="101">
        <v>10377.25</v>
      </c>
      <c r="F132" s="102">
        <v>7.9909942445857274</v>
      </c>
      <c r="G132" s="103">
        <v>220240099</v>
      </c>
      <c r="H132" s="103">
        <f t="shared" si="0"/>
        <v>498026.73346770997</v>
      </c>
      <c r="I132" s="104">
        <f t="shared" si="64"/>
        <v>2.8811997271427771E-5</v>
      </c>
      <c r="J132" s="105">
        <f t="shared" si="2"/>
        <v>1.3827502359266418E-3</v>
      </c>
      <c r="K132" s="106">
        <v>0.92193720892264719</v>
      </c>
      <c r="L132" s="107">
        <v>300284090</v>
      </c>
      <c r="M132" s="103">
        <f t="shared" si="3"/>
        <v>813913.03325038229</v>
      </c>
      <c r="N132" s="104">
        <f t="shared" si="65"/>
        <v>1.9749824259787798E-5</v>
      </c>
      <c r="O132" s="105">
        <f t="shared" si="5"/>
        <v>1.5490268972459826E-3</v>
      </c>
      <c r="P132" s="102">
        <v>8.5845052229416088E-2</v>
      </c>
      <c r="Q132" s="103">
        <v>215025815918</v>
      </c>
      <c r="R132" s="103">
        <f t="shared" si="6"/>
        <v>418914.72535322671</v>
      </c>
      <c r="S132" s="104">
        <f t="shared" si="66"/>
        <v>5.279296677597138E-6</v>
      </c>
      <c r="T132" s="105">
        <f t="shared" si="8"/>
        <v>2.1311764848623745E-4</v>
      </c>
      <c r="U132" s="104">
        <f t="shared" si="9"/>
        <v>3.1448947816588618E-3</v>
      </c>
      <c r="V132" s="103">
        <f t="shared" si="10"/>
        <v>32.635359372969425</v>
      </c>
      <c r="W132" s="100">
        <v>272</v>
      </c>
      <c r="X132" s="101">
        <v>10750</v>
      </c>
      <c r="Y132" s="102">
        <v>209.21360877955411</v>
      </c>
      <c r="Z132" s="107">
        <v>378780105</v>
      </c>
      <c r="AA132" s="103">
        <v>866801.9064986615</v>
      </c>
      <c r="AB132" s="104">
        <f t="shared" si="67"/>
        <v>4.5808277800463544E-4</v>
      </c>
      <c r="AC132" s="105">
        <f t="shared" si="12"/>
        <v>3.6936467470569403E-2</v>
      </c>
      <c r="AD132" s="102">
        <v>49.92572452822683</v>
      </c>
      <c r="AE132" s="103">
        <v>326008197</v>
      </c>
      <c r="AF132" s="103">
        <v>760140.49290227005</v>
      </c>
      <c r="AG132" s="104">
        <f t="shared" si="68"/>
        <v>8.4901276159212217E-4</v>
      </c>
      <c r="AH132" s="105">
        <f t="shared" si="14"/>
        <v>6.0034323635065417E-2</v>
      </c>
      <c r="AI132" s="106">
        <v>12.831014580572971</v>
      </c>
      <c r="AJ132" s="103">
        <v>281040866790</v>
      </c>
      <c r="AK132" s="103">
        <v>547525.68680481997</v>
      </c>
      <c r="AL132" s="104">
        <f t="shared" si="69"/>
        <v>5.7973045101328952E-4</v>
      </c>
      <c r="AM132" s="104">
        <f t="shared" si="16"/>
        <v>2.9527191939787846E-2</v>
      </c>
      <c r="AN132" s="108">
        <f t="shared" si="17"/>
        <v>0.12649798304542267</v>
      </c>
      <c r="AO132" s="101">
        <f t="shared" si="18"/>
        <v>1359.8533177382938</v>
      </c>
    </row>
    <row r="133" spans="1:41" ht="15.75" customHeight="1" x14ac:dyDescent="0.3">
      <c r="A133" s="99">
        <v>30701</v>
      </c>
      <c r="B133" s="62" t="s">
        <v>105</v>
      </c>
      <c r="C133" s="62" t="s">
        <v>113</v>
      </c>
      <c r="D133" s="100">
        <v>966</v>
      </c>
      <c r="E133" s="101">
        <v>19464.5</v>
      </c>
      <c r="F133" s="102">
        <v>675.58142473510611</v>
      </c>
      <c r="G133" s="103">
        <v>220240099</v>
      </c>
      <c r="H133" s="103">
        <f t="shared" si="0"/>
        <v>498026.73346770997</v>
      </c>
      <c r="I133" s="104">
        <f t="shared" si="64"/>
        <v>2.4358483525730871E-3</v>
      </c>
      <c r="J133" s="105">
        <f t="shared" si="2"/>
        <v>6.2324621657616541E-2</v>
      </c>
      <c r="K133" s="106">
        <v>264.29714479300281</v>
      </c>
      <c r="L133" s="107">
        <v>300284090</v>
      </c>
      <c r="M133" s="103">
        <f t="shared" si="3"/>
        <v>813913.03325038229</v>
      </c>
      <c r="N133" s="104">
        <f t="shared" si="65"/>
        <v>5.6617979093448768E-3</v>
      </c>
      <c r="O133" s="105">
        <f t="shared" si="5"/>
        <v>0.23674952400758104</v>
      </c>
      <c r="P133" s="102">
        <v>25.997156356931011</v>
      </c>
      <c r="Q133" s="103">
        <v>215025815918</v>
      </c>
      <c r="R133" s="103">
        <f t="shared" si="6"/>
        <v>418914.72535322671</v>
      </c>
      <c r="S133" s="104">
        <f t="shared" si="66"/>
        <v>1.5987724116625277E-3</v>
      </c>
      <c r="T133" s="105">
        <f t="shared" si="8"/>
        <v>3.4408759831175924E-2</v>
      </c>
      <c r="U133" s="104">
        <f t="shared" si="9"/>
        <v>0.33348290549637349</v>
      </c>
      <c r="V133" s="103">
        <f t="shared" si="10"/>
        <v>6491.0780140341622</v>
      </c>
      <c r="W133" s="100">
        <v>3728</v>
      </c>
      <c r="X133" s="101">
        <v>19427</v>
      </c>
      <c r="Y133" s="102">
        <v>3151.62137137126</v>
      </c>
      <c r="Z133" s="107">
        <v>378780105</v>
      </c>
      <c r="AA133" s="103">
        <v>866801.9064986615</v>
      </c>
      <c r="AB133" s="104">
        <f t="shared" si="67"/>
        <v>6.9006193308282287E-3</v>
      </c>
      <c r="AC133" s="105">
        <f t="shared" si="12"/>
        <v>0.30789468224550504</v>
      </c>
      <c r="AD133" s="102">
        <v>509.67561001034852</v>
      </c>
      <c r="AE133" s="103">
        <v>326008197</v>
      </c>
      <c r="AF133" s="103">
        <v>760140.49290227005</v>
      </c>
      <c r="AG133" s="104">
        <f t="shared" si="68"/>
        <v>8.6672972953328927E-3</v>
      </c>
      <c r="AH133" s="105">
        <f t="shared" si="14"/>
        <v>0.33913438195320211</v>
      </c>
      <c r="AI133" s="106">
        <v>66.255726485797794</v>
      </c>
      <c r="AJ133" s="103">
        <v>281040866790</v>
      </c>
      <c r="AK133" s="103">
        <v>547525.68680481997</v>
      </c>
      <c r="AL133" s="104">
        <f t="shared" si="69"/>
        <v>2.9935639116162147E-3</v>
      </c>
      <c r="AM133" s="104">
        <f t="shared" si="16"/>
        <v>8.436985312718337E-2</v>
      </c>
      <c r="AN133" s="108">
        <f t="shared" si="17"/>
        <v>0.73139891732589046</v>
      </c>
      <c r="AO133" s="101">
        <f t="shared" si="18"/>
        <v>14208.886766890077</v>
      </c>
    </row>
    <row r="134" spans="1:41" ht="15.75" customHeight="1" x14ac:dyDescent="0.3">
      <c r="A134" s="99">
        <v>30702</v>
      </c>
      <c r="B134" s="62" t="s">
        <v>105</v>
      </c>
      <c r="C134" s="62" t="s">
        <v>134</v>
      </c>
      <c r="D134" s="100">
        <v>43</v>
      </c>
      <c r="E134" s="101">
        <v>6880.25</v>
      </c>
      <c r="F134" s="102">
        <v>28.99476409333624</v>
      </c>
      <c r="G134" s="103">
        <v>220240099</v>
      </c>
      <c r="H134" s="103">
        <f t="shared" si="0"/>
        <v>498026.73346770997</v>
      </c>
      <c r="I134" s="104">
        <f t="shared" si="64"/>
        <v>1.0454231831150627E-4</v>
      </c>
      <c r="J134" s="105">
        <f t="shared" si="2"/>
        <v>7.5672932375743648E-3</v>
      </c>
      <c r="K134" s="106">
        <v>11.927940002439231</v>
      </c>
      <c r="L134" s="107">
        <v>300284090</v>
      </c>
      <c r="M134" s="103">
        <f t="shared" si="3"/>
        <v>813913.03325038229</v>
      </c>
      <c r="N134" s="104">
        <f t="shared" si="65"/>
        <v>2.5552143524476507E-4</v>
      </c>
      <c r="O134" s="105">
        <f t="shared" si="5"/>
        <v>3.0227422901865177E-2</v>
      </c>
      <c r="P134" s="102">
        <v>2.0715850981031299</v>
      </c>
      <c r="Q134" s="103">
        <v>215025815918</v>
      </c>
      <c r="R134" s="103">
        <f t="shared" si="6"/>
        <v>418914.72535322671</v>
      </c>
      <c r="S134" s="104">
        <f t="shared" si="66"/>
        <v>1.2739828378866122E-4</v>
      </c>
      <c r="T134" s="105">
        <f t="shared" si="8"/>
        <v>7.7568427112095417E-3</v>
      </c>
      <c r="U134" s="104">
        <f t="shared" si="9"/>
        <v>4.5551558850649085E-2</v>
      </c>
      <c r="V134" s="103">
        <f t="shared" si="10"/>
        <v>313.40611278217835</v>
      </c>
      <c r="W134" s="100">
        <v>339</v>
      </c>
      <c r="X134" s="101">
        <v>7940</v>
      </c>
      <c r="Y134" s="102">
        <v>250.62978342462</v>
      </c>
      <c r="Z134" s="107">
        <v>378780105</v>
      </c>
      <c r="AA134" s="103">
        <v>866801.9064986615</v>
      </c>
      <c r="AB134" s="104">
        <f t="shared" si="67"/>
        <v>5.487653891713284E-4</v>
      </c>
      <c r="AC134" s="105">
        <f t="shared" si="12"/>
        <v>5.9908171984154587E-2</v>
      </c>
      <c r="AD134" s="102">
        <v>75.346165195453949</v>
      </c>
      <c r="AE134" s="103">
        <v>326008197</v>
      </c>
      <c r="AF134" s="103">
        <v>760140.49290227005</v>
      </c>
      <c r="AG134" s="104">
        <f t="shared" si="68"/>
        <v>1.2813004997414019E-3</v>
      </c>
      <c r="AH134" s="105">
        <f t="shared" si="14"/>
        <v>0.12266604451251312</v>
      </c>
      <c r="AI134" s="106">
        <v>12.98287654436959</v>
      </c>
      <c r="AJ134" s="103">
        <v>281040866790</v>
      </c>
      <c r="AK134" s="103">
        <v>547525.68680481997</v>
      </c>
      <c r="AL134" s="104">
        <f t="shared" si="69"/>
        <v>5.8659187293832375E-4</v>
      </c>
      <c r="AM134" s="104">
        <f t="shared" si="16"/>
        <v>4.0450140819229395E-2</v>
      </c>
      <c r="AN134" s="108">
        <f t="shared" si="17"/>
        <v>0.22302435731589712</v>
      </c>
      <c r="AO134" s="101">
        <f t="shared" si="18"/>
        <v>1770.8133970882229</v>
      </c>
    </row>
    <row r="135" spans="1:41" ht="15.75" customHeight="1" x14ac:dyDescent="0.3">
      <c r="A135" s="99">
        <v>30703</v>
      </c>
      <c r="B135" s="62" t="s">
        <v>105</v>
      </c>
      <c r="C135" s="62" t="s">
        <v>786</v>
      </c>
      <c r="D135" s="112"/>
      <c r="E135" s="113">
        <v>3800</v>
      </c>
      <c r="F135" s="114"/>
      <c r="G135" s="103">
        <v>220240099</v>
      </c>
      <c r="H135" s="103">
        <f t="shared" si="0"/>
        <v>498026.73346770997</v>
      </c>
      <c r="I135" s="104">
        <f t="shared" si="64"/>
        <v>0</v>
      </c>
      <c r="J135" s="105">
        <f t="shared" si="2"/>
        <v>0</v>
      </c>
      <c r="K135" s="115"/>
      <c r="L135" s="107">
        <v>300284090</v>
      </c>
      <c r="M135" s="103">
        <f t="shared" si="3"/>
        <v>813913.03325038229</v>
      </c>
      <c r="N135" s="104">
        <f t="shared" si="65"/>
        <v>0</v>
      </c>
      <c r="O135" s="105">
        <f t="shared" si="5"/>
        <v>0</v>
      </c>
      <c r="P135" s="114"/>
      <c r="Q135" s="103">
        <v>215025815918</v>
      </c>
      <c r="R135" s="103">
        <f t="shared" si="6"/>
        <v>418914.72535322671</v>
      </c>
      <c r="S135" s="104">
        <f t="shared" si="66"/>
        <v>0</v>
      </c>
      <c r="T135" s="105">
        <f t="shared" si="8"/>
        <v>0</v>
      </c>
      <c r="U135" s="104">
        <f t="shared" si="9"/>
        <v>0</v>
      </c>
      <c r="V135" s="103">
        <f t="shared" si="10"/>
        <v>0</v>
      </c>
      <c r="W135" s="112"/>
      <c r="X135" s="101">
        <v>3980</v>
      </c>
      <c r="Y135" s="114"/>
      <c r="Z135" s="107">
        <v>378780105</v>
      </c>
      <c r="AA135" s="103">
        <v>866801.9064986615</v>
      </c>
      <c r="AB135" s="104">
        <f t="shared" si="67"/>
        <v>0</v>
      </c>
      <c r="AC135" s="105">
        <f t="shared" si="12"/>
        <v>0</v>
      </c>
      <c r="AD135" s="114"/>
      <c r="AE135" s="103">
        <v>326008197</v>
      </c>
      <c r="AF135" s="103">
        <v>760140.49290227005</v>
      </c>
      <c r="AG135" s="104">
        <f t="shared" si="68"/>
        <v>0</v>
      </c>
      <c r="AH135" s="105">
        <f t="shared" si="14"/>
        <v>0</v>
      </c>
      <c r="AI135" s="115"/>
      <c r="AJ135" s="103">
        <v>281040866790</v>
      </c>
      <c r="AK135" s="103">
        <v>547525.68680481997</v>
      </c>
      <c r="AL135" s="104">
        <f t="shared" si="69"/>
        <v>0</v>
      </c>
      <c r="AM135" s="104">
        <f t="shared" si="16"/>
        <v>0</v>
      </c>
      <c r="AN135" s="108">
        <f t="shared" si="17"/>
        <v>0</v>
      </c>
      <c r="AO135" s="101">
        <f t="shared" si="18"/>
        <v>0</v>
      </c>
    </row>
    <row r="136" spans="1:41" ht="15.75" customHeight="1" x14ac:dyDescent="0.3">
      <c r="A136" s="99">
        <v>30801</v>
      </c>
      <c r="B136" s="62" t="s">
        <v>105</v>
      </c>
      <c r="C136" s="62" t="s">
        <v>116</v>
      </c>
      <c r="D136" s="100">
        <v>2086</v>
      </c>
      <c r="E136" s="101">
        <v>21713</v>
      </c>
      <c r="F136" s="102">
        <v>1617.3626275024069</v>
      </c>
      <c r="G136" s="103">
        <v>220240099</v>
      </c>
      <c r="H136" s="103">
        <f t="shared" si="0"/>
        <v>498026.73346770997</v>
      </c>
      <c r="I136" s="104">
        <f t="shared" si="64"/>
        <v>5.8314955791742571E-3</v>
      </c>
      <c r="J136" s="105">
        <f t="shared" si="2"/>
        <v>0.13375584647573097</v>
      </c>
      <c r="K136" s="106">
        <v>352.15320559959889</v>
      </c>
      <c r="L136" s="107">
        <v>300284090</v>
      </c>
      <c r="M136" s="103">
        <f t="shared" si="3"/>
        <v>813913.03325038229</v>
      </c>
      <c r="N136" s="104">
        <f t="shared" si="65"/>
        <v>7.5438585793064965E-3</v>
      </c>
      <c r="O136" s="105">
        <f t="shared" si="5"/>
        <v>0.2827819655826127</v>
      </c>
      <c r="P136" s="102">
        <v>116.2859051839383</v>
      </c>
      <c r="Q136" s="103">
        <v>215025815918</v>
      </c>
      <c r="R136" s="103">
        <f t="shared" si="6"/>
        <v>418914.72535322671</v>
      </c>
      <c r="S136" s="104">
        <f t="shared" si="66"/>
        <v>7.1513474212620562E-3</v>
      </c>
      <c r="T136" s="105">
        <f t="shared" si="8"/>
        <v>0.13797286146011609</v>
      </c>
      <c r="U136" s="104">
        <f t="shared" si="9"/>
        <v>0.55451067351845973</v>
      </c>
      <c r="V136" s="103">
        <f t="shared" si="10"/>
        <v>12040.090254106317</v>
      </c>
      <c r="W136" s="100">
        <v>4265</v>
      </c>
      <c r="X136" s="101">
        <v>21155</v>
      </c>
      <c r="Y136" s="102">
        <v>3285.6196036219262</v>
      </c>
      <c r="Z136" s="107">
        <v>378780105</v>
      </c>
      <c r="AA136" s="103">
        <v>866801.9064986615</v>
      </c>
      <c r="AB136" s="104">
        <f t="shared" si="67"/>
        <v>7.1940145972029575E-3</v>
      </c>
      <c r="AC136" s="105">
        <f t="shared" si="12"/>
        <v>0.2947665123249692</v>
      </c>
      <c r="AD136" s="102">
        <v>738.54112164546075</v>
      </c>
      <c r="AE136" s="103">
        <v>326008197</v>
      </c>
      <c r="AF136" s="103">
        <v>760140.49290227005</v>
      </c>
      <c r="AG136" s="104">
        <f t="shared" si="68"/>
        <v>1.2559273664281979E-2</v>
      </c>
      <c r="AH136" s="105">
        <f t="shared" si="14"/>
        <v>0.45127924715962198</v>
      </c>
      <c r="AI136" s="106">
        <v>240.428264530332</v>
      </c>
      <c r="AJ136" s="103">
        <v>281040866790</v>
      </c>
      <c r="AK136" s="103">
        <v>547525.68680481997</v>
      </c>
      <c r="AL136" s="104">
        <f t="shared" si="69"/>
        <v>1.0863021420266178E-2</v>
      </c>
      <c r="AM136" s="104">
        <f t="shared" si="16"/>
        <v>0.28115260051556179</v>
      </c>
      <c r="AN136" s="108">
        <f t="shared" si="17"/>
        <v>1.0271983600001531</v>
      </c>
      <c r="AO136" s="101">
        <f t="shared" si="18"/>
        <v>21730.381305803236</v>
      </c>
    </row>
    <row r="137" spans="1:41" ht="15.75" customHeight="1" x14ac:dyDescent="0.3">
      <c r="A137" s="99">
        <v>30802</v>
      </c>
      <c r="B137" s="62" t="s">
        <v>105</v>
      </c>
      <c r="C137" s="62" t="s">
        <v>142</v>
      </c>
      <c r="D137" s="100">
        <v>18</v>
      </c>
      <c r="E137" s="101">
        <v>7138.25</v>
      </c>
      <c r="F137" s="102">
        <v>13.83942630127164</v>
      </c>
      <c r="G137" s="103">
        <v>220240099</v>
      </c>
      <c r="H137" s="103">
        <f t="shared" si="0"/>
        <v>498026.73346770997</v>
      </c>
      <c r="I137" s="104">
        <f t="shared" si="64"/>
        <v>4.9898861221246691E-5</v>
      </c>
      <c r="J137" s="105">
        <f t="shared" si="2"/>
        <v>3.481380850737376E-3</v>
      </c>
      <c r="K137" s="106">
        <v>3.237723859948836</v>
      </c>
      <c r="L137" s="107">
        <v>300284090</v>
      </c>
      <c r="M137" s="103">
        <f t="shared" si="3"/>
        <v>813913.03325038229</v>
      </c>
      <c r="N137" s="104">
        <f t="shared" si="65"/>
        <v>6.9358820337054439E-5</v>
      </c>
      <c r="O137" s="105">
        <f t="shared" si="5"/>
        <v>7.9083876080552357E-3</v>
      </c>
      <c r="P137" s="102">
        <v>0.92085941403143345</v>
      </c>
      <c r="Q137" s="103">
        <v>215025815918</v>
      </c>
      <c r="R137" s="103">
        <f t="shared" si="6"/>
        <v>418914.72535322671</v>
      </c>
      <c r="S137" s="104">
        <f t="shared" si="66"/>
        <v>5.6630987095658519E-5</v>
      </c>
      <c r="T137" s="105">
        <f t="shared" si="8"/>
        <v>3.3234412363898594E-3</v>
      </c>
      <c r="U137" s="104">
        <f t="shared" si="9"/>
        <v>1.471320969518247E-2</v>
      </c>
      <c r="V137" s="103">
        <f t="shared" si="10"/>
        <v>105.02656910663627</v>
      </c>
      <c r="W137" s="100">
        <v>108</v>
      </c>
      <c r="X137" s="101">
        <v>7382</v>
      </c>
      <c r="Y137" s="102">
        <v>84.860438708579366</v>
      </c>
      <c r="Z137" s="107">
        <v>378780105</v>
      </c>
      <c r="AA137" s="103">
        <v>866801.9064986615</v>
      </c>
      <c r="AB137" s="104">
        <f t="shared" si="67"/>
        <v>1.8580581699768041E-4</v>
      </c>
      <c r="AC137" s="105">
        <f t="shared" si="12"/>
        <v>2.181750696452598E-2</v>
      </c>
      <c r="AD137" s="102">
        <v>18.940494056589412</v>
      </c>
      <c r="AE137" s="103">
        <v>326008197</v>
      </c>
      <c r="AF137" s="103">
        <v>760140.49290227005</v>
      </c>
      <c r="AG137" s="104">
        <f t="shared" si="68"/>
        <v>3.2209289533319626E-4</v>
      </c>
      <c r="AH137" s="105">
        <f t="shared" si="14"/>
        <v>3.3166601492670693E-2</v>
      </c>
      <c r="AI137" s="106">
        <v>4.1866684670021694</v>
      </c>
      <c r="AJ137" s="103">
        <v>281040866790</v>
      </c>
      <c r="AK137" s="103">
        <v>547525.68680481997</v>
      </c>
      <c r="AL137" s="104">
        <f t="shared" si="69"/>
        <v>1.8916190792060504E-4</v>
      </c>
      <c r="AM137" s="104">
        <f t="shared" si="16"/>
        <v>1.4030209096659359E-2</v>
      </c>
      <c r="AN137" s="108">
        <f t="shared" si="17"/>
        <v>6.9014317553856036E-2</v>
      </c>
      <c r="AO137" s="101">
        <f t="shared" si="18"/>
        <v>509.46369218256524</v>
      </c>
    </row>
    <row r="138" spans="1:41" ht="15.75" customHeight="1" x14ac:dyDescent="0.3">
      <c r="A138" s="99">
        <v>30803</v>
      </c>
      <c r="B138" s="62" t="s">
        <v>105</v>
      </c>
      <c r="C138" s="62" t="s">
        <v>143</v>
      </c>
      <c r="D138" s="100">
        <v>29</v>
      </c>
      <c r="E138" s="101">
        <v>6328.25</v>
      </c>
      <c r="F138" s="102">
        <v>19.67093891003255</v>
      </c>
      <c r="G138" s="103">
        <v>220240099</v>
      </c>
      <c r="H138" s="103">
        <f t="shared" si="0"/>
        <v>498026.73346770997</v>
      </c>
      <c r="I138" s="104">
        <f t="shared" si="64"/>
        <v>7.0924721111679688E-5</v>
      </c>
      <c r="J138" s="105">
        <f t="shared" si="2"/>
        <v>5.5817022363778557E-3</v>
      </c>
      <c r="K138" s="106">
        <v>7.8408784921941619</v>
      </c>
      <c r="L138" s="107">
        <v>300284090</v>
      </c>
      <c r="M138" s="103">
        <f t="shared" si="3"/>
        <v>813913.03325038229</v>
      </c>
      <c r="N138" s="104">
        <f t="shared" si="65"/>
        <v>1.6796802511544735E-4</v>
      </c>
      <c r="O138" s="105">
        <f t="shared" si="5"/>
        <v>2.1603344496628634E-2</v>
      </c>
      <c r="P138" s="102">
        <v>1.4849335278449201</v>
      </c>
      <c r="Q138" s="103">
        <v>215025815918</v>
      </c>
      <c r="R138" s="103">
        <f t="shared" si="6"/>
        <v>418914.72535322671</v>
      </c>
      <c r="S138" s="104">
        <f t="shared" si="66"/>
        <v>9.1320401542233491E-5</v>
      </c>
      <c r="T138" s="105">
        <f t="shared" si="8"/>
        <v>6.045187995292715E-3</v>
      </c>
      <c r="U138" s="104">
        <f t="shared" si="9"/>
        <v>3.3230234728299203E-2</v>
      </c>
      <c r="V138" s="103">
        <f t="shared" si="10"/>
        <v>210.28923291935945</v>
      </c>
      <c r="W138" s="100">
        <v>315</v>
      </c>
      <c r="X138" s="101">
        <v>8687</v>
      </c>
      <c r="Y138" s="102">
        <v>250.53742540761311</v>
      </c>
      <c r="Z138" s="107">
        <v>378780105</v>
      </c>
      <c r="AA138" s="103">
        <v>866801.9064986615</v>
      </c>
      <c r="AB138" s="104">
        <f t="shared" si="67"/>
        <v>5.4856316706327192E-4</v>
      </c>
      <c r="AC138" s="105">
        <f t="shared" si="12"/>
        <v>5.4736456664600877E-2</v>
      </c>
      <c r="AD138" s="102">
        <v>47.7035499791441</v>
      </c>
      <c r="AE138" s="103">
        <v>326008197</v>
      </c>
      <c r="AF138" s="103">
        <v>760140.49290227005</v>
      </c>
      <c r="AG138" s="104">
        <f t="shared" si="68"/>
        <v>8.1122353432532934E-4</v>
      </c>
      <c r="AH138" s="105">
        <f t="shared" si="14"/>
        <v>7.0984673332102843E-2</v>
      </c>
      <c r="AI138" s="106">
        <v>16.729546413878349</v>
      </c>
      <c r="AJ138" s="103">
        <v>281040866790</v>
      </c>
      <c r="AK138" s="103">
        <v>547525.68680481997</v>
      </c>
      <c r="AL138" s="104">
        <f t="shared" si="69"/>
        <v>7.5587377965027317E-4</v>
      </c>
      <c r="AM138" s="104">
        <f t="shared" si="16"/>
        <v>4.7641338821315875E-2</v>
      </c>
      <c r="AN138" s="108">
        <f t="shared" si="17"/>
        <v>0.17336246881801959</v>
      </c>
      <c r="AO138" s="101">
        <f t="shared" si="18"/>
        <v>1505.9997666221361</v>
      </c>
    </row>
    <row r="139" spans="1:41" ht="15.75" customHeight="1" x14ac:dyDescent="0.3">
      <c r="A139" s="99">
        <v>30901</v>
      </c>
      <c r="B139" s="62" t="s">
        <v>105</v>
      </c>
      <c r="C139" s="62" t="s">
        <v>130</v>
      </c>
      <c r="D139" s="100">
        <v>61899</v>
      </c>
      <c r="E139" s="101">
        <v>144571.75</v>
      </c>
      <c r="F139" s="102">
        <v>44025.560484561283</v>
      </c>
      <c r="G139" s="103">
        <v>220240099</v>
      </c>
      <c r="H139" s="103">
        <f t="shared" si="0"/>
        <v>498026.73346770997</v>
      </c>
      <c r="I139" s="104">
        <f t="shared" si="64"/>
        <v>0.15873673409459679</v>
      </c>
      <c r="J139" s="105">
        <f t="shared" si="2"/>
        <v>0.54682285551959153</v>
      </c>
      <c r="K139" s="106">
        <v>14651.008428421899</v>
      </c>
      <c r="L139" s="107">
        <v>300284090</v>
      </c>
      <c r="M139" s="103">
        <f t="shared" si="3"/>
        <v>813913.03325038229</v>
      </c>
      <c r="N139" s="104">
        <f t="shared" si="65"/>
        <v>0.31385525921893875</v>
      </c>
      <c r="O139" s="105">
        <f t="shared" si="5"/>
        <v>1.7669488405063332</v>
      </c>
      <c r="P139" s="102">
        <v>3216.173311396512</v>
      </c>
      <c r="Q139" s="103">
        <v>215025815918</v>
      </c>
      <c r="R139" s="103">
        <f t="shared" si="6"/>
        <v>418914.72535322671</v>
      </c>
      <c r="S139" s="104">
        <f t="shared" si="66"/>
        <v>0.19778813847135196</v>
      </c>
      <c r="T139" s="105">
        <f t="shared" si="8"/>
        <v>0.57311586603781428</v>
      </c>
      <c r="U139" s="104">
        <f t="shared" si="9"/>
        <v>2.8868875620637393</v>
      </c>
      <c r="V139" s="103">
        <f t="shared" si="10"/>
        <v>417362.38690078835</v>
      </c>
      <c r="W139" s="100">
        <v>69591</v>
      </c>
      <c r="X139" s="101">
        <v>166741</v>
      </c>
      <c r="Y139" s="102">
        <v>51715.755494289093</v>
      </c>
      <c r="Z139" s="107">
        <v>378780105</v>
      </c>
      <c r="AA139" s="103">
        <v>866801.9064986615</v>
      </c>
      <c r="AB139" s="104">
        <f t="shared" si="67"/>
        <v>0.11323401513710521</v>
      </c>
      <c r="AC139" s="105">
        <f t="shared" si="12"/>
        <v>0.58864622499170027</v>
      </c>
      <c r="AD139" s="102">
        <v>14256.419650278331</v>
      </c>
      <c r="AE139" s="103">
        <v>326008197</v>
      </c>
      <c r="AF139" s="103">
        <v>760140.49290227005</v>
      </c>
      <c r="AG139" s="104">
        <f t="shared" si="68"/>
        <v>0.24243778797553056</v>
      </c>
      <c r="AH139" s="105">
        <f t="shared" si="14"/>
        <v>1.1052277463242743</v>
      </c>
      <c r="AI139" s="106">
        <v>3612.0892570132091</v>
      </c>
      <c r="AJ139" s="103">
        <v>281040866790</v>
      </c>
      <c r="AK139" s="103">
        <v>547525.68680481997</v>
      </c>
      <c r="AL139" s="104">
        <f t="shared" si="69"/>
        <v>0.16320129019563595</v>
      </c>
      <c r="AM139" s="104">
        <f t="shared" si="16"/>
        <v>0.53590237854995659</v>
      </c>
      <c r="AN139" s="108">
        <f t="shared" si="17"/>
        <v>2.2297763498659311</v>
      </c>
      <c r="AO139" s="101">
        <f t="shared" si="18"/>
        <v>371795.13835299527</v>
      </c>
    </row>
    <row r="140" spans="1:41" ht="15.75" customHeight="1" x14ac:dyDescent="0.3">
      <c r="A140" s="99">
        <v>30902</v>
      </c>
      <c r="B140" s="62" t="s">
        <v>105</v>
      </c>
      <c r="C140" s="62" t="s">
        <v>787</v>
      </c>
      <c r="D140" s="112"/>
      <c r="E140" s="113">
        <v>45155.25</v>
      </c>
      <c r="F140" s="114"/>
      <c r="G140" s="103">
        <v>220240099</v>
      </c>
      <c r="H140" s="103">
        <f t="shared" si="0"/>
        <v>498026.73346770997</v>
      </c>
      <c r="I140" s="104">
        <f t="shared" si="64"/>
        <v>0</v>
      </c>
      <c r="J140" s="105">
        <f t="shared" si="2"/>
        <v>0</v>
      </c>
      <c r="K140" s="115"/>
      <c r="L140" s="107">
        <v>300284090</v>
      </c>
      <c r="M140" s="103">
        <f t="shared" si="3"/>
        <v>813913.03325038229</v>
      </c>
      <c r="N140" s="104">
        <f t="shared" si="65"/>
        <v>0</v>
      </c>
      <c r="O140" s="105">
        <f t="shared" si="5"/>
        <v>0</v>
      </c>
      <c r="P140" s="114"/>
      <c r="Q140" s="103">
        <v>215025815918</v>
      </c>
      <c r="R140" s="103">
        <f t="shared" si="6"/>
        <v>418914.72535322671</v>
      </c>
      <c r="S140" s="104">
        <f t="shared" si="66"/>
        <v>0</v>
      </c>
      <c r="T140" s="105">
        <f t="shared" si="8"/>
        <v>0</v>
      </c>
      <c r="U140" s="104">
        <f t="shared" si="9"/>
        <v>0</v>
      </c>
      <c r="V140" s="103">
        <f t="shared" si="10"/>
        <v>0</v>
      </c>
      <c r="W140" s="112"/>
      <c r="X140" s="101">
        <v>55908</v>
      </c>
      <c r="Y140" s="114"/>
      <c r="Z140" s="107">
        <v>378780105</v>
      </c>
      <c r="AA140" s="103">
        <v>866801.9064986615</v>
      </c>
      <c r="AB140" s="104">
        <f t="shared" si="67"/>
        <v>0</v>
      </c>
      <c r="AC140" s="105">
        <f t="shared" si="12"/>
        <v>0</v>
      </c>
      <c r="AD140" s="114"/>
      <c r="AE140" s="103">
        <v>326008197</v>
      </c>
      <c r="AF140" s="103">
        <v>760140.49290227005</v>
      </c>
      <c r="AG140" s="104">
        <f t="shared" si="68"/>
        <v>0</v>
      </c>
      <c r="AH140" s="105">
        <f t="shared" si="14"/>
        <v>0</v>
      </c>
      <c r="AI140" s="115"/>
      <c r="AJ140" s="103">
        <v>281040866790</v>
      </c>
      <c r="AK140" s="103">
        <v>547525.68680481997</v>
      </c>
      <c r="AL140" s="104">
        <f t="shared" si="69"/>
        <v>0</v>
      </c>
      <c r="AM140" s="104">
        <f t="shared" si="16"/>
        <v>0</v>
      </c>
      <c r="AN140" s="108">
        <f t="shared" si="17"/>
        <v>0</v>
      </c>
      <c r="AO140" s="101">
        <f t="shared" si="18"/>
        <v>0</v>
      </c>
    </row>
    <row r="141" spans="1:41" ht="15.75" customHeight="1" x14ac:dyDescent="0.3">
      <c r="A141" s="99">
        <v>30903</v>
      </c>
      <c r="B141" s="62" t="s">
        <v>105</v>
      </c>
      <c r="C141" s="62" t="s">
        <v>140</v>
      </c>
      <c r="D141" s="100">
        <v>4121</v>
      </c>
      <c r="E141" s="101">
        <v>55888</v>
      </c>
      <c r="F141" s="102">
        <v>3482.2449296279369</v>
      </c>
      <c r="G141" s="103">
        <v>220240099</v>
      </c>
      <c r="H141" s="103">
        <f t="shared" si="0"/>
        <v>498026.73346770997</v>
      </c>
      <c r="I141" s="104">
        <f t="shared" si="64"/>
        <v>1.2555437826633636E-2</v>
      </c>
      <c r="J141" s="105">
        <f t="shared" si="2"/>
        <v>0.11188347566660595</v>
      </c>
      <c r="K141" s="106">
        <v>432.69994995944103</v>
      </c>
      <c r="L141" s="107">
        <v>300284090</v>
      </c>
      <c r="M141" s="103">
        <f t="shared" si="3"/>
        <v>813913.03325038229</v>
      </c>
      <c r="N141" s="104">
        <f t="shared" si="65"/>
        <v>9.2693383955120782E-3</v>
      </c>
      <c r="O141" s="105">
        <f t="shared" si="5"/>
        <v>0.13499204354629737</v>
      </c>
      <c r="P141" s="102">
        <v>205.69797340246421</v>
      </c>
      <c r="Q141" s="103">
        <v>215025815918</v>
      </c>
      <c r="R141" s="103">
        <f t="shared" si="6"/>
        <v>418914.72535322671</v>
      </c>
      <c r="S141" s="104">
        <f t="shared" si="66"/>
        <v>1.2650008350743131E-2</v>
      </c>
      <c r="T141" s="105">
        <f t="shared" si="8"/>
        <v>9.4819545769531624E-2</v>
      </c>
      <c r="U141" s="104">
        <f t="shared" si="9"/>
        <v>0.34169506498243496</v>
      </c>
      <c r="V141" s="103">
        <f t="shared" si="10"/>
        <v>19096.653791738325</v>
      </c>
      <c r="W141" s="100">
        <v>17345</v>
      </c>
      <c r="X141" s="101">
        <v>61840</v>
      </c>
      <c r="Y141" s="102">
        <v>14554.113601289169</v>
      </c>
      <c r="Z141" s="107">
        <v>378780105</v>
      </c>
      <c r="AA141" s="103">
        <v>866801.9064986615</v>
      </c>
      <c r="AB141" s="104">
        <f t="shared" si="67"/>
        <v>3.186689828049627E-2</v>
      </c>
      <c r="AC141" s="105">
        <f t="shared" si="12"/>
        <v>0.44667348291935782</v>
      </c>
      <c r="AD141" s="102">
        <v>1924.346867982171</v>
      </c>
      <c r="AE141" s="103">
        <v>326008197</v>
      </c>
      <c r="AF141" s="103">
        <v>760140.49290227005</v>
      </c>
      <c r="AG141" s="104">
        <f t="shared" si="68"/>
        <v>3.2724513546578272E-2</v>
      </c>
      <c r="AH141" s="105">
        <f t="shared" si="14"/>
        <v>0.4022514207193244</v>
      </c>
      <c r="AI141" s="106">
        <v>865.02471485732087</v>
      </c>
      <c r="AJ141" s="103">
        <v>281040866790</v>
      </c>
      <c r="AK141" s="103">
        <v>547525.68680481997</v>
      </c>
      <c r="AL141" s="104">
        <f t="shared" si="69"/>
        <v>3.9083516344931395E-2</v>
      </c>
      <c r="AM141" s="104">
        <f t="shared" si="16"/>
        <v>0.34604186820029059</v>
      </c>
      <c r="AN141" s="108">
        <f t="shared" si="17"/>
        <v>1.1949667718389727</v>
      </c>
      <c r="AO141" s="101">
        <f t="shared" si="18"/>
        <v>73896.745170522074</v>
      </c>
    </row>
    <row r="142" spans="1:41" ht="15.75" customHeight="1" x14ac:dyDescent="0.3">
      <c r="A142" s="99">
        <v>30904</v>
      </c>
      <c r="B142" s="62" t="s">
        <v>105</v>
      </c>
      <c r="C142" s="62" t="s">
        <v>150</v>
      </c>
      <c r="D142" s="100">
        <v>4045</v>
      </c>
      <c r="E142" s="101">
        <v>52992</v>
      </c>
      <c r="F142" s="102">
        <v>2945.9911204684449</v>
      </c>
      <c r="G142" s="103">
        <v>220240099</v>
      </c>
      <c r="H142" s="103">
        <f t="shared" si="0"/>
        <v>498026.73346770997</v>
      </c>
      <c r="I142" s="104">
        <f t="shared" si="64"/>
        <v>1.0621943343545439E-2</v>
      </c>
      <c r="J142" s="105">
        <f t="shared" si="2"/>
        <v>9.9826610553763212E-2</v>
      </c>
      <c r="K142" s="106">
        <v>899.71510138797385</v>
      </c>
      <c r="L142" s="107">
        <v>300284090</v>
      </c>
      <c r="M142" s="103">
        <f t="shared" si="3"/>
        <v>813913.03325038229</v>
      </c>
      <c r="N142" s="104">
        <f t="shared" si="65"/>
        <v>1.9273780214440314E-2</v>
      </c>
      <c r="O142" s="105">
        <f t="shared" si="5"/>
        <v>0.29602922925227054</v>
      </c>
      <c r="P142" s="102">
        <v>198.87400581850349</v>
      </c>
      <c r="Q142" s="103">
        <v>215025815918</v>
      </c>
      <c r="R142" s="103">
        <f t="shared" si="6"/>
        <v>418914.72535322671</v>
      </c>
      <c r="S142" s="104">
        <f t="shared" si="66"/>
        <v>1.2230348178625609E-2</v>
      </c>
      <c r="T142" s="105">
        <f t="shared" si="8"/>
        <v>9.6683894705300491E-2</v>
      </c>
      <c r="U142" s="104">
        <f t="shared" si="9"/>
        <v>0.49253973451133426</v>
      </c>
      <c r="V142" s="103">
        <f t="shared" si="10"/>
        <v>26100.665611224624</v>
      </c>
      <c r="W142" s="100">
        <v>16884</v>
      </c>
      <c r="X142" s="101">
        <v>56064</v>
      </c>
      <c r="Y142" s="102">
        <v>11167.69546265988</v>
      </c>
      <c r="Z142" s="107">
        <v>378780105</v>
      </c>
      <c r="AA142" s="103">
        <v>866801.9064986615</v>
      </c>
      <c r="AB142" s="104">
        <f t="shared" si="67"/>
        <v>2.4452180674515218E-2</v>
      </c>
      <c r="AC142" s="105">
        <f t="shared" si="12"/>
        <v>0.37805359636700053</v>
      </c>
      <c r="AD142" s="102">
        <v>4978.7377639861807</v>
      </c>
      <c r="AE142" s="103">
        <v>326008197</v>
      </c>
      <c r="AF142" s="103">
        <v>760140.49290227005</v>
      </c>
      <c r="AG142" s="104">
        <f t="shared" si="68"/>
        <v>8.4666010121796864E-2</v>
      </c>
      <c r="AH142" s="105">
        <f t="shared" si="14"/>
        <v>1.1479391885354462</v>
      </c>
      <c r="AI142" s="106">
        <v>735.63299338273373</v>
      </c>
      <c r="AJ142" s="103">
        <v>281040866790</v>
      </c>
      <c r="AK142" s="103">
        <v>547525.68680481997</v>
      </c>
      <c r="AL142" s="104">
        <f t="shared" si="69"/>
        <v>3.3237344120840707E-2</v>
      </c>
      <c r="AM142" s="104">
        <f t="shared" si="16"/>
        <v>0.3245986670114771</v>
      </c>
      <c r="AN142" s="108">
        <f t="shared" si="17"/>
        <v>1.8505914519139237</v>
      </c>
      <c r="AO142" s="101">
        <f t="shared" si="18"/>
        <v>103751.55916010222</v>
      </c>
    </row>
    <row r="143" spans="1:41" ht="15.75" customHeight="1" x14ac:dyDescent="0.3">
      <c r="A143" s="99">
        <v>30905</v>
      </c>
      <c r="B143" s="62" t="s">
        <v>105</v>
      </c>
      <c r="C143" s="62" t="s">
        <v>118</v>
      </c>
      <c r="D143" s="100">
        <v>7867</v>
      </c>
      <c r="E143" s="101">
        <v>55618.75</v>
      </c>
      <c r="F143" s="102">
        <v>5840.4086878600192</v>
      </c>
      <c r="G143" s="103">
        <v>220240099</v>
      </c>
      <c r="H143" s="103">
        <f t="shared" si="0"/>
        <v>498026.73346770997</v>
      </c>
      <c r="I143" s="104">
        <f t="shared" si="64"/>
        <v>2.1057935224100471E-2</v>
      </c>
      <c r="J143" s="105">
        <f t="shared" si="2"/>
        <v>0.18855897863999796</v>
      </c>
      <c r="K143" s="106">
        <v>1628.0493428926809</v>
      </c>
      <c r="L143" s="107">
        <v>300284090</v>
      </c>
      <c r="M143" s="103">
        <f t="shared" si="3"/>
        <v>813913.03325038229</v>
      </c>
      <c r="N143" s="104">
        <f t="shared" si="65"/>
        <v>3.4876223778805338E-2</v>
      </c>
      <c r="O143" s="105">
        <f t="shared" si="5"/>
        <v>0.51037128817398014</v>
      </c>
      <c r="P143" s="102">
        <v>397.82963019968508</v>
      </c>
      <c r="Q143" s="103">
        <v>215025815918</v>
      </c>
      <c r="R143" s="103">
        <f t="shared" si="6"/>
        <v>418914.72535322671</v>
      </c>
      <c r="S143" s="104">
        <f t="shared" si="66"/>
        <v>2.4465715733389813E-2</v>
      </c>
      <c r="T143" s="105">
        <f t="shared" si="8"/>
        <v>0.18427326372892436</v>
      </c>
      <c r="U143" s="104">
        <f t="shared" si="9"/>
        <v>0.88320353054290246</v>
      </c>
      <c r="V143" s="103">
        <f t="shared" si="10"/>
        <v>49122.676364383056</v>
      </c>
      <c r="W143" s="100">
        <v>13085</v>
      </c>
      <c r="X143" s="101">
        <v>66505</v>
      </c>
      <c r="Y143" s="102">
        <v>9872.5352214034319</v>
      </c>
      <c r="Z143" s="107">
        <v>378780105</v>
      </c>
      <c r="AA143" s="103">
        <v>866801.9064986615</v>
      </c>
      <c r="AB143" s="104">
        <f t="shared" si="67"/>
        <v>2.1616368010430584E-2</v>
      </c>
      <c r="AC143" s="105">
        <f t="shared" si="12"/>
        <v>0.28173985419168346</v>
      </c>
      <c r="AD143" s="102">
        <v>2462.9351893981752</v>
      </c>
      <c r="AE143" s="103">
        <v>326008197</v>
      </c>
      <c r="AF143" s="103">
        <v>760140.49290227005</v>
      </c>
      <c r="AG143" s="104">
        <f t="shared" si="68"/>
        <v>4.1883486449778476E-2</v>
      </c>
      <c r="AH143" s="105">
        <f t="shared" si="14"/>
        <v>0.47872090871964751</v>
      </c>
      <c r="AI143" s="106">
        <v>748.24179461166193</v>
      </c>
      <c r="AJ143" s="103">
        <v>281040866790</v>
      </c>
      <c r="AK143" s="103">
        <v>547525.68680481997</v>
      </c>
      <c r="AL143" s="104">
        <f t="shared" si="69"/>
        <v>3.3807034535989239E-2</v>
      </c>
      <c r="AM143" s="104">
        <f t="shared" si="16"/>
        <v>0.2783282430366405</v>
      </c>
      <c r="AN143" s="108">
        <f t="shared" si="17"/>
        <v>1.0387890059479714</v>
      </c>
      <c r="AO143" s="101">
        <f t="shared" si="18"/>
        <v>69084.662840569843</v>
      </c>
    </row>
    <row r="144" spans="1:41" ht="15.75" customHeight="1" x14ac:dyDescent="0.3">
      <c r="A144" s="99">
        <v>31001</v>
      </c>
      <c r="B144" s="62" t="s">
        <v>105</v>
      </c>
      <c r="C144" s="62" t="s">
        <v>131</v>
      </c>
      <c r="D144" s="100">
        <v>34426</v>
      </c>
      <c r="E144" s="101">
        <v>184122.5</v>
      </c>
      <c r="F144" s="102">
        <v>24911.41044725418</v>
      </c>
      <c r="G144" s="103">
        <v>220240099</v>
      </c>
      <c r="H144" s="103">
        <f t="shared" si="0"/>
        <v>498026.73346770997</v>
      </c>
      <c r="I144" s="104">
        <f t="shared" si="64"/>
        <v>8.981954783912055E-2</v>
      </c>
      <c r="J144" s="105">
        <f t="shared" si="2"/>
        <v>0.24294986224857862</v>
      </c>
      <c r="K144" s="106">
        <v>7815.9570007026596</v>
      </c>
      <c r="L144" s="107">
        <v>300284090</v>
      </c>
      <c r="M144" s="103">
        <f t="shared" si="3"/>
        <v>813913.03325038229</v>
      </c>
      <c r="N144" s="104">
        <f t="shared" si="65"/>
        <v>0.16743415461701705</v>
      </c>
      <c r="O144" s="105">
        <f t="shared" si="5"/>
        <v>0.74014224580944676</v>
      </c>
      <c r="P144" s="102">
        <v>1694.7855922861879</v>
      </c>
      <c r="Q144" s="103">
        <v>215025815918</v>
      </c>
      <c r="R144" s="103">
        <f t="shared" si="6"/>
        <v>418914.72535322671</v>
      </c>
      <c r="S144" s="104">
        <f t="shared" si="66"/>
        <v>0.10422587807023376</v>
      </c>
      <c r="T144" s="105">
        <f t="shared" si="8"/>
        <v>0.23713427248973304</v>
      </c>
      <c r="U144" s="104">
        <f t="shared" si="9"/>
        <v>1.2202263805477584</v>
      </c>
      <c r="V144" s="103">
        <f t="shared" si="10"/>
        <v>224671.13175240462</v>
      </c>
      <c r="W144" s="100">
        <v>53392</v>
      </c>
      <c r="X144" s="101">
        <v>219092</v>
      </c>
      <c r="Y144" s="102">
        <v>40724.071912664673</v>
      </c>
      <c r="Z144" s="107">
        <v>378780105</v>
      </c>
      <c r="AA144" s="103">
        <v>866801.9064986615</v>
      </c>
      <c r="AB144" s="104">
        <f t="shared" si="67"/>
        <v>8.9167220537123504E-2</v>
      </c>
      <c r="AC144" s="105">
        <f t="shared" si="12"/>
        <v>0.352775622837736</v>
      </c>
      <c r="AD144" s="102">
        <v>10223.82362433016</v>
      </c>
      <c r="AE144" s="103">
        <v>326008197</v>
      </c>
      <c r="AF144" s="103">
        <v>760140.49290227005</v>
      </c>
      <c r="AG144" s="104">
        <f t="shared" si="68"/>
        <v>0.17386140734754429</v>
      </c>
      <c r="AH144" s="105">
        <f t="shared" si="14"/>
        <v>0.60321278676466816</v>
      </c>
      <c r="AI144" s="106">
        <v>2438.2849395646099</v>
      </c>
      <c r="AJ144" s="103">
        <v>281040866790</v>
      </c>
      <c r="AK144" s="103">
        <v>547525.68680481997</v>
      </c>
      <c r="AL144" s="104">
        <f t="shared" si="69"/>
        <v>0.11016650467009137</v>
      </c>
      <c r="AM144" s="104">
        <f t="shared" si="16"/>
        <v>0.27531352642898044</v>
      </c>
      <c r="AN144" s="108">
        <f t="shared" si="17"/>
        <v>1.2313019360313846</v>
      </c>
      <c r="AO144" s="101">
        <f t="shared" si="18"/>
        <v>269768.40376898809</v>
      </c>
    </row>
    <row r="145" spans="1:41" ht="15.75" customHeight="1" x14ac:dyDescent="0.3">
      <c r="A145" s="99">
        <v>31002</v>
      </c>
      <c r="B145" s="62" t="s">
        <v>105</v>
      </c>
      <c r="C145" s="62" t="s">
        <v>119</v>
      </c>
      <c r="D145" s="100">
        <v>547</v>
      </c>
      <c r="E145" s="101">
        <v>19925.25</v>
      </c>
      <c r="F145" s="102">
        <v>339.57155019150719</v>
      </c>
      <c r="G145" s="103">
        <v>220240099</v>
      </c>
      <c r="H145" s="103">
        <f t="shared" si="0"/>
        <v>498026.73346770997</v>
      </c>
      <c r="I145" s="104">
        <f t="shared" si="64"/>
        <v>1.2243450912508343E-3</v>
      </c>
      <c r="J145" s="105">
        <f t="shared" si="2"/>
        <v>3.0602205063067128E-2</v>
      </c>
      <c r="K145" s="106">
        <v>183.78927176323089</v>
      </c>
      <c r="L145" s="107">
        <v>300284090</v>
      </c>
      <c r="M145" s="103">
        <f t="shared" si="3"/>
        <v>813913.03325038229</v>
      </c>
      <c r="N145" s="104">
        <f t="shared" si="65"/>
        <v>3.9371507983714969E-3</v>
      </c>
      <c r="O145" s="105">
        <f t="shared" si="5"/>
        <v>0.16082600462562374</v>
      </c>
      <c r="P145" s="102">
        <v>23.557752628830791</v>
      </c>
      <c r="Q145" s="103">
        <v>215025815918</v>
      </c>
      <c r="R145" s="103">
        <f t="shared" si="6"/>
        <v>418914.72535322671</v>
      </c>
      <c r="S145" s="104">
        <f t="shared" si="66"/>
        <v>1.4487540278113427E-3</v>
      </c>
      <c r="T145" s="105">
        <f t="shared" si="8"/>
        <v>3.0459060521949265E-2</v>
      </c>
      <c r="U145" s="104">
        <f t="shared" si="9"/>
        <v>0.22188727021064014</v>
      </c>
      <c r="V145" s="103">
        <f t="shared" si="10"/>
        <v>4421.1593307645571</v>
      </c>
      <c r="W145" s="100">
        <v>1332</v>
      </c>
      <c r="X145" s="101">
        <v>21846</v>
      </c>
      <c r="Y145" s="102">
        <v>1055.973054684817</v>
      </c>
      <c r="Z145" s="107">
        <v>378780105</v>
      </c>
      <c r="AA145" s="103">
        <v>866801.9064986615</v>
      </c>
      <c r="AB145" s="104">
        <f t="shared" si="67"/>
        <v>2.3121013647719019E-3</v>
      </c>
      <c r="AC145" s="105">
        <f t="shared" si="12"/>
        <v>9.1739168314677363E-2</v>
      </c>
      <c r="AD145" s="102">
        <v>231.85038324658319</v>
      </c>
      <c r="AE145" s="103">
        <v>326008197</v>
      </c>
      <c r="AF145" s="103">
        <v>760140.49290227005</v>
      </c>
      <c r="AG145" s="104">
        <f t="shared" si="68"/>
        <v>3.942735654143238E-3</v>
      </c>
      <c r="AH145" s="105">
        <f t="shared" si="14"/>
        <v>0.13718909747888836</v>
      </c>
      <c r="AI145" s="106">
        <v>44.017066050109428</v>
      </c>
      <c r="AJ145" s="103">
        <v>281040866790</v>
      </c>
      <c r="AK145" s="103">
        <v>547525.68680481997</v>
      </c>
      <c r="AL145" s="104">
        <f t="shared" si="69"/>
        <v>1.9887775353437547E-3</v>
      </c>
      <c r="AM145" s="104">
        <f t="shared" si="16"/>
        <v>4.9844675727414002E-2</v>
      </c>
      <c r="AN145" s="108">
        <f t="shared" si="17"/>
        <v>0.27877294152097976</v>
      </c>
      <c r="AO145" s="101">
        <f t="shared" si="18"/>
        <v>6090.0736804673234</v>
      </c>
    </row>
    <row r="146" spans="1:41" ht="15.75" customHeight="1" x14ac:dyDescent="0.3">
      <c r="A146" s="99">
        <v>31003</v>
      </c>
      <c r="B146" s="62" t="s">
        <v>105</v>
      </c>
      <c r="C146" s="62" t="s">
        <v>149</v>
      </c>
      <c r="D146" s="100">
        <v>4981</v>
      </c>
      <c r="E146" s="101">
        <v>76976.25</v>
      </c>
      <c r="F146" s="102">
        <v>4354.1049621706125</v>
      </c>
      <c r="G146" s="103">
        <v>220240099</v>
      </c>
      <c r="H146" s="103">
        <f t="shared" si="0"/>
        <v>498026.73346770997</v>
      </c>
      <c r="I146" s="104">
        <f t="shared" si="64"/>
        <v>1.5698980183169117E-2</v>
      </c>
      <c r="J146" s="105">
        <f t="shared" si="2"/>
        <v>0.10157044308339294</v>
      </c>
      <c r="K146" s="106">
        <v>402.59026938157132</v>
      </c>
      <c r="L146" s="107">
        <v>300284090</v>
      </c>
      <c r="M146" s="103">
        <f t="shared" si="3"/>
        <v>813913.03325038229</v>
      </c>
      <c r="N146" s="104">
        <f t="shared" si="65"/>
        <v>8.6243260300537215E-3</v>
      </c>
      <c r="O146" s="105">
        <f t="shared" si="5"/>
        <v>9.1189832693346989E-2</v>
      </c>
      <c r="P146" s="102">
        <v>223.84117984463299</v>
      </c>
      <c r="Q146" s="103">
        <v>215025815918</v>
      </c>
      <c r="R146" s="103">
        <f t="shared" si="6"/>
        <v>418914.72535322671</v>
      </c>
      <c r="S146" s="104">
        <f t="shared" si="66"/>
        <v>1.3765778765037073E-2</v>
      </c>
      <c r="T146" s="105">
        <f t="shared" si="8"/>
        <v>7.4915151499700045E-2</v>
      </c>
      <c r="U146" s="104">
        <f t="shared" si="9"/>
        <v>0.26767542727644</v>
      </c>
      <c r="V146" s="103">
        <f t="shared" si="10"/>
        <v>20604.650608888063</v>
      </c>
      <c r="W146" s="100">
        <v>6267</v>
      </c>
      <c r="X146" s="101">
        <v>93747</v>
      </c>
      <c r="Y146" s="102">
        <v>5588.6423478071383</v>
      </c>
      <c r="Z146" s="107">
        <v>378780105</v>
      </c>
      <c r="AA146" s="103">
        <v>866801.9064986615</v>
      </c>
      <c r="AB146" s="104">
        <f t="shared" si="67"/>
        <v>1.2236588369618669E-2</v>
      </c>
      <c r="AC146" s="105">
        <f t="shared" si="12"/>
        <v>0.1131417338989494</v>
      </c>
      <c r="AD146" s="102">
        <v>468.26602969051532</v>
      </c>
      <c r="AE146" s="103">
        <v>326008197</v>
      </c>
      <c r="AF146" s="103">
        <v>760140.49290227005</v>
      </c>
      <c r="AG146" s="104">
        <f t="shared" si="68"/>
        <v>7.9631059695998967E-3</v>
      </c>
      <c r="AH146" s="105">
        <f t="shared" si="14"/>
        <v>6.4568245349341039E-2</v>
      </c>
      <c r="AI146" s="106">
        <v>209.44708931827279</v>
      </c>
      <c r="AJ146" s="103">
        <v>281040866790</v>
      </c>
      <c r="AK146" s="103">
        <v>547525.68680481997</v>
      </c>
      <c r="AL146" s="104">
        <f t="shared" si="69"/>
        <v>9.463231047819513E-3</v>
      </c>
      <c r="AM146" s="104">
        <f t="shared" si="16"/>
        <v>5.5269630802586484E-2</v>
      </c>
      <c r="AN146" s="108">
        <f t="shared" si="17"/>
        <v>0.23297961005087692</v>
      </c>
      <c r="AO146" s="101">
        <f t="shared" si="18"/>
        <v>21841.139503439557</v>
      </c>
    </row>
    <row r="147" spans="1:41" ht="15.75" customHeight="1" x14ac:dyDescent="0.3">
      <c r="A147" s="99">
        <v>31101</v>
      </c>
      <c r="B147" s="62" t="s">
        <v>105</v>
      </c>
      <c r="C147" s="62" t="s">
        <v>138</v>
      </c>
      <c r="D147" s="100">
        <v>13</v>
      </c>
      <c r="E147" s="101">
        <v>24635.25</v>
      </c>
      <c r="F147" s="102">
        <v>10.825336119877351</v>
      </c>
      <c r="G147" s="103">
        <v>220240099</v>
      </c>
      <c r="H147" s="103">
        <f t="shared" si="0"/>
        <v>498026.73346770997</v>
      </c>
      <c r="I147" s="104">
        <f t="shared" si="64"/>
        <v>3.9031382729316982E-5</v>
      </c>
      <c r="J147" s="105">
        <f t="shared" si="2"/>
        <v>7.8905925628559598E-4</v>
      </c>
      <c r="K147" s="106">
        <v>1.921478989375859</v>
      </c>
      <c r="L147" s="107">
        <v>300284090</v>
      </c>
      <c r="M147" s="103">
        <f t="shared" si="3"/>
        <v>813913.03325038229</v>
      </c>
      <c r="N147" s="104">
        <f t="shared" si="65"/>
        <v>4.1162100836990826E-5</v>
      </c>
      <c r="O147" s="105">
        <f t="shared" si="5"/>
        <v>1.359936284275309E-3</v>
      </c>
      <c r="P147" s="102">
        <v>0.25143571073155119</v>
      </c>
      <c r="Q147" s="103">
        <v>215025815918</v>
      </c>
      <c r="R147" s="103">
        <f t="shared" si="6"/>
        <v>418914.72535322671</v>
      </c>
      <c r="S147" s="104">
        <f t="shared" si="66"/>
        <v>1.5462786471920844E-5</v>
      </c>
      <c r="T147" s="105">
        <f t="shared" si="8"/>
        <v>2.6293985033966816E-4</v>
      </c>
      <c r="U147" s="104">
        <f t="shared" si="9"/>
        <v>2.4119353909005732E-3</v>
      </c>
      <c r="V147" s="103">
        <f t="shared" si="10"/>
        <v>59.41863133868334</v>
      </c>
      <c r="W147" s="100">
        <v>233</v>
      </c>
      <c r="X147" s="101">
        <v>24666</v>
      </c>
      <c r="Y147" s="102">
        <v>159.45664742311871</v>
      </c>
      <c r="Z147" s="107">
        <v>378780105</v>
      </c>
      <c r="AA147" s="103">
        <v>866801.9064986615</v>
      </c>
      <c r="AB147" s="104">
        <f t="shared" si="67"/>
        <v>3.4913763234137351E-4</v>
      </c>
      <c r="AC147" s="105">
        <f t="shared" si="12"/>
        <v>1.2269243709719099E-2</v>
      </c>
      <c r="AD147" s="102">
        <v>58.161486043921578</v>
      </c>
      <c r="AE147" s="103">
        <v>326008197</v>
      </c>
      <c r="AF147" s="103">
        <v>760140.49290227005</v>
      </c>
      <c r="AG147" s="104">
        <f t="shared" si="68"/>
        <v>9.8906614477939792E-4</v>
      </c>
      <c r="AH147" s="105">
        <f t="shared" si="14"/>
        <v>3.0480387043118444E-2</v>
      </c>
      <c r="AI147" s="106">
        <v>15.358339621912821</v>
      </c>
      <c r="AJ147" s="103">
        <v>281040866790</v>
      </c>
      <c r="AK147" s="103">
        <v>547525.68680481997</v>
      </c>
      <c r="AL147" s="104">
        <f t="shared" si="69"/>
        <v>6.9391996244066285E-4</v>
      </c>
      <c r="AM147" s="104">
        <f t="shared" si="16"/>
        <v>1.5403348902250013E-2</v>
      </c>
      <c r="AN147" s="108">
        <f t="shared" si="17"/>
        <v>5.8152979655087554E-2</v>
      </c>
      <c r="AO147" s="101">
        <f t="shared" si="18"/>
        <v>1434.4013961723897</v>
      </c>
    </row>
    <row r="148" spans="1:41" ht="15.75" customHeight="1" x14ac:dyDescent="0.3">
      <c r="A148" s="99">
        <v>31201</v>
      </c>
      <c r="B148" s="62" t="s">
        <v>105</v>
      </c>
      <c r="C148" s="62" t="s">
        <v>144</v>
      </c>
      <c r="D148" s="100">
        <v>59</v>
      </c>
      <c r="E148" s="101">
        <v>14704</v>
      </c>
      <c r="F148" s="102">
        <v>27.222017677014801</v>
      </c>
      <c r="G148" s="103">
        <v>220240099</v>
      </c>
      <c r="H148" s="103">
        <f t="shared" si="0"/>
        <v>498026.73346770997</v>
      </c>
      <c r="I148" s="104">
        <f t="shared" si="64"/>
        <v>9.8150577390832561E-5</v>
      </c>
      <c r="J148" s="105">
        <f t="shared" si="2"/>
        <v>3.3243750983355555E-3</v>
      </c>
      <c r="K148" s="106">
        <v>30.55683900960716</v>
      </c>
      <c r="L148" s="107">
        <v>300284090</v>
      </c>
      <c r="M148" s="103">
        <f t="shared" si="3"/>
        <v>813913.03325038229</v>
      </c>
      <c r="N148" s="104">
        <f t="shared" si="65"/>
        <v>6.5459143478935572E-4</v>
      </c>
      <c r="O148" s="105">
        <f t="shared" si="5"/>
        <v>3.6233711930707582E-2</v>
      </c>
      <c r="P148" s="102">
        <v>1.2083762641442171</v>
      </c>
      <c r="Q148" s="103">
        <v>215025815918</v>
      </c>
      <c r="R148" s="103">
        <f t="shared" si="6"/>
        <v>418914.72535322671</v>
      </c>
      <c r="S148" s="104">
        <f t="shared" si="66"/>
        <v>7.4312690491879253E-5</v>
      </c>
      <c r="T148" s="105">
        <f t="shared" si="8"/>
        <v>2.1171572584102924E-3</v>
      </c>
      <c r="U148" s="104">
        <f t="shared" si="9"/>
        <v>4.1675244287453429E-2</v>
      </c>
      <c r="V148" s="103">
        <f t="shared" si="10"/>
        <v>612.79279200271515</v>
      </c>
      <c r="W148" s="100">
        <v>179</v>
      </c>
      <c r="X148" s="101">
        <v>14821</v>
      </c>
      <c r="Y148" s="102">
        <v>101.5375387419345</v>
      </c>
      <c r="Z148" s="107">
        <v>378780105</v>
      </c>
      <c r="AA148" s="103">
        <v>866801.9064986615</v>
      </c>
      <c r="AB148" s="104">
        <f t="shared" si="67"/>
        <v>2.2232109129988967E-4</v>
      </c>
      <c r="AC148" s="105">
        <f t="shared" si="12"/>
        <v>1.3002384845395544E-2</v>
      </c>
      <c r="AD148" s="102">
        <v>71.00874598039529</v>
      </c>
      <c r="AE148" s="103">
        <v>326008197</v>
      </c>
      <c r="AF148" s="103">
        <v>760140.49290227005</v>
      </c>
      <c r="AG148" s="104">
        <f t="shared" si="68"/>
        <v>1.2075404431621992E-3</v>
      </c>
      <c r="AH148" s="105">
        <f t="shared" si="14"/>
        <v>6.193241938227783E-2</v>
      </c>
      <c r="AI148" s="106">
        <v>6.422761730388669</v>
      </c>
      <c r="AJ148" s="103">
        <v>281040866790</v>
      </c>
      <c r="AK148" s="103">
        <v>547525.68680481997</v>
      </c>
      <c r="AL148" s="104">
        <f t="shared" si="69"/>
        <v>2.9019299536505138E-4</v>
      </c>
      <c r="AM148" s="104">
        <f t="shared" si="16"/>
        <v>1.0720472241629964E-2</v>
      </c>
      <c r="AN148" s="108">
        <f t="shared" si="17"/>
        <v>8.5655276469303335E-2</v>
      </c>
      <c r="AO148" s="101">
        <f t="shared" si="18"/>
        <v>1269.4968525515449</v>
      </c>
    </row>
    <row r="149" spans="1:41" ht="15.75" customHeight="1" x14ac:dyDescent="0.3">
      <c r="A149" s="99">
        <v>31202</v>
      </c>
      <c r="B149" s="62" t="s">
        <v>105</v>
      </c>
      <c r="C149" s="62" t="s">
        <v>127</v>
      </c>
      <c r="D149" s="100">
        <v>38</v>
      </c>
      <c r="E149" s="101">
        <v>10583.25</v>
      </c>
      <c r="F149" s="102">
        <v>27.677430938873179</v>
      </c>
      <c r="G149" s="103">
        <v>220240099</v>
      </c>
      <c r="H149" s="103">
        <f t="shared" si="0"/>
        <v>498026.73346770997</v>
      </c>
      <c r="I149" s="104">
        <f t="shared" si="64"/>
        <v>9.9792596550954722E-5</v>
      </c>
      <c r="J149" s="105">
        <f t="shared" si="2"/>
        <v>4.6960414697312302E-3</v>
      </c>
      <c r="K149" s="106">
        <v>8.4414365420772484</v>
      </c>
      <c r="L149" s="107">
        <v>300284090</v>
      </c>
      <c r="M149" s="103">
        <f t="shared" si="3"/>
        <v>813913.03325038229</v>
      </c>
      <c r="N149" s="104">
        <f t="shared" si="65"/>
        <v>1.8083323527097648E-4</v>
      </c>
      <c r="O149" s="105">
        <f t="shared" si="5"/>
        <v>1.3907119933090543E-2</v>
      </c>
      <c r="P149" s="102">
        <v>1.8766420347317641</v>
      </c>
      <c r="Q149" s="103">
        <v>215025815918</v>
      </c>
      <c r="R149" s="103">
        <f t="shared" si="6"/>
        <v>418914.72535322671</v>
      </c>
      <c r="S149" s="104">
        <f t="shared" si="66"/>
        <v>1.154096806012966E-4</v>
      </c>
      <c r="T149" s="105">
        <f t="shared" si="8"/>
        <v>4.5682389296478661E-3</v>
      </c>
      <c r="U149" s="104">
        <f t="shared" si="9"/>
        <v>2.3171400332469637E-2</v>
      </c>
      <c r="V149" s="103">
        <f t="shared" si="10"/>
        <v>245.2287225686093</v>
      </c>
      <c r="W149" s="100">
        <v>62</v>
      </c>
      <c r="X149" s="101">
        <v>11865</v>
      </c>
      <c r="Y149" s="102">
        <v>43.274802301042129</v>
      </c>
      <c r="Z149" s="107">
        <v>378780105</v>
      </c>
      <c r="AA149" s="103">
        <v>866801.9064986615</v>
      </c>
      <c r="AB149" s="104">
        <f t="shared" si="67"/>
        <v>9.4752161541032887E-5</v>
      </c>
      <c r="AC149" s="105">
        <f t="shared" si="12"/>
        <v>6.922153752097468E-3</v>
      </c>
      <c r="AD149" s="102">
        <v>16.967869251037769</v>
      </c>
      <c r="AE149" s="103">
        <v>326008197</v>
      </c>
      <c r="AF149" s="103">
        <v>760140.49290227005</v>
      </c>
      <c r="AG149" s="104">
        <f t="shared" si="68"/>
        <v>2.8854739049431023E-4</v>
      </c>
      <c r="AH149" s="105">
        <f t="shared" si="14"/>
        <v>1.8486013960051308E-2</v>
      </c>
      <c r="AI149" s="106">
        <v>1.747533859095481</v>
      </c>
      <c r="AJ149" s="103">
        <v>281040866790</v>
      </c>
      <c r="AK149" s="103">
        <v>547525.68680481997</v>
      </c>
      <c r="AL149" s="104">
        <f t="shared" si="69"/>
        <v>7.8957013565265349E-5</v>
      </c>
      <c r="AM149" s="104">
        <f t="shared" si="16"/>
        <v>3.6435729524129288E-3</v>
      </c>
      <c r="AN149" s="108">
        <f t="shared" si="17"/>
        <v>2.9051740664561704E-2</v>
      </c>
      <c r="AO149" s="101">
        <f t="shared" si="18"/>
        <v>344.69890298502463</v>
      </c>
    </row>
    <row r="150" spans="1:41" ht="15.75" customHeight="1" x14ac:dyDescent="0.3">
      <c r="A150" s="99">
        <v>31203</v>
      </c>
      <c r="B150" s="62" t="s">
        <v>105</v>
      </c>
      <c r="C150" s="62" t="s">
        <v>126</v>
      </c>
      <c r="D150" s="100">
        <v>67</v>
      </c>
      <c r="E150" s="101">
        <v>11127</v>
      </c>
      <c r="F150" s="102">
        <v>17.8035819640562</v>
      </c>
      <c r="G150" s="103">
        <v>220240099</v>
      </c>
      <c r="H150" s="103">
        <f t="shared" si="0"/>
        <v>498026.73346770997</v>
      </c>
      <c r="I150" s="104">
        <f t="shared" si="64"/>
        <v>6.4191856391034214E-5</v>
      </c>
      <c r="J150" s="105">
        <f t="shared" si="2"/>
        <v>2.8731248812487744E-3</v>
      </c>
      <c r="K150" s="106">
        <v>48.292162665918049</v>
      </c>
      <c r="L150" s="107">
        <v>300284090</v>
      </c>
      <c r="M150" s="103">
        <f t="shared" si="3"/>
        <v>813913.03325038229</v>
      </c>
      <c r="N150" s="104">
        <f t="shared" si="65"/>
        <v>1.034519180423913E-3</v>
      </c>
      <c r="O150" s="105">
        <f t="shared" si="5"/>
        <v>7.5672566198843036E-2</v>
      </c>
      <c r="P150" s="102">
        <v>0.88547518781880008</v>
      </c>
      <c r="Q150" s="103">
        <v>215025815918</v>
      </c>
      <c r="R150" s="103">
        <f t="shared" si="6"/>
        <v>418914.72535322671</v>
      </c>
      <c r="S150" s="104">
        <f t="shared" si="66"/>
        <v>5.4454928918368601E-5</v>
      </c>
      <c r="T150" s="105">
        <f t="shared" si="8"/>
        <v>2.0501457348762347E-3</v>
      </c>
      <c r="U150" s="104">
        <f t="shared" si="9"/>
        <v>8.0595836814968042E-2</v>
      </c>
      <c r="V150" s="103">
        <f t="shared" si="10"/>
        <v>896.78987624014951</v>
      </c>
      <c r="W150" s="100">
        <v>65</v>
      </c>
      <c r="X150" s="101">
        <v>12258</v>
      </c>
      <c r="Y150" s="102">
        <v>21.17544118348787</v>
      </c>
      <c r="Z150" s="107">
        <v>378780105</v>
      </c>
      <c r="AA150" s="103">
        <v>866801.9064986615</v>
      </c>
      <c r="AB150" s="104">
        <f t="shared" si="67"/>
        <v>4.6364598265817277E-5</v>
      </c>
      <c r="AC150" s="105">
        <f t="shared" si="12"/>
        <v>3.2785872222919686E-3</v>
      </c>
      <c r="AD150" s="102">
        <v>42.62433307797032</v>
      </c>
      <c r="AE150" s="103">
        <v>326008197</v>
      </c>
      <c r="AF150" s="103">
        <v>760140.49290227005</v>
      </c>
      <c r="AG150" s="104">
        <f t="shared" si="68"/>
        <v>7.248488245191081E-4</v>
      </c>
      <c r="AH150" s="105">
        <f t="shared" si="14"/>
        <v>4.4949171377841886E-2</v>
      </c>
      <c r="AI150" s="106">
        <v>1.183476394960004</v>
      </c>
      <c r="AJ150" s="103">
        <v>281040866790</v>
      </c>
      <c r="AK150" s="103">
        <v>547525.68680481997</v>
      </c>
      <c r="AL150" s="104">
        <f t="shared" si="69"/>
        <v>5.347178899262908E-5</v>
      </c>
      <c r="AM150" s="104">
        <f t="shared" si="16"/>
        <v>2.3884139331760198E-3</v>
      </c>
      <c r="AN150" s="108">
        <f t="shared" si="17"/>
        <v>5.0616172533309876E-2</v>
      </c>
      <c r="AO150" s="101">
        <f t="shared" si="18"/>
        <v>620.45304291331252</v>
      </c>
    </row>
    <row r="151" spans="1:41" ht="15.75" customHeight="1" x14ac:dyDescent="0.3">
      <c r="A151" s="99">
        <v>31204</v>
      </c>
      <c r="B151" s="62" t="s">
        <v>105</v>
      </c>
      <c r="C151" s="62" t="s">
        <v>114</v>
      </c>
      <c r="D151" s="100">
        <v>1151</v>
      </c>
      <c r="E151" s="101">
        <v>23182.25</v>
      </c>
      <c r="F151" s="102">
        <v>1000.390077488493</v>
      </c>
      <c r="G151" s="103">
        <v>220240099</v>
      </c>
      <c r="H151" s="103">
        <f t="shared" si="0"/>
        <v>498026.73346770997</v>
      </c>
      <c r="I151" s="104">
        <f t="shared" si="64"/>
        <v>3.6069649533899953E-3</v>
      </c>
      <c r="J151" s="105">
        <f t="shared" si="2"/>
        <v>7.7488810338484412E-2</v>
      </c>
      <c r="K151" s="106">
        <v>91.372711476981081</v>
      </c>
      <c r="L151" s="107">
        <v>300284090</v>
      </c>
      <c r="M151" s="103">
        <f t="shared" si="3"/>
        <v>813913.03325038229</v>
      </c>
      <c r="N151" s="104">
        <f t="shared" si="65"/>
        <v>1.9573946862601159E-3</v>
      </c>
      <c r="O151" s="105">
        <f t="shared" si="5"/>
        <v>6.8722796379219062E-2</v>
      </c>
      <c r="P151" s="102">
        <v>59.139883142949493</v>
      </c>
      <c r="Q151" s="103">
        <v>215025815918</v>
      </c>
      <c r="R151" s="103">
        <f t="shared" si="6"/>
        <v>418914.72535322671</v>
      </c>
      <c r="S151" s="104">
        <f t="shared" si="66"/>
        <v>3.6369829184292866E-3</v>
      </c>
      <c r="T151" s="105">
        <f t="shared" si="8"/>
        <v>6.5722080487794821E-2</v>
      </c>
      <c r="U151" s="104">
        <f t="shared" si="9"/>
        <v>0.21193368720549829</v>
      </c>
      <c r="V151" s="103">
        <f t="shared" si="10"/>
        <v>4913.0997202196631</v>
      </c>
      <c r="W151" s="100">
        <v>3474</v>
      </c>
      <c r="X151" s="101">
        <v>27521</v>
      </c>
      <c r="Y151" s="102">
        <v>3278.2946170810451</v>
      </c>
      <c r="Z151" s="107">
        <v>378780105</v>
      </c>
      <c r="AA151" s="103">
        <v>866801.9064986615</v>
      </c>
      <c r="AB151" s="104">
        <f t="shared" si="67"/>
        <v>7.1779762037013717E-3</v>
      </c>
      <c r="AC151" s="105">
        <f t="shared" si="12"/>
        <v>0.22607766644273006</v>
      </c>
      <c r="AD151" s="102">
        <v>139.60870192786311</v>
      </c>
      <c r="AE151" s="103">
        <v>326008197</v>
      </c>
      <c r="AF151" s="103">
        <v>760140.49290227005</v>
      </c>
      <c r="AG151" s="104">
        <f t="shared" si="68"/>
        <v>2.3741181662582113E-3</v>
      </c>
      <c r="AH151" s="105">
        <f t="shared" si="14"/>
        <v>6.5574047204234959E-2</v>
      </c>
      <c r="AI151" s="106">
        <v>55.713443224505433</v>
      </c>
      <c r="AJ151" s="103">
        <v>281040866790</v>
      </c>
      <c r="AK151" s="103">
        <v>547525.68680481997</v>
      </c>
      <c r="AL151" s="104">
        <f t="shared" si="69"/>
        <v>2.517242838843655E-3</v>
      </c>
      <c r="AM151" s="104">
        <f t="shared" si="16"/>
        <v>5.0080124784433223E-2</v>
      </c>
      <c r="AN151" s="108">
        <f t="shared" si="17"/>
        <v>0.34173183843139826</v>
      </c>
      <c r="AO151" s="101">
        <f t="shared" si="18"/>
        <v>9404.8019254705105</v>
      </c>
    </row>
    <row r="152" spans="1:41" ht="15.75" customHeight="1" x14ac:dyDescent="0.3">
      <c r="A152" s="99">
        <v>31205</v>
      </c>
      <c r="B152" s="62" t="s">
        <v>105</v>
      </c>
      <c r="C152" s="62" t="s">
        <v>128</v>
      </c>
      <c r="D152" s="100">
        <v>3183</v>
      </c>
      <c r="E152" s="101">
        <v>51119</v>
      </c>
      <c r="F152" s="102">
        <v>2785.6691239838051</v>
      </c>
      <c r="G152" s="103">
        <v>220240099</v>
      </c>
      <c r="H152" s="103">
        <f t="shared" si="0"/>
        <v>498026.73346770997</v>
      </c>
      <c r="I152" s="104">
        <f t="shared" si="64"/>
        <v>1.0043893005391959E-2</v>
      </c>
      <c r="J152" s="105">
        <f t="shared" si="2"/>
        <v>9.7852603235089458E-2</v>
      </c>
      <c r="K152" s="106">
        <v>288.214697529825</v>
      </c>
      <c r="L152" s="107">
        <v>300284090</v>
      </c>
      <c r="M152" s="103">
        <f t="shared" si="3"/>
        <v>813913.03325038229</v>
      </c>
      <c r="N152" s="104">
        <f t="shared" si="65"/>
        <v>6.1741619388089248E-3</v>
      </c>
      <c r="O152" s="105">
        <f t="shared" si="5"/>
        <v>9.8304561344999569E-2</v>
      </c>
      <c r="P152" s="102">
        <v>108.7760478941766</v>
      </c>
      <c r="Q152" s="103">
        <v>215025815918</v>
      </c>
      <c r="R152" s="103">
        <f t="shared" si="6"/>
        <v>418914.72535322671</v>
      </c>
      <c r="S152" s="104">
        <f t="shared" si="66"/>
        <v>6.6895064227486672E-3</v>
      </c>
      <c r="T152" s="105">
        <f t="shared" si="8"/>
        <v>5.4819788059907351E-2</v>
      </c>
      <c r="U152" s="104">
        <f t="shared" si="9"/>
        <v>0.25097695263999636</v>
      </c>
      <c r="V152" s="103">
        <f t="shared" si="10"/>
        <v>12829.690842003976</v>
      </c>
      <c r="W152" s="100">
        <v>15132</v>
      </c>
      <c r="X152" s="101">
        <v>64595</v>
      </c>
      <c r="Y152" s="102">
        <v>14322.74407592613</v>
      </c>
      <c r="Z152" s="107">
        <v>378780105</v>
      </c>
      <c r="AA152" s="103">
        <v>866801.9064986615</v>
      </c>
      <c r="AB152" s="104">
        <f t="shared" si="67"/>
        <v>3.1360304108433629E-2</v>
      </c>
      <c r="AC152" s="105">
        <f t="shared" si="12"/>
        <v>0.42082469834457892</v>
      </c>
      <c r="AD152" s="102">
        <v>589.56163516385584</v>
      </c>
      <c r="AE152" s="103">
        <v>326008197</v>
      </c>
      <c r="AF152" s="103">
        <v>760140.49290227005</v>
      </c>
      <c r="AG152" s="104">
        <f t="shared" si="68"/>
        <v>1.0025800461167788E-2</v>
      </c>
      <c r="AH152" s="105">
        <f t="shared" si="14"/>
        <v>0.11798152959659244</v>
      </c>
      <c r="AI152" s="106">
        <v>217.92627110024691</v>
      </c>
      <c r="AJ152" s="103">
        <v>281040866790</v>
      </c>
      <c r="AK152" s="103">
        <v>547525.68680481997</v>
      </c>
      <c r="AL152" s="104">
        <f t="shared" si="69"/>
        <v>9.8463371418715095E-3</v>
      </c>
      <c r="AM152" s="104">
        <f t="shared" si="16"/>
        <v>8.3460368544237259E-2</v>
      </c>
      <c r="AN152" s="108">
        <f t="shared" si="17"/>
        <v>0.62226659648540861</v>
      </c>
      <c r="AO152" s="101">
        <f t="shared" si="18"/>
        <v>40195.31079997497</v>
      </c>
    </row>
    <row r="153" spans="1:41" ht="15.75" customHeight="1" x14ac:dyDescent="0.3">
      <c r="A153" s="99">
        <v>31206</v>
      </c>
      <c r="B153" s="62" t="s">
        <v>105</v>
      </c>
      <c r="C153" s="62" t="s">
        <v>120</v>
      </c>
      <c r="D153" s="100">
        <v>1730</v>
      </c>
      <c r="E153" s="101">
        <v>35107.5</v>
      </c>
      <c r="F153" s="102">
        <v>1456.1692189479891</v>
      </c>
      <c r="G153" s="103">
        <v>220240099</v>
      </c>
      <c r="H153" s="103">
        <f t="shared" si="0"/>
        <v>498026.73346770997</v>
      </c>
      <c r="I153" s="104">
        <f t="shared" si="64"/>
        <v>5.2503033138201977E-3</v>
      </c>
      <c r="J153" s="105">
        <f t="shared" si="2"/>
        <v>7.447956730318496E-2</v>
      </c>
      <c r="K153" s="106">
        <v>177.90978863323201</v>
      </c>
      <c r="L153" s="107">
        <v>300284090</v>
      </c>
      <c r="M153" s="103">
        <f t="shared" si="3"/>
        <v>813913.03325038229</v>
      </c>
      <c r="N153" s="104">
        <f t="shared" si="65"/>
        <v>3.8111999663277846E-3</v>
      </c>
      <c r="O153" s="105">
        <f t="shared" si="5"/>
        <v>8.8356770630708598E-2</v>
      </c>
      <c r="P153" s="102">
        <v>95.777979357865277</v>
      </c>
      <c r="Q153" s="103">
        <v>215025815918</v>
      </c>
      <c r="R153" s="103">
        <f t="shared" si="6"/>
        <v>418914.72535322671</v>
      </c>
      <c r="S153" s="104">
        <f t="shared" si="66"/>
        <v>5.8901515588766825E-3</v>
      </c>
      <c r="T153" s="105">
        <f t="shared" si="8"/>
        <v>7.0283307628731917E-2</v>
      </c>
      <c r="U153" s="104">
        <f t="shared" si="9"/>
        <v>0.23311964556262549</v>
      </c>
      <c r="V153" s="103">
        <f t="shared" si="10"/>
        <v>8184.2479565898739</v>
      </c>
      <c r="W153" s="100">
        <v>3688</v>
      </c>
      <c r="X153" s="101">
        <v>45780</v>
      </c>
      <c r="Y153" s="102">
        <v>3215.135833867253</v>
      </c>
      <c r="Z153" s="107">
        <v>378780105</v>
      </c>
      <c r="AA153" s="103">
        <v>866801.9064986615</v>
      </c>
      <c r="AB153" s="104">
        <f t="shared" si="67"/>
        <v>7.0396871553037041E-3</v>
      </c>
      <c r="AC153" s="105">
        <f t="shared" si="12"/>
        <v>0.13328995734756202</v>
      </c>
      <c r="AD153" s="102">
        <v>332.21381743010022</v>
      </c>
      <c r="AE153" s="103">
        <v>326008197</v>
      </c>
      <c r="AF153" s="103">
        <v>760140.49290227005</v>
      </c>
      <c r="AG153" s="104">
        <f t="shared" si="68"/>
        <v>5.6494677491545249E-3</v>
      </c>
      <c r="AH153" s="105">
        <f t="shared" si="14"/>
        <v>9.380491916727389E-2</v>
      </c>
      <c r="AI153" s="106">
        <v>140.2751871020595</v>
      </c>
      <c r="AJ153" s="103">
        <v>281040866790</v>
      </c>
      <c r="AK153" s="103">
        <v>547525.68680481997</v>
      </c>
      <c r="AL153" s="104">
        <f t="shared" si="69"/>
        <v>6.3379085865725117E-3</v>
      </c>
      <c r="AM153" s="104">
        <f t="shared" si="16"/>
        <v>7.5800955696139802E-2</v>
      </c>
      <c r="AN153" s="108">
        <f t="shared" si="17"/>
        <v>0.30289583221097571</v>
      </c>
      <c r="AO153" s="101">
        <f t="shared" si="18"/>
        <v>13866.571198618469</v>
      </c>
    </row>
    <row r="154" spans="1:41" ht="15.75" customHeight="1" x14ac:dyDescent="0.3">
      <c r="A154" s="99">
        <v>31301</v>
      </c>
      <c r="B154" s="62" t="s">
        <v>105</v>
      </c>
      <c r="C154" s="62" t="s">
        <v>122</v>
      </c>
      <c r="D154" s="100">
        <v>152</v>
      </c>
      <c r="E154" s="101">
        <v>19872</v>
      </c>
      <c r="F154" s="102">
        <v>116.1296313297063</v>
      </c>
      <c r="G154" s="103">
        <v>220240099</v>
      </c>
      <c r="H154" s="103">
        <f t="shared" si="0"/>
        <v>498026.73346770997</v>
      </c>
      <c r="I154" s="104">
        <f t="shared" si="64"/>
        <v>4.1871218006075186E-4</v>
      </c>
      <c r="J154" s="105">
        <f t="shared" si="2"/>
        <v>1.0493652339915453E-2</v>
      </c>
      <c r="K154" s="106">
        <v>31.646366354515479</v>
      </c>
      <c r="L154" s="107">
        <v>300284090</v>
      </c>
      <c r="M154" s="103">
        <f t="shared" si="3"/>
        <v>813913.03325038229</v>
      </c>
      <c r="N154" s="104">
        <f t="shared" si="65"/>
        <v>6.7793139046086817E-4</v>
      </c>
      <c r="O154" s="105">
        <f t="shared" si="5"/>
        <v>2.7766565738005962E-2</v>
      </c>
      <c r="P154" s="102">
        <v>4.2035937504447238</v>
      </c>
      <c r="Q154" s="103">
        <v>215025815918</v>
      </c>
      <c r="R154" s="103">
        <f t="shared" si="6"/>
        <v>418914.72535322671</v>
      </c>
      <c r="S154" s="104">
        <f t="shared" si="66"/>
        <v>2.5851249366572692E-4</v>
      </c>
      <c r="T154" s="105">
        <f t="shared" si="8"/>
        <v>5.4496120312175801E-3</v>
      </c>
      <c r="U154" s="104">
        <f t="shared" si="9"/>
        <v>4.3709830109138995E-2</v>
      </c>
      <c r="V154" s="103">
        <f t="shared" si="10"/>
        <v>868.60174392881004</v>
      </c>
      <c r="W154" s="100">
        <v>392</v>
      </c>
      <c r="X154" s="101">
        <v>19896</v>
      </c>
      <c r="Y154" s="102">
        <v>340.68884451616941</v>
      </c>
      <c r="Z154" s="107">
        <v>378780105</v>
      </c>
      <c r="AA154" s="103">
        <v>866801.9064986615</v>
      </c>
      <c r="AB154" s="104">
        <f t="shared" si="67"/>
        <v>7.4595382796345078E-4</v>
      </c>
      <c r="AC154" s="105">
        <f t="shared" si="12"/>
        <v>3.2498703268933136E-2</v>
      </c>
      <c r="AD154" s="102">
        <v>44.667633036926091</v>
      </c>
      <c r="AE154" s="103">
        <v>326008197</v>
      </c>
      <c r="AF154" s="103">
        <v>760140.49290227005</v>
      </c>
      <c r="AG154" s="104">
        <f t="shared" si="68"/>
        <v>7.595961968869002E-4</v>
      </c>
      <c r="AH154" s="105">
        <f t="shared" si="14"/>
        <v>2.9020900055704572E-2</v>
      </c>
      <c r="AI154" s="106">
        <v>6.5937293510863739</v>
      </c>
      <c r="AJ154" s="103">
        <v>281040866790</v>
      </c>
      <c r="AK154" s="103">
        <v>547525.68680481997</v>
      </c>
      <c r="AL154" s="104">
        <f t="shared" si="69"/>
        <v>2.9791764841047904E-4</v>
      </c>
      <c r="AM154" s="104">
        <f t="shared" si="16"/>
        <v>8.1985105075002233E-3</v>
      </c>
      <c r="AN154" s="108">
        <f t="shared" si="17"/>
        <v>6.971811383213794E-2</v>
      </c>
      <c r="AO154" s="101">
        <f t="shared" si="18"/>
        <v>1387.1115928042163</v>
      </c>
    </row>
    <row r="155" spans="1:41" ht="15.75" customHeight="1" x14ac:dyDescent="0.3">
      <c r="A155" s="99">
        <v>31302</v>
      </c>
      <c r="B155" s="62" t="s">
        <v>105</v>
      </c>
      <c r="C155" s="62" t="s">
        <v>146</v>
      </c>
      <c r="D155" s="100">
        <v>1</v>
      </c>
      <c r="E155" s="101">
        <v>5405.25</v>
      </c>
      <c r="F155" s="102">
        <v>0.99951376648635504</v>
      </c>
      <c r="G155" s="103">
        <v>220240099</v>
      </c>
      <c r="H155" s="103">
        <f t="shared" si="0"/>
        <v>498026.73346770997</v>
      </c>
      <c r="I155" s="104">
        <f t="shared" si="64"/>
        <v>3.6038053628021748E-6</v>
      </c>
      <c r="J155" s="105">
        <f t="shared" si="2"/>
        <v>3.3204595770589381E-4</v>
      </c>
      <c r="K155" s="106">
        <v>2.4311675682246399E-5</v>
      </c>
      <c r="L155" s="107">
        <v>300284090</v>
      </c>
      <c r="M155" s="103">
        <f t="shared" si="3"/>
        <v>813913.03325038229</v>
      </c>
      <c r="N155" s="104">
        <f t="shared" si="65"/>
        <v>5.2080696769622282E-10</v>
      </c>
      <c r="O155" s="105">
        <f t="shared" si="5"/>
        <v>7.8422196719035491E-8</v>
      </c>
      <c r="P155" s="102">
        <v>3.4036345955145E-4</v>
      </c>
      <c r="Q155" s="103">
        <v>215025815918</v>
      </c>
      <c r="R155" s="103">
        <f t="shared" si="6"/>
        <v>418914.72535322671</v>
      </c>
      <c r="S155" s="104">
        <f t="shared" si="66"/>
        <v>2.0931662740251795E-8</v>
      </c>
      <c r="T155" s="105">
        <f t="shared" si="8"/>
        <v>1.6222342626185561E-6</v>
      </c>
      <c r="U155" s="104">
        <f t="shared" si="9"/>
        <v>3.3374661416523137E-4</v>
      </c>
      <c r="V155" s="103">
        <f t="shared" si="10"/>
        <v>1.8039838862166171</v>
      </c>
      <c r="W155" s="100">
        <v>1</v>
      </c>
      <c r="X155" s="101">
        <v>5244</v>
      </c>
      <c r="Y155" s="102">
        <v>0.99951376648635504</v>
      </c>
      <c r="Z155" s="107">
        <v>378780105</v>
      </c>
      <c r="AA155" s="103">
        <v>866801.9064986615</v>
      </c>
      <c r="AB155" s="104">
        <f t="shared" si="67"/>
        <v>2.188481167534315E-6</v>
      </c>
      <c r="AC155" s="105">
        <f t="shared" si="12"/>
        <v>3.6174287726070957E-4</v>
      </c>
      <c r="AD155" s="102">
        <v>2.4311675682246399E-5</v>
      </c>
      <c r="AE155" s="103">
        <v>326008197</v>
      </c>
      <c r="AF155" s="103">
        <v>760140.49290227005</v>
      </c>
      <c r="AG155" s="104">
        <f t="shared" si="68"/>
        <v>4.1343261625068985E-10</v>
      </c>
      <c r="AH155" s="105">
        <f t="shared" si="14"/>
        <v>5.9928846815155316E-8</v>
      </c>
      <c r="AI155" s="106">
        <v>3.4036345955145E-4</v>
      </c>
      <c r="AJ155" s="103">
        <v>281040866790</v>
      </c>
      <c r="AK155" s="103">
        <v>547525.68680481997</v>
      </c>
      <c r="AL155" s="104">
        <f t="shared" si="69"/>
        <v>1.5378289898677234E-8</v>
      </c>
      <c r="AM155" s="104">
        <f t="shared" si="16"/>
        <v>1.6056462125585198E-6</v>
      </c>
      <c r="AN155" s="108">
        <f t="shared" si="17"/>
        <v>3.6340845232008326E-4</v>
      </c>
      <c r="AO155" s="101">
        <f t="shared" si="18"/>
        <v>1.9057139239665164</v>
      </c>
    </row>
    <row r="156" spans="1:41" ht="15.75" customHeight="1" x14ac:dyDescent="0.3">
      <c r="A156" s="99">
        <v>31303</v>
      </c>
      <c r="B156" s="62" t="s">
        <v>105</v>
      </c>
      <c r="C156" s="62" t="s">
        <v>107</v>
      </c>
      <c r="D156" s="100">
        <v>2</v>
      </c>
      <c r="E156" s="101">
        <v>3463.25</v>
      </c>
      <c r="F156" s="102">
        <v>1.9990275329727101</v>
      </c>
      <c r="G156" s="103">
        <v>220240099</v>
      </c>
      <c r="H156" s="103">
        <f t="shared" si="0"/>
        <v>498026.73346770997</v>
      </c>
      <c r="I156" s="104">
        <f t="shared" si="64"/>
        <v>7.2076107256043496E-6</v>
      </c>
      <c r="J156" s="105">
        <f t="shared" si="2"/>
        <v>1.0364781132692024E-3</v>
      </c>
      <c r="K156" s="106">
        <v>4.8623351364492797E-5</v>
      </c>
      <c r="L156" s="107">
        <v>300284090</v>
      </c>
      <c r="M156" s="103">
        <f t="shared" si="3"/>
        <v>813913.03325038229</v>
      </c>
      <c r="N156" s="104">
        <f t="shared" si="65"/>
        <v>1.0416139353924456E-9</v>
      </c>
      <c r="O156" s="105">
        <f t="shared" si="5"/>
        <v>2.4479409734530664E-7</v>
      </c>
      <c r="P156" s="102">
        <v>6.807269191029E-4</v>
      </c>
      <c r="Q156" s="103">
        <v>215025815918</v>
      </c>
      <c r="R156" s="103">
        <f t="shared" si="6"/>
        <v>418914.72535322671</v>
      </c>
      <c r="S156" s="104">
        <f t="shared" si="66"/>
        <v>4.186332548050359E-8</v>
      </c>
      <c r="T156" s="105">
        <f t="shared" si="8"/>
        <v>5.0637879148308382E-6</v>
      </c>
      <c r="U156" s="104">
        <f t="shared" si="9"/>
        <v>1.0417866952813785E-3</v>
      </c>
      <c r="V156" s="103">
        <f t="shared" si="10"/>
        <v>3.6079677724332342</v>
      </c>
      <c r="W156" s="100">
        <v>2</v>
      </c>
      <c r="X156" s="101">
        <v>3512</v>
      </c>
      <c r="Y156" s="102">
        <v>1.9990275329727101</v>
      </c>
      <c r="Z156" s="107">
        <v>378780105</v>
      </c>
      <c r="AA156" s="103">
        <v>866801.9064986615</v>
      </c>
      <c r="AB156" s="104">
        <f t="shared" si="67"/>
        <v>4.37696233506863E-6</v>
      </c>
      <c r="AC156" s="105">
        <f t="shared" si="12"/>
        <v>1.080284537787677E-3</v>
      </c>
      <c r="AD156" s="102">
        <v>4.8623351364492797E-5</v>
      </c>
      <c r="AE156" s="103">
        <v>326008197</v>
      </c>
      <c r="AF156" s="103">
        <v>760140.49290227005</v>
      </c>
      <c r="AG156" s="104">
        <f t="shared" si="68"/>
        <v>8.2686523250137971E-10</v>
      </c>
      <c r="AH156" s="105">
        <f t="shared" si="14"/>
        <v>1.7896746736826564E-7</v>
      </c>
      <c r="AI156" s="106">
        <v>6.807269191029E-4</v>
      </c>
      <c r="AJ156" s="103">
        <v>281040866790</v>
      </c>
      <c r="AK156" s="103">
        <v>547525.68680481997</v>
      </c>
      <c r="AL156" s="104">
        <f t="shared" si="69"/>
        <v>3.0756579797354468E-8</v>
      </c>
      <c r="AM156" s="104">
        <f t="shared" si="16"/>
        <v>4.7949935869344409E-6</v>
      </c>
      <c r="AN156" s="108">
        <f t="shared" si="17"/>
        <v>1.0852584988419798E-3</v>
      </c>
      <c r="AO156" s="101">
        <f t="shared" si="18"/>
        <v>3.8114278479330328</v>
      </c>
    </row>
    <row r="157" spans="1:41" ht="15.75" customHeight="1" x14ac:dyDescent="0.3">
      <c r="A157" s="99">
        <v>31304</v>
      </c>
      <c r="B157" s="62" t="s">
        <v>105</v>
      </c>
      <c r="C157" s="62" t="s">
        <v>788</v>
      </c>
      <c r="D157" s="112"/>
      <c r="E157" s="113">
        <v>7291</v>
      </c>
      <c r="F157" s="114"/>
      <c r="G157" s="103">
        <v>220240099</v>
      </c>
      <c r="H157" s="103">
        <f t="shared" si="0"/>
        <v>498026.73346770997</v>
      </c>
      <c r="I157" s="104">
        <f t="shared" si="64"/>
        <v>0</v>
      </c>
      <c r="J157" s="105">
        <f t="shared" si="2"/>
        <v>0</v>
      </c>
      <c r="K157" s="115"/>
      <c r="L157" s="107">
        <v>300284090</v>
      </c>
      <c r="M157" s="103">
        <f t="shared" si="3"/>
        <v>813913.03325038229</v>
      </c>
      <c r="N157" s="104">
        <f t="shared" si="65"/>
        <v>0</v>
      </c>
      <c r="O157" s="105">
        <f t="shared" si="5"/>
        <v>0</v>
      </c>
      <c r="P157" s="114"/>
      <c r="Q157" s="103">
        <v>215025815918</v>
      </c>
      <c r="R157" s="103">
        <f t="shared" si="6"/>
        <v>418914.72535322671</v>
      </c>
      <c r="S157" s="104">
        <f t="shared" si="66"/>
        <v>0</v>
      </c>
      <c r="T157" s="105">
        <f t="shared" si="8"/>
        <v>0</v>
      </c>
      <c r="U157" s="104">
        <f t="shared" si="9"/>
        <v>0</v>
      </c>
      <c r="V157" s="103">
        <f t="shared" si="10"/>
        <v>0</v>
      </c>
      <c r="W157" s="112"/>
      <c r="X157" s="101">
        <v>8056</v>
      </c>
      <c r="Y157" s="114"/>
      <c r="Z157" s="107">
        <v>378780105</v>
      </c>
      <c r="AA157" s="103">
        <v>866801.9064986615</v>
      </c>
      <c r="AB157" s="104">
        <f t="shared" si="67"/>
        <v>0</v>
      </c>
      <c r="AC157" s="105">
        <f t="shared" si="12"/>
        <v>0</v>
      </c>
      <c r="AD157" s="114"/>
      <c r="AE157" s="103">
        <v>326008197</v>
      </c>
      <c r="AF157" s="103">
        <v>760140.49290227005</v>
      </c>
      <c r="AG157" s="104">
        <f t="shared" si="68"/>
        <v>0</v>
      </c>
      <c r="AH157" s="105">
        <f t="shared" si="14"/>
        <v>0</v>
      </c>
      <c r="AI157" s="115"/>
      <c r="AJ157" s="103">
        <v>281040866790</v>
      </c>
      <c r="AK157" s="103">
        <v>547525.68680481997</v>
      </c>
      <c r="AL157" s="104">
        <f t="shared" si="69"/>
        <v>0</v>
      </c>
      <c r="AM157" s="104">
        <f t="shared" si="16"/>
        <v>0</v>
      </c>
      <c r="AN157" s="108">
        <f t="shared" si="17"/>
        <v>0</v>
      </c>
      <c r="AO157" s="101">
        <f t="shared" si="18"/>
        <v>0</v>
      </c>
    </row>
    <row r="158" spans="1:41" ht="15.75" customHeight="1" x14ac:dyDescent="0.3">
      <c r="A158" s="99">
        <v>31401</v>
      </c>
      <c r="B158" s="62" t="s">
        <v>105</v>
      </c>
      <c r="C158" s="62" t="s">
        <v>129</v>
      </c>
      <c r="D158" s="100">
        <v>5272</v>
      </c>
      <c r="E158" s="101">
        <v>30477.25</v>
      </c>
      <c r="F158" s="102">
        <v>4257.3327176939047</v>
      </c>
      <c r="G158" s="103">
        <v>220240099</v>
      </c>
      <c r="H158" s="103">
        <f t="shared" si="0"/>
        <v>498026.73346770997</v>
      </c>
      <c r="I158" s="104">
        <f t="shared" si="64"/>
        <v>1.5350062193933676E-2</v>
      </c>
      <c r="J158" s="105">
        <f t="shared" si="2"/>
        <v>0.25083435457500192</v>
      </c>
      <c r="K158" s="106">
        <v>744.47256250547957</v>
      </c>
      <c r="L158" s="107">
        <v>300284090</v>
      </c>
      <c r="M158" s="103">
        <f t="shared" si="3"/>
        <v>813913.03325038229</v>
      </c>
      <c r="N158" s="104">
        <f t="shared" si="65"/>
        <v>1.5948160171232163E-2</v>
      </c>
      <c r="O158" s="105">
        <f t="shared" si="5"/>
        <v>0.4259050741038154</v>
      </c>
      <c r="P158" s="102">
        <v>269.68735398527917</v>
      </c>
      <c r="Q158" s="103">
        <v>215025815918</v>
      </c>
      <c r="R158" s="103">
        <f t="shared" si="6"/>
        <v>418914.72535322671</v>
      </c>
      <c r="S158" s="104">
        <f t="shared" si="66"/>
        <v>1.6585225530290671E-2</v>
      </c>
      <c r="T158" s="105">
        <f t="shared" si="8"/>
        <v>0.22796660453102036</v>
      </c>
      <c r="U158" s="104">
        <f t="shared" si="9"/>
        <v>0.90470603320983767</v>
      </c>
      <c r="V158" s="103">
        <f t="shared" si="10"/>
        <v>27572.951950644525</v>
      </c>
      <c r="W158" s="100">
        <v>7871</v>
      </c>
      <c r="X158" s="101">
        <v>35248</v>
      </c>
      <c r="Y158" s="102">
        <v>6502.8896250679572</v>
      </c>
      <c r="Z158" s="107">
        <v>378780105</v>
      </c>
      <c r="AA158" s="103">
        <v>866801.9064986615</v>
      </c>
      <c r="AB158" s="104">
        <f t="shared" si="67"/>
        <v>1.4238374653952092E-2</v>
      </c>
      <c r="AC158" s="105">
        <f t="shared" si="12"/>
        <v>0.3501432789232834</v>
      </c>
      <c r="AD158" s="102">
        <v>931.19249411395094</v>
      </c>
      <c r="AE158" s="103">
        <v>326008197</v>
      </c>
      <c r="AF158" s="103">
        <v>760140.49290227005</v>
      </c>
      <c r="AG158" s="104">
        <f t="shared" si="68"/>
        <v>1.5835409870808344E-2</v>
      </c>
      <c r="AH158" s="105">
        <f t="shared" si="14"/>
        <v>0.34149841876151066</v>
      </c>
      <c r="AI158" s="106">
        <v>436.22822547201372</v>
      </c>
      <c r="AJ158" s="103">
        <v>281040866790</v>
      </c>
      <c r="AK158" s="103">
        <v>547525.68680481997</v>
      </c>
      <c r="AL158" s="104">
        <f t="shared" si="69"/>
        <v>1.9709648392147987E-2</v>
      </c>
      <c r="AM158" s="104">
        <f t="shared" si="16"/>
        <v>0.3061603147013261</v>
      </c>
      <c r="AN158" s="108">
        <f t="shared" si="17"/>
        <v>0.99780201238612021</v>
      </c>
      <c r="AO158" s="101">
        <f t="shared" si="18"/>
        <v>35170.525332585967</v>
      </c>
    </row>
    <row r="159" spans="1:41" ht="15.75" customHeight="1" x14ac:dyDescent="0.3">
      <c r="A159" s="99">
        <v>31402</v>
      </c>
      <c r="B159" s="62" t="s">
        <v>105</v>
      </c>
      <c r="C159" s="62" t="s">
        <v>147</v>
      </c>
      <c r="D159" s="100">
        <v>189</v>
      </c>
      <c r="E159" s="101">
        <v>8251</v>
      </c>
      <c r="F159" s="102">
        <v>157.95939405534989</v>
      </c>
      <c r="G159" s="103">
        <v>220240099</v>
      </c>
      <c r="H159" s="103">
        <f t="shared" si="0"/>
        <v>498026.73346770997</v>
      </c>
      <c r="I159" s="104">
        <f t="shared" si="64"/>
        <v>5.6953183686782479E-4</v>
      </c>
      <c r="J159" s="105">
        <f t="shared" si="2"/>
        <v>3.4376691349066471E-2</v>
      </c>
      <c r="K159" s="106">
        <v>19.149134972141692</v>
      </c>
      <c r="L159" s="107">
        <v>300284090</v>
      </c>
      <c r="M159" s="103">
        <f t="shared" si="3"/>
        <v>813913.03325038229</v>
      </c>
      <c r="N159" s="104">
        <f t="shared" si="65"/>
        <v>4.1021454255946638E-4</v>
      </c>
      <c r="O159" s="105">
        <f t="shared" si="5"/>
        <v>4.046527240552579E-2</v>
      </c>
      <c r="P159" s="102">
        <v>11.876395857768459</v>
      </c>
      <c r="Q159" s="103">
        <v>215025815918</v>
      </c>
      <c r="R159" s="103">
        <f t="shared" si="6"/>
        <v>418914.72535322671</v>
      </c>
      <c r="S159" s="104">
        <f t="shared" si="66"/>
        <v>7.3037426811956312E-4</v>
      </c>
      <c r="T159" s="105">
        <f t="shared" si="8"/>
        <v>3.7082115614394708E-2</v>
      </c>
      <c r="U159" s="104">
        <f t="shared" si="9"/>
        <v>0.11192407936898696</v>
      </c>
      <c r="V159" s="103">
        <f t="shared" si="10"/>
        <v>923.48557887351149</v>
      </c>
      <c r="W159" s="100">
        <v>407</v>
      </c>
      <c r="X159" s="101">
        <v>8599</v>
      </c>
      <c r="Y159" s="102">
        <v>341.66387175695212</v>
      </c>
      <c r="Z159" s="107">
        <v>378780105</v>
      </c>
      <c r="AA159" s="103">
        <v>866801.9064986615</v>
      </c>
      <c r="AB159" s="104">
        <f t="shared" si="67"/>
        <v>7.4808869476152104E-4</v>
      </c>
      <c r="AC159" s="105">
        <f t="shared" si="12"/>
        <v>7.5409315833164514E-2</v>
      </c>
      <c r="AD159" s="102">
        <v>42.512807073573427</v>
      </c>
      <c r="AE159" s="103">
        <v>326008197</v>
      </c>
      <c r="AF159" s="103">
        <v>760140.49290227005</v>
      </c>
      <c r="AG159" s="104">
        <f t="shared" si="68"/>
        <v>7.2295226714558811E-4</v>
      </c>
      <c r="AH159" s="105">
        <f t="shared" si="14"/>
        <v>6.3908046597611456E-2</v>
      </c>
      <c r="AI159" s="106">
        <v>22.789613518714159</v>
      </c>
      <c r="AJ159" s="103">
        <v>281040866790</v>
      </c>
      <c r="AK159" s="103">
        <v>547525.68680481997</v>
      </c>
      <c r="AL159" s="104">
        <f t="shared" si="69"/>
        <v>1.0296795191571471E-3</v>
      </c>
      <c r="AM159" s="104">
        <f t="shared" si="16"/>
        <v>6.5562970800717962E-2</v>
      </c>
      <c r="AN159" s="108">
        <f t="shared" si="17"/>
        <v>0.20488033323149393</v>
      </c>
      <c r="AO159" s="101">
        <f t="shared" si="18"/>
        <v>1761.7659854576164</v>
      </c>
    </row>
    <row r="160" spans="1:41" ht="15.75" customHeight="1" x14ac:dyDescent="0.3">
      <c r="A160" s="99">
        <v>31403</v>
      </c>
      <c r="B160" s="62" t="s">
        <v>105</v>
      </c>
      <c r="C160" s="62" t="s">
        <v>133</v>
      </c>
      <c r="D160" s="100">
        <v>100</v>
      </c>
      <c r="E160" s="101">
        <v>13435</v>
      </c>
      <c r="F160" s="102">
        <v>74.047703847465996</v>
      </c>
      <c r="G160" s="103">
        <v>220240099</v>
      </c>
      <c r="H160" s="103">
        <f t="shared" si="0"/>
        <v>498026.73346770997</v>
      </c>
      <c r="I160" s="104">
        <f t="shared" si="64"/>
        <v>2.6698332847057207E-4</v>
      </c>
      <c r="J160" s="105">
        <f t="shared" si="2"/>
        <v>9.8968987695225649E-3</v>
      </c>
      <c r="K160" s="106">
        <v>20.235514804569519</v>
      </c>
      <c r="L160" s="107">
        <v>300284090</v>
      </c>
      <c r="M160" s="103">
        <f t="shared" si="3"/>
        <v>813913.03325038229</v>
      </c>
      <c r="N160" s="104">
        <f t="shared" si="65"/>
        <v>4.3348707192716597E-4</v>
      </c>
      <c r="O160" s="105">
        <f t="shared" si="5"/>
        <v>2.6261315786160498E-2</v>
      </c>
      <c r="P160" s="102">
        <v>5.7061559986267119</v>
      </c>
      <c r="Q160" s="103">
        <v>215025815918</v>
      </c>
      <c r="R160" s="103">
        <f t="shared" si="6"/>
        <v>418914.72535322671</v>
      </c>
      <c r="S160" s="104">
        <f t="shared" si="66"/>
        <v>3.5091702576981338E-4</v>
      </c>
      <c r="T160" s="105">
        <f t="shared" si="8"/>
        <v>1.094189128932881E-2</v>
      </c>
      <c r="U160" s="104">
        <f t="shared" si="9"/>
        <v>4.7100105845011869E-2</v>
      </c>
      <c r="V160" s="103">
        <f t="shared" si="10"/>
        <v>632.78992202773452</v>
      </c>
      <c r="W160" s="100">
        <v>1441</v>
      </c>
      <c r="X160" s="101">
        <v>13054</v>
      </c>
      <c r="Y160" s="102">
        <v>1094.4757891304059</v>
      </c>
      <c r="Z160" s="107">
        <v>378780105</v>
      </c>
      <c r="AA160" s="103">
        <v>866801.9064986615</v>
      </c>
      <c r="AB160" s="104">
        <f t="shared" si="67"/>
        <v>2.3964048651918695E-3</v>
      </c>
      <c r="AC160" s="105">
        <f t="shared" si="12"/>
        <v>0.15912427653523672</v>
      </c>
      <c r="AD160" s="102">
        <v>257.87534941178723</v>
      </c>
      <c r="AE160" s="103">
        <v>326008197</v>
      </c>
      <c r="AF160" s="103">
        <v>760140.49290227005</v>
      </c>
      <c r="AG160" s="104">
        <f t="shared" si="68"/>
        <v>4.3853036609784535E-3</v>
      </c>
      <c r="AH160" s="105">
        <f t="shared" si="14"/>
        <v>0.25535827228300068</v>
      </c>
      <c r="AI160" s="106">
        <v>88.503201079920359</v>
      </c>
      <c r="AJ160" s="103">
        <v>281040866790</v>
      </c>
      <c r="AK160" s="103">
        <v>547525.68680481997</v>
      </c>
      <c r="AL160" s="104">
        <f t="shared" si="69"/>
        <v>3.9987485288860859E-3</v>
      </c>
      <c r="AM160" s="104">
        <f t="shared" si="16"/>
        <v>0.16772005014846925</v>
      </c>
      <c r="AN160" s="108">
        <f t="shared" si="17"/>
        <v>0.58220259896670667</v>
      </c>
      <c r="AO160" s="101">
        <f t="shared" si="18"/>
        <v>7600.0727269113886</v>
      </c>
    </row>
    <row r="161" spans="1:41" ht="15.75" customHeight="1" x14ac:dyDescent="0.3">
      <c r="A161" s="99">
        <v>31404</v>
      </c>
      <c r="B161" s="62" t="s">
        <v>105</v>
      </c>
      <c r="C161" s="62" t="s">
        <v>789</v>
      </c>
      <c r="D161" s="112"/>
      <c r="E161" s="113">
        <v>1299</v>
      </c>
      <c r="F161" s="114"/>
      <c r="G161" s="103">
        <v>220240099</v>
      </c>
      <c r="H161" s="103">
        <f t="shared" si="0"/>
        <v>498026.73346770997</v>
      </c>
      <c r="I161" s="104">
        <f t="shared" si="64"/>
        <v>0</v>
      </c>
      <c r="J161" s="105">
        <f t="shared" si="2"/>
        <v>0</v>
      </c>
      <c r="K161" s="115"/>
      <c r="L161" s="107">
        <v>300284090</v>
      </c>
      <c r="M161" s="103">
        <f t="shared" si="3"/>
        <v>813913.03325038229</v>
      </c>
      <c r="N161" s="104">
        <f t="shared" si="65"/>
        <v>0</v>
      </c>
      <c r="O161" s="105">
        <f t="shared" si="5"/>
        <v>0</v>
      </c>
      <c r="P161" s="114"/>
      <c r="Q161" s="103">
        <v>215025815918</v>
      </c>
      <c r="R161" s="103">
        <f t="shared" si="6"/>
        <v>418914.72535322671</v>
      </c>
      <c r="S161" s="104">
        <f t="shared" si="66"/>
        <v>0</v>
      </c>
      <c r="T161" s="105">
        <f t="shared" si="8"/>
        <v>0</v>
      </c>
      <c r="U161" s="104">
        <f t="shared" si="9"/>
        <v>0</v>
      </c>
      <c r="V161" s="103">
        <f t="shared" si="10"/>
        <v>0</v>
      </c>
      <c r="W161" s="112"/>
      <c r="X161" s="101">
        <v>1287</v>
      </c>
      <c r="Y161" s="114"/>
      <c r="Z161" s="107">
        <v>378780105</v>
      </c>
      <c r="AA161" s="103">
        <v>866801.9064986615</v>
      </c>
      <c r="AB161" s="104">
        <f t="shared" si="67"/>
        <v>0</v>
      </c>
      <c r="AC161" s="105">
        <f t="shared" si="12"/>
        <v>0</v>
      </c>
      <c r="AD161" s="114"/>
      <c r="AE161" s="103">
        <v>326008197</v>
      </c>
      <c r="AF161" s="103">
        <v>760140.49290227005</v>
      </c>
      <c r="AG161" s="104">
        <f t="shared" si="68"/>
        <v>0</v>
      </c>
      <c r="AH161" s="105">
        <f t="shared" si="14"/>
        <v>0</v>
      </c>
      <c r="AI161" s="115"/>
      <c r="AJ161" s="103">
        <v>281040866790</v>
      </c>
      <c r="AK161" s="103">
        <v>547525.68680481997</v>
      </c>
      <c r="AL161" s="104">
        <f t="shared" si="69"/>
        <v>0</v>
      </c>
      <c r="AM161" s="104">
        <f t="shared" si="16"/>
        <v>0</v>
      </c>
      <c r="AN161" s="108">
        <f t="shared" si="17"/>
        <v>0</v>
      </c>
      <c r="AO161" s="101">
        <f t="shared" si="18"/>
        <v>0</v>
      </c>
    </row>
    <row r="162" spans="1:41" ht="15.75" customHeight="1" x14ac:dyDescent="0.3">
      <c r="A162" s="99">
        <v>31405</v>
      </c>
      <c r="B162" s="62" t="s">
        <v>105</v>
      </c>
      <c r="C162" s="62" t="s">
        <v>790</v>
      </c>
      <c r="D162" s="112"/>
      <c r="E162" s="113">
        <v>3031.5</v>
      </c>
      <c r="F162" s="114"/>
      <c r="G162" s="103">
        <v>220240099</v>
      </c>
      <c r="H162" s="103">
        <f t="shared" si="0"/>
        <v>498026.73346770997</v>
      </c>
      <c r="I162" s="104">
        <f t="shared" si="64"/>
        <v>0</v>
      </c>
      <c r="J162" s="105">
        <f t="shared" si="2"/>
        <v>0</v>
      </c>
      <c r="K162" s="115"/>
      <c r="L162" s="107">
        <v>300284090</v>
      </c>
      <c r="M162" s="103">
        <f t="shared" si="3"/>
        <v>813913.03325038229</v>
      </c>
      <c r="N162" s="104">
        <f t="shared" si="65"/>
        <v>0</v>
      </c>
      <c r="O162" s="105">
        <f t="shared" si="5"/>
        <v>0</v>
      </c>
      <c r="P162" s="114"/>
      <c r="Q162" s="103">
        <v>215025815918</v>
      </c>
      <c r="R162" s="103">
        <f t="shared" si="6"/>
        <v>418914.72535322671</v>
      </c>
      <c r="S162" s="104">
        <f t="shared" si="66"/>
        <v>0</v>
      </c>
      <c r="T162" s="105">
        <f t="shared" si="8"/>
        <v>0</v>
      </c>
      <c r="U162" s="104">
        <f t="shared" si="9"/>
        <v>0</v>
      </c>
      <c r="V162" s="103">
        <f t="shared" si="10"/>
        <v>0</v>
      </c>
      <c r="W162" s="112"/>
      <c r="X162" s="101">
        <v>3822</v>
      </c>
      <c r="Y162" s="114"/>
      <c r="Z162" s="107">
        <v>378780105</v>
      </c>
      <c r="AA162" s="103">
        <v>866801.9064986615</v>
      </c>
      <c r="AB162" s="104">
        <f t="shared" si="67"/>
        <v>0</v>
      </c>
      <c r="AC162" s="105">
        <f t="shared" si="12"/>
        <v>0</v>
      </c>
      <c r="AD162" s="114"/>
      <c r="AE162" s="103">
        <v>326008197</v>
      </c>
      <c r="AF162" s="103">
        <v>760140.49290227005</v>
      </c>
      <c r="AG162" s="104">
        <f t="shared" si="68"/>
        <v>0</v>
      </c>
      <c r="AH162" s="105">
        <f t="shared" si="14"/>
        <v>0</v>
      </c>
      <c r="AI162" s="115"/>
      <c r="AJ162" s="103">
        <v>281040866790</v>
      </c>
      <c r="AK162" s="103">
        <v>547525.68680481997</v>
      </c>
      <c r="AL162" s="104">
        <f t="shared" si="69"/>
        <v>0</v>
      </c>
      <c r="AM162" s="104">
        <f t="shared" si="16"/>
        <v>0</v>
      </c>
      <c r="AN162" s="108">
        <f t="shared" si="17"/>
        <v>0</v>
      </c>
      <c r="AO162" s="101">
        <f t="shared" si="18"/>
        <v>0</v>
      </c>
    </row>
    <row r="163" spans="1:41" ht="15.75" customHeight="1" x14ac:dyDescent="0.3">
      <c r="A163" s="99">
        <v>31501</v>
      </c>
      <c r="B163" s="62" t="s">
        <v>105</v>
      </c>
      <c r="C163" s="62" t="s">
        <v>112</v>
      </c>
      <c r="D163" s="100">
        <v>4</v>
      </c>
      <c r="E163" s="101">
        <v>7529.75</v>
      </c>
      <c r="F163" s="102">
        <v>2.0744280701668991</v>
      </c>
      <c r="G163" s="103">
        <v>220240099</v>
      </c>
      <c r="H163" s="103">
        <f t="shared" si="0"/>
        <v>498026.73346770997</v>
      </c>
      <c r="I163" s="104">
        <f t="shared" si="64"/>
        <v>7.4794717738556474E-6</v>
      </c>
      <c r="J163" s="105">
        <f t="shared" si="2"/>
        <v>4.9470127103785205E-4</v>
      </c>
      <c r="K163" s="106">
        <v>1.7812366849874071</v>
      </c>
      <c r="L163" s="107">
        <v>300284090</v>
      </c>
      <c r="M163" s="103">
        <f t="shared" si="3"/>
        <v>813913.03325038229</v>
      </c>
      <c r="N163" s="104">
        <f t="shared" si="65"/>
        <v>3.8157817206117237E-5</v>
      </c>
      <c r="O163" s="105">
        <f t="shared" si="5"/>
        <v>4.1245917519764277E-3</v>
      </c>
      <c r="P163" s="102">
        <v>0.14357966512217371</v>
      </c>
      <c r="Q163" s="103">
        <v>215025815918</v>
      </c>
      <c r="R163" s="103">
        <f t="shared" si="6"/>
        <v>418914.72535322671</v>
      </c>
      <c r="S163" s="104">
        <f t="shared" si="66"/>
        <v>8.8298583245577144E-6</v>
      </c>
      <c r="T163" s="105">
        <f t="shared" si="8"/>
        <v>4.91245748522859E-4</v>
      </c>
      <c r="U163" s="104">
        <f t="shared" si="9"/>
        <v>5.1105387715371384E-3</v>
      </c>
      <c r="V163" s="103">
        <f t="shared" si="10"/>
        <v>38.48107931498177</v>
      </c>
      <c r="W163" s="100">
        <v>3</v>
      </c>
      <c r="X163" s="101">
        <v>8282</v>
      </c>
      <c r="Y163" s="102">
        <v>1.92381699899508</v>
      </c>
      <c r="Z163" s="107">
        <v>378780105</v>
      </c>
      <c r="AA163" s="103">
        <v>866801.9064986615</v>
      </c>
      <c r="AB163" s="104">
        <f t="shared" si="67"/>
        <v>4.2122854264264817E-6</v>
      </c>
      <c r="AC163" s="105">
        <f t="shared" si="12"/>
        <v>4.4086175299963798E-4</v>
      </c>
      <c r="AD163" s="102">
        <v>0.93353718822248966</v>
      </c>
      <c r="AE163" s="103">
        <v>326008197</v>
      </c>
      <c r="AF163" s="103">
        <v>760140.49290227005</v>
      </c>
      <c r="AG163" s="104">
        <f t="shared" si="68"/>
        <v>1.5875282606537072E-5</v>
      </c>
      <c r="AH163" s="105">
        <f t="shared" si="14"/>
        <v>1.4570689622670761E-3</v>
      </c>
      <c r="AI163" s="106">
        <v>0.14221374132634329</v>
      </c>
      <c r="AJ163" s="103">
        <v>281040866790</v>
      </c>
      <c r="AK163" s="103">
        <v>547525.68680481997</v>
      </c>
      <c r="AL163" s="104">
        <f t="shared" si="69"/>
        <v>6.4254962755818691E-6</v>
      </c>
      <c r="AM163" s="104">
        <f t="shared" si="16"/>
        <v>4.2479162778915431E-4</v>
      </c>
      <c r="AN163" s="108">
        <f t="shared" si="17"/>
        <v>2.3227223430558686E-3</v>
      </c>
      <c r="AO163" s="101">
        <f t="shared" si="18"/>
        <v>19.236786445188702</v>
      </c>
    </row>
    <row r="164" spans="1:41" ht="15.75" customHeight="1" x14ac:dyDescent="0.3">
      <c r="A164" s="99">
        <v>31601</v>
      </c>
      <c r="B164" s="62" t="s">
        <v>105</v>
      </c>
      <c r="C164" s="62" t="s">
        <v>141</v>
      </c>
      <c r="D164" s="100">
        <v>413</v>
      </c>
      <c r="E164" s="101">
        <v>20542</v>
      </c>
      <c r="F164" s="102">
        <v>283.26617482881909</v>
      </c>
      <c r="G164" s="103">
        <v>220240099</v>
      </c>
      <c r="H164" s="103">
        <f t="shared" si="0"/>
        <v>498026.73346770997</v>
      </c>
      <c r="I164" s="104">
        <f t="shared" si="64"/>
        <v>1.0213327661680513E-3</v>
      </c>
      <c r="J164" s="105">
        <f t="shared" si="2"/>
        <v>2.4761514035547418E-2</v>
      </c>
      <c r="K164" s="106">
        <v>109.0167534501941</v>
      </c>
      <c r="L164" s="107">
        <v>300284090</v>
      </c>
      <c r="M164" s="103">
        <f t="shared" si="3"/>
        <v>813913.03325038229</v>
      </c>
      <c r="N164" s="104">
        <f t="shared" si="65"/>
        <v>2.3353669872267797E-3</v>
      </c>
      <c r="O164" s="105">
        <f t="shared" si="5"/>
        <v>9.253167307596899E-2</v>
      </c>
      <c r="P164" s="102">
        <v>20.666989574621649</v>
      </c>
      <c r="Q164" s="103">
        <v>215025815918</v>
      </c>
      <c r="R164" s="103">
        <f t="shared" si="6"/>
        <v>418914.72535322671</v>
      </c>
      <c r="S164" s="104">
        <f t="shared" si="66"/>
        <v>1.2709779604496247E-3</v>
      </c>
      <c r="T164" s="105">
        <f t="shared" si="8"/>
        <v>2.59191599275513E-2</v>
      </c>
      <c r="U164" s="104">
        <f t="shared" si="9"/>
        <v>0.14321234703906771</v>
      </c>
      <c r="V164" s="103">
        <f t="shared" si="10"/>
        <v>2941.868032876529</v>
      </c>
      <c r="W164" s="100">
        <v>3405</v>
      </c>
      <c r="X164" s="101">
        <v>18475</v>
      </c>
      <c r="Y164" s="102">
        <v>2530.0600097708698</v>
      </c>
      <c r="Z164" s="107">
        <v>378780105</v>
      </c>
      <c r="AA164" s="103">
        <v>866801.9064986615</v>
      </c>
      <c r="AB164" s="104">
        <f t="shared" si="67"/>
        <v>5.5396822632865885E-3</v>
      </c>
      <c r="AC164" s="105">
        <f t="shared" si="12"/>
        <v>0.25990837062049449</v>
      </c>
      <c r="AD164" s="102">
        <v>753.96772662513104</v>
      </c>
      <c r="AE164" s="103">
        <v>326008197</v>
      </c>
      <c r="AF164" s="103">
        <v>760140.49290227005</v>
      </c>
      <c r="AG164" s="104">
        <f t="shared" si="68"/>
        <v>1.2821611058872532E-2</v>
      </c>
      <c r="AH164" s="105">
        <f t="shared" si="14"/>
        <v>0.52753589986969218</v>
      </c>
      <c r="AI164" s="106">
        <v>120.5688175079495</v>
      </c>
      <c r="AJ164" s="103">
        <v>281040866790</v>
      </c>
      <c r="AK164" s="103">
        <v>547525.68680481997</v>
      </c>
      <c r="AL164" s="104">
        <f t="shared" si="69"/>
        <v>5.4475360863397351E-3</v>
      </c>
      <c r="AM164" s="104">
        <f t="shared" si="16"/>
        <v>0.16144335247995695</v>
      </c>
      <c r="AN164" s="108">
        <f t="shared" si="17"/>
        <v>0.94888762297014373</v>
      </c>
      <c r="AO164" s="101">
        <f t="shared" si="18"/>
        <v>17530.698834373405</v>
      </c>
    </row>
    <row r="165" spans="1:41" ht="15.75" customHeight="1" x14ac:dyDescent="0.3">
      <c r="A165" s="99">
        <v>31602</v>
      </c>
      <c r="B165" s="62" t="s">
        <v>105</v>
      </c>
      <c r="C165" s="62" t="s">
        <v>135</v>
      </c>
      <c r="D165" s="100">
        <v>746</v>
      </c>
      <c r="E165" s="101">
        <v>22423.75</v>
      </c>
      <c r="F165" s="102">
        <v>681.91171788890586</v>
      </c>
      <c r="G165" s="103">
        <v>220240099</v>
      </c>
      <c r="H165" s="103">
        <f t="shared" si="0"/>
        <v>498026.73346770997</v>
      </c>
      <c r="I165" s="104">
        <f t="shared" si="64"/>
        <v>2.4586725949004035E-3</v>
      </c>
      <c r="J165" s="105">
        <f t="shared" si="2"/>
        <v>5.4606597072515806E-2</v>
      </c>
      <c r="K165" s="106">
        <v>37.73464176760428</v>
      </c>
      <c r="L165" s="107">
        <v>300284090</v>
      </c>
      <c r="M165" s="103">
        <f t="shared" si="3"/>
        <v>813913.03325038229</v>
      </c>
      <c r="N165" s="104">
        <f t="shared" si="65"/>
        <v>8.0835499012684006E-4</v>
      </c>
      <c r="O165" s="105">
        <f t="shared" si="5"/>
        <v>2.9340795449343628E-2</v>
      </c>
      <c r="P165" s="102">
        <v>26.282861480092571</v>
      </c>
      <c r="Q165" s="103">
        <v>215025815918</v>
      </c>
      <c r="R165" s="103">
        <f t="shared" si="6"/>
        <v>418914.72535322671</v>
      </c>
      <c r="S165" s="104">
        <f t="shared" si="66"/>
        <v>1.6163426975241799E-3</v>
      </c>
      <c r="T165" s="105">
        <f t="shared" si="8"/>
        <v>3.0196098208820358E-2</v>
      </c>
      <c r="U165" s="104">
        <f t="shared" si="9"/>
        <v>0.11414349073067978</v>
      </c>
      <c r="V165" s="103">
        <f t="shared" si="10"/>
        <v>2559.5251002720806</v>
      </c>
      <c r="W165" s="100">
        <v>3692</v>
      </c>
      <c r="X165" s="101">
        <v>27172</v>
      </c>
      <c r="Y165" s="102">
        <v>3560.92269073939</v>
      </c>
      <c r="Z165" s="107">
        <v>378780105</v>
      </c>
      <c r="AA165" s="103">
        <v>866801.9064986615</v>
      </c>
      <c r="AB165" s="104">
        <f t="shared" si="67"/>
        <v>7.7968033147997285E-3</v>
      </c>
      <c r="AC165" s="105">
        <f t="shared" si="12"/>
        <v>0.24872236043955129</v>
      </c>
      <c r="AD165" s="102">
        <v>87.410219266117181</v>
      </c>
      <c r="AE165" s="103">
        <v>326008197</v>
      </c>
      <c r="AF165" s="103">
        <v>760140.49290227005</v>
      </c>
      <c r="AG165" s="104">
        <f t="shared" si="68"/>
        <v>1.486455977389795E-3</v>
      </c>
      <c r="AH165" s="105">
        <f t="shared" si="14"/>
        <v>4.1583813459833814E-2</v>
      </c>
      <c r="AI165" s="106">
        <v>43.245689313276948</v>
      </c>
      <c r="AJ165" s="103">
        <v>281040866790</v>
      </c>
      <c r="AK165" s="103">
        <v>547525.68680481997</v>
      </c>
      <c r="AL165" s="104">
        <f t="shared" si="69"/>
        <v>1.9539252186592947E-3</v>
      </c>
      <c r="AM165" s="104">
        <f t="shared" si="16"/>
        <v>3.9372304111279566E-2</v>
      </c>
      <c r="AN165" s="108">
        <f t="shared" si="17"/>
        <v>0.32967847801066469</v>
      </c>
      <c r="AO165" s="101">
        <f t="shared" si="18"/>
        <v>8958.0236045057809</v>
      </c>
    </row>
    <row r="166" spans="1:41" ht="15.75" customHeight="1" x14ac:dyDescent="0.3">
      <c r="A166" s="99">
        <v>40101</v>
      </c>
      <c r="B166" s="62" t="s">
        <v>151</v>
      </c>
      <c r="C166" s="62" t="s">
        <v>151</v>
      </c>
      <c r="D166" s="100">
        <v>82992</v>
      </c>
      <c r="E166" s="101">
        <v>273294.75</v>
      </c>
      <c r="F166" s="102">
        <v>63636.746029539769</v>
      </c>
      <c r="G166" s="103">
        <v>91012620</v>
      </c>
      <c r="H166" s="103">
        <f t="shared" si="0"/>
        <v>205805.92747980001</v>
      </c>
      <c r="I166" s="104">
        <f t="shared" ref="I166:I200" si="70">F166/SUM($F$166:$F$200)</f>
        <v>0.96098347904545744</v>
      </c>
      <c r="J166" s="105">
        <f t="shared" si="2"/>
        <v>0.72367323630518088</v>
      </c>
      <c r="K166" s="106">
        <v>14217.94072613022</v>
      </c>
      <c r="L166" s="107">
        <v>116763400</v>
      </c>
      <c r="M166" s="103">
        <f t="shared" si="3"/>
        <v>316484.47663886455</v>
      </c>
      <c r="N166" s="104">
        <f t="shared" ref="N166:N200" si="71">K166/SUM($K$166:$K$200)</f>
        <v>0.94481579005332428</v>
      </c>
      <c r="O166" s="105">
        <f t="shared" si="5"/>
        <v>1.0941283388545213</v>
      </c>
      <c r="P166" s="102">
        <v>5132.5383944290224</v>
      </c>
      <c r="Q166" s="103">
        <v>16330426269</v>
      </c>
      <c r="R166" s="103">
        <f t="shared" si="6"/>
        <v>31815.045119922193</v>
      </c>
      <c r="S166" s="104">
        <f t="shared" ref="S166:S200" si="72">P166/SUM($P$166:$P$200)</f>
        <v>0.9587796602256784</v>
      </c>
      <c r="T166" s="105">
        <f t="shared" si="8"/>
        <v>0.111614358307811</v>
      </c>
      <c r="U166" s="104">
        <f t="shared" si="9"/>
        <v>1.9294159334675134</v>
      </c>
      <c r="V166" s="103">
        <f t="shared" si="10"/>
        <v>527299.2451830206</v>
      </c>
      <c r="W166" s="100">
        <v>96008</v>
      </c>
      <c r="X166" s="101">
        <v>298350</v>
      </c>
      <c r="Y166" s="102">
        <v>76450.428336379162</v>
      </c>
      <c r="Z166" s="107">
        <v>154428964</v>
      </c>
      <c r="AA166" s="103">
        <v>349209.36694527901</v>
      </c>
      <c r="AB166" s="104">
        <f t="shared" ref="AB166:AB200" si="73">Y166/SUM($Y$166:$Y$200)</f>
        <v>0.78226529640932418</v>
      </c>
      <c r="AC166" s="105">
        <f t="shared" si="12"/>
        <v>0.91561712398981443</v>
      </c>
      <c r="AD166" s="102">
        <v>13731.500281004241</v>
      </c>
      <c r="AE166" s="103">
        <v>151576304</v>
      </c>
      <c r="AF166" s="103">
        <v>349524.02110103</v>
      </c>
      <c r="AG166" s="104">
        <f t="shared" ref="AG166:AG200" si="74">AD166/SUM($AD$166:$AD$200)</f>
        <v>0.72581824190777167</v>
      </c>
      <c r="AH166" s="105">
        <f t="shared" si="14"/>
        <v>0.85031309033043234</v>
      </c>
      <c r="AI166" s="106">
        <v>5821.347286983364</v>
      </c>
      <c r="AJ166" s="103">
        <v>26311076528</v>
      </c>
      <c r="AK166" s="103">
        <v>51259.414372873005</v>
      </c>
      <c r="AL166" s="104">
        <f t="shared" ref="AL166:AL200" si="75">AI166/SUM($AI$166:$AI$200)</f>
        <v>0.79163353020036498</v>
      </c>
      <c r="AM166" s="104">
        <f t="shared" si="16"/>
        <v>0.13601029380258348</v>
      </c>
      <c r="AN166" s="108">
        <f t="shared" si="17"/>
        <v>1.9019405081228304</v>
      </c>
      <c r="AO166" s="101">
        <f t="shared" si="18"/>
        <v>567443.95059844642</v>
      </c>
    </row>
    <row r="167" spans="1:41" ht="15.75" customHeight="1" x14ac:dyDescent="0.3">
      <c r="A167" s="99">
        <v>40102</v>
      </c>
      <c r="B167" s="62" t="s">
        <v>151</v>
      </c>
      <c r="C167" s="62" t="s">
        <v>154</v>
      </c>
      <c r="D167" s="100">
        <v>36</v>
      </c>
      <c r="E167" s="101">
        <v>23048.75</v>
      </c>
      <c r="F167" s="102">
        <v>24.860141063624329</v>
      </c>
      <c r="G167" s="103">
        <v>91012620</v>
      </c>
      <c r="H167" s="103">
        <f t="shared" si="0"/>
        <v>205805.92747980001</v>
      </c>
      <c r="I167" s="104">
        <f t="shared" si="70"/>
        <v>3.7541493460072387E-4</v>
      </c>
      <c r="J167" s="105">
        <f t="shared" si="2"/>
        <v>3.3521392181905933E-3</v>
      </c>
      <c r="K167" s="106">
        <v>9.1516739330376726</v>
      </c>
      <c r="L167" s="107">
        <v>116763400</v>
      </c>
      <c r="M167" s="103">
        <f t="shared" si="3"/>
        <v>316484.47663886455</v>
      </c>
      <c r="N167" s="104">
        <f t="shared" si="71"/>
        <v>6.0815037872976208E-4</v>
      </c>
      <c r="O167" s="105">
        <f t="shared" si="5"/>
        <v>8.350568006074777E-3</v>
      </c>
      <c r="P167" s="102">
        <v>1.985887870090886</v>
      </c>
      <c r="Q167" s="103">
        <v>16330426269</v>
      </c>
      <c r="R167" s="103">
        <f t="shared" si="6"/>
        <v>31815.045119922193</v>
      </c>
      <c r="S167" s="104">
        <f t="shared" si="72"/>
        <v>3.7097216835215758E-4</v>
      </c>
      <c r="T167" s="105">
        <f t="shared" si="8"/>
        <v>5.1206665326142481E-4</v>
      </c>
      <c r="U167" s="104">
        <f t="shared" si="9"/>
        <v>1.2214773877526794E-2</v>
      </c>
      <c r="V167" s="103">
        <f t="shared" si="10"/>
        <v>281.53526940964571</v>
      </c>
      <c r="W167" s="100">
        <v>1093</v>
      </c>
      <c r="X167" s="101">
        <v>22850</v>
      </c>
      <c r="Y167" s="102">
        <v>829.01162788070724</v>
      </c>
      <c r="Z167" s="107">
        <v>154428964</v>
      </c>
      <c r="AA167" s="103">
        <v>349209.36694527901</v>
      </c>
      <c r="AB167" s="104">
        <f t="shared" si="73"/>
        <v>8.482712797336726E-3</v>
      </c>
      <c r="AC167" s="105">
        <f t="shared" si="12"/>
        <v>0.12963863308256346</v>
      </c>
      <c r="AD167" s="102">
        <v>197.86417256829409</v>
      </c>
      <c r="AE167" s="103">
        <v>151576304</v>
      </c>
      <c r="AF167" s="103">
        <v>349524.02110103</v>
      </c>
      <c r="AG167" s="104">
        <f t="shared" si="74"/>
        <v>1.045868426108732E-2</v>
      </c>
      <c r="AH167" s="105">
        <f t="shared" si="14"/>
        <v>0.15998080430465184</v>
      </c>
      <c r="AI167" s="106">
        <v>66.066134962885315</v>
      </c>
      <c r="AJ167" s="103">
        <v>26311076528</v>
      </c>
      <c r="AK167" s="103">
        <v>51259.414372873005</v>
      </c>
      <c r="AL167" s="104">
        <f t="shared" si="75"/>
        <v>8.9842033242556688E-3</v>
      </c>
      <c r="AM167" s="104">
        <f t="shared" si="16"/>
        <v>2.0154267002545492E-2</v>
      </c>
      <c r="AN167" s="108">
        <f t="shared" si="17"/>
        <v>0.30977370438976076</v>
      </c>
      <c r="AO167" s="101">
        <f t="shared" si="18"/>
        <v>7078.3291453060338</v>
      </c>
    </row>
    <row r="168" spans="1:41" ht="15.75" customHeight="1" x14ac:dyDescent="0.3">
      <c r="A168" s="99">
        <v>40103</v>
      </c>
      <c r="B168" s="62" t="s">
        <v>151</v>
      </c>
      <c r="C168" s="62" t="s">
        <v>499</v>
      </c>
      <c r="D168" s="112"/>
      <c r="E168" s="113">
        <v>9043</v>
      </c>
      <c r="F168" s="114"/>
      <c r="G168" s="103">
        <v>91012620</v>
      </c>
      <c r="H168" s="103">
        <f t="shared" si="0"/>
        <v>205805.92747980001</v>
      </c>
      <c r="I168" s="104">
        <f t="shared" si="70"/>
        <v>0</v>
      </c>
      <c r="J168" s="105">
        <f t="shared" si="2"/>
        <v>0</v>
      </c>
      <c r="K168" s="115"/>
      <c r="L168" s="107">
        <v>116763400</v>
      </c>
      <c r="M168" s="103">
        <f t="shared" si="3"/>
        <v>316484.47663886455</v>
      </c>
      <c r="N168" s="104">
        <f t="shared" si="71"/>
        <v>0</v>
      </c>
      <c r="O168" s="105">
        <f t="shared" si="5"/>
        <v>0</v>
      </c>
      <c r="P168" s="114"/>
      <c r="Q168" s="103">
        <v>16330426269</v>
      </c>
      <c r="R168" s="103">
        <f t="shared" si="6"/>
        <v>31815.045119922193</v>
      </c>
      <c r="S168" s="104">
        <f t="shared" si="72"/>
        <v>0</v>
      </c>
      <c r="T168" s="105">
        <f t="shared" si="8"/>
        <v>0</v>
      </c>
      <c r="U168" s="104">
        <f t="shared" si="9"/>
        <v>0</v>
      </c>
      <c r="V168" s="103">
        <f t="shared" si="10"/>
        <v>0</v>
      </c>
      <c r="W168" s="100">
        <v>1154</v>
      </c>
      <c r="X168" s="101">
        <v>9997</v>
      </c>
      <c r="Y168" s="102">
        <v>863.30135504170426</v>
      </c>
      <c r="Z168" s="107">
        <v>154428964</v>
      </c>
      <c r="AA168" s="103">
        <v>349209.36694527901</v>
      </c>
      <c r="AB168" s="104">
        <f t="shared" si="73"/>
        <v>8.8335762805780357E-3</v>
      </c>
      <c r="AC168" s="105">
        <f t="shared" si="12"/>
        <v>0.30856932887901251</v>
      </c>
      <c r="AD168" s="102">
        <v>211.32705696048561</v>
      </c>
      <c r="AE168" s="103">
        <v>151576304</v>
      </c>
      <c r="AF168" s="103">
        <v>349524.02110103</v>
      </c>
      <c r="AG168" s="104">
        <f t="shared" si="74"/>
        <v>1.1170304031729991E-2</v>
      </c>
      <c r="AH168" s="105">
        <f t="shared" si="14"/>
        <v>0.39054612204574507</v>
      </c>
      <c r="AI168" s="106">
        <v>79.312434521791644</v>
      </c>
      <c r="AJ168" s="103">
        <v>26311076528</v>
      </c>
      <c r="AK168" s="103">
        <v>51259.414372873005</v>
      </c>
      <c r="AL168" s="104">
        <f t="shared" si="75"/>
        <v>1.0785541462139302E-2</v>
      </c>
      <c r="AM168" s="104">
        <f t="shared" si="16"/>
        <v>5.5302644697769437E-2</v>
      </c>
      <c r="AN168" s="108">
        <f t="shared" si="17"/>
        <v>0.75441809562252704</v>
      </c>
      <c r="AO168" s="101">
        <f t="shared" si="18"/>
        <v>7541.9177019384033</v>
      </c>
    </row>
    <row r="169" spans="1:41" ht="15.75" customHeight="1" x14ac:dyDescent="0.3">
      <c r="A169" s="99">
        <v>40104</v>
      </c>
      <c r="B169" s="62" t="s">
        <v>151</v>
      </c>
      <c r="C169" s="62" t="s">
        <v>791</v>
      </c>
      <c r="D169" s="112">
        <v>8</v>
      </c>
      <c r="E169" s="113">
        <v>13575.5</v>
      </c>
      <c r="F169" s="114">
        <v>6</v>
      </c>
      <c r="G169" s="103">
        <v>91012620</v>
      </c>
      <c r="H169" s="103">
        <f t="shared" si="0"/>
        <v>205805.92747980001</v>
      </c>
      <c r="I169" s="104">
        <f t="shared" si="70"/>
        <v>9.0606469281069943E-5</v>
      </c>
      <c r="J169" s="105">
        <f t="shared" si="2"/>
        <v>1.3736030677367764E-3</v>
      </c>
      <c r="K169" s="115">
        <v>2</v>
      </c>
      <c r="L169" s="107">
        <v>116763400</v>
      </c>
      <c r="M169" s="103">
        <f t="shared" si="3"/>
        <v>316484.47663886455</v>
      </c>
      <c r="N169" s="104">
        <f t="shared" si="71"/>
        <v>1.3290473047435195E-4</v>
      </c>
      <c r="O169" s="105">
        <f t="shared" si="5"/>
        <v>3.0983966754082447E-3</v>
      </c>
      <c r="P169" s="114">
        <v>1</v>
      </c>
      <c r="Q169" s="103">
        <v>16330426269</v>
      </c>
      <c r="R169" s="103">
        <f t="shared" si="6"/>
        <v>31815.045119922193</v>
      </c>
      <c r="S169" s="104">
        <f t="shared" si="72"/>
        <v>1.8680418665087051E-4</v>
      </c>
      <c r="T169" s="105">
        <f t="shared" si="8"/>
        <v>4.3778745732295769E-4</v>
      </c>
      <c r="U169" s="104">
        <f t="shared" si="9"/>
        <v>4.9097872004679787E-3</v>
      </c>
      <c r="V169" s="103">
        <f t="shared" si="10"/>
        <v>66.652816139953046</v>
      </c>
      <c r="W169" s="121">
        <v>2377</v>
      </c>
      <c r="X169" s="101">
        <v>15764</v>
      </c>
      <c r="Y169" s="114">
        <v>1846.4979241489177</v>
      </c>
      <c r="Z169" s="107">
        <v>154428964</v>
      </c>
      <c r="AA169" s="103">
        <v>349209.36694527901</v>
      </c>
      <c r="AB169" s="104">
        <f t="shared" si="73"/>
        <v>1.8893958835626411E-2</v>
      </c>
      <c r="AC169" s="105">
        <f t="shared" si="12"/>
        <v>0.41854525527018899</v>
      </c>
      <c r="AD169" s="114">
        <v>370.46172707238634</v>
      </c>
      <c r="AE169" s="103">
        <v>151576304</v>
      </c>
      <c r="AF169" s="103">
        <v>349524.02110103</v>
      </c>
      <c r="AG169" s="104">
        <f t="shared" si="74"/>
        <v>1.9581828200503908E-2</v>
      </c>
      <c r="AH169" s="105">
        <f t="shared" si="14"/>
        <v>0.43417402519345805</v>
      </c>
      <c r="AI169" s="115">
        <v>159.92284174307719</v>
      </c>
      <c r="AJ169" s="103">
        <v>26311076528</v>
      </c>
      <c r="AK169" s="103">
        <v>51259.414372873005</v>
      </c>
      <c r="AL169" s="104">
        <f t="shared" si="75"/>
        <v>2.1747591670372761E-2</v>
      </c>
      <c r="AM169" s="104">
        <f t="shared" si="16"/>
        <v>7.0716113489195556E-2</v>
      </c>
      <c r="AN169" s="108">
        <f t="shared" si="17"/>
        <v>0.92343539395284258</v>
      </c>
      <c r="AO169" s="101">
        <f t="shared" si="18"/>
        <v>14557.035550272611</v>
      </c>
    </row>
    <row r="170" spans="1:41" ht="15.75" customHeight="1" x14ac:dyDescent="0.3">
      <c r="A170" s="99">
        <v>40201</v>
      </c>
      <c r="B170" s="62" t="s">
        <v>151</v>
      </c>
      <c r="C170" s="62" t="s">
        <v>156</v>
      </c>
      <c r="D170" s="100">
        <v>2446</v>
      </c>
      <c r="E170" s="101">
        <v>30545.25</v>
      </c>
      <c r="F170" s="102">
        <v>1781.5122542411279</v>
      </c>
      <c r="G170" s="103">
        <v>91012620</v>
      </c>
      <c r="H170" s="103">
        <f t="shared" si="0"/>
        <v>205805.92747980001</v>
      </c>
      <c r="I170" s="104">
        <f t="shared" si="70"/>
        <v>2.6902755889624735E-2</v>
      </c>
      <c r="J170" s="105">
        <f t="shared" si="2"/>
        <v>0.18126375222422048</v>
      </c>
      <c r="K170" s="106">
        <v>514.71232836769173</v>
      </c>
      <c r="L170" s="107">
        <v>116763400</v>
      </c>
      <c r="M170" s="103">
        <f t="shared" si="3"/>
        <v>316484.47663886455</v>
      </c>
      <c r="N170" s="104">
        <f t="shared" si="71"/>
        <v>3.4203851636767098E-2</v>
      </c>
      <c r="O170" s="105">
        <f t="shared" si="5"/>
        <v>0.35439186401471934</v>
      </c>
      <c r="P170" s="102">
        <v>149.63499447698959</v>
      </c>
      <c r="Q170" s="103">
        <v>16330426269</v>
      </c>
      <c r="R170" s="103">
        <f t="shared" si="6"/>
        <v>31815.045119922193</v>
      </c>
      <c r="S170" s="104">
        <f t="shared" si="72"/>
        <v>2.7952443437781544E-2</v>
      </c>
      <c r="T170" s="105">
        <f t="shared" si="8"/>
        <v>2.9114453120701024E-2</v>
      </c>
      <c r="U170" s="104">
        <f t="shared" si="9"/>
        <v>0.56477006935964091</v>
      </c>
      <c r="V170" s="103">
        <f t="shared" si="10"/>
        <v>17251.042961107571</v>
      </c>
      <c r="W170" s="100">
        <v>2499</v>
      </c>
      <c r="X170" s="101">
        <v>35427</v>
      </c>
      <c r="Y170" s="102">
        <v>1762.5077559469701</v>
      </c>
      <c r="Z170" s="107">
        <v>154428964</v>
      </c>
      <c r="AA170" s="103">
        <v>349209.36694527901</v>
      </c>
      <c r="AB170" s="104">
        <f t="shared" si="73"/>
        <v>1.8034544503310618E-2</v>
      </c>
      <c r="AC170" s="105">
        <f t="shared" si="12"/>
        <v>0.17776926833058296</v>
      </c>
      <c r="AD170" s="102">
        <v>592.11628731481574</v>
      </c>
      <c r="AE170" s="103">
        <v>151576304</v>
      </c>
      <c r="AF170" s="103">
        <v>349524.02110103</v>
      </c>
      <c r="AG170" s="104">
        <f t="shared" si="74"/>
        <v>3.1298022347807562E-2</v>
      </c>
      <c r="AH170" s="105">
        <f t="shared" si="14"/>
        <v>0.30878738316864535</v>
      </c>
      <c r="AI170" s="106">
        <v>144.20778447526681</v>
      </c>
      <c r="AJ170" s="103">
        <v>26311076528</v>
      </c>
      <c r="AK170" s="103">
        <v>51259.414372873005</v>
      </c>
      <c r="AL170" s="104">
        <f t="shared" si="75"/>
        <v>1.9610532043293827E-2</v>
      </c>
      <c r="AM170" s="104">
        <f t="shared" si="16"/>
        <v>2.8374527565972342E-2</v>
      </c>
      <c r="AN170" s="108">
        <f t="shared" si="17"/>
        <v>0.51493117906520069</v>
      </c>
      <c r="AO170" s="101">
        <f t="shared" si="18"/>
        <v>18242.466880742864</v>
      </c>
    </row>
    <row r="171" spans="1:41" ht="15.75" customHeight="1" x14ac:dyDescent="0.3">
      <c r="A171" s="99">
        <v>40202</v>
      </c>
      <c r="B171" s="62" t="s">
        <v>151</v>
      </c>
      <c r="C171" s="62" t="s">
        <v>792</v>
      </c>
      <c r="D171" s="112">
        <v>0</v>
      </c>
      <c r="E171" s="113">
        <v>4328.5</v>
      </c>
      <c r="F171" s="114">
        <v>0</v>
      </c>
      <c r="G171" s="103">
        <v>91012620</v>
      </c>
      <c r="H171" s="103">
        <f t="shared" si="0"/>
        <v>205805.92747980001</v>
      </c>
      <c r="I171" s="104">
        <f t="shared" si="70"/>
        <v>0</v>
      </c>
      <c r="J171" s="105">
        <f t="shared" si="2"/>
        <v>0</v>
      </c>
      <c r="K171" s="115">
        <v>0</v>
      </c>
      <c r="L171" s="107">
        <v>116763400</v>
      </c>
      <c r="M171" s="103">
        <f t="shared" si="3"/>
        <v>316484.47663886455</v>
      </c>
      <c r="N171" s="104">
        <f t="shared" si="71"/>
        <v>0</v>
      </c>
      <c r="O171" s="105">
        <f t="shared" si="5"/>
        <v>0</v>
      </c>
      <c r="P171" s="114">
        <v>0</v>
      </c>
      <c r="Q171" s="103">
        <v>16330426269</v>
      </c>
      <c r="R171" s="103">
        <f t="shared" si="6"/>
        <v>31815.045119922193</v>
      </c>
      <c r="S171" s="104">
        <f t="shared" si="72"/>
        <v>0</v>
      </c>
      <c r="T171" s="105">
        <f t="shared" si="8"/>
        <v>0</v>
      </c>
      <c r="U171" s="104">
        <f t="shared" si="9"/>
        <v>0</v>
      </c>
      <c r="V171" s="103">
        <f t="shared" si="10"/>
        <v>0</v>
      </c>
      <c r="W171" s="112">
        <v>145</v>
      </c>
      <c r="X171" s="101">
        <v>5161</v>
      </c>
      <c r="Y171" s="114">
        <v>110.60021098110123</v>
      </c>
      <c r="Z171" s="107">
        <v>154428964</v>
      </c>
      <c r="AA171" s="103">
        <v>349209.36694527901</v>
      </c>
      <c r="AB171" s="104">
        <f t="shared" si="73"/>
        <v>1.1316968224871901E-3</v>
      </c>
      <c r="AC171" s="105">
        <f t="shared" si="12"/>
        <v>7.6574138917794118E-2</v>
      </c>
      <c r="AD171" s="114">
        <v>24.315161376164067</v>
      </c>
      <c r="AE171" s="103">
        <v>151576304</v>
      </c>
      <c r="AF171" s="103">
        <v>349524.02110103</v>
      </c>
      <c r="AG171" s="104">
        <f t="shared" si="74"/>
        <v>1.285248321056762E-3</v>
      </c>
      <c r="AH171" s="105">
        <f t="shared" si="14"/>
        <v>8.7042271127515419E-2</v>
      </c>
      <c r="AI171" s="115">
        <v>10.076694103126384</v>
      </c>
      <c r="AJ171" s="103">
        <v>26311076528</v>
      </c>
      <c r="AK171" s="103">
        <v>51259.414372873005</v>
      </c>
      <c r="AL171" s="104">
        <f t="shared" si="75"/>
        <v>1.3703097465846028E-3</v>
      </c>
      <c r="AM171" s="104">
        <f t="shared" si="16"/>
        <v>1.3610012617587049E-2</v>
      </c>
      <c r="AN171" s="108">
        <f t="shared" si="17"/>
        <v>0.17722642266289657</v>
      </c>
      <c r="AO171" s="101">
        <f t="shared" si="18"/>
        <v>914.66556736320922</v>
      </c>
    </row>
    <row r="172" spans="1:41" ht="15.75" customHeight="1" x14ac:dyDescent="0.3">
      <c r="A172" s="99">
        <v>40301</v>
      </c>
      <c r="B172" s="62" t="s">
        <v>151</v>
      </c>
      <c r="C172" s="62" t="s">
        <v>159</v>
      </c>
      <c r="D172" s="100">
        <v>1</v>
      </c>
      <c r="E172" s="101">
        <v>10941</v>
      </c>
      <c r="F172" s="102">
        <v>0.83603545179420702</v>
      </c>
      <c r="G172" s="103">
        <v>91012620</v>
      </c>
      <c r="H172" s="103">
        <f t="shared" si="0"/>
        <v>205805.92747980001</v>
      </c>
      <c r="I172" s="104">
        <f t="shared" si="70"/>
        <v>1.2625036746812873E-5</v>
      </c>
      <c r="J172" s="105">
        <f t="shared" si="2"/>
        <v>2.3748353872080985E-4</v>
      </c>
      <c r="K172" s="106">
        <v>5.83657587548638E-2</v>
      </c>
      <c r="L172" s="107">
        <v>116763400</v>
      </c>
      <c r="M172" s="103">
        <f t="shared" si="3"/>
        <v>316484.47663886455</v>
      </c>
      <c r="N172" s="104">
        <f t="shared" si="71"/>
        <v>3.8785427181231098E-6</v>
      </c>
      <c r="O172" s="105">
        <f t="shared" si="5"/>
        <v>1.1219253836638988E-4</v>
      </c>
      <c r="P172" s="102">
        <v>0.10559878945093</v>
      </c>
      <c r="Q172" s="103">
        <v>16330426269</v>
      </c>
      <c r="R172" s="103">
        <f t="shared" si="6"/>
        <v>31815.045119922193</v>
      </c>
      <c r="S172" s="104">
        <f t="shared" si="72"/>
        <v>1.9726295974697503E-5</v>
      </c>
      <c r="T172" s="105">
        <f t="shared" si="8"/>
        <v>5.7361575402974191E-5</v>
      </c>
      <c r="U172" s="104">
        <f t="shared" si="9"/>
        <v>4.0703765249017394E-4</v>
      </c>
      <c r="V172" s="103">
        <f t="shared" si="10"/>
        <v>4.4533989558949933</v>
      </c>
      <c r="W172" s="100">
        <v>416</v>
      </c>
      <c r="X172" s="101">
        <v>16101</v>
      </c>
      <c r="Y172" s="102">
        <v>328.31055395881339</v>
      </c>
      <c r="Z172" s="107">
        <v>154428964</v>
      </c>
      <c r="AA172" s="103">
        <v>349209.36694527901</v>
      </c>
      <c r="AB172" s="104">
        <f t="shared" si="73"/>
        <v>3.3593788602056685E-3</v>
      </c>
      <c r="AC172" s="105">
        <f t="shared" si="12"/>
        <v>7.2860478548026492E-2</v>
      </c>
      <c r="AD172" s="102">
        <v>70.520019795922735</v>
      </c>
      <c r="AE172" s="103">
        <v>151576304</v>
      </c>
      <c r="AF172" s="103">
        <v>349524.02110103</v>
      </c>
      <c r="AG172" s="104">
        <f t="shared" si="74"/>
        <v>3.7275400167587911E-3</v>
      </c>
      <c r="AH172" s="105">
        <f t="shared" si="14"/>
        <v>8.0918252001275295E-2</v>
      </c>
      <c r="AI172" s="106">
        <v>17.1526885776405</v>
      </c>
      <c r="AJ172" s="103">
        <v>26311076528</v>
      </c>
      <c r="AK172" s="103">
        <v>51259.414372873005</v>
      </c>
      <c r="AL172" s="104">
        <f t="shared" si="75"/>
        <v>2.3325602720021725E-3</v>
      </c>
      <c r="AM172" s="104">
        <f t="shared" si="16"/>
        <v>7.4259781089535265E-3</v>
      </c>
      <c r="AN172" s="108">
        <f t="shared" si="17"/>
        <v>0.16120470865825531</v>
      </c>
      <c r="AO172" s="101">
        <f t="shared" si="18"/>
        <v>2595.5570141065691</v>
      </c>
    </row>
    <row r="173" spans="1:41" ht="15.75" customHeight="1" x14ac:dyDescent="0.3">
      <c r="A173" s="99">
        <v>40302</v>
      </c>
      <c r="B173" s="62" t="s">
        <v>151</v>
      </c>
      <c r="C173" s="62" t="s">
        <v>793</v>
      </c>
      <c r="D173" s="112"/>
      <c r="E173" s="113">
        <v>2013.5</v>
      </c>
      <c r="F173" s="114"/>
      <c r="G173" s="103">
        <v>91012620</v>
      </c>
      <c r="H173" s="103">
        <f t="shared" si="0"/>
        <v>205805.92747980001</v>
      </c>
      <c r="I173" s="104">
        <f t="shared" si="70"/>
        <v>0</v>
      </c>
      <c r="J173" s="105">
        <f t="shared" si="2"/>
        <v>0</v>
      </c>
      <c r="K173" s="115"/>
      <c r="L173" s="107">
        <v>116763400</v>
      </c>
      <c r="M173" s="103">
        <f t="shared" si="3"/>
        <v>316484.47663886455</v>
      </c>
      <c r="N173" s="104">
        <f t="shared" si="71"/>
        <v>0</v>
      </c>
      <c r="O173" s="105">
        <f t="shared" si="5"/>
        <v>0</v>
      </c>
      <c r="P173" s="114"/>
      <c r="Q173" s="103">
        <v>16330426269</v>
      </c>
      <c r="R173" s="103">
        <f t="shared" si="6"/>
        <v>31815.045119922193</v>
      </c>
      <c r="S173" s="104">
        <f t="shared" si="72"/>
        <v>0</v>
      </c>
      <c r="T173" s="105">
        <f t="shared" si="8"/>
        <v>0</v>
      </c>
      <c r="U173" s="104">
        <f t="shared" si="9"/>
        <v>0</v>
      </c>
      <c r="V173" s="103">
        <f t="shared" si="10"/>
        <v>0</v>
      </c>
      <c r="W173" s="112">
        <v>186</v>
      </c>
      <c r="X173" s="101">
        <v>2504</v>
      </c>
      <c r="Y173" s="114">
        <v>133.1974619820233</v>
      </c>
      <c r="Z173" s="107">
        <v>154428964</v>
      </c>
      <c r="AA173" s="103">
        <v>349209.36694527901</v>
      </c>
      <c r="AB173" s="104">
        <f t="shared" si="73"/>
        <v>1.362919140490352E-3</v>
      </c>
      <c r="AC173" s="105">
        <f t="shared" si="12"/>
        <v>0.19007353444418515</v>
      </c>
      <c r="AD173" s="114">
        <v>41.371811509717375</v>
      </c>
      <c r="AE173" s="103">
        <v>151576304</v>
      </c>
      <c r="AF173" s="103">
        <v>349524.02110103</v>
      </c>
      <c r="AG173" s="104">
        <f t="shared" si="74"/>
        <v>2.1868269948669204E-3</v>
      </c>
      <c r="AH173" s="105">
        <f t="shared" si="14"/>
        <v>0.30525102424048223</v>
      </c>
      <c r="AI173" s="115">
        <v>11.420258118216765</v>
      </c>
      <c r="AJ173" s="103">
        <v>26311076528</v>
      </c>
      <c r="AK173" s="103">
        <v>51259.414372873005</v>
      </c>
      <c r="AL173" s="104">
        <f t="shared" si="75"/>
        <v>1.5530183657206621E-3</v>
      </c>
      <c r="AM173" s="104">
        <f t="shared" si="16"/>
        <v>3.179185780237917E-2</v>
      </c>
      <c r="AN173" s="108">
        <f t="shared" si="17"/>
        <v>0.52711641648704655</v>
      </c>
      <c r="AO173" s="101">
        <f t="shared" si="18"/>
        <v>1319.8995068835648</v>
      </c>
    </row>
    <row r="174" spans="1:41" ht="15.75" customHeight="1" x14ac:dyDescent="0.3">
      <c r="A174" s="99">
        <v>40401</v>
      </c>
      <c r="B174" s="62" t="s">
        <v>151</v>
      </c>
      <c r="C174" s="62" t="s">
        <v>161</v>
      </c>
      <c r="D174" s="100">
        <v>1</v>
      </c>
      <c r="E174" s="101">
        <v>4808.75</v>
      </c>
      <c r="F174" s="102">
        <v>8.0360592401803002E-2</v>
      </c>
      <c r="G174" s="103">
        <v>91012620</v>
      </c>
      <c r="H174" s="103">
        <f t="shared" si="0"/>
        <v>205805.92747980001</v>
      </c>
      <c r="I174" s="104">
        <f t="shared" si="70"/>
        <v>1.2135315911437576E-6</v>
      </c>
      <c r="J174" s="105">
        <f t="shared" si="2"/>
        <v>5.1936988747882199E-5</v>
      </c>
      <c r="K174" s="106">
        <v>0.91719253058596295</v>
      </c>
      <c r="L174" s="107">
        <v>116763400</v>
      </c>
      <c r="M174" s="103">
        <f t="shared" si="3"/>
        <v>316484.47663886455</v>
      </c>
      <c r="N174" s="104">
        <f t="shared" si="71"/>
        <v>6.09496130353081E-5</v>
      </c>
      <c r="O174" s="105">
        <f t="shared" si="5"/>
        <v>4.0113556293882606E-3</v>
      </c>
      <c r="P174" s="102">
        <v>2.1893110109465598E-3</v>
      </c>
      <c r="Q174" s="103">
        <v>16330426269</v>
      </c>
      <c r="R174" s="103">
        <f t="shared" si="6"/>
        <v>31815.045119922193</v>
      </c>
      <c r="S174" s="104">
        <f t="shared" si="72"/>
        <v>4.0897246272566718E-7</v>
      </c>
      <c r="T174" s="105">
        <f t="shared" si="8"/>
        <v>2.7057920154765373E-6</v>
      </c>
      <c r="U174" s="104">
        <f t="shared" si="9"/>
        <v>4.0659984101516188E-3</v>
      </c>
      <c r="V174" s="103">
        <f t="shared" si="10"/>
        <v>19.5523698548166</v>
      </c>
      <c r="W174" s="100">
        <v>28</v>
      </c>
      <c r="X174" s="101">
        <v>6683</v>
      </c>
      <c r="Y174" s="102">
        <v>18.23532772736824</v>
      </c>
      <c r="Z174" s="107">
        <v>154428964</v>
      </c>
      <c r="AA174" s="103">
        <v>349209.36694527901</v>
      </c>
      <c r="AB174" s="104">
        <f t="shared" si="73"/>
        <v>1.8658972042649637E-4</v>
      </c>
      <c r="AC174" s="105">
        <f t="shared" si="12"/>
        <v>9.7499443586163987E-3</v>
      </c>
      <c r="AD174" s="102">
        <v>7.4995585784071146</v>
      </c>
      <c r="AE174" s="103">
        <v>151576304</v>
      </c>
      <c r="AF174" s="103">
        <v>349524.02110103</v>
      </c>
      <c r="AG174" s="104">
        <f t="shared" si="74"/>
        <v>3.9641090274701634E-4</v>
      </c>
      <c r="AH174" s="105">
        <f t="shared" si="14"/>
        <v>2.0732475345866599E-2</v>
      </c>
      <c r="AI174" s="106">
        <v>2.2623402542566562</v>
      </c>
      <c r="AJ174" s="103">
        <v>26311076528</v>
      </c>
      <c r="AK174" s="103">
        <v>51259.414372873005</v>
      </c>
      <c r="AL174" s="104">
        <f t="shared" si="75"/>
        <v>3.0765118686462348E-4</v>
      </c>
      <c r="AM174" s="104">
        <f t="shared" si="16"/>
        <v>2.3597216324704354E-3</v>
      </c>
      <c r="AN174" s="108">
        <f t="shared" si="17"/>
        <v>3.2842141336953429E-2</v>
      </c>
      <c r="AO174" s="101">
        <f t="shared" si="18"/>
        <v>219.4840305548598</v>
      </c>
    </row>
    <row r="175" spans="1:41" ht="15.75" customHeight="1" x14ac:dyDescent="0.3">
      <c r="A175" s="99">
        <v>40402</v>
      </c>
      <c r="B175" s="62" t="s">
        <v>151</v>
      </c>
      <c r="C175" s="62" t="s">
        <v>181</v>
      </c>
      <c r="D175" s="100">
        <v>0</v>
      </c>
      <c r="E175" s="101">
        <v>5356</v>
      </c>
      <c r="F175" s="102">
        <v>0</v>
      </c>
      <c r="G175" s="103">
        <v>91012620</v>
      </c>
      <c r="H175" s="103">
        <f t="shared" si="0"/>
        <v>205805.92747980001</v>
      </c>
      <c r="I175" s="104">
        <f t="shared" si="70"/>
        <v>0</v>
      </c>
      <c r="J175" s="105">
        <f t="shared" si="2"/>
        <v>0</v>
      </c>
      <c r="K175" s="106">
        <v>0</v>
      </c>
      <c r="L175" s="107">
        <v>116763400</v>
      </c>
      <c r="M175" s="103">
        <f t="shared" si="3"/>
        <v>316484.47663886455</v>
      </c>
      <c r="N175" s="104">
        <f t="shared" si="71"/>
        <v>0</v>
      </c>
      <c r="O175" s="105">
        <f t="shared" si="5"/>
        <v>0</v>
      </c>
      <c r="P175" s="102">
        <v>0</v>
      </c>
      <c r="Q175" s="103">
        <v>16330426269</v>
      </c>
      <c r="R175" s="103">
        <f t="shared" si="6"/>
        <v>31815.045119922193</v>
      </c>
      <c r="S175" s="104">
        <f t="shared" si="72"/>
        <v>0</v>
      </c>
      <c r="T175" s="105">
        <f t="shared" si="8"/>
        <v>0</v>
      </c>
      <c r="U175" s="104">
        <f t="shared" si="9"/>
        <v>0</v>
      </c>
      <c r="V175" s="103">
        <f t="shared" si="10"/>
        <v>0</v>
      </c>
      <c r="W175" s="100">
        <v>400</v>
      </c>
      <c r="X175" s="101">
        <v>5803</v>
      </c>
      <c r="Y175" s="102">
        <v>279.96124787458541</v>
      </c>
      <c r="Z175" s="107">
        <v>154428964</v>
      </c>
      <c r="AA175" s="103">
        <v>349209.36694527901</v>
      </c>
      <c r="AB175" s="104">
        <f t="shared" si="73"/>
        <v>2.8646532572469989E-3</v>
      </c>
      <c r="AC175" s="105">
        <f t="shared" si="12"/>
        <v>0.17238734283662865</v>
      </c>
      <c r="AD175" s="102">
        <v>94.331441760147982</v>
      </c>
      <c r="AE175" s="103">
        <v>151576304</v>
      </c>
      <c r="AF175" s="103">
        <v>349524.02110103</v>
      </c>
      <c r="AG175" s="104">
        <f t="shared" si="74"/>
        <v>4.9861617313362245E-3</v>
      </c>
      <c r="AH175" s="105">
        <f t="shared" si="14"/>
        <v>0.30032453872078424</v>
      </c>
      <c r="AI175" s="106">
        <v>25.67655388036605</v>
      </c>
      <c r="AJ175" s="103">
        <v>26311076528</v>
      </c>
      <c r="AK175" s="103">
        <v>51259.414372873005</v>
      </c>
      <c r="AL175" s="104">
        <f t="shared" si="75"/>
        <v>3.4917038942418525E-3</v>
      </c>
      <c r="AM175" s="104">
        <f t="shared" si="16"/>
        <v>3.0843132307826548E-2</v>
      </c>
      <c r="AN175" s="108">
        <f t="shared" si="17"/>
        <v>0.50355501386523949</v>
      </c>
      <c r="AO175" s="101">
        <f t="shared" si="18"/>
        <v>2922.1297454599844</v>
      </c>
    </row>
    <row r="176" spans="1:41" ht="15.75" customHeight="1" x14ac:dyDescent="0.3">
      <c r="A176" s="99">
        <v>40501</v>
      </c>
      <c r="B176" s="62" t="s">
        <v>151</v>
      </c>
      <c r="C176" s="62" t="s">
        <v>166</v>
      </c>
      <c r="D176" s="100">
        <v>33</v>
      </c>
      <c r="E176" s="101">
        <v>1755</v>
      </c>
      <c r="F176" s="102">
        <v>20.419397240324049</v>
      </c>
      <c r="G176" s="103">
        <v>91012620</v>
      </c>
      <c r="H176" s="103">
        <f t="shared" si="0"/>
        <v>205805.92747980001</v>
      </c>
      <c r="I176" s="104">
        <f t="shared" si="70"/>
        <v>3.0835491479889754E-4</v>
      </c>
      <c r="J176" s="105">
        <f t="shared" si="2"/>
        <v>3.6160267369311577E-2</v>
      </c>
      <c r="K176" s="106">
        <v>10.70249621438294</v>
      </c>
      <c r="L176" s="107">
        <v>116763400</v>
      </c>
      <c r="M176" s="103">
        <f t="shared" si="3"/>
        <v>316484.47663886455</v>
      </c>
      <c r="N176" s="104">
        <f t="shared" si="71"/>
        <v>7.1120618738766824E-4</v>
      </c>
      <c r="O176" s="105">
        <f t="shared" si="5"/>
        <v>0.12825397036906461</v>
      </c>
      <c r="P176" s="102">
        <v>1.8752706520429909</v>
      </c>
      <c r="Q176" s="103">
        <v>16330426269</v>
      </c>
      <c r="R176" s="103">
        <f t="shared" si="6"/>
        <v>31815.045119922193</v>
      </c>
      <c r="S176" s="104">
        <f t="shared" si="72"/>
        <v>3.5030840890513856E-4</v>
      </c>
      <c r="T176" s="105">
        <f t="shared" si="8"/>
        <v>6.3504717009715871E-3</v>
      </c>
      <c r="U176" s="104">
        <f t="shared" si="9"/>
        <v>0.17076470943934777</v>
      </c>
      <c r="V176" s="103">
        <f t="shared" si="10"/>
        <v>299.69206506605536</v>
      </c>
      <c r="W176" s="100">
        <v>457</v>
      </c>
      <c r="X176" s="101">
        <v>4011</v>
      </c>
      <c r="Y176" s="102">
        <v>328.5298657384343</v>
      </c>
      <c r="Z176" s="107">
        <v>154428964</v>
      </c>
      <c r="AA176" s="103">
        <v>349209.36694527901</v>
      </c>
      <c r="AB176" s="104">
        <f t="shared" si="73"/>
        <v>3.3616229286566172E-3</v>
      </c>
      <c r="AC176" s="105">
        <f t="shared" si="12"/>
        <v>0.29267270377085819</v>
      </c>
      <c r="AD176" s="102">
        <v>100.07002272059501</v>
      </c>
      <c r="AE176" s="103">
        <v>151576304</v>
      </c>
      <c r="AF176" s="103">
        <v>349524.02110103</v>
      </c>
      <c r="AG176" s="104">
        <f t="shared" si="74"/>
        <v>5.2894910586872238E-3</v>
      </c>
      <c r="AH176" s="105">
        <f t="shared" si="14"/>
        <v>0.4609334790352288</v>
      </c>
      <c r="AI176" s="106">
        <v>28.37350537273408</v>
      </c>
      <c r="AJ176" s="103">
        <v>26311076528</v>
      </c>
      <c r="AK176" s="103">
        <v>51259.414372873005</v>
      </c>
      <c r="AL176" s="104">
        <f t="shared" si="75"/>
        <v>3.8584570057520243E-3</v>
      </c>
      <c r="AM176" s="104">
        <f t="shared" si="16"/>
        <v>4.9309959236538983E-2</v>
      </c>
      <c r="AN176" s="108">
        <f t="shared" si="17"/>
        <v>0.80291614204262596</v>
      </c>
      <c r="AO176" s="101">
        <f t="shared" si="18"/>
        <v>3220.4966457329729</v>
      </c>
    </row>
    <row r="177" spans="1:41" ht="15.75" customHeight="1" x14ac:dyDescent="0.3">
      <c r="A177" s="99">
        <v>40502</v>
      </c>
      <c r="B177" s="62" t="s">
        <v>151</v>
      </c>
      <c r="C177" s="62" t="s">
        <v>162</v>
      </c>
      <c r="D177" s="100">
        <v>3</v>
      </c>
      <c r="E177" s="101">
        <v>4225</v>
      </c>
      <c r="F177" s="102">
        <v>2.6718722741316658</v>
      </c>
      <c r="G177" s="103">
        <v>91012620</v>
      </c>
      <c r="H177" s="103">
        <f t="shared" si="0"/>
        <v>205805.92747980001</v>
      </c>
      <c r="I177" s="104">
        <f t="shared" si="70"/>
        <v>4.0348152188175542E-5</v>
      </c>
      <c r="J177" s="105">
        <f t="shared" si="2"/>
        <v>1.9654174871440448E-3</v>
      </c>
      <c r="K177" s="106">
        <v>0.1168308322381018</v>
      </c>
      <c r="L177" s="107">
        <v>116763400</v>
      </c>
      <c r="M177" s="103">
        <f t="shared" si="3"/>
        <v>316484.47663886455</v>
      </c>
      <c r="N177" s="104">
        <f t="shared" si="71"/>
        <v>7.7636851348495736E-6</v>
      </c>
      <c r="O177" s="105">
        <f t="shared" si="5"/>
        <v>5.8155877554835495E-4</v>
      </c>
      <c r="P177" s="102">
        <v>0.21129689363023421</v>
      </c>
      <c r="Q177" s="103">
        <v>16330426269</v>
      </c>
      <c r="R177" s="103">
        <f t="shared" si="6"/>
        <v>31815.045119922193</v>
      </c>
      <c r="S177" s="104">
        <f t="shared" si="72"/>
        <v>3.9471144356451409E-5</v>
      </c>
      <c r="T177" s="105">
        <f t="shared" si="8"/>
        <v>2.9722514523916306E-4</v>
      </c>
      <c r="U177" s="104">
        <f t="shared" si="9"/>
        <v>2.8442014079315629E-3</v>
      </c>
      <c r="V177" s="103">
        <f t="shared" si="10"/>
        <v>12.016750948510852</v>
      </c>
      <c r="W177" s="100">
        <v>3259</v>
      </c>
      <c r="X177" s="101">
        <v>4231</v>
      </c>
      <c r="Y177" s="102">
        <v>2587.3502255339249</v>
      </c>
      <c r="Z177" s="107">
        <v>154428964</v>
      </c>
      <c r="AA177" s="103">
        <v>349209.36694527901</v>
      </c>
      <c r="AB177" s="104">
        <f t="shared" si="73"/>
        <v>2.6474597136153698E-2</v>
      </c>
      <c r="AC177" s="105">
        <f t="shared" si="12"/>
        <v>2.1851045393636328</v>
      </c>
      <c r="AD177" s="102">
        <v>468.94819414389133</v>
      </c>
      <c r="AE177" s="103">
        <v>151576304</v>
      </c>
      <c r="AF177" s="103">
        <v>349524.02110103</v>
      </c>
      <c r="AG177" s="104">
        <f t="shared" si="74"/>
        <v>2.4787615836137235E-2</v>
      </c>
      <c r="AH177" s="105">
        <f t="shared" si="14"/>
        <v>2.0477114536880778</v>
      </c>
      <c r="AI177" s="106">
        <v>202.55527385203661</v>
      </c>
      <c r="AJ177" s="103">
        <v>26311076528</v>
      </c>
      <c r="AK177" s="103">
        <v>51259.414372873005</v>
      </c>
      <c r="AL177" s="104">
        <f t="shared" si="75"/>
        <v>2.7545091985618834E-2</v>
      </c>
      <c r="AM177" s="104">
        <f t="shared" si="16"/>
        <v>0.33371431908053389</v>
      </c>
      <c r="AN177" s="108">
        <f t="shared" si="17"/>
        <v>4.5665303121322447</v>
      </c>
      <c r="AO177" s="101">
        <f t="shared" si="18"/>
        <v>19320.989750631525</v>
      </c>
    </row>
    <row r="178" spans="1:41" ht="15.75" customHeight="1" x14ac:dyDescent="0.3">
      <c r="A178" s="99">
        <v>40503</v>
      </c>
      <c r="B178" s="62" t="s">
        <v>151</v>
      </c>
      <c r="C178" s="62" t="s">
        <v>794</v>
      </c>
      <c r="D178" s="112">
        <v>0</v>
      </c>
      <c r="E178" s="113">
        <v>1854.5</v>
      </c>
      <c r="F178" s="114">
        <v>0</v>
      </c>
      <c r="G178" s="103">
        <v>91012620</v>
      </c>
      <c r="H178" s="103">
        <f t="shared" si="0"/>
        <v>205805.92747980001</v>
      </c>
      <c r="I178" s="104">
        <f t="shared" si="70"/>
        <v>0</v>
      </c>
      <c r="J178" s="105">
        <f t="shared" si="2"/>
        <v>0</v>
      </c>
      <c r="K178" s="115">
        <v>0</v>
      </c>
      <c r="L178" s="107">
        <v>116763400</v>
      </c>
      <c r="M178" s="103">
        <f t="shared" si="3"/>
        <v>316484.47663886455</v>
      </c>
      <c r="N178" s="104">
        <f t="shared" si="71"/>
        <v>0</v>
      </c>
      <c r="O178" s="105">
        <f t="shared" si="5"/>
        <v>0</v>
      </c>
      <c r="P178" s="114">
        <v>0</v>
      </c>
      <c r="Q178" s="103">
        <v>16330426269</v>
      </c>
      <c r="R178" s="103">
        <f t="shared" si="6"/>
        <v>31815.045119922193</v>
      </c>
      <c r="S178" s="104">
        <f t="shared" si="72"/>
        <v>0</v>
      </c>
      <c r="T178" s="105">
        <f t="shared" si="8"/>
        <v>0</v>
      </c>
      <c r="U178" s="104">
        <f t="shared" si="9"/>
        <v>0</v>
      </c>
      <c r="V178" s="103">
        <f t="shared" si="10"/>
        <v>0</v>
      </c>
      <c r="W178" s="112">
        <v>1190</v>
      </c>
      <c r="X178" s="101">
        <v>1517</v>
      </c>
      <c r="Y178" s="114">
        <v>834.10501226084625</v>
      </c>
      <c r="Z178" s="107">
        <v>154428964</v>
      </c>
      <c r="AA178" s="103">
        <v>349209.36694527901</v>
      </c>
      <c r="AB178" s="104">
        <f t="shared" si="73"/>
        <v>8.5348299394974597E-3</v>
      </c>
      <c r="AC178" s="105">
        <f t="shared" si="12"/>
        <v>1.964695161606804</v>
      </c>
      <c r="AD178" s="114">
        <v>303.5584115458114</v>
      </c>
      <c r="AE178" s="103">
        <v>151576304</v>
      </c>
      <c r="AF178" s="103">
        <v>349524.02110103</v>
      </c>
      <c r="AG178" s="104">
        <f t="shared" si="74"/>
        <v>1.6045459569286272E-2</v>
      </c>
      <c r="AH178" s="105">
        <f t="shared" si="14"/>
        <v>3.696950263065879</v>
      </c>
      <c r="AI178" s="115">
        <v>52.25217927157928</v>
      </c>
      <c r="AJ178" s="103">
        <v>26311076528</v>
      </c>
      <c r="AK178" s="103">
        <v>51259.414372873005</v>
      </c>
      <c r="AL178" s="104">
        <f t="shared" si="75"/>
        <v>7.1056707490918065E-3</v>
      </c>
      <c r="AM178" s="104">
        <f t="shared" si="16"/>
        <v>0.24010054141390894</v>
      </c>
      <c r="AN178" s="108">
        <f t="shared" si="17"/>
        <v>5.9017459660865921</v>
      </c>
      <c r="AO178" s="101">
        <f t="shared" si="18"/>
        <v>8952.948630553361</v>
      </c>
    </row>
    <row r="179" spans="1:41" ht="15.75" customHeight="1" x14ac:dyDescent="0.3">
      <c r="A179" s="99">
        <v>40504</v>
      </c>
      <c r="B179" s="62" t="s">
        <v>151</v>
      </c>
      <c r="C179" s="62" t="s">
        <v>795</v>
      </c>
      <c r="D179" s="112"/>
      <c r="E179" s="113">
        <v>604.25</v>
      </c>
      <c r="F179" s="114"/>
      <c r="G179" s="103">
        <v>91012620</v>
      </c>
      <c r="H179" s="103">
        <f t="shared" si="0"/>
        <v>205805.92747980001</v>
      </c>
      <c r="I179" s="104">
        <f t="shared" si="70"/>
        <v>0</v>
      </c>
      <c r="J179" s="105">
        <f t="shared" si="2"/>
        <v>0</v>
      </c>
      <c r="K179" s="115"/>
      <c r="L179" s="107">
        <v>116763400</v>
      </c>
      <c r="M179" s="103">
        <f t="shared" si="3"/>
        <v>316484.47663886455</v>
      </c>
      <c r="N179" s="104">
        <f t="shared" si="71"/>
        <v>0</v>
      </c>
      <c r="O179" s="105">
        <f t="shared" si="5"/>
        <v>0</v>
      </c>
      <c r="P179" s="114"/>
      <c r="Q179" s="103">
        <v>16330426269</v>
      </c>
      <c r="R179" s="103">
        <f t="shared" si="6"/>
        <v>31815.045119922193</v>
      </c>
      <c r="S179" s="104">
        <f t="shared" si="72"/>
        <v>0</v>
      </c>
      <c r="T179" s="105">
        <f t="shared" si="8"/>
        <v>0</v>
      </c>
      <c r="U179" s="104">
        <f t="shared" si="9"/>
        <v>0</v>
      </c>
      <c r="V179" s="103">
        <f t="shared" si="10"/>
        <v>0</v>
      </c>
      <c r="W179" s="112">
        <v>329</v>
      </c>
      <c r="X179" s="101">
        <v>875</v>
      </c>
      <c r="Y179" s="114">
        <v>247.13315100213492</v>
      </c>
      <c r="Z179" s="107">
        <v>154428964</v>
      </c>
      <c r="AA179" s="103">
        <v>349209.36694527901</v>
      </c>
      <c r="AB179" s="104">
        <f t="shared" si="73"/>
        <v>2.5287456437868209E-3</v>
      </c>
      <c r="AC179" s="105">
        <f t="shared" si="12"/>
        <v>1.0092133319227745</v>
      </c>
      <c r="AD179" s="114">
        <v>58.865640161515643</v>
      </c>
      <c r="AE179" s="103">
        <v>151576304</v>
      </c>
      <c r="AF179" s="103">
        <v>349524.02110103</v>
      </c>
      <c r="AG179" s="104">
        <f t="shared" si="74"/>
        <v>3.1115140062235131E-3</v>
      </c>
      <c r="AH179" s="105">
        <f t="shared" si="14"/>
        <v>1.2429130139056201</v>
      </c>
      <c r="AI179" s="115">
        <v>22.986020707246972</v>
      </c>
      <c r="AJ179" s="103">
        <v>26311076528</v>
      </c>
      <c r="AK179" s="103">
        <v>51259.414372873005</v>
      </c>
      <c r="AL179" s="104">
        <f t="shared" si="75"/>
        <v>3.125823597300975E-3</v>
      </c>
      <c r="AM179" s="104">
        <f t="shared" si="16"/>
        <v>0.18311758517777738</v>
      </c>
      <c r="AN179" s="108">
        <f t="shared" si="17"/>
        <v>2.4352439310061724</v>
      </c>
      <c r="AO179" s="101">
        <f t="shared" si="18"/>
        <v>2130.8384396304009</v>
      </c>
    </row>
    <row r="180" spans="1:41" ht="15.75" customHeight="1" x14ac:dyDescent="0.3">
      <c r="A180" s="99">
        <v>40505</v>
      </c>
      <c r="B180" s="62" t="s">
        <v>151</v>
      </c>
      <c r="C180" s="62" t="s">
        <v>163</v>
      </c>
      <c r="D180" s="100">
        <v>715</v>
      </c>
      <c r="E180" s="101">
        <v>2997</v>
      </c>
      <c r="F180" s="102">
        <v>484.70206140675361</v>
      </c>
      <c r="G180" s="103">
        <v>91012620</v>
      </c>
      <c r="H180" s="103">
        <f t="shared" si="0"/>
        <v>205805.92747980001</v>
      </c>
      <c r="I180" s="104">
        <f t="shared" si="70"/>
        <v>7.3195237395537157E-3</v>
      </c>
      <c r="J180" s="105">
        <f t="shared" si="2"/>
        <v>0.50263642707015899</v>
      </c>
      <c r="K180" s="106">
        <v>187.82498689062271</v>
      </c>
      <c r="L180" s="107">
        <v>116763400</v>
      </c>
      <c r="M180" s="103">
        <f t="shared" si="3"/>
        <v>316484.47663886455</v>
      </c>
      <c r="N180" s="104">
        <f t="shared" si="71"/>
        <v>1.2481414629523449E-2</v>
      </c>
      <c r="O180" s="105">
        <f t="shared" si="5"/>
        <v>1.3180427016140794</v>
      </c>
      <c r="P180" s="102">
        <v>42.424527340335409</v>
      </c>
      <c r="Q180" s="103">
        <v>16330426269</v>
      </c>
      <c r="R180" s="103">
        <f t="shared" si="6"/>
        <v>31815.045119922193</v>
      </c>
      <c r="S180" s="104">
        <f t="shared" si="72"/>
        <v>7.9250793238589759E-3</v>
      </c>
      <c r="T180" s="105">
        <f t="shared" si="8"/>
        <v>8.412971513764958E-2</v>
      </c>
      <c r="U180" s="104">
        <f t="shared" si="9"/>
        <v>1.9048088438218882</v>
      </c>
      <c r="V180" s="103">
        <f t="shared" si="10"/>
        <v>5708.7121049341986</v>
      </c>
      <c r="W180" s="100">
        <v>1365</v>
      </c>
      <c r="X180" s="101">
        <v>3882</v>
      </c>
      <c r="Y180" s="102">
        <v>940.51404176665199</v>
      </c>
      <c r="Z180" s="107">
        <v>154428964</v>
      </c>
      <c r="AA180" s="103">
        <v>349209.36694527901</v>
      </c>
      <c r="AB180" s="104">
        <f t="shared" si="73"/>
        <v>9.6236412492357679E-3</v>
      </c>
      <c r="AC180" s="105">
        <f t="shared" si="12"/>
        <v>0.86570470591295634</v>
      </c>
      <c r="AD180" s="102">
        <v>350.8001338016735</v>
      </c>
      <c r="AE180" s="103">
        <v>151576304</v>
      </c>
      <c r="AF180" s="103">
        <v>349524.02110103</v>
      </c>
      <c r="AG180" s="104">
        <f t="shared" si="74"/>
        <v>1.8542557707927346E-2</v>
      </c>
      <c r="AH180" s="105">
        <f t="shared" si="14"/>
        <v>1.6695181173551428</v>
      </c>
      <c r="AI180" s="106">
        <v>73.596679902199057</v>
      </c>
      <c r="AJ180" s="103">
        <v>26311076528</v>
      </c>
      <c r="AK180" s="103">
        <v>51259.414372873005</v>
      </c>
      <c r="AL180" s="104">
        <f t="shared" si="75"/>
        <v>1.0008267270409731E-2</v>
      </c>
      <c r="AM180" s="104">
        <f t="shared" si="16"/>
        <v>0.13215299308820067</v>
      </c>
      <c r="AN180" s="108">
        <f t="shared" si="17"/>
        <v>2.6673758163562997</v>
      </c>
      <c r="AO180" s="101">
        <f t="shared" si="18"/>
        <v>10354.752919095155</v>
      </c>
    </row>
    <row r="181" spans="1:41" ht="15.75" customHeight="1" x14ac:dyDescent="0.3">
      <c r="A181" s="99">
        <v>40601</v>
      </c>
      <c r="B181" s="62" t="s">
        <v>151</v>
      </c>
      <c r="C181" s="62" t="s">
        <v>796</v>
      </c>
      <c r="D181" s="112">
        <v>3</v>
      </c>
      <c r="E181" s="113">
        <v>7987.5</v>
      </c>
      <c r="F181" s="114">
        <v>1</v>
      </c>
      <c r="G181" s="103">
        <v>91012620</v>
      </c>
      <c r="H181" s="103">
        <f t="shared" si="0"/>
        <v>205805.92747980001</v>
      </c>
      <c r="I181" s="104">
        <f t="shared" si="70"/>
        <v>1.5101078213511656E-5</v>
      </c>
      <c r="J181" s="105">
        <f t="shared" si="2"/>
        <v>3.8909438593762353E-4</v>
      </c>
      <c r="K181" s="115">
        <v>2</v>
      </c>
      <c r="L181" s="107">
        <v>116763400</v>
      </c>
      <c r="M181" s="103">
        <f t="shared" si="3"/>
        <v>316484.47663886455</v>
      </c>
      <c r="N181" s="104">
        <f t="shared" si="71"/>
        <v>1.3290473047435195E-4</v>
      </c>
      <c r="O181" s="105">
        <f t="shared" si="5"/>
        <v>5.266013654711064E-3</v>
      </c>
      <c r="P181" s="114">
        <v>0</v>
      </c>
      <c r="Q181" s="103">
        <v>16330426269</v>
      </c>
      <c r="R181" s="103">
        <f t="shared" si="6"/>
        <v>31815.045119922193</v>
      </c>
      <c r="S181" s="104">
        <f t="shared" si="72"/>
        <v>0</v>
      </c>
      <c r="T181" s="105">
        <f t="shared" si="8"/>
        <v>0</v>
      </c>
      <c r="U181" s="104">
        <f t="shared" si="9"/>
        <v>5.6551080406486874E-3</v>
      </c>
      <c r="V181" s="103">
        <f t="shared" si="10"/>
        <v>45.170175474681393</v>
      </c>
      <c r="W181" s="112">
        <v>729</v>
      </c>
      <c r="X181" s="101">
        <v>9189</v>
      </c>
      <c r="Y181" s="114">
        <v>543.25775801810721</v>
      </c>
      <c r="Z181" s="107">
        <v>154428964</v>
      </c>
      <c r="AA181" s="103">
        <v>349209.36694527901</v>
      </c>
      <c r="AB181" s="104">
        <f t="shared" si="73"/>
        <v>5.5587875745161195E-3</v>
      </c>
      <c r="AC181" s="105">
        <f t="shared" si="12"/>
        <v>0.21125048317336567</v>
      </c>
      <c r="AD181" s="114">
        <v>138.58106461974606</v>
      </c>
      <c r="AE181" s="103">
        <v>151576304</v>
      </c>
      <c r="AF181" s="103">
        <v>349524.02110103</v>
      </c>
      <c r="AG181" s="104">
        <f t="shared" si="74"/>
        <v>7.3251037851382698E-3</v>
      </c>
      <c r="AH181" s="105">
        <f t="shared" si="14"/>
        <v>0.27862658939644175</v>
      </c>
      <c r="AI181" s="115">
        <v>47.119820526193749</v>
      </c>
      <c r="AJ181" s="103">
        <v>26311076528</v>
      </c>
      <c r="AK181" s="103">
        <v>51259.414372873005</v>
      </c>
      <c r="AL181" s="104">
        <f t="shared" si="75"/>
        <v>6.4077314110713652E-3</v>
      </c>
      <c r="AM181" s="104">
        <f t="shared" si="16"/>
        <v>3.574453799000777E-2</v>
      </c>
      <c r="AN181" s="108">
        <f t="shared" si="17"/>
        <v>0.52562161055981516</v>
      </c>
      <c r="AO181" s="101">
        <f t="shared" si="18"/>
        <v>4829.9369794341419</v>
      </c>
    </row>
    <row r="182" spans="1:41" ht="15.75" customHeight="1" x14ac:dyDescent="0.3">
      <c r="A182" s="99">
        <v>40602</v>
      </c>
      <c r="B182" s="62" t="s">
        <v>151</v>
      </c>
      <c r="C182" s="62" t="s">
        <v>170</v>
      </c>
      <c r="D182" s="100">
        <v>4</v>
      </c>
      <c r="E182" s="101">
        <v>5529</v>
      </c>
      <c r="F182" s="102">
        <v>3.3708717134311179</v>
      </c>
      <c r="G182" s="103">
        <v>91012620</v>
      </c>
      <c r="H182" s="103">
        <f t="shared" si="0"/>
        <v>205805.92747980001</v>
      </c>
      <c r="I182" s="104">
        <f t="shared" si="70"/>
        <v>5.090379739223736E-5</v>
      </c>
      <c r="J182" s="105">
        <f t="shared" si="2"/>
        <v>1.8947916864809613E-3</v>
      </c>
      <c r="K182" s="106">
        <v>0.24767685312723259</v>
      </c>
      <c r="L182" s="107">
        <v>116763400</v>
      </c>
      <c r="M182" s="103">
        <f t="shared" si="3"/>
        <v>316484.47663886455</v>
      </c>
      <c r="N182" s="104">
        <f t="shared" si="71"/>
        <v>1.6458712704805248E-5</v>
      </c>
      <c r="O182" s="105">
        <f t="shared" si="5"/>
        <v>9.4211016034178327E-4</v>
      </c>
      <c r="P182" s="102">
        <v>0.38145143344165139</v>
      </c>
      <c r="Q182" s="103">
        <v>16330426269</v>
      </c>
      <c r="R182" s="103">
        <f t="shared" si="6"/>
        <v>31815.045119922193</v>
      </c>
      <c r="S182" s="104">
        <f t="shared" si="72"/>
        <v>7.1256724770876355E-5</v>
      </c>
      <c r="T182" s="105">
        <f t="shared" si="8"/>
        <v>4.1002639061011188E-4</v>
      </c>
      <c r="U182" s="104">
        <f t="shared" si="9"/>
        <v>3.2469282374328564E-3</v>
      </c>
      <c r="V182" s="103">
        <f t="shared" si="10"/>
        <v>17.952266224766262</v>
      </c>
      <c r="W182" s="100">
        <v>71</v>
      </c>
      <c r="X182" s="101">
        <v>4251</v>
      </c>
      <c r="Y182" s="102">
        <v>55.424332108599998</v>
      </c>
      <c r="Z182" s="107">
        <v>154428964</v>
      </c>
      <c r="AA182" s="103">
        <v>349209.36694527901</v>
      </c>
      <c r="AB182" s="104">
        <f t="shared" si="73"/>
        <v>5.671195378324841E-4</v>
      </c>
      <c r="AC182" s="105">
        <f t="shared" si="12"/>
        <v>4.6587498186022348E-2</v>
      </c>
      <c r="AD182" s="102">
        <v>10.18018444322367</v>
      </c>
      <c r="AE182" s="103">
        <v>151576304</v>
      </c>
      <c r="AF182" s="103">
        <v>349524.02110103</v>
      </c>
      <c r="AG182" s="104">
        <f t="shared" si="74"/>
        <v>5.3810315141595481E-4</v>
      </c>
      <c r="AH182" s="105">
        <f t="shared" si="14"/>
        <v>4.4243702011301095E-2</v>
      </c>
      <c r="AI182" s="106">
        <v>5.3935610172168724</v>
      </c>
      <c r="AJ182" s="103">
        <v>26311076528</v>
      </c>
      <c r="AK182" s="103">
        <v>51259.414372873005</v>
      </c>
      <c r="AL182" s="104">
        <f t="shared" si="75"/>
        <v>7.3345971953221929E-4</v>
      </c>
      <c r="AM182" s="104">
        <f t="shared" si="16"/>
        <v>8.844205055119559E-3</v>
      </c>
      <c r="AN182" s="108">
        <f t="shared" si="17"/>
        <v>9.9675405252442992E-2</v>
      </c>
      <c r="AO182" s="101">
        <f t="shared" si="18"/>
        <v>423.7201477281352</v>
      </c>
    </row>
    <row r="183" spans="1:41" ht="15.75" customHeight="1" x14ac:dyDescent="0.3">
      <c r="A183" s="99">
        <v>40603</v>
      </c>
      <c r="B183" s="62" t="s">
        <v>151</v>
      </c>
      <c r="C183" s="62" t="s">
        <v>480</v>
      </c>
      <c r="D183" s="112"/>
      <c r="E183" s="113">
        <v>3364.5</v>
      </c>
      <c r="F183" s="114"/>
      <c r="G183" s="103">
        <v>91012620</v>
      </c>
      <c r="H183" s="103">
        <f t="shared" si="0"/>
        <v>205805.92747980001</v>
      </c>
      <c r="I183" s="104">
        <f t="shared" si="70"/>
        <v>0</v>
      </c>
      <c r="J183" s="105">
        <f t="shared" si="2"/>
        <v>0</v>
      </c>
      <c r="K183" s="115"/>
      <c r="L183" s="107">
        <v>116763400</v>
      </c>
      <c r="M183" s="103">
        <f t="shared" si="3"/>
        <v>316484.47663886455</v>
      </c>
      <c r="N183" s="104">
        <f t="shared" si="71"/>
        <v>0</v>
      </c>
      <c r="O183" s="105">
        <f t="shared" si="5"/>
        <v>0</v>
      </c>
      <c r="P183" s="114"/>
      <c r="Q183" s="103">
        <v>16330426269</v>
      </c>
      <c r="R183" s="103">
        <f t="shared" si="6"/>
        <v>31815.045119922193</v>
      </c>
      <c r="S183" s="104">
        <f t="shared" si="72"/>
        <v>0</v>
      </c>
      <c r="T183" s="105">
        <f t="shared" si="8"/>
        <v>0</v>
      </c>
      <c r="U183" s="104">
        <f t="shared" si="9"/>
        <v>0</v>
      </c>
      <c r="V183" s="103">
        <f t="shared" si="10"/>
        <v>0</v>
      </c>
      <c r="W183" s="100">
        <v>722</v>
      </c>
      <c r="X183" s="101">
        <v>3666</v>
      </c>
      <c r="Y183" s="102">
        <v>607.61352578153856</v>
      </c>
      <c r="Z183" s="107">
        <v>154428964</v>
      </c>
      <c r="AA183" s="103">
        <v>349209.36694527901</v>
      </c>
      <c r="AB183" s="104">
        <f t="shared" si="73"/>
        <v>6.2172964258151806E-3</v>
      </c>
      <c r="AC183" s="105">
        <f t="shared" si="12"/>
        <v>0.59223626540372754</v>
      </c>
      <c r="AD183" s="102">
        <v>75.540650487440672</v>
      </c>
      <c r="AE183" s="103">
        <v>151576304</v>
      </c>
      <c r="AF183" s="103">
        <v>349524.02110103</v>
      </c>
      <c r="AG183" s="104">
        <f t="shared" si="74"/>
        <v>3.9929200019907648E-3</v>
      </c>
      <c r="AH183" s="105">
        <f t="shared" si="14"/>
        <v>0.38069325014472039</v>
      </c>
      <c r="AI183" s="106">
        <v>38.82503835541069</v>
      </c>
      <c r="AJ183" s="103">
        <v>26311076528</v>
      </c>
      <c r="AK183" s="103">
        <v>51259.414372873005</v>
      </c>
      <c r="AL183" s="104">
        <f t="shared" si="75"/>
        <v>5.2797403518911844E-3</v>
      </c>
      <c r="AM183" s="104">
        <f t="shared" si="16"/>
        <v>7.3823349284988696E-2</v>
      </c>
      <c r="AN183" s="108">
        <f t="shared" si="17"/>
        <v>1.0467528648334365</v>
      </c>
      <c r="AO183" s="101">
        <f t="shared" si="18"/>
        <v>3837.3960024793787</v>
      </c>
    </row>
    <row r="184" spans="1:41" ht="15.75" customHeight="1" x14ac:dyDescent="0.3">
      <c r="A184" s="99">
        <v>40701</v>
      </c>
      <c r="B184" s="62" t="s">
        <v>151</v>
      </c>
      <c r="C184" s="62" t="s">
        <v>797</v>
      </c>
      <c r="D184" s="112">
        <v>82</v>
      </c>
      <c r="E184" s="113">
        <v>23537.25</v>
      </c>
      <c r="F184" s="114">
        <v>64</v>
      </c>
      <c r="G184" s="103">
        <v>91012620</v>
      </c>
      <c r="H184" s="103">
        <f t="shared" si="0"/>
        <v>205805.92747980001</v>
      </c>
      <c r="I184" s="104">
        <f t="shared" si="70"/>
        <v>9.6646900566474598E-4</v>
      </c>
      <c r="J184" s="105">
        <f t="shared" si="2"/>
        <v>8.4506495062640352E-3</v>
      </c>
      <c r="K184" s="115">
        <v>13</v>
      </c>
      <c r="L184" s="107">
        <v>116763400</v>
      </c>
      <c r="M184" s="103">
        <f t="shared" si="3"/>
        <v>316484.47663886455</v>
      </c>
      <c r="N184" s="104">
        <f t="shared" si="71"/>
        <v>8.6388074808328762E-4</v>
      </c>
      <c r="O184" s="105">
        <f t="shared" si="5"/>
        <v>1.1615836447993291E-2</v>
      </c>
      <c r="P184" s="114">
        <v>5</v>
      </c>
      <c r="Q184" s="103">
        <v>16330426269</v>
      </c>
      <c r="R184" s="103">
        <f t="shared" si="6"/>
        <v>31815.045119922193</v>
      </c>
      <c r="S184" s="104">
        <f t="shared" si="72"/>
        <v>9.3402093325435263E-4</v>
      </c>
      <c r="T184" s="105">
        <f t="shared" si="8"/>
        <v>1.262505948419593E-3</v>
      </c>
      <c r="U184" s="104">
        <f t="shared" si="9"/>
        <v>2.1328991902676921E-2</v>
      </c>
      <c r="V184" s="103">
        <f t="shared" si="10"/>
        <v>502.02581466128225</v>
      </c>
      <c r="W184" s="112">
        <v>1158</v>
      </c>
      <c r="X184" s="101">
        <v>20118</v>
      </c>
      <c r="Y184" s="114">
        <v>911.6537152800986</v>
      </c>
      <c r="Z184" s="107">
        <v>154428964</v>
      </c>
      <c r="AA184" s="103">
        <v>349209.36694527901</v>
      </c>
      <c r="AB184" s="104">
        <f t="shared" si="73"/>
        <v>9.3283331346214436E-3</v>
      </c>
      <c r="AC184" s="105">
        <f t="shared" si="12"/>
        <v>0.16192172723908063</v>
      </c>
      <c r="AD184" s="114">
        <v>177.18161844926246</v>
      </c>
      <c r="AE184" s="103">
        <v>151576304</v>
      </c>
      <c r="AF184" s="103">
        <v>349524.02110103</v>
      </c>
      <c r="AG184" s="104">
        <f t="shared" si="74"/>
        <v>9.3654479240787014E-3</v>
      </c>
      <c r="AH184" s="105">
        <f t="shared" si="14"/>
        <v>0.16271244745184818</v>
      </c>
      <c r="AI184" s="115">
        <v>69.107257199470837</v>
      </c>
      <c r="AJ184" s="103">
        <v>26311076528</v>
      </c>
      <c r="AK184" s="103">
        <v>51259.414372873005</v>
      </c>
      <c r="AL184" s="104">
        <f t="shared" si="75"/>
        <v>9.3977595361144136E-3</v>
      </c>
      <c r="AM184" s="104">
        <f t="shared" si="16"/>
        <v>2.3944907557327148E-2</v>
      </c>
      <c r="AN184" s="108">
        <f t="shared" si="17"/>
        <v>0.34857908224825596</v>
      </c>
      <c r="AO184" s="101">
        <f t="shared" si="18"/>
        <v>7012.7139766704131</v>
      </c>
    </row>
    <row r="185" spans="1:41" ht="15.75" customHeight="1" x14ac:dyDescent="0.3">
      <c r="A185" s="99">
        <v>40702</v>
      </c>
      <c r="B185" s="62" t="s">
        <v>151</v>
      </c>
      <c r="C185" s="62" t="s">
        <v>168</v>
      </c>
      <c r="D185" s="100">
        <v>8</v>
      </c>
      <c r="E185" s="101">
        <v>5145</v>
      </c>
      <c r="F185" s="102">
        <v>3.2881548809825212</v>
      </c>
      <c r="G185" s="103">
        <v>91012620</v>
      </c>
      <c r="H185" s="103">
        <f t="shared" si="0"/>
        <v>205805.92747980001</v>
      </c>
      <c r="I185" s="104">
        <f t="shared" si="70"/>
        <v>4.9654684035857162E-5</v>
      </c>
      <c r="J185" s="105">
        <f t="shared" si="2"/>
        <v>1.9862445678748303E-3</v>
      </c>
      <c r="K185" s="106">
        <v>4.4403195880255959</v>
      </c>
      <c r="L185" s="107">
        <v>116763400</v>
      </c>
      <c r="M185" s="103">
        <f t="shared" si="3"/>
        <v>316484.47663886455</v>
      </c>
      <c r="N185" s="104">
        <f t="shared" si="71"/>
        <v>2.9506973903326364E-4</v>
      </c>
      <c r="O185" s="105">
        <f t="shared" si="5"/>
        <v>1.8150630112713079E-2</v>
      </c>
      <c r="P185" s="102">
        <v>0.27114816146837301</v>
      </c>
      <c r="Q185" s="103">
        <v>16330426269</v>
      </c>
      <c r="R185" s="103">
        <f t="shared" si="6"/>
        <v>31815.045119922193</v>
      </c>
      <c r="S185" s="104">
        <f t="shared" si="72"/>
        <v>5.0651611764978329E-5</v>
      </c>
      <c r="T185" s="105">
        <f t="shared" si="8"/>
        <v>3.1321347205045044E-4</v>
      </c>
      <c r="U185" s="104">
        <f t="shared" si="9"/>
        <v>2.0450088152638362E-2</v>
      </c>
      <c r="V185" s="103">
        <f t="shared" si="10"/>
        <v>105.21570354532436</v>
      </c>
      <c r="W185" s="100">
        <v>107</v>
      </c>
      <c r="X185" s="101">
        <v>6120</v>
      </c>
      <c r="Y185" s="102">
        <v>79.152197269881228</v>
      </c>
      <c r="Z185" s="107">
        <v>154428964</v>
      </c>
      <c r="AA185" s="103">
        <v>349209.36694527901</v>
      </c>
      <c r="AB185" s="104">
        <f t="shared" si="73"/>
        <v>8.0991066245352959E-4</v>
      </c>
      <c r="AC185" s="105">
        <f t="shared" si="12"/>
        <v>4.6213789169547159E-2</v>
      </c>
      <c r="AD185" s="102">
        <v>20.598200221728</v>
      </c>
      <c r="AE185" s="103">
        <v>151576304</v>
      </c>
      <c r="AF185" s="103">
        <v>349524.02110103</v>
      </c>
      <c r="AG185" s="104">
        <f t="shared" si="74"/>
        <v>1.0887775673049393E-3</v>
      </c>
      <c r="AH185" s="105">
        <f t="shared" si="14"/>
        <v>6.2182011994937864E-2</v>
      </c>
      <c r="AI185" s="106">
        <v>7.2430937838894067</v>
      </c>
      <c r="AJ185" s="103">
        <v>26311076528</v>
      </c>
      <c r="AK185" s="103">
        <v>51259.414372873005</v>
      </c>
      <c r="AL185" s="104">
        <f t="shared" si="75"/>
        <v>9.8497403075981029E-4</v>
      </c>
      <c r="AM185" s="104">
        <f t="shared" si="16"/>
        <v>8.2498679720973984E-3</v>
      </c>
      <c r="AN185" s="108">
        <f t="shared" si="17"/>
        <v>0.11664566913658242</v>
      </c>
      <c r="AO185" s="101">
        <f t="shared" si="18"/>
        <v>713.8714951158845</v>
      </c>
    </row>
    <row r="186" spans="1:41" ht="15.75" customHeight="1" x14ac:dyDescent="0.3">
      <c r="A186" s="99">
        <v>40801</v>
      </c>
      <c r="B186" s="62" t="s">
        <v>151</v>
      </c>
      <c r="C186" s="62" t="s">
        <v>798</v>
      </c>
      <c r="D186" s="112">
        <v>6</v>
      </c>
      <c r="E186" s="113">
        <v>12892</v>
      </c>
      <c r="F186" s="114">
        <v>2</v>
      </c>
      <c r="G186" s="103">
        <v>91012620</v>
      </c>
      <c r="H186" s="103">
        <f t="shared" si="0"/>
        <v>205805.92747980001</v>
      </c>
      <c r="I186" s="104">
        <f t="shared" si="70"/>
        <v>3.0202156427023312E-5</v>
      </c>
      <c r="J186" s="105">
        <f t="shared" si="2"/>
        <v>4.8214263227998262E-4</v>
      </c>
      <c r="K186" s="115">
        <v>4</v>
      </c>
      <c r="L186" s="107">
        <v>116763400</v>
      </c>
      <c r="M186" s="103">
        <f t="shared" si="3"/>
        <v>316484.47663886455</v>
      </c>
      <c r="N186" s="104">
        <f t="shared" si="71"/>
        <v>2.6580946094870389E-4</v>
      </c>
      <c r="O186" s="105">
        <f t="shared" si="5"/>
        <v>6.5253310684152384E-3</v>
      </c>
      <c r="P186" s="114">
        <v>0</v>
      </c>
      <c r="Q186" s="103">
        <v>16330426269</v>
      </c>
      <c r="R186" s="103">
        <f t="shared" si="6"/>
        <v>31815.045119922193</v>
      </c>
      <c r="S186" s="104">
        <f t="shared" si="72"/>
        <v>0</v>
      </c>
      <c r="T186" s="105">
        <f t="shared" si="8"/>
        <v>0</v>
      </c>
      <c r="U186" s="104">
        <f t="shared" si="9"/>
        <v>7.0074737006952208E-3</v>
      </c>
      <c r="V186" s="103">
        <f t="shared" si="10"/>
        <v>90.340350949362787</v>
      </c>
      <c r="W186" s="112">
        <v>856</v>
      </c>
      <c r="X186" s="101">
        <v>15934</v>
      </c>
      <c r="Y186" s="114">
        <v>757.34367820404259</v>
      </c>
      <c r="Z186" s="107">
        <v>154428964</v>
      </c>
      <c r="AA186" s="103">
        <v>349209.36694527901</v>
      </c>
      <c r="AB186" s="104">
        <f t="shared" si="73"/>
        <v>7.7493833560654769E-3</v>
      </c>
      <c r="AC186" s="105">
        <f t="shared" si="12"/>
        <v>0.16983539952227356</v>
      </c>
      <c r="AD186" s="114">
        <v>78.381156762778801</v>
      </c>
      <c r="AE186" s="103">
        <v>151576304</v>
      </c>
      <c r="AF186" s="103">
        <v>349524.02110103</v>
      </c>
      <c r="AG186" s="104">
        <f t="shared" si="74"/>
        <v>4.1430631930990227E-3</v>
      </c>
      <c r="AH186" s="105">
        <f t="shared" si="14"/>
        <v>9.0881141391216488E-2</v>
      </c>
      <c r="AI186" s="115">
        <v>20.251613243819662</v>
      </c>
      <c r="AJ186" s="103">
        <v>26311076528</v>
      </c>
      <c r="AK186" s="103">
        <v>51259.414372873005</v>
      </c>
      <c r="AL186" s="104">
        <f t="shared" si="75"/>
        <v>2.7539769221989105E-3</v>
      </c>
      <c r="AM186" s="104">
        <f t="shared" si="16"/>
        <v>8.8594981943217899E-3</v>
      </c>
      <c r="AN186" s="108">
        <f t="shared" si="17"/>
        <v>0.26957603910781186</v>
      </c>
      <c r="AO186" s="101">
        <f t="shared" si="18"/>
        <v>4295.4246071438738</v>
      </c>
    </row>
    <row r="187" spans="1:41" ht="15.75" customHeight="1" x14ac:dyDescent="0.3">
      <c r="A187" s="99">
        <v>40802</v>
      </c>
      <c r="B187" s="62" t="s">
        <v>151</v>
      </c>
      <c r="C187" s="62" t="s">
        <v>169</v>
      </c>
      <c r="D187" s="100">
        <v>1</v>
      </c>
      <c r="E187" s="101">
        <v>3029</v>
      </c>
      <c r="F187" s="102">
        <v>8.0360592401803002E-2</v>
      </c>
      <c r="G187" s="103">
        <v>91012620</v>
      </c>
      <c r="H187" s="103">
        <f t="shared" si="0"/>
        <v>205805.92747980001</v>
      </c>
      <c r="I187" s="104">
        <f t="shared" si="70"/>
        <v>1.2135315911437576E-6</v>
      </c>
      <c r="J187" s="105">
        <f t="shared" si="2"/>
        <v>8.2453613285367617E-5</v>
      </c>
      <c r="K187" s="106">
        <v>0.91719253058596295</v>
      </c>
      <c r="L187" s="107">
        <v>116763400</v>
      </c>
      <c r="M187" s="103">
        <f t="shared" si="3"/>
        <v>316484.47663886455</v>
      </c>
      <c r="N187" s="104">
        <f t="shared" si="71"/>
        <v>6.09496130353081E-5</v>
      </c>
      <c r="O187" s="105">
        <f t="shared" si="5"/>
        <v>6.368308478976824E-3</v>
      </c>
      <c r="P187" s="102">
        <v>2.1893110109465598E-3</v>
      </c>
      <c r="Q187" s="103">
        <v>16330426269</v>
      </c>
      <c r="R187" s="103">
        <f t="shared" si="6"/>
        <v>31815.045119922193</v>
      </c>
      <c r="S187" s="104">
        <f t="shared" si="72"/>
        <v>4.0897246272566718E-7</v>
      </c>
      <c r="T187" s="105">
        <f t="shared" si="8"/>
        <v>4.2956346498589632E-6</v>
      </c>
      <c r="U187" s="104">
        <f t="shared" si="9"/>
        <v>6.4550577269120507E-3</v>
      </c>
      <c r="V187" s="103">
        <f t="shared" si="10"/>
        <v>19.5523698548166</v>
      </c>
      <c r="W187" s="100">
        <v>70</v>
      </c>
      <c r="X187" s="101">
        <v>3197</v>
      </c>
      <c r="Y187" s="102">
        <v>43.377367189841479</v>
      </c>
      <c r="Z187" s="107">
        <v>154428964</v>
      </c>
      <c r="AA187" s="103">
        <v>349209.36694527901</v>
      </c>
      <c r="AB187" s="104">
        <f t="shared" si="73"/>
        <v>4.4385112994939889E-4</v>
      </c>
      <c r="AC187" s="105">
        <f t="shared" si="12"/>
        <v>4.848200566392754E-2</v>
      </c>
      <c r="AD187" s="102">
        <v>22.429772091916181</v>
      </c>
      <c r="AE187" s="103">
        <v>151576304</v>
      </c>
      <c r="AF187" s="103">
        <v>349524.02110103</v>
      </c>
      <c r="AG187" s="104">
        <f t="shared" si="74"/>
        <v>1.1855906064880469E-3</v>
      </c>
      <c r="AH187" s="105">
        <f t="shared" si="14"/>
        <v>0.12961914174517081</v>
      </c>
      <c r="AI187" s="106">
        <v>4.186712116001841</v>
      </c>
      <c r="AJ187" s="103">
        <v>26311076528</v>
      </c>
      <c r="AK187" s="103">
        <v>51259.414372873005</v>
      </c>
      <c r="AL187" s="104">
        <f t="shared" si="75"/>
        <v>5.693427189499764E-4</v>
      </c>
      <c r="AM187" s="104">
        <f t="shared" si="16"/>
        <v>9.1286125589099196E-3</v>
      </c>
      <c r="AN187" s="108">
        <f t="shared" si="17"/>
        <v>0.18722975996800828</v>
      </c>
      <c r="AO187" s="101">
        <f t="shared" si="18"/>
        <v>598.57354261772241</v>
      </c>
    </row>
    <row r="188" spans="1:41" ht="15.75" customHeight="1" x14ac:dyDescent="0.3">
      <c r="A188" s="99">
        <v>40901</v>
      </c>
      <c r="B188" s="62" t="s">
        <v>151</v>
      </c>
      <c r="C188" s="62" t="s">
        <v>173</v>
      </c>
      <c r="D188" s="100">
        <v>125</v>
      </c>
      <c r="E188" s="101">
        <v>9889.5</v>
      </c>
      <c r="F188" s="102">
        <v>70.85757858884979</v>
      </c>
      <c r="G188" s="103">
        <v>91012620</v>
      </c>
      <c r="H188" s="103">
        <f t="shared" si="0"/>
        <v>205805.92747980001</v>
      </c>
      <c r="I188" s="104">
        <f t="shared" si="70"/>
        <v>1.0700258362902695E-3</v>
      </c>
      <c r="J188" s="105">
        <f t="shared" si="2"/>
        <v>2.2267825437592152E-2</v>
      </c>
      <c r="K188" s="106">
        <v>46.899638271164363</v>
      </c>
      <c r="L188" s="107">
        <v>116763400</v>
      </c>
      <c r="M188" s="103">
        <f t="shared" si="3"/>
        <v>316484.47663886455</v>
      </c>
      <c r="N188" s="104">
        <f t="shared" si="71"/>
        <v>3.1165918918868506E-3</v>
      </c>
      <c r="O188" s="105">
        <f t="shared" si="5"/>
        <v>9.9737393579123174E-2</v>
      </c>
      <c r="P188" s="102">
        <v>7.2308881532139901</v>
      </c>
      <c r="Q188" s="103">
        <v>16330426269</v>
      </c>
      <c r="R188" s="103">
        <f t="shared" si="6"/>
        <v>31815.045119922193</v>
      </c>
      <c r="S188" s="104">
        <f t="shared" si="72"/>
        <v>1.3507601802245546E-3</v>
      </c>
      <c r="T188" s="105">
        <f t="shared" si="8"/>
        <v>4.3454670185589196E-3</v>
      </c>
      <c r="U188" s="104">
        <f t="shared" si="9"/>
        <v>0.12635068603527425</v>
      </c>
      <c r="V188" s="103">
        <f t="shared" si="10"/>
        <v>1249.5451095458448</v>
      </c>
      <c r="W188" s="100">
        <v>772</v>
      </c>
      <c r="X188" s="101">
        <v>15504</v>
      </c>
      <c r="Y188" s="102">
        <v>474.09164415480711</v>
      </c>
      <c r="Z188" s="107">
        <v>154428964</v>
      </c>
      <c r="AA188" s="103">
        <v>349209.36694527901</v>
      </c>
      <c r="AB188" s="104">
        <f t="shared" si="73"/>
        <v>4.8510577194956876E-3</v>
      </c>
      <c r="AC188" s="105">
        <f t="shared" si="12"/>
        <v>0.1092643701780249</v>
      </c>
      <c r="AD188" s="102">
        <v>249.53418748440029</v>
      </c>
      <c r="AE188" s="103">
        <v>151576304</v>
      </c>
      <c r="AF188" s="103">
        <v>349524.02110103</v>
      </c>
      <c r="AG188" s="104">
        <f t="shared" si="74"/>
        <v>1.3189852641692982E-2</v>
      </c>
      <c r="AH188" s="105">
        <f t="shared" si="14"/>
        <v>0.29735360765315882</v>
      </c>
      <c r="AI188" s="106">
        <v>48.305943543253477</v>
      </c>
      <c r="AJ188" s="103">
        <v>26311076528</v>
      </c>
      <c r="AK188" s="103">
        <v>51259.414372873005</v>
      </c>
      <c r="AL188" s="104">
        <f t="shared" si="75"/>
        <v>6.5690299395660427E-3</v>
      </c>
      <c r="AM188" s="104">
        <f t="shared" si="16"/>
        <v>2.1718564738133689E-2</v>
      </c>
      <c r="AN188" s="108">
        <f t="shared" si="17"/>
        <v>0.42833654256931741</v>
      </c>
      <c r="AO188" s="101">
        <f t="shared" si="18"/>
        <v>6640.9297559946972</v>
      </c>
    </row>
    <row r="189" spans="1:41" ht="15.75" customHeight="1" x14ac:dyDescent="0.3">
      <c r="A189" s="99">
        <v>40902</v>
      </c>
      <c r="B189" s="62" t="s">
        <v>151</v>
      </c>
      <c r="C189" s="62" t="s">
        <v>158</v>
      </c>
      <c r="D189" s="100">
        <v>0</v>
      </c>
      <c r="E189" s="101">
        <v>1028.75</v>
      </c>
      <c r="F189" s="102">
        <v>0</v>
      </c>
      <c r="G189" s="103">
        <v>91012620</v>
      </c>
      <c r="H189" s="103">
        <f t="shared" si="0"/>
        <v>205805.92747980001</v>
      </c>
      <c r="I189" s="104">
        <f t="shared" si="70"/>
        <v>0</v>
      </c>
      <c r="J189" s="105">
        <f t="shared" si="2"/>
        <v>0</v>
      </c>
      <c r="K189" s="106">
        <v>0</v>
      </c>
      <c r="L189" s="107">
        <v>116763400</v>
      </c>
      <c r="M189" s="103">
        <f t="shared" si="3"/>
        <v>316484.47663886455</v>
      </c>
      <c r="N189" s="104">
        <f t="shared" si="71"/>
        <v>0</v>
      </c>
      <c r="O189" s="105">
        <f t="shared" si="5"/>
        <v>0</v>
      </c>
      <c r="P189" s="102">
        <v>0</v>
      </c>
      <c r="Q189" s="103">
        <v>16330426269</v>
      </c>
      <c r="R189" s="103">
        <f t="shared" si="6"/>
        <v>31815.045119922193</v>
      </c>
      <c r="S189" s="104">
        <f t="shared" si="72"/>
        <v>0</v>
      </c>
      <c r="T189" s="105">
        <f t="shared" si="8"/>
        <v>0</v>
      </c>
      <c r="U189" s="104">
        <f t="shared" si="9"/>
        <v>0</v>
      </c>
      <c r="V189" s="103">
        <f t="shared" si="10"/>
        <v>0</v>
      </c>
      <c r="W189" s="100">
        <v>2488</v>
      </c>
      <c r="X189" s="101">
        <v>1406</v>
      </c>
      <c r="Y189" s="102">
        <v>1891.275008073766</v>
      </c>
      <c r="Z189" s="107">
        <v>154428964</v>
      </c>
      <c r="AA189" s="103">
        <v>349209.36694527901</v>
      </c>
      <c r="AB189" s="104">
        <f t="shared" si="73"/>
        <v>1.9352132316024673E-2</v>
      </c>
      <c r="AC189" s="105">
        <f t="shared" si="12"/>
        <v>4.8065048898437066</v>
      </c>
      <c r="AD189" s="102">
        <v>477.60961789850433</v>
      </c>
      <c r="AE189" s="103">
        <v>151576304</v>
      </c>
      <c r="AF189" s="103">
        <v>349524.02110103</v>
      </c>
      <c r="AG189" s="104">
        <f t="shared" si="74"/>
        <v>2.524544048991437E-2</v>
      </c>
      <c r="AH189" s="105">
        <f t="shared" si="14"/>
        <v>6.2758804228318832</v>
      </c>
      <c r="AI189" s="106">
        <v>118.9743138083244</v>
      </c>
      <c r="AJ189" s="103">
        <v>26311076528</v>
      </c>
      <c r="AK189" s="103">
        <v>51259.414372873005</v>
      </c>
      <c r="AL189" s="104">
        <f t="shared" si="75"/>
        <v>1.6179082160902355E-2</v>
      </c>
      <c r="AM189" s="104">
        <f t="shared" si="16"/>
        <v>0.58985083688367812</v>
      </c>
      <c r="AN189" s="108">
        <f t="shared" si="17"/>
        <v>11.672236149559268</v>
      </c>
      <c r="AO189" s="101">
        <f t="shared" si="18"/>
        <v>16411.164026280334</v>
      </c>
    </row>
    <row r="190" spans="1:41" ht="15.75" customHeight="1" x14ac:dyDescent="0.3">
      <c r="A190" s="99">
        <v>40903</v>
      </c>
      <c r="B190" s="62" t="s">
        <v>151</v>
      </c>
      <c r="C190" s="62" t="s">
        <v>799</v>
      </c>
      <c r="D190" s="112">
        <v>1</v>
      </c>
      <c r="E190" s="113">
        <v>2091</v>
      </c>
      <c r="F190" s="114">
        <v>0</v>
      </c>
      <c r="G190" s="103">
        <v>91012620</v>
      </c>
      <c r="H190" s="103">
        <f t="shared" si="0"/>
        <v>205805.92747980001</v>
      </c>
      <c r="I190" s="104">
        <f t="shared" si="70"/>
        <v>0</v>
      </c>
      <c r="J190" s="105">
        <f t="shared" si="2"/>
        <v>0</v>
      </c>
      <c r="K190" s="115">
        <v>1</v>
      </c>
      <c r="L190" s="107">
        <v>116763400</v>
      </c>
      <c r="M190" s="103">
        <f t="shared" si="3"/>
        <v>316484.47663886455</v>
      </c>
      <c r="N190" s="104">
        <f t="shared" si="71"/>
        <v>6.6452365237175973E-5</v>
      </c>
      <c r="O190" s="105">
        <f t="shared" si="5"/>
        <v>1.0057934975371743E-2</v>
      </c>
      <c r="P190" s="114">
        <v>0</v>
      </c>
      <c r="Q190" s="103">
        <v>16330426269</v>
      </c>
      <c r="R190" s="103">
        <f t="shared" si="6"/>
        <v>31815.045119922193</v>
      </c>
      <c r="S190" s="104">
        <f t="shared" si="72"/>
        <v>0</v>
      </c>
      <c r="T190" s="105">
        <f t="shared" si="8"/>
        <v>0</v>
      </c>
      <c r="U190" s="104">
        <f t="shared" si="9"/>
        <v>1.0057934975371743E-2</v>
      </c>
      <c r="V190" s="103">
        <f t="shared" si="10"/>
        <v>21.031142033502313</v>
      </c>
      <c r="W190" s="112">
        <v>1</v>
      </c>
      <c r="X190" s="101">
        <v>2355</v>
      </c>
      <c r="Y190" s="114">
        <v>0</v>
      </c>
      <c r="Z190" s="107">
        <v>154428964</v>
      </c>
      <c r="AA190" s="103">
        <v>349209.36694527901</v>
      </c>
      <c r="AB190" s="104">
        <f t="shared" si="73"/>
        <v>0</v>
      </c>
      <c r="AC190" s="105">
        <f t="shared" si="12"/>
        <v>0</v>
      </c>
      <c r="AD190" s="114">
        <v>1</v>
      </c>
      <c r="AE190" s="103">
        <v>151576304</v>
      </c>
      <c r="AF190" s="103">
        <v>349524.02110103</v>
      </c>
      <c r="AG190" s="104">
        <f t="shared" si="74"/>
        <v>5.2857898048609265E-5</v>
      </c>
      <c r="AH190" s="105">
        <f t="shared" si="14"/>
        <v>7.8450552326531607E-3</v>
      </c>
      <c r="AI190" s="115">
        <v>0</v>
      </c>
      <c r="AJ190" s="103">
        <v>26311076528</v>
      </c>
      <c r="AK190" s="103">
        <v>51259.414372873005</v>
      </c>
      <c r="AL190" s="104">
        <f t="shared" si="75"/>
        <v>0</v>
      </c>
      <c r="AM190" s="104">
        <f t="shared" si="16"/>
        <v>0</v>
      </c>
      <c r="AN190" s="108">
        <f t="shared" si="17"/>
        <v>7.8450552326531607E-3</v>
      </c>
      <c r="AO190" s="101">
        <f t="shared" si="18"/>
        <v>18.475105072898195</v>
      </c>
    </row>
    <row r="191" spans="1:41" ht="15.75" customHeight="1" x14ac:dyDescent="0.3">
      <c r="A191" s="99">
        <v>41001</v>
      </c>
      <c r="B191" s="62" t="s">
        <v>151</v>
      </c>
      <c r="C191" s="62" t="s">
        <v>180</v>
      </c>
      <c r="D191" s="100">
        <v>26</v>
      </c>
      <c r="E191" s="101">
        <v>10662.25</v>
      </c>
      <c r="F191" s="102">
        <v>22.926134150038941</v>
      </c>
      <c r="G191" s="103">
        <v>91012620</v>
      </c>
      <c r="H191" s="103">
        <f t="shared" si="0"/>
        <v>205805.92747980001</v>
      </c>
      <c r="I191" s="104">
        <f t="shared" si="70"/>
        <v>3.4620934493319864E-4</v>
      </c>
      <c r="J191" s="105">
        <f t="shared" si="2"/>
        <v>6.6826359667191216E-3</v>
      </c>
      <c r="K191" s="106">
        <v>1.834468503977934</v>
      </c>
      <c r="L191" s="107">
        <v>116763400</v>
      </c>
      <c r="M191" s="103">
        <f t="shared" si="3"/>
        <v>316484.47663886455</v>
      </c>
      <c r="N191" s="104">
        <f t="shared" si="71"/>
        <v>1.2190477104243747E-4</v>
      </c>
      <c r="O191" s="105">
        <f t="shared" si="5"/>
        <v>3.6184639886652848E-3</v>
      </c>
      <c r="P191" s="102">
        <v>1.2389181318942439</v>
      </c>
      <c r="Q191" s="103">
        <v>16330426269</v>
      </c>
      <c r="R191" s="103">
        <f t="shared" si="6"/>
        <v>31815.045119922193</v>
      </c>
      <c r="S191" s="104">
        <f t="shared" si="72"/>
        <v>2.3143509395552017E-4</v>
      </c>
      <c r="T191" s="105">
        <f t="shared" si="8"/>
        <v>6.9057825098157576E-4</v>
      </c>
      <c r="U191" s="104">
        <f t="shared" si="9"/>
        <v>1.0991678206365983E-2</v>
      </c>
      <c r="V191" s="103">
        <f t="shared" si="10"/>
        <v>117.19602095582567</v>
      </c>
      <c r="W191" s="100">
        <v>86</v>
      </c>
      <c r="X191" s="101">
        <v>12202</v>
      </c>
      <c r="Y191" s="102">
        <v>69.043312844670766</v>
      </c>
      <c r="Z191" s="107">
        <v>154428964</v>
      </c>
      <c r="AA191" s="103">
        <v>349209.36694527901</v>
      </c>
      <c r="AB191" s="104">
        <f t="shared" si="73"/>
        <v>7.0647331562192399E-4</v>
      </c>
      <c r="AC191" s="105">
        <f t="shared" si="12"/>
        <v>2.0218578865109357E-2</v>
      </c>
      <c r="AD191" s="102">
        <v>12.940909273311521</v>
      </c>
      <c r="AE191" s="103">
        <v>151576304</v>
      </c>
      <c r="AF191" s="103">
        <v>349524.02110103</v>
      </c>
      <c r="AG191" s="104">
        <f t="shared" si="74"/>
        <v>6.8402926302500255E-4</v>
      </c>
      <c r="AH191" s="105">
        <f t="shared" si="14"/>
        <v>1.9593891047637518E-2</v>
      </c>
      <c r="AI191" s="106">
        <v>4.01298519669478</v>
      </c>
      <c r="AJ191" s="103">
        <v>26311076528</v>
      </c>
      <c r="AK191" s="103">
        <v>51259.414372873005</v>
      </c>
      <c r="AL191" s="104">
        <f t="shared" si="75"/>
        <v>5.4571793801148167E-4</v>
      </c>
      <c r="AM191" s="104">
        <f t="shared" si="16"/>
        <v>2.2925079425701001E-3</v>
      </c>
      <c r="AN191" s="108">
        <f t="shared" si="17"/>
        <v>4.2104977855316972E-2</v>
      </c>
      <c r="AO191" s="101">
        <f t="shared" si="18"/>
        <v>513.76493979057773</v>
      </c>
    </row>
    <row r="192" spans="1:41" ht="15.75" customHeight="1" x14ac:dyDescent="0.3">
      <c r="A192" s="99">
        <v>41101</v>
      </c>
      <c r="B192" s="62" t="s">
        <v>151</v>
      </c>
      <c r="C192" s="62" t="s">
        <v>164</v>
      </c>
      <c r="D192" s="100">
        <v>9</v>
      </c>
      <c r="E192" s="101">
        <v>5284</v>
      </c>
      <c r="F192" s="102">
        <v>5.3144286792573849</v>
      </c>
      <c r="G192" s="103">
        <v>91012620</v>
      </c>
      <c r="H192" s="103">
        <f t="shared" si="0"/>
        <v>205805.92747980001</v>
      </c>
      <c r="I192" s="104">
        <f t="shared" si="70"/>
        <v>8.0253603145595228E-5</v>
      </c>
      <c r="J192" s="105">
        <f t="shared" si="2"/>
        <v>3.1257886504494738E-3</v>
      </c>
      <c r="K192" s="106">
        <v>3.091671061825219</v>
      </c>
      <c r="L192" s="107">
        <v>116763400</v>
      </c>
      <c r="M192" s="103">
        <f t="shared" si="3"/>
        <v>316484.47663886455</v>
      </c>
      <c r="N192" s="104">
        <f t="shared" si="71"/>
        <v>2.0544885459361709E-4</v>
      </c>
      <c r="O192" s="105">
        <f t="shared" si="5"/>
        <v>1.2305331798280675E-2</v>
      </c>
      <c r="P192" s="102">
        <v>0.59162125854645597</v>
      </c>
      <c r="Q192" s="103">
        <v>16330426269</v>
      </c>
      <c r="R192" s="103">
        <f t="shared" si="6"/>
        <v>31815.045119922193</v>
      </c>
      <c r="S192" s="104">
        <f t="shared" si="72"/>
        <v>1.1051732800813508E-4</v>
      </c>
      <c r="T192" s="105">
        <f t="shared" si="8"/>
        <v>6.6542652859804283E-4</v>
      </c>
      <c r="U192" s="104">
        <f t="shared" si="9"/>
        <v>1.6096546977328194E-2</v>
      </c>
      <c r="V192" s="103">
        <f t="shared" si="10"/>
        <v>85.054154228202165</v>
      </c>
      <c r="W192" s="100">
        <v>150</v>
      </c>
      <c r="X192" s="101">
        <v>5335</v>
      </c>
      <c r="Y192" s="102">
        <v>108.68514352946529</v>
      </c>
      <c r="Z192" s="107">
        <v>154428964</v>
      </c>
      <c r="AA192" s="103">
        <v>349209.36694527901</v>
      </c>
      <c r="AB192" s="104">
        <f t="shared" si="73"/>
        <v>1.1121012382596396E-3</v>
      </c>
      <c r="AC192" s="105">
        <f t="shared" si="12"/>
        <v>7.2794033625437599E-2</v>
      </c>
      <c r="AD192" s="102">
        <v>31.78691072357471</v>
      </c>
      <c r="AE192" s="103">
        <v>151576304</v>
      </c>
      <c r="AF192" s="103">
        <v>349524.02110103</v>
      </c>
      <c r="AG192" s="104">
        <f t="shared" si="74"/>
        <v>1.6801892863069566E-3</v>
      </c>
      <c r="AH192" s="105">
        <f t="shared" si="14"/>
        <v>0.11007807227008008</v>
      </c>
      <c r="AI192" s="106">
        <v>9.5154464737896518</v>
      </c>
      <c r="AJ192" s="103">
        <v>26311076528</v>
      </c>
      <c r="AK192" s="103">
        <v>51259.414372873005</v>
      </c>
      <c r="AL192" s="104">
        <f t="shared" si="75"/>
        <v>1.2939867889899081E-3</v>
      </c>
      <c r="AM192" s="104">
        <f t="shared" si="16"/>
        <v>1.2432803188351844E-2</v>
      </c>
      <c r="AN192" s="108">
        <f t="shared" si="17"/>
        <v>0.19530490908386952</v>
      </c>
      <c r="AO192" s="101">
        <f t="shared" si="18"/>
        <v>1041.9516899624439</v>
      </c>
    </row>
    <row r="193" spans="1:41" ht="15.75" customHeight="1" x14ac:dyDescent="0.3">
      <c r="A193" s="99">
        <v>41201</v>
      </c>
      <c r="B193" s="62" t="s">
        <v>151</v>
      </c>
      <c r="C193" s="62" t="s">
        <v>152</v>
      </c>
      <c r="D193" s="100">
        <v>1</v>
      </c>
      <c r="E193" s="101">
        <v>5489.75</v>
      </c>
      <c r="F193" s="102">
        <v>0.84940040492135205</v>
      </c>
      <c r="G193" s="103">
        <v>91012620</v>
      </c>
      <c r="H193" s="103">
        <f t="shared" si="0"/>
        <v>205805.92747980001</v>
      </c>
      <c r="I193" s="104">
        <f t="shared" si="70"/>
        <v>1.2826861949305808E-5</v>
      </c>
      <c r="J193" s="105">
        <f t="shared" si="2"/>
        <v>4.8086783917887651E-4</v>
      </c>
      <c r="K193" s="106">
        <v>6.5472667808752494E-2</v>
      </c>
      <c r="L193" s="107">
        <v>116763400</v>
      </c>
      <c r="M193" s="103">
        <f t="shared" si="3"/>
        <v>316484.47663886455</v>
      </c>
      <c r="N193" s="104">
        <f t="shared" si="71"/>
        <v>4.3508136342795141E-6</v>
      </c>
      <c r="O193" s="105">
        <f t="shared" si="5"/>
        <v>2.5082471442200254E-4</v>
      </c>
      <c r="P193" s="102">
        <v>8.5126927269895694E-2</v>
      </c>
      <c r="Q193" s="103">
        <v>16330426269</v>
      </c>
      <c r="R193" s="103">
        <f t="shared" si="6"/>
        <v>31815.045119922193</v>
      </c>
      <c r="S193" s="104">
        <f t="shared" si="72"/>
        <v>1.5902066410740674E-5</v>
      </c>
      <c r="T193" s="105">
        <f t="shared" si="8"/>
        <v>9.2158105625522795E-5</v>
      </c>
      <c r="U193" s="104">
        <f t="shared" si="9"/>
        <v>8.2385065922640187E-4</v>
      </c>
      <c r="V193" s="103">
        <f t="shared" si="10"/>
        <v>4.5227341564881396</v>
      </c>
      <c r="W193" s="121">
        <v>1069</v>
      </c>
      <c r="X193" s="101">
        <v>6311</v>
      </c>
      <c r="Y193" s="114">
        <v>880.90417951513166</v>
      </c>
      <c r="Z193" s="107">
        <v>154428964</v>
      </c>
      <c r="AA193" s="103">
        <v>349209.36694527901</v>
      </c>
      <c r="AB193" s="104">
        <f t="shared" si="73"/>
        <v>9.0136940248993526E-3</v>
      </c>
      <c r="AC193" s="105">
        <f t="shared" si="12"/>
        <v>0.49875873621827715</v>
      </c>
      <c r="AD193" s="114">
        <v>136.12945261700159</v>
      </c>
      <c r="AE193" s="103">
        <v>151576304</v>
      </c>
      <c r="AF193" s="103">
        <v>349524.02110103</v>
      </c>
      <c r="AG193" s="104">
        <f t="shared" si="74"/>
        <v>7.1955167278424563E-3</v>
      </c>
      <c r="AH193" s="105">
        <f t="shared" si="14"/>
        <v>0.39851147846858198</v>
      </c>
      <c r="AI193" s="115">
        <v>51.926018808095748</v>
      </c>
      <c r="AJ193" s="103">
        <v>26311076528</v>
      </c>
      <c r="AK193" s="103">
        <v>51259.414372873005</v>
      </c>
      <c r="AL193" s="104">
        <f t="shared" si="75"/>
        <v>7.0613168312802727E-3</v>
      </c>
      <c r="AM193" s="104">
        <f t="shared" si="16"/>
        <v>5.7353662727418493E-2</v>
      </c>
      <c r="AN193" s="108">
        <f t="shared" si="17"/>
        <v>0.95462387741427768</v>
      </c>
      <c r="AO193" s="101">
        <f t="shared" si="18"/>
        <v>6024.6312903615062</v>
      </c>
    </row>
    <row r="194" spans="1:41" ht="15.75" customHeight="1" x14ac:dyDescent="0.3">
      <c r="A194" s="99">
        <v>41202</v>
      </c>
      <c r="B194" s="62" t="s">
        <v>151</v>
      </c>
      <c r="C194" s="62" t="s">
        <v>153</v>
      </c>
      <c r="D194" s="100">
        <v>0</v>
      </c>
      <c r="E194" s="101">
        <v>2277.25</v>
      </c>
      <c r="F194" s="102">
        <v>0</v>
      </c>
      <c r="G194" s="103">
        <v>91012620</v>
      </c>
      <c r="H194" s="103">
        <f t="shared" si="0"/>
        <v>205805.92747980001</v>
      </c>
      <c r="I194" s="104">
        <f t="shared" si="70"/>
        <v>0</v>
      </c>
      <c r="J194" s="105">
        <f t="shared" si="2"/>
        <v>0</v>
      </c>
      <c r="K194" s="106">
        <v>0</v>
      </c>
      <c r="L194" s="107">
        <v>116763400</v>
      </c>
      <c r="M194" s="103">
        <f t="shared" si="3"/>
        <v>316484.47663886455</v>
      </c>
      <c r="N194" s="104">
        <f t="shared" si="71"/>
        <v>0</v>
      </c>
      <c r="O194" s="105">
        <f t="shared" si="5"/>
        <v>0</v>
      </c>
      <c r="P194" s="102">
        <v>0</v>
      </c>
      <c r="Q194" s="103">
        <v>16330426269</v>
      </c>
      <c r="R194" s="103">
        <f t="shared" si="6"/>
        <v>31815.045119922193</v>
      </c>
      <c r="S194" s="104">
        <f t="shared" si="72"/>
        <v>0</v>
      </c>
      <c r="T194" s="105">
        <f t="shared" si="8"/>
        <v>0</v>
      </c>
      <c r="U194" s="104">
        <f t="shared" si="9"/>
        <v>0</v>
      </c>
      <c r="V194" s="103">
        <f t="shared" si="10"/>
        <v>0</v>
      </c>
      <c r="W194" s="100">
        <v>45</v>
      </c>
      <c r="X194" s="101">
        <v>3061</v>
      </c>
      <c r="Y194" s="102">
        <v>35.656522621729529</v>
      </c>
      <c r="Z194" s="107">
        <v>154428964</v>
      </c>
      <c r="AA194" s="103">
        <v>349209.36694527901</v>
      </c>
      <c r="AB194" s="104">
        <f t="shared" si="73"/>
        <v>3.6484897265565906E-4</v>
      </c>
      <c r="AC194" s="105">
        <f t="shared" si="12"/>
        <v>4.1623220768284258E-2</v>
      </c>
      <c r="AD194" s="102">
        <v>6.4535179281956649</v>
      </c>
      <c r="AE194" s="103">
        <v>151576304</v>
      </c>
      <c r="AF194" s="103">
        <v>349524.02110103</v>
      </c>
      <c r="AG194" s="104">
        <f t="shared" si="74"/>
        <v>3.4111939270343853E-4</v>
      </c>
      <c r="AH194" s="105">
        <f t="shared" si="14"/>
        <v>3.8951134208836065E-2</v>
      </c>
      <c r="AI194" s="106">
        <v>2.8875598688031219</v>
      </c>
      <c r="AJ194" s="103">
        <v>26311076528</v>
      </c>
      <c r="AK194" s="103">
        <v>51259.414372873005</v>
      </c>
      <c r="AL194" s="104">
        <f t="shared" si="75"/>
        <v>3.9267356849106164E-4</v>
      </c>
      <c r="AM194" s="104">
        <f t="shared" si="16"/>
        <v>6.5756998237693756E-3</v>
      </c>
      <c r="AN194" s="108">
        <f t="shared" si="17"/>
        <v>8.7150054800889692E-2</v>
      </c>
      <c r="AO194" s="101">
        <f t="shared" si="18"/>
        <v>266.76631774552334</v>
      </c>
    </row>
    <row r="195" spans="1:41" ht="15.75" customHeight="1" x14ac:dyDescent="0.3">
      <c r="A195" s="99">
        <v>41301</v>
      </c>
      <c r="B195" s="62" t="s">
        <v>151</v>
      </c>
      <c r="C195" s="62" t="s">
        <v>144</v>
      </c>
      <c r="D195" s="112">
        <v>2</v>
      </c>
      <c r="E195" s="113">
        <v>5807.5</v>
      </c>
      <c r="F195" s="114">
        <v>1</v>
      </c>
      <c r="G195" s="103">
        <v>91012620</v>
      </c>
      <c r="H195" s="103">
        <f t="shared" si="0"/>
        <v>205805.92747980001</v>
      </c>
      <c r="I195" s="104">
        <f t="shared" si="70"/>
        <v>1.5101078213511656E-5</v>
      </c>
      <c r="J195" s="105">
        <f t="shared" si="2"/>
        <v>5.3515134010792391E-4</v>
      </c>
      <c r="K195" s="115">
        <v>1</v>
      </c>
      <c r="L195" s="107">
        <v>116763400</v>
      </c>
      <c r="M195" s="103">
        <f t="shared" si="3"/>
        <v>316484.47663886455</v>
      </c>
      <c r="N195" s="104">
        <f t="shared" si="71"/>
        <v>6.6452365237175973E-5</v>
      </c>
      <c r="O195" s="105">
        <f t="shared" si="5"/>
        <v>3.6213761572969974E-3</v>
      </c>
      <c r="P195" s="114">
        <v>0</v>
      </c>
      <c r="Q195" s="103">
        <v>16330426269</v>
      </c>
      <c r="R195" s="103">
        <f t="shared" si="6"/>
        <v>31815.045119922193</v>
      </c>
      <c r="S195" s="104">
        <f t="shared" si="72"/>
        <v>0</v>
      </c>
      <c r="T195" s="105">
        <f t="shared" si="8"/>
        <v>0</v>
      </c>
      <c r="U195" s="104">
        <f t="shared" si="9"/>
        <v>4.1565274974049212E-3</v>
      </c>
      <c r="V195" s="103">
        <f t="shared" si="10"/>
        <v>24.13903344117908</v>
      </c>
      <c r="W195" s="112">
        <v>2</v>
      </c>
      <c r="X195" s="101">
        <v>6637</v>
      </c>
      <c r="Y195" s="114">
        <v>1</v>
      </c>
      <c r="Z195" s="107">
        <v>154428964</v>
      </c>
      <c r="AA195" s="103">
        <v>349209.36694527901</v>
      </c>
      <c r="AB195" s="104">
        <f t="shared" si="73"/>
        <v>1.0232320647928678E-5</v>
      </c>
      <c r="AC195" s="105">
        <f t="shared" si="12"/>
        <v>5.3837911945823125E-4</v>
      </c>
      <c r="AD195" s="114">
        <v>1</v>
      </c>
      <c r="AE195" s="103">
        <v>151576304</v>
      </c>
      <c r="AF195" s="103">
        <v>349524.02110103</v>
      </c>
      <c r="AG195" s="104">
        <f t="shared" si="74"/>
        <v>5.2857898048609265E-5</v>
      </c>
      <c r="AH195" s="105">
        <f t="shared" si="14"/>
        <v>2.783653016859755E-3</v>
      </c>
      <c r="AI195" s="115">
        <v>0</v>
      </c>
      <c r="AJ195" s="103">
        <v>26311076528</v>
      </c>
      <c r="AK195" s="103">
        <v>51259.414372873005</v>
      </c>
      <c r="AL195" s="104">
        <f t="shared" si="75"/>
        <v>0</v>
      </c>
      <c r="AM195" s="104">
        <f t="shared" si="16"/>
        <v>0</v>
      </c>
      <c r="AN195" s="108">
        <f t="shared" si="17"/>
        <v>3.3220321363179863E-3</v>
      </c>
      <c r="AO195" s="101">
        <f t="shared" si="18"/>
        <v>22.048327288742477</v>
      </c>
    </row>
    <row r="196" spans="1:41" ht="15.75" customHeight="1" x14ac:dyDescent="0.3">
      <c r="A196" s="99">
        <v>41401</v>
      </c>
      <c r="B196" s="62" t="s">
        <v>151</v>
      </c>
      <c r="C196" s="62" t="s">
        <v>178</v>
      </c>
      <c r="D196" s="100">
        <v>14</v>
      </c>
      <c r="E196" s="101">
        <v>13337.75</v>
      </c>
      <c r="F196" s="102">
        <v>7.7461212775019774</v>
      </c>
      <c r="G196" s="103">
        <v>91012620</v>
      </c>
      <c r="H196" s="103">
        <f t="shared" si="0"/>
        <v>205805.92747980001</v>
      </c>
      <c r="I196" s="104">
        <f t="shared" si="70"/>
        <v>1.1697478326290418E-4</v>
      </c>
      <c r="J196" s="105">
        <f t="shared" si="2"/>
        <v>1.8049598891245213E-3</v>
      </c>
      <c r="K196" s="106">
        <v>5.5659849076900869</v>
      </c>
      <c r="L196" s="107">
        <v>116763400</v>
      </c>
      <c r="M196" s="103">
        <f t="shared" si="3"/>
        <v>316484.47663886455</v>
      </c>
      <c r="N196" s="104">
        <f t="shared" si="71"/>
        <v>3.6987286199043084E-4</v>
      </c>
      <c r="O196" s="105">
        <f t="shared" si="5"/>
        <v>8.7765192142573133E-3</v>
      </c>
      <c r="P196" s="102">
        <v>0.68629616289958961</v>
      </c>
      <c r="Q196" s="103">
        <v>16330426269</v>
      </c>
      <c r="R196" s="103">
        <f t="shared" si="6"/>
        <v>31815.045119922193</v>
      </c>
      <c r="S196" s="104">
        <f t="shared" si="72"/>
        <v>1.2820299651207119E-4</v>
      </c>
      <c r="T196" s="105">
        <f t="shared" si="8"/>
        <v>3.0580751015281979E-4</v>
      </c>
      <c r="U196" s="104">
        <f t="shared" si="9"/>
        <v>1.0887286613534653E-2</v>
      </c>
      <c r="V196" s="103">
        <f t="shared" si="10"/>
        <v>145.21190702967183</v>
      </c>
      <c r="W196" s="100">
        <v>131</v>
      </c>
      <c r="X196" s="101">
        <v>13502</v>
      </c>
      <c r="Y196" s="102">
        <v>96.186911976354196</v>
      </c>
      <c r="Z196" s="107">
        <v>154428964</v>
      </c>
      <c r="AA196" s="103">
        <v>349209.36694527901</v>
      </c>
      <c r="AB196" s="104">
        <f t="shared" si="73"/>
        <v>9.8421532547614721E-4</v>
      </c>
      <c r="AC196" s="105">
        <f t="shared" si="12"/>
        <v>2.5455281495139023E-2</v>
      </c>
      <c r="AD196" s="102">
        <v>25.923941151588849</v>
      </c>
      <c r="AE196" s="103">
        <v>151576304</v>
      </c>
      <c r="AF196" s="103">
        <v>349524.02110103</v>
      </c>
      <c r="AG196" s="104">
        <f t="shared" si="74"/>
        <v>1.3702850384088297E-3</v>
      </c>
      <c r="AH196" s="105">
        <f t="shared" si="14"/>
        <v>3.5472340148069437E-2</v>
      </c>
      <c r="AI196" s="106">
        <v>8.8839742141443327</v>
      </c>
      <c r="AJ196" s="103">
        <v>26311076528</v>
      </c>
      <c r="AK196" s="103">
        <v>51259.414372873005</v>
      </c>
      <c r="AL196" s="104">
        <f t="shared" si="75"/>
        <v>1.2081141224949202E-3</v>
      </c>
      <c r="AM196" s="104">
        <f t="shared" si="16"/>
        <v>4.5865221755804304E-3</v>
      </c>
      <c r="AN196" s="108">
        <f t="shared" si="17"/>
        <v>6.5514143818788895E-2</v>
      </c>
      <c r="AO196" s="101">
        <f t="shared" si="18"/>
        <v>884.57196984128757</v>
      </c>
    </row>
    <row r="197" spans="1:41" ht="15.75" customHeight="1" x14ac:dyDescent="0.3">
      <c r="A197" s="99">
        <v>41501</v>
      </c>
      <c r="B197" s="62" t="s">
        <v>151</v>
      </c>
      <c r="C197" s="62" t="s">
        <v>800</v>
      </c>
      <c r="D197" s="112">
        <v>0</v>
      </c>
      <c r="E197" s="113">
        <v>697.25</v>
      </c>
      <c r="F197" s="114">
        <v>0</v>
      </c>
      <c r="G197" s="103">
        <v>91012620</v>
      </c>
      <c r="H197" s="103">
        <f t="shared" si="0"/>
        <v>205805.92747980001</v>
      </c>
      <c r="I197" s="104">
        <f t="shared" si="70"/>
        <v>0</v>
      </c>
      <c r="J197" s="105">
        <f t="shared" si="2"/>
        <v>0</v>
      </c>
      <c r="K197" s="115">
        <v>0</v>
      </c>
      <c r="L197" s="107">
        <v>116763400</v>
      </c>
      <c r="M197" s="103">
        <f t="shared" si="3"/>
        <v>316484.47663886455</v>
      </c>
      <c r="N197" s="104">
        <f t="shared" si="71"/>
        <v>0</v>
      </c>
      <c r="O197" s="105">
        <f t="shared" si="5"/>
        <v>0</v>
      </c>
      <c r="P197" s="114">
        <v>0</v>
      </c>
      <c r="Q197" s="103">
        <v>16330426269</v>
      </c>
      <c r="R197" s="103">
        <f t="shared" si="6"/>
        <v>31815.045119922193</v>
      </c>
      <c r="S197" s="104">
        <f t="shared" si="72"/>
        <v>0</v>
      </c>
      <c r="T197" s="105">
        <f t="shared" si="8"/>
        <v>0</v>
      </c>
      <c r="U197" s="104">
        <f t="shared" si="9"/>
        <v>0</v>
      </c>
      <c r="V197" s="103">
        <f t="shared" si="10"/>
        <v>0</v>
      </c>
      <c r="W197" s="112">
        <v>1942</v>
      </c>
      <c r="X197" s="101">
        <v>1262</v>
      </c>
      <c r="Y197" s="114">
        <v>1424.1207647889678</v>
      </c>
      <c r="Z197" s="107">
        <v>154428964</v>
      </c>
      <c r="AA197" s="103">
        <v>349209.36694527901</v>
      </c>
      <c r="AB197" s="104">
        <f t="shared" si="73"/>
        <v>1.4572060306694135E-2</v>
      </c>
      <c r="AC197" s="105">
        <f t="shared" si="12"/>
        <v>4.0322503603717017</v>
      </c>
      <c r="AD197" s="114">
        <v>427.95428828874674</v>
      </c>
      <c r="AE197" s="103">
        <v>151576304</v>
      </c>
      <c r="AF197" s="103">
        <v>349524.02110103</v>
      </c>
      <c r="AG197" s="104">
        <f t="shared" si="74"/>
        <v>2.2620764139831714E-2</v>
      </c>
      <c r="AH197" s="105">
        <f t="shared" si="14"/>
        <v>6.2650558181711276</v>
      </c>
      <c r="AI197" s="115">
        <v>89.798161364497901</v>
      </c>
      <c r="AJ197" s="103">
        <v>26311076528</v>
      </c>
      <c r="AK197" s="103">
        <v>51259.414372873005</v>
      </c>
      <c r="AL197" s="104">
        <f t="shared" si="75"/>
        <v>1.221147476382861E-2</v>
      </c>
      <c r="AM197" s="104">
        <f t="shared" si="16"/>
        <v>0.49600082806891616</v>
      </c>
      <c r="AN197" s="108">
        <f t="shared" si="17"/>
        <v>10.793307006611746</v>
      </c>
      <c r="AO197" s="101">
        <f t="shared" si="18"/>
        <v>13621.153442344023</v>
      </c>
    </row>
    <row r="198" spans="1:41" ht="15.75" customHeight="1" x14ac:dyDescent="0.3">
      <c r="A198" s="99">
        <v>41502</v>
      </c>
      <c r="B198" s="62" t="s">
        <v>151</v>
      </c>
      <c r="C198" s="62" t="s">
        <v>530</v>
      </c>
      <c r="D198" s="112"/>
      <c r="E198" s="113">
        <v>830.25</v>
      </c>
      <c r="F198" s="114"/>
      <c r="G198" s="103">
        <v>91012620</v>
      </c>
      <c r="H198" s="103">
        <f t="shared" si="0"/>
        <v>205805.92747980001</v>
      </c>
      <c r="I198" s="104">
        <f t="shared" si="70"/>
        <v>0</v>
      </c>
      <c r="J198" s="105">
        <f t="shared" si="2"/>
        <v>0</v>
      </c>
      <c r="K198" s="115"/>
      <c r="L198" s="107">
        <v>116763400</v>
      </c>
      <c r="M198" s="103">
        <f t="shared" si="3"/>
        <v>316484.47663886455</v>
      </c>
      <c r="N198" s="104">
        <f t="shared" si="71"/>
        <v>0</v>
      </c>
      <c r="O198" s="105">
        <f t="shared" si="5"/>
        <v>0</v>
      </c>
      <c r="P198" s="114"/>
      <c r="Q198" s="103">
        <v>16330426269</v>
      </c>
      <c r="R198" s="103">
        <f t="shared" si="6"/>
        <v>31815.045119922193</v>
      </c>
      <c r="S198" s="104">
        <f t="shared" si="72"/>
        <v>0</v>
      </c>
      <c r="T198" s="105">
        <f t="shared" si="8"/>
        <v>0</v>
      </c>
      <c r="U198" s="104">
        <f t="shared" si="9"/>
        <v>0</v>
      </c>
      <c r="V198" s="103">
        <f t="shared" si="10"/>
        <v>0</v>
      </c>
      <c r="W198" s="100">
        <v>572</v>
      </c>
      <c r="X198" s="101">
        <v>1140</v>
      </c>
      <c r="Y198" s="102">
        <v>535.19135464479996</v>
      </c>
      <c r="Z198" s="107">
        <v>154428964</v>
      </c>
      <c r="AA198" s="103">
        <v>349209.36694527901</v>
      </c>
      <c r="AB198" s="104">
        <f t="shared" si="73"/>
        <v>5.4762495487249057E-3</v>
      </c>
      <c r="AC198" s="105">
        <f t="shared" si="12"/>
        <v>1.6775067001268369</v>
      </c>
      <c r="AD198" s="102">
        <v>27.815379552466009</v>
      </c>
      <c r="AE198" s="103">
        <v>151576304</v>
      </c>
      <c r="AF198" s="103">
        <v>349524.02110103</v>
      </c>
      <c r="AG198" s="104">
        <f t="shared" si="74"/>
        <v>1.4702624965676192E-3</v>
      </c>
      <c r="AH198" s="105">
        <f t="shared" si="14"/>
        <v>0.45078250866171365</v>
      </c>
      <c r="AI198" s="106">
        <v>8.9839219623614408</v>
      </c>
      <c r="AJ198" s="103">
        <v>26311076528</v>
      </c>
      <c r="AK198" s="103">
        <v>51259.414372873005</v>
      </c>
      <c r="AL198" s="104">
        <f t="shared" si="75"/>
        <v>1.2217058195464951E-3</v>
      </c>
      <c r="AM198" s="104">
        <f t="shared" si="16"/>
        <v>5.4933267408670355E-2</v>
      </c>
      <c r="AN198" s="108">
        <f t="shared" si="17"/>
        <v>2.183222476197221</v>
      </c>
      <c r="AO198" s="101">
        <f t="shared" si="18"/>
        <v>2488.8736228648318</v>
      </c>
    </row>
    <row r="199" spans="1:41" ht="15.75" customHeight="1" x14ac:dyDescent="0.3">
      <c r="A199" s="99">
        <v>41503</v>
      </c>
      <c r="B199" s="62" t="s">
        <v>151</v>
      </c>
      <c r="C199" s="62" t="s">
        <v>155</v>
      </c>
      <c r="D199" s="100">
        <v>108</v>
      </c>
      <c r="E199" s="101">
        <v>912.25</v>
      </c>
      <c r="F199" s="102">
        <v>79.1758992251672</v>
      </c>
      <c r="G199" s="103">
        <v>91012620</v>
      </c>
      <c r="H199" s="103">
        <f t="shared" si="0"/>
        <v>205805.92747980001</v>
      </c>
      <c r="I199" s="104">
        <f t="shared" si="70"/>
        <v>1.1956414468243669E-3</v>
      </c>
      <c r="J199" s="105">
        <f t="shared" si="2"/>
        <v>0.26973976091748841</v>
      </c>
      <c r="K199" s="106">
        <v>20.88629366388675</v>
      </c>
      <c r="L199" s="107">
        <v>116763400</v>
      </c>
      <c r="M199" s="103">
        <f t="shared" si="3"/>
        <v>316484.47663886455</v>
      </c>
      <c r="N199" s="104">
        <f t="shared" si="71"/>
        <v>1.3879436150035166E-3</v>
      </c>
      <c r="O199" s="105">
        <f t="shared" si="5"/>
        <v>0.48151560273898786</v>
      </c>
      <c r="P199" s="102">
        <v>7.9332800575016886</v>
      </c>
      <c r="Q199" s="103">
        <v>16330426269</v>
      </c>
      <c r="R199" s="103">
        <f t="shared" si="6"/>
        <v>31815.045119922193</v>
      </c>
      <c r="S199" s="104">
        <f t="shared" si="72"/>
        <v>1.4819699286151742E-3</v>
      </c>
      <c r="T199" s="105">
        <f t="shared" si="8"/>
        <v>5.1684231455477812E-2</v>
      </c>
      <c r="U199" s="104">
        <f t="shared" si="9"/>
        <v>0.80293959511195412</v>
      </c>
      <c r="V199" s="103">
        <f t="shared" si="10"/>
        <v>732.48164564088017</v>
      </c>
      <c r="W199" s="100">
        <v>2130</v>
      </c>
      <c r="X199" s="101">
        <v>1129</v>
      </c>
      <c r="Y199" s="102">
        <v>1654.879457736997</v>
      </c>
      <c r="Z199" s="107">
        <v>154428964</v>
      </c>
      <c r="AA199" s="103">
        <v>349209.36694527901</v>
      </c>
      <c r="AB199" s="104">
        <f t="shared" si="73"/>
        <v>1.6933257245235287E-2</v>
      </c>
      <c r="AC199" s="105">
        <f t="shared" si="12"/>
        <v>5.2376014552083028</v>
      </c>
      <c r="AD199" s="102">
        <v>374.0578481948566</v>
      </c>
      <c r="AE199" s="103">
        <v>151576304</v>
      </c>
      <c r="AF199" s="103">
        <v>349524.02110103</v>
      </c>
      <c r="AG199" s="104">
        <f t="shared" si="74"/>
        <v>1.9771911604165891E-2</v>
      </c>
      <c r="AH199" s="105">
        <f t="shared" si="14"/>
        <v>6.1211320183721689</v>
      </c>
      <c r="AI199" s="106">
        <v>100.9644814851288</v>
      </c>
      <c r="AJ199" s="103">
        <v>26311076528</v>
      </c>
      <c r="AK199" s="103">
        <v>51259.414372873005</v>
      </c>
      <c r="AL199" s="104">
        <f t="shared" si="75"/>
        <v>1.3729960602357429E-2</v>
      </c>
      <c r="AM199" s="104">
        <f t="shared" si="16"/>
        <v>0.62337443741316256</v>
      </c>
      <c r="AN199" s="108">
        <f t="shared" si="17"/>
        <v>11.982107910993633</v>
      </c>
      <c r="AO199" s="101">
        <f t="shared" si="18"/>
        <v>13527.799831511813</v>
      </c>
    </row>
    <row r="200" spans="1:41" ht="15.75" customHeight="1" x14ac:dyDescent="0.3">
      <c r="A200" s="99">
        <v>41601</v>
      </c>
      <c r="B200" s="62" t="s">
        <v>151</v>
      </c>
      <c r="C200" s="62" t="s">
        <v>801</v>
      </c>
      <c r="D200" s="112">
        <v>1</v>
      </c>
      <c r="E200" s="113">
        <v>5625.5</v>
      </c>
      <c r="F200" s="114">
        <v>1</v>
      </c>
      <c r="G200" s="103">
        <v>91012620</v>
      </c>
      <c r="H200" s="103">
        <f t="shared" si="0"/>
        <v>205805.92747980001</v>
      </c>
      <c r="I200" s="104">
        <f t="shared" si="70"/>
        <v>1.5101078213511656E-5</v>
      </c>
      <c r="J200" s="105">
        <f t="shared" si="2"/>
        <v>5.5246492003853311E-4</v>
      </c>
      <c r="K200" s="115">
        <v>0</v>
      </c>
      <c r="L200" s="107">
        <v>116763400</v>
      </c>
      <c r="M200" s="103">
        <f t="shared" si="3"/>
        <v>316484.47663886455</v>
      </c>
      <c r="N200" s="104">
        <f t="shared" si="71"/>
        <v>0</v>
      </c>
      <c r="O200" s="105">
        <f t="shared" si="5"/>
        <v>0</v>
      </c>
      <c r="P200" s="114">
        <v>0</v>
      </c>
      <c r="Q200" s="103">
        <v>16330426269</v>
      </c>
      <c r="R200" s="103">
        <f t="shared" si="6"/>
        <v>31815.045119922193</v>
      </c>
      <c r="S200" s="104">
        <f t="shared" si="72"/>
        <v>0</v>
      </c>
      <c r="T200" s="105">
        <f t="shared" si="8"/>
        <v>0</v>
      </c>
      <c r="U200" s="104">
        <f t="shared" si="9"/>
        <v>5.5246492003853311E-4</v>
      </c>
      <c r="V200" s="103">
        <f t="shared" si="10"/>
        <v>3.1078914076767679</v>
      </c>
      <c r="W200" s="112">
        <v>1</v>
      </c>
      <c r="X200" s="101">
        <v>5996</v>
      </c>
      <c r="Y200" s="114">
        <v>1</v>
      </c>
      <c r="Z200" s="107">
        <v>154428964</v>
      </c>
      <c r="AA200" s="103">
        <v>349209.36694527901</v>
      </c>
      <c r="AB200" s="104">
        <f t="shared" si="73"/>
        <v>1.0232320647928678E-5</v>
      </c>
      <c r="AC200" s="105">
        <f t="shared" si="12"/>
        <v>5.959343255243964E-4</v>
      </c>
      <c r="AD200" s="114">
        <v>0</v>
      </c>
      <c r="AE200" s="103">
        <v>151576304</v>
      </c>
      <c r="AF200" s="103">
        <v>349524.02110103</v>
      </c>
      <c r="AG200" s="104">
        <f t="shared" si="74"/>
        <v>0</v>
      </c>
      <c r="AH200" s="105">
        <f t="shared" si="14"/>
        <v>0</v>
      </c>
      <c r="AI200" s="115">
        <v>0</v>
      </c>
      <c r="AJ200" s="103">
        <v>26311076528</v>
      </c>
      <c r="AK200" s="103">
        <v>51259.414372873005</v>
      </c>
      <c r="AL200" s="104">
        <f t="shared" si="75"/>
        <v>0</v>
      </c>
      <c r="AM200" s="104">
        <f t="shared" si="16"/>
        <v>0</v>
      </c>
      <c r="AN200" s="108">
        <f t="shared" si="17"/>
        <v>5.959343255243964E-4</v>
      </c>
      <c r="AO200" s="101">
        <f t="shared" si="18"/>
        <v>3.5732222158442806</v>
      </c>
    </row>
    <row r="201" spans="1:41" ht="15.75" customHeight="1" x14ac:dyDescent="0.3">
      <c r="A201" s="99">
        <v>50101</v>
      </c>
      <c r="B201" s="62" t="s">
        <v>183</v>
      </c>
      <c r="C201" s="62" t="s">
        <v>183</v>
      </c>
      <c r="D201" s="100">
        <v>44803</v>
      </c>
      <c r="E201" s="101">
        <v>198152</v>
      </c>
      <c r="F201" s="102">
        <v>35051.774690499078</v>
      </c>
      <c r="G201" s="103">
        <v>80715608</v>
      </c>
      <c r="H201" s="103">
        <f t="shared" si="0"/>
        <v>182521.39721431999</v>
      </c>
      <c r="I201" s="104">
        <f t="shared" ref="I201:I242" si="76">F201/SUM($F$201:$F$242)</f>
        <v>0.77826783279805001</v>
      </c>
      <c r="J201" s="105">
        <f t="shared" si="2"/>
        <v>0.71687660103991313</v>
      </c>
      <c r="K201" s="106">
        <v>8615.6558540540846</v>
      </c>
      <c r="L201" s="107">
        <v>102296881</v>
      </c>
      <c r="M201" s="103">
        <f t="shared" si="3"/>
        <v>277273.31377018144</v>
      </c>
      <c r="N201" s="104">
        <f t="shared" ref="N201:N242" si="77">K201/SUM($K$201:$K$242)</f>
        <v>0.80978812536570677</v>
      </c>
      <c r="O201" s="105">
        <f t="shared" si="5"/>
        <v>1.1331333368923484</v>
      </c>
      <c r="P201" s="102">
        <v>1130.444711744909</v>
      </c>
      <c r="Q201" s="103">
        <v>1312701719</v>
      </c>
      <c r="R201" s="103">
        <f t="shared" si="6"/>
        <v>2557.4142236730381</v>
      </c>
      <c r="S201" s="104">
        <f t="shared" ref="S201:S242" si="78">P201/SUM($P$201:$P$242)</f>
        <v>0.77001957933598797</v>
      </c>
      <c r="T201" s="105">
        <f t="shared" si="8"/>
        <v>9.9381233835670844E-3</v>
      </c>
      <c r="U201" s="104">
        <f t="shared" si="9"/>
        <v>1.8599480613158288</v>
      </c>
      <c r="V201" s="103">
        <f t="shared" si="10"/>
        <v>368552.42824585404</v>
      </c>
      <c r="W201" s="100">
        <v>66234</v>
      </c>
      <c r="X201" s="101">
        <v>218702</v>
      </c>
      <c r="Y201" s="102">
        <v>54124.04890292474</v>
      </c>
      <c r="Z201" s="107">
        <v>121716258</v>
      </c>
      <c r="AA201" s="103">
        <v>275236.30478494999</v>
      </c>
      <c r="AB201" s="104">
        <f t="shared" ref="AB201:AB242" si="79">Y201/SUM($Y$201:$Y$242)</f>
        <v>0.74286328519583933</v>
      </c>
      <c r="AC201" s="105">
        <f t="shared" si="12"/>
        <v>0.93489289342443715</v>
      </c>
      <c r="AD201" s="102">
        <v>10487.92728598849</v>
      </c>
      <c r="AE201" s="103">
        <v>148074670</v>
      </c>
      <c r="AF201" s="103">
        <v>298068.80334898003</v>
      </c>
      <c r="AG201" s="104">
        <f t="shared" ref="AG201:AG242" si="80">AD201/SUM($AD$201:$AD$242)</f>
        <v>0.75763612061789132</v>
      </c>
      <c r="AH201" s="105">
        <f t="shared" si="14"/>
        <v>1.0325817406632696</v>
      </c>
      <c r="AI201" s="106">
        <v>1615.6141803365981</v>
      </c>
      <c r="AJ201" s="103">
        <v>1717060725</v>
      </c>
      <c r="AK201" s="103">
        <v>3345.1891293834997</v>
      </c>
      <c r="AL201" s="104">
        <f t="shared" ref="AL201:AL242" si="81">AI201/SUM($AI$201:$AI$242)</f>
        <v>0.74656580066366374</v>
      </c>
      <c r="AM201" s="104">
        <f t="shared" si="16"/>
        <v>1.1419208789812514E-2</v>
      </c>
      <c r="AN201" s="108">
        <f t="shared" si="17"/>
        <v>1.9788938428775193</v>
      </c>
      <c r="AO201" s="101">
        <f t="shared" si="18"/>
        <v>432788.04122499918</v>
      </c>
    </row>
    <row r="202" spans="1:41" ht="15.75" customHeight="1" x14ac:dyDescent="0.3">
      <c r="A202" s="99">
        <v>50102</v>
      </c>
      <c r="B202" s="62" t="s">
        <v>183</v>
      </c>
      <c r="C202" s="62" t="s">
        <v>802</v>
      </c>
      <c r="D202" s="112">
        <v>0</v>
      </c>
      <c r="E202" s="113">
        <v>27635.5</v>
      </c>
      <c r="F202" s="114">
        <v>0</v>
      </c>
      <c r="G202" s="103">
        <v>80715608</v>
      </c>
      <c r="H202" s="103">
        <f t="shared" si="0"/>
        <v>182521.39721431999</v>
      </c>
      <c r="I202" s="104">
        <f t="shared" si="76"/>
        <v>0</v>
      </c>
      <c r="J202" s="105">
        <f t="shared" si="2"/>
        <v>0</v>
      </c>
      <c r="K202" s="115">
        <v>0</v>
      </c>
      <c r="L202" s="107">
        <v>102296881</v>
      </c>
      <c r="M202" s="103">
        <f t="shared" si="3"/>
        <v>277273.31377018144</v>
      </c>
      <c r="N202" s="104">
        <f t="shared" si="77"/>
        <v>0</v>
      </c>
      <c r="O202" s="105">
        <f t="shared" si="5"/>
        <v>0</v>
      </c>
      <c r="P202" s="114">
        <v>0</v>
      </c>
      <c r="Q202" s="103">
        <v>1312701719</v>
      </c>
      <c r="R202" s="103">
        <f t="shared" si="6"/>
        <v>2557.4142236730381</v>
      </c>
      <c r="S202" s="104">
        <f t="shared" si="78"/>
        <v>0</v>
      </c>
      <c r="T202" s="105">
        <f t="shared" si="8"/>
        <v>0</v>
      </c>
      <c r="U202" s="104">
        <f t="shared" si="9"/>
        <v>0</v>
      </c>
      <c r="V202" s="103">
        <f t="shared" si="10"/>
        <v>0</v>
      </c>
      <c r="W202" s="112">
        <v>0</v>
      </c>
      <c r="X202" s="101">
        <v>28942</v>
      </c>
      <c r="Y202" s="114">
        <v>0</v>
      </c>
      <c r="Z202" s="107">
        <v>121716258</v>
      </c>
      <c r="AA202" s="103">
        <v>275236.30478494999</v>
      </c>
      <c r="AB202" s="104">
        <f t="shared" si="79"/>
        <v>0</v>
      </c>
      <c r="AC202" s="105">
        <f t="shared" si="12"/>
        <v>0</v>
      </c>
      <c r="AD202" s="114">
        <v>0</v>
      </c>
      <c r="AE202" s="103">
        <v>148074670</v>
      </c>
      <c r="AF202" s="103">
        <v>298068.80334898003</v>
      </c>
      <c r="AG202" s="104">
        <f t="shared" si="80"/>
        <v>0</v>
      </c>
      <c r="AH202" s="105">
        <f t="shared" si="14"/>
        <v>0</v>
      </c>
      <c r="AI202" s="115">
        <v>0</v>
      </c>
      <c r="AJ202" s="103">
        <v>1717060725</v>
      </c>
      <c r="AK202" s="103">
        <v>3345.1891293834997</v>
      </c>
      <c r="AL202" s="104">
        <f t="shared" si="81"/>
        <v>0</v>
      </c>
      <c r="AM202" s="104">
        <f t="shared" si="16"/>
        <v>0</v>
      </c>
      <c r="AN202" s="108">
        <f t="shared" si="17"/>
        <v>0</v>
      </c>
      <c r="AO202" s="101">
        <f t="shared" si="18"/>
        <v>0</v>
      </c>
    </row>
    <row r="203" spans="1:41" ht="15.75" customHeight="1" x14ac:dyDescent="0.3">
      <c r="A203" s="99">
        <v>50103</v>
      </c>
      <c r="B203" s="62" t="s">
        <v>183</v>
      </c>
      <c r="C203" s="62" t="s">
        <v>212</v>
      </c>
      <c r="D203" s="100">
        <v>15</v>
      </c>
      <c r="E203" s="101">
        <v>9797.5</v>
      </c>
      <c r="F203" s="102">
        <v>11.72120805832791</v>
      </c>
      <c r="G203" s="103">
        <v>80715608</v>
      </c>
      <c r="H203" s="103">
        <f t="shared" si="0"/>
        <v>182521.39721431999</v>
      </c>
      <c r="I203" s="104">
        <f t="shared" si="76"/>
        <v>2.6025042309205879E-4</v>
      </c>
      <c r="J203" s="105">
        <f t="shared" si="2"/>
        <v>4.8483052664843578E-3</v>
      </c>
      <c r="K203" s="106">
        <v>2.969846243831832</v>
      </c>
      <c r="L203" s="107">
        <v>102296881</v>
      </c>
      <c r="M203" s="103">
        <f t="shared" si="3"/>
        <v>277273.31377018144</v>
      </c>
      <c r="N203" s="104">
        <f t="shared" si="77"/>
        <v>2.7913675559421527E-4</v>
      </c>
      <c r="O203" s="105">
        <f t="shared" si="5"/>
        <v>7.8996859626093707E-3</v>
      </c>
      <c r="P203" s="102">
        <v>0.30712154427449029</v>
      </c>
      <c r="Q203" s="103">
        <v>1312701719</v>
      </c>
      <c r="R203" s="103">
        <f t="shared" si="6"/>
        <v>2557.4142236730381</v>
      </c>
      <c r="S203" s="104">
        <f t="shared" si="78"/>
        <v>2.092005030146288E-4</v>
      </c>
      <c r="T203" s="105">
        <f t="shared" si="8"/>
        <v>5.4607026487284108E-5</v>
      </c>
      <c r="U203" s="104">
        <f t="shared" si="9"/>
        <v>1.2802598255581013E-2</v>
      </c>
      <c r="V203" s="103">
        <f t="shared" si="10"/>
        <v>125.43345640905497</v>
      </c>
      <c r="W203" s="100">
        <v>51</v>
      </c>
      <c r="X203" s="101">
        <v>12253</v>
      </c>
      <c r="Y203" s="102">
        <v>36.695343231199537</v>
      </c>
      <c r="Z203" s="107">
        <v>121716258</v>
      </c>
      <c r="AA203" s="103">
        <v>275236.30478494999</v>
      </c>
      <c r="AB203" s="104">
        <f t="shared" si="79"/>
        <v>5.0365084979155626E-4</v>
      </c>
      <c r="AC203" s="105">
        <f t="shared" si="12"/>
        <v>1.1313392540473992E-2</v>
      </c>
      <c r="AD203" s="102">
        <v>13.352041805532579</v>
      </c>
      <c r="AE203" s="103">
        <v>148074670</v>
      </c>
      <c r="AF203" s="103">
        <v>298068.80334898003</v>
      </c>
      <c r="AG203" s="104">
        <f t="shared" si="80"/>
        <v>9.6453654568965427E-4</v>
      </c>
      <c r="AH203" s="105">
        <f t="shared" si="14"/>
        <v>2.3463499058195877E-2</v>
      </c>
      <c r="AI203" s="106">
        <v>0.94843622403762773</v>
      </c>
      <c r="AJ203" s="103">
        <v>1717060725</v>
      </c>
      <c r="AK203" s="103">
        <v>3345.1891293834997</v>
      </c>
      <c r="AL203" s="104">
        <f t="shared" si="81"/>
        <v>4.3826679512651577E-4</v>
      </c>
      <c r="AM203" s="104">
        <f t="shared" si="16"/>
        <v>1.1965113187194695E-4</v>
      </c>
      <c r="AN203" s="108">
        <f t="shared" si="17"/>
        <v>3.4896542730541817E-2</v>
      </c>
      <c r="AO203" s="101">
        <f t="shared" si="18"/>
        <v>427.58733807732887</v>
      </c>
    </row>
    <row r="204" spans="1:41" ht="15.75" customHeight="1" x14ac:dyDescent="0.3">
      <c r="A204" s="99">
        <v>50104</v>
      </c>
      <c r="B204" s="62" t="s">
        <v>183</v>
      </c>
      <c r="C204" s="62" t="s">
        <v>803</v>
      </c>
      <c r="D204" s="112">
        <v>0</v>
      </c>
      <c r="E204" s="113">
        <v>2849.5</v>
      </c>
      <c r="F204" s="114">
        <v>0</v>
      </c>
      <c r="G204" s="103">
        <v>80715608</v>
      </c>
      <c r="H204" s="103">
        <f t="shared" si="0"/>
        <v>182521.39721431999</v>
      </c>
      <c r="I204" s="104">
        <f t="shared" si="76"/>
        <v>0</v>
      </c>
      <c r="J204" s="105">
        <f t="shared" si="2"/>
        <v>0</v>
      </c>
      <c r="K204" s="115">
        <v>0</v>
      </c>
      <c r="L204" s="107">
        <v>102296881</v>
      </c>
      <c r="M204" s="103">
        <f t="shared" si="3"/>
        <v>277273.31377018144</v>
      </c>
      <c r="N204" s="104">
        <f t="shared" si="77"/>
        <v>0</v>
      </c>
      <c r="O204" s="105">
        <f t="shared" si="5"/>
        <v>0</v>
      </c>
      <c r="P204" s="114">
        <v>0</v>
      </c>
      <c r="Q204" s="103">
        <v>1312701719</v>
      </c>
      <c r="R204" s="103">
        <f t="shared" si="6"/>
        <v>2557.4142236730381</v>
      </c>
      <c r="S204" s="104">
        <f t="shared" si="78"/>
        <v>0</v>
      </c>
      <c r="T204" s="105">
        <f t="shared" si="8"/>
        <v>0</v>
      </c>
      <c r="U204" s="104">
        <f t="shared" si="9"/>
        <v>0</v>
      </c>
      <c r="V204" s="103">
        <f t="shared" si="10"/>
        <v>0</v>
      </c>
      <c r="W204" s="112">
        <v>0</v>
      </c>
      <c r="X204" s="101">
        <v>3121</v>
      </c>
      <c r="Y204" s="114">
        <v>0</v>
      </c>
      <c r="Z204" s="107">
        <v>121716258</v>
      </c>
      <c r="AA204" s="103">
        <v>275236.30478494999</v>
      </c>
      <c r="AB204" s="104">
        <f t="shared" si="79"/>
        <v>0</v>
      </c>
      <c r="AC204" s="105">
        <f t="shared" si="12"/>
        <v>0</v>
      </c>
      <c r="AD204" s="114">
        <v>0</v>
      </c>
      <c r="AE204" s="103">
        <v>148074670</v>
      </c>
      <c r="AF204" s="103">
        <v>298068.80334898003</v>
      </c>
      <c r="AG204" s="104">
        <f t="shared" si="80"/>
        <v>0</v>
      </c>
      <c r="AH204" s="105">
        <f t="shared" si="14"/>
        <v>0</v>
      </c>
      <c r="AI204" s="115">
        <v>0</v>
      </c>
      <c r="AJ204" s="103">
        <v>1717060725</v>
      </c>
      <c r="AK204" s="103">
        <v>3345.1891293834997</v>
      </c>
      <c r="AL204" s="104">
        <f t="shared" si="81"/>
        <v>0</v>
      </c>
      <c r="AM204" s="104">
        <f t="shared" si="16"/>
        <v>0</v>
      </c>
      <c r="AN204" s="108">
        <f t="shared" si="17"/>
        <v>0</v>
      </c>
      <c r="AO204" s="101">
        <f t="shared" si="18"/>
        <v>0</v>
      </c>
    </row>
    <row r="205" spans="1:41" ht="15.75" customHeight="1" x14ac:dyDescent="0.3">
      <c r="A205" s="99">
        <v>50201</v>
      </c>
      <c r="B205" s="62" t="s">
        <v>183</v>
      </c>
      <c r="C205" s="62" t="s">
        <v>208</v>
      </c>
      <c r="D205" s="100">
        <v>466</v>
      </c>
      <c r="E205" s="101">
        <v>22207</v>
      </c>
      <c r="F205" s="102">
        <v>378.65838022195669</v>
      </c>
      <c r="G205" s="103">
        <v>80715608</v>
      </c>
      <c r="H205" s="103">
        <f t="shared" si="0"/>
        <v>182521.39721431999</v>
      </c>
      <c r="I205" s="104">
        <f t="shared" si="76"/>
        <v>8.4074954705800169E-3</v>
      </c>
      <c r="J205" s="105">
        <f t="shared" si="2"/>
        <v>6.910198677729236E-2</v>
      </c>
      <c r="K205" s="106">
        <v>70.699048303427091</v>
      </c>
      <c r="L205" s="107">
        <v>102296881</v>
      </c>
      <c r="M205" s="103">
        <f t="shared" si="3"/>
        <v>277273.31377018144</v>
      </c>
      <c r="N205" s="104">
        <f t="shared" si="77"/>
        <v>6.6450251449902426E-3</v>
      </c>
      <c r="O205" s="105">
        <f t="shared" si="5"/>
        <v>8.2968800019706621E-2</v>
      </c>
      <c r="P205" s="102">
        <v>16.561427787075129</v>
      </c>
      <c r="Q205" s="103">
        <v>1312701719</v>
      </c>
      <c r="R205" s="103">
        <f t="shared" si="6"/>
        <v>2557.4142236730381</v>
      </c>
      <c r="S205" s="104">
        <f t="shared" si="78"/>
        <v>1.1281067995021619E-2</v>
      </c>
      <c r="T205" s="105">
        <f t="shared" si="8"/>
        <v>1.2991562907502575E-3</v>
      </c>
      <c r="U205" s="104">
        <f t="shared" si="9"/>
        <v>0.15336994308774923</v>
      </c>
      <c r="V205" s="103">
        <f t="shared" si="10"/>
        <v>3405.8863261496476</v>
      </c>
      <c r="W205" s="100">
        <v>564</v>
      </c>
      <c r="X205" s="101">
        <v>22768</v>
      </c>
      <c r="Y205" s="102">
        <v>483.85203230617151</v>
      </c>
      <c r="Z205" s="107">
        <v>121716258</v>
      </c>
      <c r="AA205" s="103">
        <v>275236.30478494999</v>
      </c>
      <c r="AB205" s="104">
        <f t="shared" si="79"/>
        <v>6.6409649232325417E-3</v>
      </c>
      <c r="AC205" s="105">
        <f t="shared" si="12"/>
        <v>8.0280861106684559E-2</v>
      </c>
      <c r="AD205" s="102">
        <v>63.882829750434517</v>
      </c>
      <c r="AE205" s="103">
        <v>148074670</v>
      </c>
      <c r="AF205" s="103">
        <v>298068.80334898003</v>
      </c>
      <c r="AG205" s="104">
        <f t="shared" si="80"/>
        <v>4.6148240721379788E-3</v>
      </c>
      <c r="AH205" s="105">
        <f t="shared" si="14"/>
        <v>6.0415279728049651E-2</v>
      </c>
      <c r="AI205" s="106">
        <v>16.19907813951102</v>
      </c>
      <c r="AJ205" s="103">
        <v>1717060725</v>
      </c>
      <c r="AK205" s="103">
        <v>3345.1891293834997</v>
      </c>
      <c r="AL205" s="104">
        <f t="shared" si="81"/>
        <v>7.4854986347778233E-3</v>
      </c>
      <c r="AM205" s="104">
        <f t="shared" si="16"/>
        <v>1.0998071267161718E-3</v>
      </c>
      <c r="AN205" s="108">
        <f t="shared" si="17"/>
        <v>0.14179594796145037</v>
      </c>
      <c r="AO205" s="101">
        <f t="shared" si="18"/>
        <v>3228.4101431863023</v>
      </c>
    </row>
    <row r="206" spans="1:41" ht="15.75" customHeight="1" x14ac:dyDescent="0.3">
      <c r="A206" s="99">
        <v>50202</v>
      </c>
      <c r="B206" s="62" t="s">
        <v>183</v>
      </c>
      <c r="C206" s="62" t="s">
        <v>191</v>
      </c>
      <c r="D206" s="100">
        <v>32</v>
      </c>
      <c r="E206" s="101">
        <v>16102</v>
      </c>
      <c r="F206" s="102">
        <v>26.771216642885129</v>
      </c>
      <c r="G206" s="103">
        <v>80715608</v>
      </c>
      <c r="H206" s="103">
        <f t="shared" si="0"/>
        <v>182521.39721431999</v>
      </c>
      <c r="I206" s="104">
        <f t="shared" si="76"/>
        <v>5.9441146538217234E-4</v>
      </c>
      <c r="J206" s="105">
        <f t="shared" si="2"/>
        <v>6.737846924715284E-3</v>
      </c>
      <c r="K206" s="106">
        <v>4.334401054040721</v>
      </c>
      <c r="L206" s="107">
        <v>102296881</v>
      </c>
      <c r="M206" s="103">
        <f t="shared" si="3"/>
        <v>277273.31377018144</v>
      </c>
      <c r="N206" s="104">
        <f t="shared" si="77"/>
        <v>4.0739167900760319E-4</v>
      </c>
      <c r="O206" s="105">
        <f t="shared" si="5"/>
        <v>7.0152056167455097E-3</v>
      </c>
      <c r="P206" s="102">
        <v>0.88954849428515592</v>
      </c>
      <c r="Q206" s="103">
        <v>1312701719</v>
      </c>
      <c r="R206" s="103">
        <f t="shared" si="6"/>
        <v>2557.4142236730381</v>
      </c>
      <c r="S206" s="104">
        <f t="shared" si="78"/>
        <v>6.0592946320313671E-4</v>
      </c>
      <c r="T206" s="105">
        <f t="shared" si="8"/>
        <v>9.6237276595346582E-5</v>
      </c>
      <c r="U206" s="104">
        <f t="shared" si="9"/>
        <v>1.3849289818056141E-2</v>
      </c>
      <c r="V206" s="103">
        <f t="shared" si="10"/>
        <v>223.00126465033998</v>
      </c>
      <c r="W206" s="100">
        <v>31</v>
      </c>
      <c r="X206" s="101">
        <v>16021</v>
      </c>
      <c r="Y206" s="102">
        <v>25.971506918647101</v>
      </c>
      <c r="Z206" s="107">
        <v>121716258</v>
      </c>
      <c r="AA206" s="103">
        <v>275236.30478494999</v>
      </c>
      <c r="AB206" s="104">
        <f t="shared" si="79"/>
        <v>3.5646407358910819E-4</v>
      </c>
      <c r="AC206" s="105">
        <f t="shared" si="12"/>
        <v>6.1239532116132969E-3</v>
      </c>
      <c r="AD206" s="102">
        <v>4.183820502516773</v>
      </c>
      <c r="AE206" s="103">
        <v>148074670</v>
      </c>
      <c r="AF206" s="103">
        <v>298068.80334898003</v>
      </c>
      <c r="AG206" s="104">
        <f t="shared" si="80"/>
        <v>3.0223450720555302E-4</v>
      </c>
      <c r="AH206" s="105">
        <f t="shared" si="14"/>
        <v>5.6230371321095984E-3</v>
      </c>
      <c r="AI206" s="106">
        <v>0.84020161474959698</v>
      </c>
      <c r="AJ206" s="103">
        <v>1717060725</v>
      </c>
      <c r="AK206" s="103">
        <v>3345.1891293834997</v>
      </c>
      <c r="AL206" s="104">
        <f t="shared" si="81"/>
        <v>3.8825221941525117E-4</v>
      </c>
      <c r="AM206" s="104">
        <f t="shared" si="16"/>
        <v>8.1067168331996482E-5</v>
      </c>
      <c r="AN206" s="108">
        <f t="shared" si="17"/>
        <v>1.1828057512054893E-2</v>
      </c>
      <c r="AO206" s="101">
        <f t="shared" si="18"/>
        <v>189.49730940063139</v>
      </c>
    </row>
    <row r="207" spans="1:41" ht="15.75" customHeight="1" x14ac:dyDescent="0.3">
      <c r="A207" s="99">
        <v>50203</v>
      </c>
      <c r="B207" s="62" t="s">
        <v>183</v>
      </c>
      <c r="C207" s="62" t="s">
        <v>195</v>
      </c>
      <c r="D207" s="100">
        <v>1687</v>
      </c>
      <c r="E207" s="101">
        <v>41249.5</v>
      </c>
      <c r="F207" s="102">
        <v>1387.704569940875</v>
      </c>
      <c r="G207" s="103">
        <v>80715608</v>
      </c>
      <c r="H207" s="103">
        <f t="shared" si="0"/>
        <v>182521.39721431999</v>
      </c>
      <c r="I207" s="104">
        <f t="shared" si="76"/>
        <v>3.0811730297484043E-2</v>
      </c>
      <c r="J207" s="105">
        <f t="shared" si="2"/>
        <v>0.13633619957787568</v>
      </c>
      <c r="K207" s="106">
        <v>252.75549196812011</v>
      </c>
      <c r="L207" s="107">
        <v>102296881</v>
      </c>
      <c r="M207" s="103">
        <f t="shared" si="3"/>
        <v>277273.31377018144</v>
      </c>
      <c r="N207" s="104">
        <f t="shared" si="77"/>
        <v>2.3756565893987027E-2</v>
      </c>
      <c r="O207" s="105">
        <f t="shared" si="5"/>
        <v>0.15968828105129654</v>
      </c>
      <c r="P207" s="102">
        <v>46.330502860665597</v>
      </c>
      <c r="Q207" s="103">
        <v>1312701719</v>
      </c>
      <c r="R207" s="103">
        <f t="shared" si="6"/>
        <v>2557.4142236730381</v>
      </c>
      <c r="S207" s="104">
        <f t="shared" si="78"/>
        <v>3.1558725475505485E-2</v>
      </c>
      <c r="T207" s="105">
        <f t="shared" si="8"/>
        <v>1.9565990717960312E-3</v>
      </c>
      <c r="U207" s="104">
        <f t="shared" si="9"/>
        <v>0.29798107970096821</v>
      </c>
      <c r="V207" s="103">
        <f t="shared" si="10"/>
        <v>12291.570547125089</v>
      </c>
      <c r="W207" s="100">
        <v>3152</v>
      </c>
      <c r="X207" s="101">
        <v>41686</v>
      </c>
      <c r="Y207" s="102">
        <v>2641.619801983134</v>
      </c>
      <c r="Z207" s="107">
        <v>121716258</v>
      </c>
      <c r="AA207" s="103">
        <v>275236.30478494999</v>
      </c>
      <c r="AB207" s="104">
        <f t="shared" si="79"/>
        <v>3.6256754698067904E-2</v>
      </c>
      <c r="AC207" s="105">
        <f t="shared" si="12"/>
        <v>0.23938912792281783</v>
      </c>
      <c r="AD207" s="102">
        <v>421.77061930761778</v>
      </c>
      <c r="AE207" s="103">
        <v>148074670</v>
      </c>
      <c r="AF207" s="103">
        <v>298068.80334898003</v>
      </c>
      <c r="AG207" s="104">
        <f t="shared" si="80"/>
        <v>3.0468237153945095E-2</v>
      </c>
      <c r="AH207" s="105">
        <f t="shared" si="14"/>
        <v>0.21785805758838334</v>
      </c>
      <c r="AI207" s="106">
        <v>88.226512597691496</v>
      </c>
      <c r="AJ207" s="103">
        <v>1717060725</v>
      </c>
      <c r="AK207" s="103">
        <v>3345.1891293834997</v>
      </c>
      <c r="AL207" s="104">
        <f t="shared" si="81"/>
        <v>4.0768952030079124E-2</v>
      </c>
      <c r="AM207" s="104">
        <f t="shared" si="16"/>
        <v>3.2715985018322226E-3</v>
      </c>
      <c r="AN207" s="108">
        <f t="shared" si="17"/>
        <v>0.46051878401303337</v>
      </c>
      <c r="AO207" s="101">
        <f t="shared" si="18"/>
        <v>19197.186030367309</v>
      </c>
    </row>
    <row r="208" spans="1:41" ht="15.75" customHeight="1" x14ac:dyDescent="0.3">
      <c r="A208" s="99">
        <v>50204</v>
      </c>
      <c r="B208" s="62" t="s">
        <v>183</v>
      </c>
      <c r="C208" s="62" t="s">
        <v>804</v>
      </c>
      <c r="D208" s="112"/>
      <c r="E208" s="113">
        <v>8069.25</v>
      </c>
      <c r="F208" s="114"/>
      <c r="G208" s="103">
        <v>80715608</v>
      </c>
      <c r="H208" s="103">
        <f t="shared" si="0"/>
        <v>182521.39721431999</v>
      </c>
      <c r="I208" s="104">
        <f t="shared" si="76"/>
        <v>0</v>
      </c>
      <c r="J208" s="105">
        <f t="shared" si="2"/>
        <v>0</v>
      </c>
      <c r="K208" s="115"/>
      <c r="L208" s="107">
        <v>102296881</v>
      </c>
      <c r="M208" s="103">
        <f t="shared" si="3"/>
        <v>277273.31377018144</v>
      </c>
      <c r="N208" s="104">
        <f t="shared" si="77"/>
        <v>0</v>
      </c>
      <c r="O208" s="105">
        <f t="shared" si="5"/>
        <v>0</v>
      </c>
      <c r="P208" s="114"/>
      <c r="Q208" s="103">
        <v>1312701719</v>
      </c>
      <c r="R208" s="103">
        <f t="shared" si="6"/>
        <v>2557.4142236730381</v>
      </c>
      <c r="S208" s="104">
        <f t="shared" si="78"/>
        <v>0</v>
      </c>
      <c r="T208" s="105">
        <f t="shared" si="8"/>
        <v>0</v>
      </c>
      <c r="U208" s="104">
        <f t="shared" si="9"/>
        <v>0</v>
      </c>
      <c r="V208" s="103">
        <f t="shared" si="10"/>
        <v>0</v>
      </c>
      <c r="W208" s="112"/>
      <c r="X208" s="101">
        <v>8220</v>
      </c>
      <c r="Y208" s="114"/>
      <c r="Z208" s="107">
        <v>121716258</v>
      </c>
      <c r="AA208" s="103">
        <v>275236.30478494999</v>
      </c>
      <c r="AB208" s="104">
        <f t="shared" si="79"/>
        <v>0</v>
      </c>
      <c r="AC208" s="105">
        <f t="shared" si="12"/>
        <v>0</v>
      </c>
      <c r="AD208" s="114"/>
      <c r="AE208" s="103">
        <v>148074670</v>
      </c>
      <c r="AF208" s="103">
        <v>298068.80334898003</v>
      </c>
      <c r="AG208" s="104">
        <f t="shared" si="80"/>
        <v>0</v>
      </c>
      <c r="AH208" s="105">
        <f t="shared" si="14"/>
        <v>0</v>
      </c>
      <c r="AI208" s="115"/>
      <c r="AJ208" s="103">
        <v>1717060725</v>
      </c>
      <c r="AK208" s="103">
        <v>3345.1891293834997</v>
      </c>
      <c r="AL208" s="104">
        <f t="shared" si="81"/>
        <v>0</v>
      </c>
      <c r="AM208" s="104">
        <f t="shared" si="16"/>
        <v>0</v>
      </c>
      <c r="AN208" s="108">
        <f t="shared" si="17"/>
        <v>0</v>
      </c>
      <c r="AO208" s="101">
        <f t="shared" si="18"/>
        <v>0</v>
      </c>
    </row>
    <row r="209" spans="1:41" ht="15.75" customHeight="1" x14ac:dyDescent="0.3">
      <c r="A209" s="99">
        <v>50301</v>
      </c>
      <c r="B209" s="62" t="s">
        <v>183</v>
      </c>
      <c r="C209" s="62" t="s">
        <v>187</v>
      </c>
      <c r="D209" s="100">
        <v>130</v>
      </c>
      <c r="E209" s="101">
        <v>33417.5</v>
      </c>
      <c r="F209" s="102">
        <v>87.036366404821166</v>
      </c>
      <c r="G209" s="103">
        <v>80715608</v>
      </c>
      <c r="H209" s="103">
        <f t="shared" si="0"/>
        <v>182521.39721431999</v>
      </c>
      <c r="I209" s="104">
        <f t="shared" si="76"/>
        <v>1.932501416964138E-3</v>
      </c>
      <c r="J209" s="105">
        <f t="shared" si="2"/>
        <v>1.0555034300679215E-2</v>
      </c>
      <c r="K209" s="106">
        <v>40.132851533252641</v>
      </c>
      <c r="L209" s="107">
        <v>102296881</v>
      </c>
      <c r="M209" s="103">
        <f t="shared" si="3"/>
        <v>277273.31377018144</v>
      </c>
      <c r="N209" s="104">
        <f t="shared" si="77"/>
        <v>3.7720989741483785E-3</v>
      </c>
      <c r="O209" s="105">
        <f t="shared" si="5"/>
        <v>3.1298043912058739E-2</v>
      </c>
      <c r="P209" s="102">
        <v>2.824650380632534</v>
      </c>
      <c r="Q209" s="103">
        <v>1312701719</v>
      </c>
      <c r="R209" s="103">
        <f t="shared" si="6"/>
        <v>2557.4142236730381</v>
      </c>
      <c r="S209" s="104">
        <f t="shared" si="78"/>
        <v>1.9240534944062891E-3</v>
      </c>
      <c r="T209" s="105">
        <f t="shared" si="8"/>
        <v>1.4724625641362928E-4</v>
      </c>
      <c r="U209" s="104">
        <f t="shared" si="9"/>
        <v>4.2000324469151584E-2</v>
      </c>
      <c r="V209" s="103">
        <f t="shared" si="10"/>
        <v>1403.5458429478729</v>
      </c>
      <c r="W209" s="100">
        <v>305</v>
      </c>
      <c r="X209" s="101">
        <v>31904</v>
      </c>
      <c r="Y209" s="102">
        <v>234.83929784448671</v>
      </c>
      <c r="Z209" s="107">
        <v>121716258</v>
      </c>
      <c r="AA209" s="103">
        <v>275236.30478494999</v>
      </c>
      <c r="AB209" s="104">
        <f t="shared" si="79"/>
        <v>3.2232158499955186E-3</v>
      </c>
      <c r="AC209" s="105">
        <f t="shared" si="12"/>
        <v>2.7806733327389928E-2</v>
      </c>
      <c r="AD209" s="102">
        <v>63.810594631222664</v>
      </c>
      <c r="AE209" s="103">
        <v>148074670</v>
      </c>
      <c r="AF209" s="103">
        <v>298068.80334898003</v>
      </c>
      <c r="AG209" s="104">
        <f t="shared" si="80"/>
        <v>4.6096058880297462E-3</v>
      </c>
      <c r="AH209" s="105">
        <f t="shared" si="14"/>
        <v>4.3066064159836971E-2</v>
      </c>
      <c r="AI209" s="106">
        <v>6.3329426540277094</v>
      </c>
      <c r="AJ209" s="103">
        <v>1717060725</v>
      </c>
      <c r="AK209" s="103">
        <v>3345.1891293834997</v>
      </c>
      <c r="AL209" s="104">
        <f t="shared" si="81"/>
        <v>2.9264155146720974E-3</v>
      </c>
      <c r="AM209" s="104">
        <f t="shared" si="16"/>
        <v>3.0683968680229184E-4</v>
      </c>
      <c r="AN209" s="108">
        <f t="shared" si="17"/>
        <v>7.1179637174029198E-2</v>
      </c>
      <c r="AO209" s="101">
        <f t="shared" si="18"/>
        <v>2270.9151444002277</v>
      </c>
    </row>
    <row r="210" spans="1:41" ht="15.75" customHeight="1" x14ac:dyDescent="0.3">
      <c r="A210" s="99">
        <v>50302</v>
      </c>
      <c r="B210" s="62" t="s">
        <v>183</v>
      </c>
      <c r="C210" s="62" t="s">
        <v>805</v>
      </c>
      <c r="D210" s="112">
        <v>13</v>
      </c>
      <c r="E210" s="113">
        <v>9753.75</v>
      </c>
      <c r="F210" s="114">
        <v>11</v>
      </c>
      <c r="G210" s="103">
        <v>80715608</v>
      </c>
      <c r="H210" s="103">
        <f t="shared" si="0"/>
        <v>182521.39721431999</v>
      </c>
      <c r="I210" s="104">
        <f t="shared" si="76"/>
        <v>2.4423716734374163E-4</v>
      </c>
      <c r="J210" s="105">
        <f t="shared" si="2"/>
        <v>4.5703969278736286E-3</v>
      </c>
      <c r="K210" s="115">
        <v>2</v>
      </c>
      <c r="L210" s="107">
        <v>102296881</v>
      </c>
      <c r="M210" s="103">
        <f t="shared" si="3"/>
        <v>277273.31377018144</v>
      </c>
      <c r="N210" s="104">
        <f t="shared" si="77"/>
        <v>1.8798061089792998E-4</v>
      </c>
      <c r="O210" s="105">
        <f t="shared" si="5"/>
        <v>5.3437915579353712E-3</v>
      </c>
      <c r="P210" s="114">
        <v>0</v>
      </c>
      <c r="Q210" s="103">
        <v>1312701719</v>
      </c>
      <c r="R210" s="103">
        <f t="shared" si="6"/>
        <v>2557.4142236730381</v>
      </c>
      <c r="S210" s="104">
        <f t="shared" si="78"/>
        <v>0</v>
      </c>
      <c r="T210" s="105">
        <f t="shared" si="8"/>
        <v>0</v>
      </c>
      <c r="U210" s="104">
        <f t="shared" si="9"/>
        <v>9.9141884858089998E-3</v>
      </c>
      <c r="V210" s="103">
        <f t="shared" si="10"/>
        <v>96.700515943459536</v>
      </c>
      <c r="W210" s="112">
        <v>37</v>
      </c>
      <c r="X210" s="101">
        <v>9285</v>
      </c>
      <c r="Y210" s="114">
        <v>32</v>
      </c>
      <c r="Z210" s="107">
        <v>121716258</v>
      </c>
      <c r="AA210" s="103">
        <v>275236.30478494999</v>
      </c>
      <c r="AB210" s="104">
        <f t="shared" si="79"/>
        <v>4.3920633448733533E-4</v>
      </c>
      <c r="AC210" s="105">
        <f t="shared" si="12"/>
        <v>1.3019443030957126E-2</v>
      </c>
      <c r="AD210" s="114">
        <v>4</v>
      </c>
      <c r="AE210" s="103">
        <v>148074670</v>
      </c>
      <c r="AF210" s="103">
        <v>298068.80334898003</v>
      </c>
      <c r="AG210" s="104">
        <f t="shared" si="80"/>
        <v>2.8895551998346408E-4</v>
      </c>
      <c r="AH210" s="105">
        <f t="shared" si="14"/>
        <v>9.2761040455092546E-3</v>
      </c>
      <c r="AI210" s="115">
        <v>1</v>
      </c>
      <c r="AJ210" s="103">
        <v>1717060725</v>
      </c>
      <c r="AK210" s="103">
        <v>3345.1891293834997</v>
      </c>
      <c r="AL210" s="104">
        <f t="shared" si="81"/>
        <v>4.6209411241248435E-4</v>
      </c>
      <c r="AM210" s="104">
        <f t="shared" si="16"/>
        <v>1.6648273576675923E-4</v>
      </c>
      <c r="AN210" s="108">
        <f t="shared" si="17"/>
        <v>2.246202981223314E-2</v>
      </c>
      <c r="AO210" s="101">
        <f t="shared" si="18"/>
        <v>208.55994680658469</v>
      </c>
    </row>
    <row r="211" spans="1:41" ht="15.75" customHeight="1" x14ac:dyDescent="0.3">
      <c r="A211" s="99">
        <v>50303</v>
      </c>
      <c r="B211" s="62" t="s">
        <v>183</v>
      </c>
      <c r="C211" s="62" t="s">
        <v>806</v>
      </c>
      <c r="D211" s="112"/>
      <c r="E211" s="113">
        <v>12467.75</v>
      </c>
      <c r="F211" s="114"/>
      <c r="G211" s="103">
        <v>80715608</v>
      </c>
      <c r="H211" s="103">
        <f t="shared" si="0"/>
        <v>182521.39721431999</v>
      </c>
      <c r="I211" s="104">
        <f t="shared" si="76"/>
        <v>0</v>
      </c>
      <c r="J211" s="105">
        <f t="shared" si="2"/>
        <v>0</v>
      </c>
      <c r="K211" s="115"/>
      <c r="L211" s="107">
        <v>102296881</v>
      </c>
      <c r="M211" s="103">
        <f t="shared" si="3"/>
        <v>277273.31377018144</v>
      </c>
      <c r="N211" s="104">
        <f t="shared" si="77"/>
        <v>0</v>
      </c>
      <c r="O211" s="105">
        <f t="shared" si="5"/>
        <v>0</v>
      </c>
      <c r="P211" s="114"/>
      <c r="Q211" s="103">
        <v>1312701719</v>
      </c>
      <c r="R211" s="103">
        <f t="shared" si="6"/>
        <v>2557.4142236730381</v>
      </c>
      <c r="S211" s="104">
        <f t="shared" si="78"/>
        <v>0</v>
      </c>
      <c r="T211" s="105">
        <f t="shared" si="8"/>
        <v>0</v>
      </c>
      <c r="U211" s="104">
        <f t="shared" si="9"/>
        <v>0</v>
      </c>
      <c r="V211" s="103">
        <f t="shared" si="10"/>
        <v>0</v>
      </c>
      <c r="W211" s="112"/>
      <c r="X211" s="101">
        <v>14366</v>
      </c>
      <c r="Y211" s="114"/>
      <c r="Z211" s="107">
        <v>121716258</v>
      </c>
      <c r="AA211" s="103">
        <v>275236.30478494999</v>
      </c>
      <c r="AB211" s="104">
        <f t="shared" si="79"/>
        <v>0</v>
      </c>
      <c r="AC211" s="105">
        <f t="shared" si="12"/>
        <v>0</v>
      </c>
      <c r="AD211" s="114"/>
      <c r="AE211" s="103">
        <v>148074670</v>
      </c>
      <c r="AF211" s="103">
        <v>298068.80334898003</v>
      </c>
      <c r="AG211" s="104">
        <f t="shared" si="80"/>
        <v>0</v>
      </c>
      <c r="AH211" s="105">
        <f t="shared" si="14"/>
        <v>0</v>
      </c>
      <c r="AI211" s="115"/>
      <c r="AJ211" s="103">
        <v>1717060725</v>
      </c>
      <c r="AK211" s="103">
        <v>3345.1891293834997</v>
      </c>
      <c r="AL211" s="104">
        <f t="shared" si="81"/>
        <v>0</v>
      </c>
      <c r="AM211" s="104">
        <f t="shared" si="16"/>
        <v>0</v>
      </c>
      <c r="AN211" s="108">
        <f t="shared" si="17"/>
        <v>0</v>
      </c>
      <c r="AO211" s="101">
        <f t="shared" si="18"/>
        <v>0</v>
      </c>
    </row>
    <row r="212" spans="1:41" ht="15.75" customHeight="1" x14ac:dyDescent="0.3">
      <c r="A212" s="99">
        <v>50401</v>
      </c>
      <c r="B212" s="62" t="s">
        <v>183</v>
      </c>
      <c r="C212" s="62" t="s">
        <v>193</v>
      </c>
      <c r="D212" s="100">
        <v>2</v>
      </c>
      <c r="E212" s="101">
        <v>15535.75</v>
      </c>
      <c r="F212" s="102">
        <v>0.35145151327980201</v>
      </c>
      <c r="G212" s="103">
        <v>80715608</v>
      </c>
      <c r="H212" s="103">
        <f t="shared" si="0"/>
        <v>182521.39721431999</v>
      </c>
      <c r="I212" s="104">
        <f t="shared" si="76"/>
        <v>7.8034110965572944E-6</v>
      </c>
      <c r="J212" s="105">
        <f t="shared" si="2"/>
        <v>9.1678193610309532E-5</v>
      </c>
      <c r="K212" s="106">
        <v>1.647313156269302</v>
      </c>
      <c r="L212" s="107">
        <v>102296881</v>
      </c>
      <c r="M212" s="103">
        <f t="shared" si="3"/>
        <v>277273.31377018144</v>
      </c>
      <c r="N212" s="104">
        <f t="shared" si="77"/>
        <v>1.5483146672785029E-4</v>
      </c>
      <c r="O212" s="105">
        <f t="shared" si="5"/>
        <v>2.763344792206919E-3</v>
      </c>
      <c r="P212" s="102">
        <v>1.235330450895614E-3</v>
      </c>
      <c r="Q212" s="103">
        <v>1312701719</v>
      </c>
      <c r="R212" s="103">
        <f t="shared" si="6"/>
        <v>2557.4142236730381</v>
      </c>
      <c r="S212" s="104">
        <f t="shared" si="78"/>
        <v>8.4146409307475001E-7</v>
      </c>
      <c r="T212" s="105">
        <f t="shared" si="8"/>
        <v>1.3851743497027816E-7</v>
      </c>
      <c r="U212" s="104">
        <f t="shared" si="9"/>
        <v>2.8551615032521988E-3</v>
      </c>
      <c r="V212" s="103">
        <f t="shared" si="10"/>
        <v>44.357075324150351</v>
      </c>
      <c r="W212" s="100">
        <v>2</v>
      </c>
      <c r="X212" s="101">
        <v>16363</v>
      </c>
      <c r="Y212" s="102">
        <v>0.35145151327980201</v>
      </c>
      <c r="Z212" s="107">
        <v>121716258</v>
      </c>
      <c r="AA212" s="103">
        <v>275236.30478494999</v>
      </c>
      <c r="AB212" s="104">
        <f t="shared" si="79"/>
        <v>4.8237415905515281E-6</v>
      </c>
      <c r="AC212" s="105">
        <f t="shared" si="12"/>
        <v>8.1138471589615579E-5</v>
      </c>
      <c r="AD212" s="102">
        <v>1.647313156269302</v>
      </c>
      <c r="AE212" s="103">
        <v>148074670</v>
      </c>
      <c r="AF212" s="103">
        <v>298068.80334898003</v>
      </c>
      <c r="AG212" s="104">
        <f t="shared" si="80"/>
        <v>1.190000574113494E-4</v>
      </c>
      <c r="AH212" s="105">
        <f t="shared" si="14"/>
        <v>2.1677079209839784E-3</v>
      </c>
      <c r="AI212" s="106">
        <v>1.235330450895614E-3</v>
      </c>
      <c r="AJ212" s="103">
        <v>1717060725</v>
      </c>
      <c r="AK212" s="103">
        <v>3345.1891293834997</v>
      </c>
      <c r="AL212" s="104">
        <f t="shared" si="81"/>
        <v>5.7083892824272287E-7</v>
      </c>
      <c r="AM212" s="104">
        <f t="shared" si="16"/>
        <v>1.1670012695633344E-7</v>
      </c>
      <c r="AN212" s="108">
        <f t="shared" si="17"/>
        <v>2.2489630927005505E-3</v>
      </c>
      <c r="AO212" s="101">
        <f t="shared" si="18"/>
        <v>36.799783085859104</v>
      </c>
    </row>
    <row r="213" spans="1:41" ht="15.75" customHeight="1" x14ac:dyDescent="0.3">
      <c r="A213" s="99">
        <v>50402</v>
      </c>
      <c r="B213" s="62" t="s">
        <v>183</v>
      </c>
      <c r="C213" s="62" t="s">
        <v>201</v>
      </c>
      <c r="D213" s="100">
        <v>2</v>
      </c>
      <c r="E213" s="101">
        <v>20137</v>
      </c>
      <c r="F213" s="102">
        <v>1.1171891712740469</v>
      </c>
      <c r="G213" s="103">
        <v>80715608</v>
      </c>
      <c r="H213" s="103">
        <f t="shared" si="0"/>
        <v>182521.39721431999</v>
      </c>
      <c r="I213" s="104">
        <f t="shared" si="76"/>
        <v>2.4805374416279584E-5</v>
      </c>
      <c r="J213" s="105">
        <f t="shared" si="2"/>
        <v>2.2483545696398157E-4</v>
      </c>
      <c r="K213" s="106">
        <v>0.87693988019844094</v>
      </c>
      <c r="L213" s="107">
        <v>102296881</v>
      </c>
      <c r="M213" s="103">
        <f t="shared" si="3"/>
        <v>277273.31377018144</v>
      </c>
      <c r="N213" s="104">
        <f t="shared" si="77"/>
        <v>8.2423847200230224E-5</v>
      </c>
      <c r="O213" s="105">
        <f t="shared" si="5"/>
        <v>1.1349224436060449E-3</v>
      </c>
      <c r="P213" s="102">
        <v>5.4957140059356171E-3</v>
      </c>
      <c r="Q213" s="103">
        <v>1312701719</v>
      </c>
      <c r="R213" s="103">
        <f t="shared" si="6"/>
        <v>2557.4142236730381</v>
      </c>
      <c r="S213" s="104">
        <f t="shared" si="78"/>
        <v>3.7434890384593808E-6</v>
      </c>
      <c r="T213" s="105">
        <f t="shared" si="8"/>
        <v>4.7542593798083747E-7</v>
      </c>
      <c r="U213" s="104">
        <f t="shared" si="9"/>
        <v>1.3602333265080075E-3</v>
      </c>
      <c r="V213" s="103">
        <f t="shared" si="10"/>
        <v>27.391018495891743</v>
      </c>
      <c r="W213" s="100">
        <v>2</v>
      </c>
      <c r="X213" s="101">
        <v>16909</v>
      </c>
      <c r="Y213" s="102">
        <v>1.1171891712740469</v>
      </c>
      <c r="Z213" s="107">
        <v>121716258</v>
      </c>
      <c r="AA213" s="103">
        <v>275236.30478494999</v>
      </c>
      <c r="AB213" s="104">
        <f t="shared" si="79"/>
        <v>1.5333642526381811E-5</v>
      </c>
      <c r="AC213" s="105">
        <f t="shared" si="12"/>
        <v>2.4959341817107426E-4</v>
      </c>
      <c r="AD213" s="102">
        <v>0.87693988019844094</v>
      </c>
      <c r="AE213" s="103">
        <v>148074670</v>
      </c>
      <c r="AF213" s="103">
        <v>298068.80334898003</v>
      </c>
      <c r="AG213" s="104">
        <f t="shared" si="80"/>
        <v>6.3349154769244302E-5</v>
      </c>
      <c r="AH213" s="105">
        <f t="shared" si="14"/>
        <v>1.1167074785757868E-3</v>
      </c>
      <c r="AI213" s="106">
        <v>5.4957140059356171E-3</v>
      </c>
      <c r="AJ213" s="103">
        <v>1717060725</v>
      </c>
      <c r="AK213" s="103">
        <v>3345.1891293834997</v>
      </c>
      <c r="AL213" s="104">
        <f t="shared" si="81"/>
        <v>2.5395370856456777E-6</v>
      </c>
      <c r="AM213" s="104">
        <f t="shared" si="16"/>
        <v>5.0240888595234338E-7</v>
      </c>
      <c r="AN213" s="108">
        <f t="shared" si="17"/>
        <v>1.3668033056328135E-3</v>
      </c>
      <c r="AO213" s="101">
        <f t="shared" si="18"/>
        <v>23.11127709494524</v>
      </c>
    </row>
    <row r="214" spans="1:41" ht="15.75" customHeight="1" x14ac:dyDescent="0.3">
      <c r="A214" s="99">
        <v>50403</v>
      </c>
      <c r="B214" s="62" t="s">
        <v>183</v>
      </c>
      <c r="C214" s="62" t="s">
        <v>198</v>
      </c>
      <c r="D214" s="100">
        <v>9</v>
      </c>
      <c r="E214" s="101">
        <v>27907.75</v>
      </c>
      <c r="F214" s="102">
        <v>5.221054645843167</v>
      </c>
      <c r="G214" s="103">
        <v>80715608</v>
      </c>
      <c r="H214" s="103">
        <f t="shared" si="0"/>
        <v>182521.39721431999</v>
      </c>
      <c r="I214" s="104">
        <f t="shared" si="76"/>
        <v>1.1592505429523793E-4</v>
      </c>
      <c r="J214" s="105">
        <f t="shared" si="2"/>
        <v>7.5816942899777789E-4</v>
      </c>
      <c r="K214" s="106">
        <v>3.6726372105587481</v>
      </c>
      <c r="L214" s="107">
        <v>102296881</v>
      </c>
      <c r="M214" s="103">
        <f t="shared" si="3"/>
        <v>277273.31377018144</v>
      </c>
      <c r="N214" s="104">
        <f t="shared" si="77"/>
        <v>3.4519229322365149E-4</v>
      </c>
      <c r="O214" s="105">
        <f t="shared" si="5"/>
        <v>3.4296068665531977E-3</v>
      </c>
      <c r="P214" s="102">
        <v>0.1046608315713622</v>
      </c>
      <c r="Q214" s="103">
        <v>1312701719</v>
      </c>
      <c r="R214" s="103">
        <f t="shared" si="6"/>
        <v>2557.4142236730381</v>
      </c>
      <c r="S214" s="104">
        <f t="shared" si="78"/>
        <v>7.129131452624353E-5</v>
      </c>
      <c r="T214" s="105">
        <f t="shared" si="8"/>
        <v>6.5330032623111314E-6</v>
      </c>
      <c r="U214" s="104">
        <f t="shared" si="9"/>
        <v>4.1943092988132868E-3</v>
      </c>
      <c r="V214" s="103">
        <f t="shared" si="10"/>
        <v>117.0537353339565</v>
      </c>
      <c r="W214" s="100">
        <v>6</v>
      </c>
      <c r="X214" s="101">
        <v>32641</v>
      </c>
      <c r="Y214" s="102">
        <v>3.928139717929219</v>
      </c>
      <c r="Z214" s="107">
        <v>121716258</v>
      </c>
      <c r="AA214" s="103">
        <v>275236.30478494999</v>
      </c>
      <c r="AB214" s="104">
        <f t="shared" si="79"/>
        <v>5.3914495214556488E-5</v>
      </c>
      <c r="AC214" s="105">
        <f t="shared" si="12"/>
        <v>4.5461923461904958E-4</v>
      </c>
      <c r="AD214" s="102">
        <v>1.972040752225656</v>
      </c>
      <c r="AE214" s="103">
        <v>148074670</v>
      </c>
      <c r="AF214" s="103">
        <v>298068.80334898003</v>
      </c>
      <c r="AG214" s="104">
        <f t="shared" si="80"/>
        <v>1.4245801524698652E-4</v>
      </c>
      <c r="AH214" s="105">
        <f t="shared" si="14"/>
        <v>1.3008881508575112E-3</v>
      </c>
      <c r="AI214" s="106">
        <v>9.8547452339978747E-2</v>
      </c>
      <c r="AJ214" s="103">
        <v>1717060725</v>
      </c>
      <c r="AK214" s="103">
        <v>3345.1891293834997</v>
      </c>
      <c r="AL214" s="104">
        <f t="shared" si="81"/>
        <v>4.5538197519554081E-5</v>
      </c>
      <c r="AM214" s="104">
        <f t="shared" si="16"/>
        <v>4.6669490307935101E-6</v>
      </c>
      <c r="AN214" s="108">
        <f t="shared" si="17"/>
        <v>1.7601743345073543E-3</v>
      </c>
      <c r="AO214" s="101">
        <f t="shared" si="18"/>
        <v>57.453850452654549</v>
      </c>
    </row>
    <row r="215" spans="1:41" ht="15.75" customHeight="1" x14ac:dyDescent="0.3">
      <c r="A215" s="99">
        <v>50404</v>
      </c>
      <c r="B215" s="62" t="s">
        <v>183</v>
      </c>
      <c r="C215" s="62" t="s">
        <v>807</v>
      </c>
      <c r="D215" s="112">
        <v>1</v>
      </c>
      <c r="E215" s="113">
        <v>15721.5</v>
      </c>
      <c r="F215" s="114">
        <v>1</v>
      </c>
      <c r="G215" s="103">
        <v>80715608</v>
      </c>
      <c r="H215" s="103">
        <f t="shared" si="0"/>
        <v>182521.39721431999</v>
      </c>
      <c r="I215" s="104">
        <f t="shared" si="76"/>
        <v>2.2203378849431058E-5</v>
      </c>
      <c r="J215" s="105">
        <f t="shared" si="2"/>
        <v>2.5777385939490744E-4</v>
      </c>
      <c r="K215" s="115">
        <v>0</v>
      </c>
      <c r="L215" s="107">
        <v>102296881</v>
      </c>
      <c r="M215" s="103">
        <f t="shared" si="3"/>
        <v>277273.31377018144</v>
      </c>
      <c r="N215" s="104">
        <f t="shared" si="77"/>
        <v>0</v>
      </c>
      <c r="O215" s="105">
        <f t="shared" si="5"/>
        <v>0</v>
      </c>
      <c r="P215" s="114">
        <v>0</v>
      </c>
      <c r="Q215" s="103">
        <v>1312701719</v>
      </c>
      <c r="R215" s="103">
        <f t="shared" si="6"/>
        <v>2557.4142236730381</v>
      </c>
      <c r="S215" s="104">
        <f t="shared" si="78"/>
        <v>0</v>
      </c>
      <c r="T215" s="105">
        <f t="shared" si="8"/>
        <v>0</v>
      </c>
      <c r="U215" s="104">
        <f t="shared" si="9"/>
        <v>2.5777385939490744E-4</v>
      </c>
      <c r="V215" s="103">
        <f t="shared" si="10"/>
        <v>4.0525917304770376</v>
      </c>
      <c r="W215" s="112">
        <v>3</v>
      </c>
      <c r="X215" s="101">
        <v>14532</v>
      </c>
      <c r="Y215" s="114">
        <v>3</v>
      </c>
      <c r="Z215" s="107">
        <v>121716258</v>
      </c>
      <c r="AA215" s="103">
        <v>275236.30478494999</v>
      </c>
      <c r="AB215" s="104">
        <f t="shared" si="79"/>
        <v>4.1175593858187687E-5</v>
      </c>
      <c r="AC215" s="105">
        <f t="shared" si="12"/>
        <v>7.7986638458942058E-4</v>
      </c>
      <c r="AD215" s="114">
        <v>0</v>
      </c>
      <c r="AE215" s="103">
        <v>148074670</v>
      </c>
      <c r="AF215" s="103">
        <v>298068.80334898003</v>
      </c>
      <c r="AG215" s="104">
        <f t="shared" si="80"/>
        <v>0</v>
      </c>
      <c r="AH215" s="105">
        <f t="shared" si="14"/>
        <v>0</v>
      </c>
      <c r="AI215" s="115">
        <v>0</v>
      </c>
      <c r="AJ215" s="103">
        <v>1717060725</v>
      </c>
      <c r="AK215" s="103">
        <v>3345.1891293834997</v>
      </c>
      <c r="AL215" s="104">
        <f t="shared" si="81"/>
        <v>0</v>
      </c>
      <c r="AM215" s="104">
        <f t="shared" si="16"/>
        <v>0</v>
      </c>
      <c r="AN215" s="108">
        <f t="shared" si="17"/>
        <v>7.7986638458942058E-4</v>
      </c>
      <c r="AO215" s="101">
        <f t="shared" si="18"/>
        <v>11.33301830085346</v>
      </c>
    </row>
    <row r="216" spans="1:41" ht="15.75" customHeight="1" x14ac:dyDescent="0.3">
      <c r="A216" s="99">
        <v>50405</v>
      </c>
      <c r="B216" s="62" t="s">
        <v>183</v>
      </c>
      <c r="C216" s="62" t="s">
        <v>563</v>
      </c>
      <c r="D216" s="112"/>
      <c r="E216" s="113">
        <v>20207</v>
      </c>
      <c r="F216" s="114"/>
      <c r="G216" s="103">
        <v>80715608</v>
      </c>
      <c r="H216" s="103">
        <f t="shared" si="0"/>
        <v>182521.39721431999</v>
      </c>
      <c r="I216" s="104">
        <f t="shared" si="76"/>
        <v>0</v>
      </c>
      <c r="J216" s="105">
        <f t="shared" si="2"/>
        <v>0</v>
      </c>
      <c r="K216" s="115"/>
      <c r="L216" s="107">
        <v>102296881</v>
      </c>
      <c r="M216" s="103">
        <f t="shared" si="3"/>
        <v>277273.31377018144</v>
      </c>
      <c r="N216" s="104">
        <f t="shared" si="77"/>
        <v>0</v>
      </c>
      <c r="O216" s="105">
        <f t="shared" si="5"/>
        <v>0</v>
      </c>
      <c r="P216" s="114"/>
      <c r="Q216" s="103">
        <v>1312701719</v>
      </c>
      <c r="R216" s="103">
        <f t="shared" si="6"/>
        <v>2557.4142236730381</v>
      </c>
      <c r="S216" s="104">
        <f t="shared" si="78"/>
        <v>0</v>
      </c>
      <c r="T216" s="105">
        <f t="shared" si="8"/>
        <v>0</v>
      </c>
      <c r="U216" s="104">
        <f t="shared" si="9"/>
        <v>0</v>
      </c>
      <c r="V216" s="103">
        <f t="shared" si="10"/>
        <v>0</v>
      </c>
      <c r="W216" s="100">
        <v>9</v>
      </c>
      <c r="X216" s="101">
        <v>21011</v>
      </c>
      <c r="Y216" s="102">
        <v>6.00552546066465</v>
      </c>
      <c r="Z216" s="107">
        <v>121716258</v>
      </c>
      <c r="AA216" s="103">
        <v>275236.30478494999</v>
      </c>
      <c r="AB216" s="104">
        <f t="shared" si="79"/>
        <v>8.2427025757777708E-5</v>
      </c>
      <c r="AC216" s="105">
        <f t="shared" si="12"/>
        <v>1.0797634564744479E-3</v>
      </c>
      <c r="AD216" s="102">
        <v>2.8754780180824691</v>
      </c>
      <c r="AE216" s="103">
        <v>148074670</v>
      </c>
      <c r="AF216" s="103">
        <v>298068.80334898003</v>
      </c>
      <c r="AG216" s="104">
        <f t="shared" si="80"/>
        <v>2.0772131147901016E-4</v>
      </c>
      <c r="AH216" s="105">
        <f t="shared" si="14"/>
        <v>2.946801329904779E-3</v>
      </c>
      <c r="AI216" s="106">
        <v>0.118520229974302</v>
      </c>
      <c r="AJ216" s="103">
        <v>1717060725</v>
      </c>
      <c r="AK216" s="103">
        <v>3345.1891293834997</v>
      </c>
      <c r="AL216" s="104">
        <f t="shared" si="81"/>
        <v>5.476750047289861E-5</v>
      </c>
      <c r="AM216" s="104">
        <f t="shared" si="16"/>
        <v>8.7196062645969297E-6</v>
      </c>
      <c r="AN216" s="108">
        <f t="shared" si="17"/>
        <v>4.0352843926438238E-3</v>
      </c>
      <c r="AO216" s="101">
        <f t="shared" si="18"/>
        <v>84.785360373839382</v>
      </c>
    </row>
    <row r="217" spans="1:41" ht="15.75" customHeight="1" x14ac:dyDescent="0.3">
      <c r="A217" s="99">
        <v>50501</v>
      </c>
      <c r="B217" s="62" t="s">
        <v>183</v>
      </c>
      <c r="C217" s="62" t="s">
        <v>265</v>
      </c>
      <c r="D217" s="112">
        <v>1</v>
      </c>
      <c r="E217" s="113">
        <v>29613</v>
      </c>
      <c r="F217" s="114">
        <v>0</v>
      </c>
      <c r="G217" s="103">
        <v>80715608</v>
      </c>
      <c r="H217" s="103">
        <f t="shared" si="0"/>
        <v>182521.39721431999</v>
      </c>
      <c r="I217" s="104">
        <f t="shared" si="76"/>
        <v>0</v>
      </c>
      <c r="J217" s="105">
        <f t="shared" si="2"/>
        <v>0</v>
      </c>
      <c r="K217" s="115">
        <v>1</v>
      </c>
      <c r="L217" s="107">
        <v>102296881</v>
      </c>
      <c r="M217" s="103">
        <f t="shared" si="3"/>
        <v>277273.31377018144</v>
      </c>
      <c r="N217" s="104">
        <f t="shared" si="77"/>
        <v>9.399030544896499E-5</v>
      </c>
      <c r="O217" s="105">
        <f t="shared" si="5"/>
        <v>8.8005279620795133E-4</v>
      </c>
      <c r="P217" s="114">
        <v>0</v>
      </c>
      <c r="Q217" s="103">
        <v>1312701719</v>
      </c>
      <c r="R217" s="103">
        <f t="shared" si="6"/>
        <v>2557.4142236730381</v>
      </c>
      <c r="S217" s="104">
        <f t="shared" si="78"/>
        <v>0</v>
      </c>
      <c r="T217" s="105">
        <f t="shared" si="8"/>
        <v>0</v>
      </c>
      <c r="U217" s="104">
        <f t="shared" si="9"/>
        <v>8.8005279620795133E-4</v>
      </c>
      <c r="V217" s="103">
        <f t="shared" si="10"/>
        <v>26.061003454106064</v>
      </c>
      <c r="W217" s="112">
        <v>202</v>
      </c>
      <c r="X217" s="101">
        <v>28416</v>
      </c>
      <c r="Y217" s="114">
        <v>166.46731300350316</v>
      </c>
      <c r="Z217" s="107">
        <v>121716258</v>
      </c>
      <c r="AA217" s="103">
        <v>275236.30478494999</v>
      </c>
      <c r="AB217" s="104">
        <f t="shared" si="79"/>
        <v>2.2847968236320176E-3</v>
      </c>
      <c r="AC217" s="105">
        <f t="shared" si="12"/>
        <v>2.2130455902339093E-2</v>
      </c>
      <c r="AD217" s="114">
        <v>33.579010466381177</v>
      </c>
      <c r="AE217" s="103">
        <v>148074670</v>
      </c>
      <c r="AF217" s="103">
        <v>298068.80334898003</v>
      </c>
      <c r="AG217" s="104">
        <f t="shared" si="80"/>
        <v>2.425710107460839E-3</v>
      </c>
      <c r="AH217" s="105">
        <f t="shared" si="14"/>
        <v>2.5444415435049904E-2</v>
      </c>
      <c r="AI217" s="115">
        <v>1.9464480141024409</v>
      </c>
      <c r="AJ217" s="103">
        <v>1717060725</v>
      </c>
      <c r="AK217" s="103">
        <v>3345.1891293834997</v>
      </c>
      <c r="AL217" s="104">
        <f t="shared" si="81"/>
        <v>8.9944216743371031E-4</v>
      </c>
      <c r="AM217" s="104">
        <f t="shared" si="16"/>
        <v>1.058841554408918E-4</v>
      </c>
      <c r="AN217" s="108">
        <f t="shared" si="17"/>
        <v>4.7680755492829886E-2</v>
      </c>
      <c r="AO217" s="101">
        <f t="shared" si="18"/>
        <v>1354.896348084254</v>
      </c>
    </row>
    <row r="218" spans="1:41" ht="15.75" customHeight="1" x14ac:dyDescent="0.3">
      <c r="A218" s="99">
        <v>50502</v>
      </c>
      <c r="B218" s="62" t="s">
        <v>183</v>
      </c>
      <c r="C218" s="62" t="s">
        <v>564</v>
      </c>
      <c r="D218" s="112"/>
      <c r="E218" s="113">
        <v>10831</v>
      </c>
      <c r="F218" s="114"/>
      <c r="G218" s="103">
        <v>80715608</v>
      </c>
      <c r="H218" s="103">
        <f t="shared" si="0"/>
        <v>182521.39721431999</v>
      </c>
      <c r="I218" s="104">
        <f t="shared" si="76"/>
        <v>0</v>
      </c>
      <c r="J218" s="105">
        <f t="shared" si="2"/>
        <v>0</v>
      </c>
      <c r="K218" s="115"/>
      <c r="L218" s="107">
        <v>102296881</v>
      </c>
      <c r="M218" s="103">
        <f t="shared" si="3"/>
        <v>277273.31377018144</v>
      </c>
      <c r="N218" s="104">
        <f t="shared" si="77"/>
        <v>0</v>
      </c>
      <c r="O218" s="105">
        <f t="shared" si="5"/>
        <v>0</v>
      </c>
      <c r="P218" s="114"/>
      <c r="Q218" s="103">
        <v>1312701719</v>
      </c>
      <c r="R218" s="103">
        <f t="shared" si="6"/>
        <v>2557.4142236730381</v>
      </c>
      <c r="S218" s="104">
        <f t="shared" si="78"/>
        <v>0</v>
      </c>
      <c r="T218" s="105">
        <f t="shared" si="8"/>
        <v>0</v>
      </c>
      <c r="U218" s="104">
        <f t="shared" si="9"/>
        <v>0</v>
      </c>
      <c r="V218" s="103">
        <f t="shared" si="10"/>
        <v>0</v>
      </c>
      <c r="W218" s="100">
        <v>54</v>
      </c>
      <c r="X218" s="101">
        <v>10714</v>
      </c>
      <c r="Y218" s="102">
        <v>47.318470122124587</v>
      </c>
      <c r="Z218" s="107">
        <v>121716258</v>
      </c>
      <c r="AA218" s="103">
        <v>275236.30478494999</v>
      </c>
      <c r="AB218" s="104">
        <f t="shared" si="79"/>
        <v>6.4945536924646355E-4</v>
      </c>
      <c r="AC218" s="105">
        <f t="shared" si="12"/>
        <v>1.6684123199005214E-2</v>
      </c>
      <c r="AD218" s="102">
        <v>5.7919930844459966</v>
      </c>
      <c r="AE218" s="103">
        <v>148074670</v>
      </c>
      <c r="AF218" s="103">
        <v>298068.80334898003</v>
      </c>
      <c r="AG218" s="104">
        <f t="shared" si="80"/>
        <v>4.1840709336418025E-4</v>
      </c>
      <c r="AH218" s="105">
        <f t="shared" si="14"/>
        <v>1.1640293226786089E-2</v>
      </c>
      <c r="AI218" s="106">
        <v>0.88417126102338472</v>
      </c>
      <c r="AJ218" s="103">
        <v>1717060725</v>
      </c>
      <c r="AK218" s="103">
        <v>3345.1891293834997</v>
      </c>
      <c r="AL218" s="104">
        <f t="shared" si="81"/>
        <v>4.0857033408322801E-4</v>
      </c>
      <c r="AM218" s="104">
        <f t="shared" si="16"/>
        <v>1.2756627218254611E-4</v>
      </c>
      <c r="AN218" s="108">
        <f t="shared" si="17"/>
        <v>2.845198269797385E-2</v>
      </c>
      <c r="AO218" s="101">
        <f t="shared" si="18"/>
        <v>304.83454262609183</v>
      </c>
    </row>
    <row r="219" spans="1:41" ht="15.75" customHeight="1" x14ac:dyDescent="0.3">
      <c r="A219" s="99">
        <v>50601</v>
      </c>
      <c r="B219" s="62" t="s">
        <v>183</v>
      </c>
      <c r="C219" s="62" t="s">
        <v>194</v>
      </c>
      <c r="D219" s="100">
        <v>93</v>
      </c>
      <c r="E219" s="101">
        <v>31156</v>
      </c>
      <c r="F219" s="102">
        <v>64.854344820416173</v>
      </c>
      <c r="G219" s="103">
        <v>80715608</v>
      </c>
      <c r="H219" s="103">
        <f t="shared" si="0"/>
        <v>182521.39721431999</v>
      </c>
      <c r="I219" s="104">
        <f t="shared" si="76"/>
        <v>1.4399855880793371E-3</v>
      </c>
      <c r="J219" s="105">
        <f t="shared" si="2"/>
        <v>8.4358769259444358E-3</v>
      </c>
      <c r="K219" s="106">
        <v>25.465957138452499</v>
      </c>
      <c r="L219" s="107">
        <v>102296881</v>
      </c>
      <c r="M219" s="103">
        <f t="shared" si="3"/>
        <v>277273.31377018144</v>
      </c>
      <c r="N219" s="104">
        <f t="shared" si="77"/>
        <v>2.3935530899934008E-3</v>
      </c>
      <c r="O219" s="105">
        <f t="shared" si="5"/>
        <v>2.1301463504536128E-2</v>
      </c>
      <c r="P219" s="102">
        <v>2.6746296219701202</v>
      </c>
      <c r="Q219" s="103">
        <v>1312701719</v>
      </c>
      <c r="R219" s="103">
        <f t="shared" si="6"/>
        <v>2557.4142236730381</v>
      </c>
      <c r="S219" s="104">
        <f t="shared" si="78"/>
        <v>1.8218645768265983E-3</v>
      </c>
      <c r="T219" s="105">
        <f t="shared" si="8"/>
        <v>1.4954623129998727E-4</v>
      </c>
      <c r="U219" s="104">
        <f t="shared" si="9"/>
        <v>2.9886886661780548E-2</v>
      </c>
      <c r="V219" s="103">
        <f t="shared" si="10"/>
        <v>931.1558408344348</v>
      </c>
      <c r="W219" s="100">
        <v>472</v>
      </c>
      <c r="X219" s="101">
        <v>29221</v>
      </c>
      <c r="Y219" s="102">
        <v>405.0622403808693</v>
      </c>
      <c r="Z219" s="107">
        <v>121716258</v>
      </c>
      <c r="AA219" s="103">
        <v>275236.30478494999</v>
      </c>
      <c r="AB219" s="104">
        <f t="shared" si="79"/>
        <v>5.5595594324034225E-3</v>
      </c>
      <c r="AC219" s="105">
        <f t="shared" si="12"/>
        <v>5.2366195352897986E-2</v>
      </c>
      <c r="AD219" s="102">
        <v>57.86935485386801</v>
      </c>
      <c r="AE219" s="103">
        <v>148074670</v>
      </c>
      <c r="AF219" s="103">
        <v>298068.80334898003</v>
      </c>
      <c r="AG219" s="104">
        <f t="shared" si="80"/>
        <v>4.1804173807267579E-3</v>
      </c>
      <c r="AH219" s="105">
        <f t="shared" si="14"/>
        <v>4.2642346469063418E-2</v>
      </c>
      <c r="AI219" s="106">
        <v>9.0452569855815899</v>
      </c>
      <c r="AJ219" s="103">
        <v>1717060725</v>
      </c>
      <c r="AK219" s="103">
        <v>3345.1891293834997</v>
      </c>
      <c r="AL219" s="104">
        <f t="shared" si="81"/>
        <v>4.1797599982951487E-3</v>
      </c>
      <c r="AM219" s="104">
        <f t="shared" si="16"/>
        <v>4.7849449744118703E-4</v>
      </c>
      <c r="AN219" s="108">
        <f t="shared" si="17"/>
        <v>9.5487036319402585E-2</v>
      </c>
      <c r="AO219" s="101">
        <f t="shared" si="18"/>
        <v>2790.2266882892632</v>
      </c>
    </row>
    <row r="220" spans="1:41" ht="15.75" customHeight="1" x14ac:dyDescent="0.3">
      <c r="A220" s="99">
        <v>50602</v>
      </c>
      <c r="B220" s="62" t="s">
        <v>183</v>
      </c>
      <c r="C220" s="62" t="s">
        <v>211</v>
      </c>
      <c r="D220" s="100">
        <v>11</v>
      </c>
      <c r="E220" s="101">
        <v>10530.5</v>
      </c>
      <c r="F220" s="102">
        <v>5.4418316631743364</v>
      </c>
      <c r="G220" s="103">
        <v>80715608</v>
      </c>
      <c r="H220" s="103">
        <f t="shared" si="0"/>
        <v>182521.39721431999</v>
      </c>
      <c r="I220" s="104">
        <f t="shared" si="76"/>
        <v>1.2082705005228929E-4</v>
      </c>
      <c r="J220" s="105">
        <f t="shared" si="2"/>
        <v>2.094252124479219E-3</v>
      </c>
      <c r="K220" s="106">
        <v>5.3339604734217376</v>
      </c>
      <c r="L220" s="107">
        <v>102296881</v>
      </c>
      <c r="M220" s="103">
        <f t="shared" si="3"/>
        <v>277273.31377018144</v>
      </c>
      <c r="N220" s="104">
        <f t="shared" si="77"/>
        <v>5.0134057414961508E-4</v>
      </c>
      <c r="O220" s="105">
        <f t="shared" si="5"/>
        <v>1.3200547203068149E-2</v>
      </c>
      <c r="P220" s="102">
        <v>0.2240490996443979</v>
      </c>
      <c r="Q220" s="103">
        <v>1312701719</v>
      </c>
      <c r="R220" s="103">
        <f t="shared" si="6"/>
        <v>2557.4142236730381</v>
      </c>
      <c r="S220" s="104">
        <f t="shared" si="78"/>
        <v>1.5261444603733676E-4</v>
      </c>
      <c r="T220" s="105">
        <f t="shared" si="8"/>
        <v>3.7063610942867511E-5</v>
      </c>
      <c r="U220" s="104">
        <f t="shared" si="9"/>
        <v>1.5331862938490237E-2</v>
      </c>
      <c r="V220" s="103">
        <f t="shared" si="10"/>
        <v>161.45218267377143</v>
      </c>
      <c r="W220" s="100">
        <v>9</v>
      </c>
      <c r="X220" s="101">
        <v>10184</v>
      </c>
      <c r="Y220" s="102">
        <v>5.2053215928089456</v>
      </c>
      <c r="Z220" s="107">
        <v>121716258</v>
      </c>
      <c r="AA220" s="103">
        <v>275236.30478494999</v>
      </c>
      <c r="AB220" s="104">
        <f t="shared" si="79"/>
        <v>7.1444069268918593E-5</v>
      </c>
      <c r="AC220" s="105">
        <f t="shared" si="12"/>
        <v>1.9308721155122895E-3</v>
      </c>
      <c r="AD220" s="102">
        <v>3.5710882090125762</v>
      </c>
      <c r="AE220" s="103">
        <v>148074670</v>
      </c>
      <c r="AF220" s="103">
        <v>298068.80334898003</v>
      </c>
      <c r="AG220" s="104">
        <f t="shared" si="80"/>
        <v>2.5797141258551161E-4</v>
      </c>
      <c r="AH220" s="105">
        <f t="shared" si="14"/>
        <v>7.5503957430881237E-3</v>
      </c>
      <c r="AI220" s="106">
        <v>0.22343143441895011</v>
      </c>
      <c r="AJ220" s="103">
        <v>1717060725</v>
      </c>
      <c r="AK220" s="103">
        <v>3345.1891293834997</v>
      </c>
      <c r="AL220" s="104">
        <f t="shared" si="81"/>
        <v>1.0324635037287296E-4</v>
      </c>
      <c r="AM220" s="104">
        <f t="shared" si="16"/>
        <v>3.39138421951939E-5</v>
      </c>
      <c r="AN220" s="108">
        <f t="shared" si="17"/>
        <v>9.5151817007956066E-3</v>
      </c>
      <c r="AO220" s="101">
        <f t="shared" si="18"/>
        <v>96.90261044090245</v>
      </c>
    </row>
    <row r="221" spans="1:41" ht="15.75" customHeight="1" x14ac:dyDescent="0.3">
      <c r="A221" s="99">
        <v>50701</v>
      </c>
      <c r="B221" s="62" t="s">
        <v>183</v>
      </c>
      <c r="C221" s="62" t="s">
        <v>808</v>
      </c>
      <c r="D221" s="112"/>
      <c r="E221" s="113">
        <v>19009.5</v>
      </c>
      <c r="F221" s="114"/>
      <c r="G221" s="103">
        <v>80715608</v>
      </c>
      <c r="H221" s="103">
        <f t="shared" si="0"/>
        <v>182521.39721431999</v>
      </c>
      <c r="I221" s="104">
        <f t="shared" si="76"/>
        <v>0</v>
      </c>
      <c r="J221" s="105">
        <f t="shared" si="2"/>
        <v>0</v>
      </c>
      <c r="K221" s="115"/>
      <c r="L221" s="107">
        <v>102296881</v>
      </c>
      <c r="M221" s="103">
        <f t="shared" si="3"/>
        <v>277273.31377018144</v>
      </c>
      <c r="N221" s="104">
        <f t="shared" si="77"/>
        <v>0</v>
      </c>
      <c r="O221" s="105">
        <f t="shared" si="5"/>
        <v>0</v>
      </c>
      <c r="P221" s="114"/>
      <c r="Q221" s="103">
        <v>1312701719</v>
      </c>
      <c r="R221" s="103">
        <f t="shared" si="6"/>
        <v>2557.4142236730381</v>
      </c>
      <c r="S221" s="104">
        <f t="shared" si="78"/>
        <v>0</v>
      </c>
      <c r="T221" s="105">
        <f t="shared" si="8"/>
        <v>0</v>
      </c>
      <c r="U221" s="104">
        <f t="shared" si="9"/>
        <v>0</v>
      </c>
      <c r="V221" s="103">
        <f t="shared" si="10"/>
        <v>0</v>
      </c>
      <c r="W221" s="112"/>
      <c r="X221" s="101">
        <v>17205</v>
      </c>
      <c r="Y221" s="114"/>
      <c r="Z221" s="107">
        <v>121716258</v>
      </c>
      <c r="AA221" s="103">
        <v>275236.30478494999</v>
      </c>
      <c r="AB221" s="104">
        <f t="shared" si="79"/>
        <v>0</v>
      </c>
      <c r="AC221" s="105">
        <f t="shared" si="12"/>
        <v>0</v>
      </c>
      <c r="AD221" s="114"/>
      <c r="AE221" s="103">
        <v>148074670</v>
      </c>
      <c r="AF221" s="103">
        <v>298068.80334898003</v>
      </c>
      <c r="AG221" s="104">
        <f t="shared" si="80"/>
        <v>0</v>
      </c>
      <c r="AH221" s="105">
        <f t="shared" si="14"/>
        <v>0</v>
      </c>
      <c r="AI221" s="115"/>
      <c r="AJ221" s="103">
        <v>1717060725</v>
      </c>
      <c r="AK221" s="103">
        <v>3345.1891293834997</v>
      </c>
      <c r="AL221" s="104">
        <f t="shared" si="81"/>
        <v>0</v>
      </c>
      <c r="AM221" s="104">
        <f t="shared" si="16"/>
        <v>0</v>
      </c>
      <c r="AN221" s="108">
        <f t="shared" si="17"/>
        <v>0</v>
      </c>
      <c r="AO221" s="101">
        <f t="shared" si="18"/>
        <v>0</v>
      </c>
    </row>
    <row r="222" spans="1:41" ht="15.75" customHeight="1" x14ac:dyDescent="0.3">
      <c r="A222" s="99">
        <v>50702</v>
      </c>
      <c r="B222" s="62" t="s">
        <v>183</v>
      </c>
      <c r="C222" s="62" t="s">
        <v>189</v>
      </c>
      <c r="D222" s="100">
        <v>2</v>
      </c>
      <c r="E222" s="101">
        <v>8642.5</v>
      </c>
      <c r="F222" s="102">
        <v>1.869007835402053</v>
      </c>
      <c r="G222" s="103">
        <v>80715608</v>
      </c>
      <c r="H222" s="103">
        <f t="shared" si="0"/>
        <v>182521.39721431999</v>
      </c>
      <c r="I222" s="104">
        <f t="shared" si="76"/>
        <v>4.1498289041986866E-5</v>
      </c>
      <c r="J222" s="105">
        <f t="shared" si="2"/>
        <v>8.7640447763345645E-4</v>
      </c>
      <c r="K222" s="106">
        <v>6.9851053539729285E-2</v>
      </c>
      <c r="L222" s="107">
        <v>102296881</v>
      </c>
      <c r="M222" s="103">
        <f t="shared" si="3"/>
        <v>277273.31377018144</v>
      </c>
      <c r="N222" s="104">
        <f t="shared" si="77"/>
        <v>6.565321858131163E-6</v>
      </c>
      <c r="O222" s="105">
        <f t="shared" si="5"/>
        <v>2.1063217212286174E-4</v>
      </c>
      <c r="P222" s="102">
        <v>6.1141111058217387E-2</v>
      </c>
      <c r="Q222" s="103">
        <v>1312701719</v>
      </c>
      <c r="R222" s="103">
        <f t="shared" si="6"/>
        <v>2557.4142236730381</v>
      </c>
      <c r="S222" s="104">
        <f t="shared" si="78"/>
        <v>4.1647196123827156E-5</v>
      </c>
      <c r="T222" s="105">
        <f t="shared" si="8"/>
        <v>1.2323879866147086E-5</v>
      </c>
      <c r="U222" s="104">
        <f t="shared" si="9"/>
        <v>1.0993605296224652E-3</v>
      </c>
      <c r="V222" s="103">
        <f t="shared" si="10"/>
        <v>9.5012233772621553</v>
      </c>
      <c r="W222" s="100">
        <v>2</v>
      </c>
      <c r="X222" s="101">
        <v>8458</v>
      </c>
      <c r="Y222" s="102">
        <v>1.869007835402053</v>
      </c>
      <c r="Z222" s="107">
        <v>121716258</v>
      </c>
      <c r="AA222" s="103">
        <v>275236.30478494999</v>
      </c>
      <c r="AB222" s="104">
        <f t="shared" si="79"/>
        <v>2.5652502516095146E-5</v>
      </c>
      <c r="AC222" s="105">
        <f t="shared" si="12"/>
        <v>8.3477181378773468E-4</v>
      </c>
      <c r="AD222" s="102">
        <v>6.9851053539729285E-2</v>
      </c>
      <c r="AE222" s="103">
        <v>148074670</v>
      </c>
      <c r="AF222" s="103">
        <v>298068.80334898003</v>
      </c>
      <c r="AG222" s="104">
        <f t="shared" si="80"/>
        <v>5.0459618742413163E-6</v>
      </c>
      <c r="AH222" s="105">
        <f t="shared" si="14"/>
        <v>1.7782499616927E-4</v>
      </c>
      <c r="AI222" s="106">
        <v>6.1141111058217387E-2</v>
      </c>
      <c r="AJ222" s="103">
        <v>1717060725</v>
      </c>
      <c r="AK222" s="103">
        <v>3345.1891293834997</v>
      </c>
      <c r="AL222" s="104">
        <f t="shared" si="81"/>
        <v>2.8252947446360095E-5</v>
      </c>
      <c r="AM222" s="104">
        <f t="shared" si="16"/>
        <v>1.117420816630493E-5</v>
      </c>
      <c r="AN222" s="108">
        <f t="shared" si="17"/>
        <v>1.0237710181233096E-3</v>
      </c>
      <c r="AO222" s="101">
        <f t="shared" si="18"/>
        <v>8.6590552712869524</v>
      </c>
    </row>
    <row r="223" spans="1:41" ht="15.75" customHeight="1" x14ac:dyDescent="0.3">
      <c r="A223" s="99">
        <v>50801</v>
      </c>
      <c r="B223" s="62" t="s">
        <v>183</v>
      </c>
      <c r="C223" s="62" t="s">
        <v>207</v>
      </c>
      <c r="D223" s="100">
        <v>3541</v>
      </c>
      <c r="E223" s="101">
        <v>45008</v>
      </c>
      <c r="F223" s="102">
        <v>2965.771586283684</v>
      </c>
      <c r="G223" s="103">
        <v>80715608</v>
      </c>
      <c r="H223" s="103">
        <f t="shared" si="0"/>
        <v>182521.39721431999</v>
      </c>
      <c r="I223" s="104">
        <f t="shared" si="76"/>
        <v>6.5850150111134736E-2</v>
      </c>
      <c r="J223" s="105">
        <f t="shared" si="2"/>
        <v>0.26704277917385844</v>
      </c>
      <c r="K223" s="106">
        <v>492.17218970754038</v>
      </c>
      <c r="L223" s="107">
        <v>102296881</v>
      </c>
      <c r="M223" s="103">
        <f t="shared" si="3"/>
        <v>277273.31377018144</v>
      </c>
      <c r="N223" s="104">
        <f t="shared" si="77"/>
        <v>4.6259414444097667E-2</v>
      </c>
      <c r="O223" s="105">
        <f t="shared" si="5"/>
        <v>0.28498269498718348</v>
      </c>
      <c r="P223" s="102">
        <v>82.78748936642836</v>
      </c>
      <c r="Q223" s="103">
        <v>1312701719</v>
      </c>
      <c r="R223" s="103">
        <f t="shared" si="6"/>
        <v>2557.4142236730381</v>
      </c>
      <c r="S223" s="104">
        <f t="shared" si="78"/>
        <v>5.639195537287349E-2</v>
      </c>
      <c r="T223" s="105">
        <f t="shared" si="8"/>
        <v>3.2042656588011434E-3</v>
      </c>
      <c r="U223" s="104">
        <f t="shared" si="9"/>
        <v>0.55522973981984314</v>
      </c>
      <c r="V223" s="103">
        <f t="shared" si="10"/>
        <v>24989.780129811497</v>
      </c>
      <c r="W223" s="100">
        <v>6405</v>
      </c>
      <c r="X223" s="101">
        <v>45590</v>
      </c>
      <c r="Y223" s="102">
        <v>5718.0148384828171</v>
      </c>
      <c r="Z223" s="107">
        <v>121716258</v>
      </c>
      <c r="AA223" s="103">
        <v>275236.30478494999</v>
      </c>
      <c r="AB223" s="104">
        <f t="shared" si="79"/>
        <v>7.8480885554819718E-2</v>
      </c>
      <c r="AC223" s="105">
        <f t="shared" si="12"/>
        <v>0.47380541645885366</v>
      </c>
      <c r="AD223" s="102">
        <v>572.46315432669326</v>
      </c>
      <c r="AE223" s="103">
        <v>148074670</v>
      </c>
      <c r="AF223" s="103">
        <v>298068.80334898003</v>
      </c>
      <c r="AG223" s="104">
        <f t="shared" si="80"/>
        <v>4.1354097107460921E-2</v>
      </c>
      <c r="AH223" s="105">
        <f t="shared" si="14"/>
        <v>0.27037434170647934</v>
      </c>
      <c r="AI223" s="106">
        <v>114.1697948590207</v>
      </c>
      <c r="AJ223" s="103">
        <v>1717060725</v>
      </c>
      <c r="AK223" s="103">
        <v>3345.1891293834997</v>
      </c>
      <c r="AL223" s="104">
        <f t="shared" si="81"/>
        <v>5.2757190019694589E-2</v>
      </c>
      <c r="AM223" s="104">
        <f t="shared" si="16"/>
        <v>3.8710852939395041E-3</v>
      </c>
      <c r="AN223" s="108">
        <f t="shared" si="17"/>
        <v>0.74805084345927253</v>
      </c>
      <c r="AO223" s="101">
        <f t="shared" si="18"/>
        <v>34103.637953308229</v>
      </c>
    </row>
    <row r="224" spans="1:41" ht="15.75" customHeight="1" x14ac:dyDescent="0.3">
      <c r="A224" s="99">
        <v>50802</v>
      </c>
      <c r="B224" s="62" t="s">
        <v>183</v>
      </c>
      <c r="C224" s="62" t="s">
        <v>185</v>
      </c>
      <c r="D224" s="100">
        <v>57</v>
      </c>
      <c r="E224" s="101">
        <v>10828</v>
      </c>
      <c r="F224" s="102">
        <v>38.241567572525419</v>
      </c>
      <c r="G224" s="103">
        <v>80715608</v>
      </c>
      <c r="H224" s="103">
        <f t="shared" si="0"/>
        <v>182521.39721431999</v>
      </c>
      <c r="I224" s="104">
        <f t="shared" si="76"/>
        <v>8.4909201260889946E-4</v>
      </c>
      <c r="J224" s="105">
        <f t="shared" si="2"/>
        <v>1.4312657970529677E-2</v>
      </c>
      <c r="K224" s="106">
        <v>17.176968414147989</v>
      </c>
      <c r="L224" s="107">
        <v>102296881</v>
      </c>
      <c r="M224" s="103">
        <f t="shared" si="3"/>
        <v>277273.31377018144</v>
      </c>
      <c r="N224" s="104">
        <f t="shared" si="77"/>
        <v>1.6144685079329934E-3</v>
      </c>
      <c r="O224" s="105">
        <f t="shared" si="5"/>
        <v>4.1341802103082893E-2</v>
      </c>
      <c r="P224" s="102">
        <v>1.5761976935196029</v>
      </c>
      <c r="Q224" s="103">
        <v>1312701719</v>
      </c>
      <c r="R224" s="103">
        <f t="shared" si="6"/>
        <v>2557.4142236730381</v>
      </c>
      <c r="S224" s="104">
        <f t="shared" si="78"/>
        <v>1.0736509908926867E-3</v>
      </c>
      <c r="T224" s="105">
        <f t="shared" si="8"/>
        <v>2.5358056107957228E-4</v>
      </c>
      <c r="U224" s="104">
        <f t="shared" si="9"/>
        <v>5.5908040634692145E-2</v>
      </c>
      <c r="V224" s="103">
        <f t="shared" si="10"/>
        <v>605.37226399244639</v>
      </c>
      <c r="W224" s="100">
        <v>200</v>
      </c>
      <c r="X224" s="101">
        <v>9610</v>
      </c>
      <c r="Y224" s="102">
        <v>159.69777169300809</v>
      </c>
      <c r="Z224" s="107">
        <v>121716258</v>
      </c>
      <c r="AA224" s="103">
        <v>275236.30478494999</v>
      </c>
      <c r="AB224" s="104">
        <f t="shared" si="79"/>
        <v>2.1918835290962945E-3</v>
      </c>
      <c r="AC224" s="105">
        <f t="shared" si="12"/>
        <v>6.277689105800828E-2</v>
      </c>
      <c r="AD224" s="102">
        <v>36.035929228883298</v>
      </c>
      <c r="AE224" s="103">
        <v>148074670</v>
      </c>
      <c r="AF224" s="103">
        <v>298068.80334898003</v>
      </c>
      <c r="AG224" s="104">
        <f t="shared" si="80"/>
        <v>2.6031951671048213E-3</v>
      </c>
      <c r="AH224" s="105">
        <f t="shared" si="14"/>
        <v>8.0742067465429987E-2</v>
      </c>
      <c r="AI224" s="106">
        <v>4.2507072116455884</v>
      </c>
      <c r="AJ224" s="103">
        <v>1717060725</v>
      </c>
      <c r="AK224" s="103">
        <v>3345.1891293834997</v>
      </c>
      <c r="AL224" s="104">
        <f t="shared" si="81"/>
        <v>1.9642267760907146E-3</v>
      </c>
      <c r="AM224" s="104">
        <f t="shared" si="16"/>
        <v>6.8373673871203501E-4</v>
      </c>
      <c r="AN224" s="108">
        <f t="shared" si="17"/>
        <v>0.14420269526215029</v>
      </c>
      <c r="AO224" s="101">
        <f t="shared" si="18"/>
        <v>1385.7879014692646</v>
      </c>
    </row>
    <row r="225" spans="1:41" ht="15.75" customHeight="1" x14ac:dyDescent="0.3">
      <c r="A225" s="99">
        <v>50901</v>
      </c>
      <c r="B225" s="62" t="s">
        <v>183</v>
      </c>
      <c r="C225" s="62" t="s">
        <v>809</v>
      </c>
      <c r="D225" s="112">
        <v>284</v>
      </c>
      <c r="E225" s="113">
        <v>12932.75</v>
      </c>
      <c r="F225" s="114">
        <v>165</v>
      </c>
      <c r="G225" s="103">
        <v>80715608</v>
      </c>
      <c r="H225" s="103">
        <f t="shared" si="0"/>
        <v>182521.39721431999</v>
      </c>
      <c r="I225" s="104">
        <f t="shared" si="76"/>
        <v>3.6635575101561244E-3</v>
      </c>
      <c r="J225" s="105">
        <f t="shared" si="2"/>
        <v>5.1704211055553624E-2</v>
      </c>
      <c r="K225" s="115">
        <v>57</v>
      </c>
      <c r="L225" s="107">
        <v>102296881</v>
      </c>
      <c r="M225" s="103">
        <f t="shared" si="3"/>
        <v>277273.31377018144</v>
      </c>
      <c r="N225" s="104">
        <f t="shared" si="77"/>
        <v>5.3574474105910043E-3</v>
      </c>
      <c r="O225" s="105">
        <f t="shared" si="5"/>
        <v>0.11486166491148794</v>
      </c>
      <c r="P225" s="114">
        <v>10</v>
      </c>
      <c r="Q225" s="103">
        <v>1312701719</v>
      </c>
      <c r="R225" s="103">
        <f t="shared" si="6"/>
        <v>2557.4142236730381</v>
      </c>
      <c r="S225" s="104">
        <f t="shared" si="78"/>
        <v>6.8116518334401044E-3</v>
      </c>
      <c r="T225" s="105">
        <f t="shared" si="8"/>
        <v>1.3469846154567475E-3</v>
      </c>
      <c r="U225" s="104">
        <f t="shared" si="9"/>
        <v>0.1679128605824983</v>
      </c>
      <c r="V225" s="103">
        <f t="shared" si="10"/>
        <v>2171.5750476983053</v>
      </c>
      <c r="W225" s="121">
        <v>1146</v>
      </c>
      <c r="X225" s="101">
        <v>12740</v>
      </c>
      <c r="Y225" s="114">
        <v>686.09722967617972</v>
      </c>
      <c r="Z225" s="107">
        <v>121716258</v>
      </c>
      <c r="AA225" s="103">
        <v>275236.30478494999</v>
      </c>
      <c r="AB225" s="104">
        <f t="shared" si="79"/>
        <v>9.4168202921246971E-3</v>
      </c>
      <c r="AC225" s="105">
        <f t="shared" si="12"/>
        <v>0.20344197959406082</v>
      </c>
      <c r="AD225" s="114">
        <v>429.22616906309736</v>
      </c>
      <c r="AE225" s="103">
        <v>148074670</v>
      </c>
      <c r="AF225" s="103">
        <v>298068.80334898003</v>
      </c>
      <c r="AG225" s="104">
        <f t="shared" si="80"/>
        <v>3.1006817718034391E-2</v>
      </c>
      <c r="AH225" s="105">
        <f t="shared" si="14"/>
        <v>0.72544466663064855</v>
      </c>
      <c r="AI225" s="115">
        <v>30.630719367178042</v>
      </c>
      <c r="AJ225" s="103">
        <v>1717060725</v>
      </c>
      <c r="AK225" s="103">
        <v>3345.1891293834997</v>
      </c>
      <c r="AL225" s="104">
        <f t="shared" si="81"/>
        <v>1.4154275078532032E-2</v>
      </c>
      <c r="AM225" s="104">
        <f t="shared" si="16"/>
        <v>3.7165405908170437E-3</v>
      </c>
      <c r="AN225" s="108">
        <f t="shared" si="17"/>
        <v>0.93260318681552645</v>
      </c>
      <c r="AO225" s="101">
        <f t="shared" si="18"/>
        <v>11881.364600029807</v>
      </c>
    </row>
    <row r="226" spans="1:41" ht="15.75" customHeight="1" x14ac:dyDescent="0.3">
      <c r="A226" s="99">
        <v>50902</v>
      </c>
      <c r="B226" s="62" t="s">
        <v>183</v>
      </c>
      <c r="C226" s="62" t="s">
        <v>810</v>
      </c>
      <c r="D226" s="112"/>
      <c r="E226" s="113">
        <v>1200.25</v>
      </c>
      <c r="F226" s="114"/>
      <c r="G226" s="103">
        <v>80715608</v>
      </c>
      <c r="H226" s="103">
        <f t="shared" si="0"/>
        <v>182521.39721431999</v>
      </c>
      <c r="I226" s="104">
        <f t="shared" si="76"/>
        <v>0</v>
      </c>
      <c r="J226" s="105">
        <f t="shared" si="2"/>
        <v>0</v>
      </c>
      <c r="K226" s="115"/>
      <c r="L226" s="107">
        <v>102296881</v>
      </c>
      <c r="M226" s="103">
        <f t="shared" si="3"/>
        <v>277273.31377018144</v>
      </c>
      <c r="N226" s="104">
        <f t="shared" si="77"/>
        <v>0</v>
      </c>
      <c r="O226" s="105">
        <f t="shared" si="5"/>
        <v>0</v>
      </c>
      <c r="P226" s="114"/>
      <c r="Q226" s="103">
        <v>1312701719</v>
      </c>
      <c r="R226" s="103">
        <f t="shared" si="6"/>
        <v>2557.4142236730381</v>
      </c>
      <c r="S226" s="104">
        <f t="shared" si="78"/>
        <v>0</v>
      </c>
      <c r="T226" s="105">
        <f t="shared" si="8"/>
        <v>0</v>
      </c>
      <c r="U226" s="104">
        <f t="shared" si="9"/>
        <v>0</v>
      </c>
      <c r="V226" s="103">
        <f t="shared" si="10"/>
        <v>0</v>
      </c>
      <c r="W226" s="112"/>
      <c r="X226" s="101">
        <v>1621</v>
      </c>
      <c r="Y226" s="114"/>
      <c r="Z226" s="107">
        <v>121716258</v>
      </c>
      <c r="AA226" s="103">
        <v>275236.30478494999</v>
      </c>
      <c r="AB226" s="104">
        <f t="shared" si="79"/>
        <v>0</v>
      </c>
      <c r="AC226" s="105">
        <f t="shared" si="12"/>
        <v>0</v>
      </c>
      <c r="AD226" s="114"/>
      <c r="AE226" s="103">
        <v>148074670</v>
      </c>
      <c r="AF226" s="103">
        <v>298068.80334898003</v>
      </c>
      <c r="AG226" s="104">
        <f t="shared" si="80"/>
        <v>0</v>
      </c>
      <c r="AH226" s="105">
        <f t="shared" si="14"/>
        <v>0</v>
      </c>
      <c r="AI226" s="115"/>
      <c r="AJ226" s="103">
        <v>1717060725</v>
      </c>
      <c r="AK226" s="103">
        <v>3345.1891293834997</v>
      </c>
      <c r="AL226" s="104">
        <f t="shared" si="81"/>
        <v>0</v>
      </c>
      <c r="AM226" s="104">
        <f t="shared" si="16"/>
        <v>0</v>
      </c>
      <c r="AN226" s="108">
        <f t="shared" si="17"/>
        <v>0</v>
      </c>
      <c r="AO226" s="101">
        <f t="shared" si="18"/>
        <v>0</v>
      </c>
    </row>
    <row r="227" spans="1:41" ht="15.75" customHeight="1" x14ac:dyDescent="0.3">
      <c r="A227" s="99">
        <v>51001</v>
      </c>
      <c r="B227" s="62" t="s">
        <v>183</v>
      </c>
      <c r="C227" s="62" t="s">
        <v>811</v>
      </c>
      <c r="D227" s="112"/>
      <c r="E227" s="113">
        <v>3315.75</v>
      </c>
      <c r="F227" s="114"/>
      <c r="G227" s="103">
        <v>80715608</v>
      </c>
      <c r="H227" s="103">
        <f t="shared" si="0"/>
        <v>182521.39721431999</v>
      </c>
      <c r="I227" s="104">
        <f t="shared" si="76"/>
        <v>0</v>
      </c>
      <c r="J227" s="105">
        <f t="shared" si="2"/>
        <v>0</v>
      </c>
      <c r="K227" s="115"/>
      <c r="L227" s="107">
        <v>102296881</v>
      </c>
      <c r="M227" s="103">
        <f t="shared" si="3"/>
        <v>277273.31377018144</v>
      </c>
      <c r="N227" s="104">
        <f t="shared" si="77"/>
        <v>0</v>
      </c>
      <c r="O227" s="105">
        <f t="shared" si="5"/>
        <v>0</v>
      </c>
      <c r="P227" s="114"/>
      <c r="Q227" s="103">
        <v>1312701719</v>
      </c>
      <c r="R227" s="103">
        <f t="shared" si="6"/>
        <v>2557.4142236730381</v>
      </c>
      <c r="S227" s="104">
        <f t="shared" si="78"/>
        <v>0</v>
      </c>
      <c r="T227" s="105">
        <f t="shared" si="8"/>
        <v>0</v>
      </c>
      <c r="U227" s="104">
        <f t="shared" si="9"/>
        <v>0</v>
      </c>
      <c r="V227" s="103">
        <f t="shared" si="10"/>
        <v>0</v>
      </c>
      <c r="W227" s="112"/>
      <c r="X227" s="101">
        <v>3150</v>
      </c>
      <c r="Y227" s="114"/>
      <c r="Z227" s="107">
        <v>121716258</v>
      </c>
      <c r="AA227" s="103">
        <v>275236.30478494999</v>
      </c>
      <c r="AB227" s="104">
        <f t="shared" si="79"/>
        <v>0</v>
      </c>
      <c r="AC227" s="105">
        <f t="shared" si="12"/>
        <v>0</v>
      </c>
      <c r="AD227" s="114"/>
      <c r="AE227" s="103">
        <v>148074670</v>
      </c>
      <c r="AF227" s="103">
        <v>298068.80334898003</v>
      </c>
      <c r="AG227" s="104">
        <f t="shared" si="80"/>
        <v>0</v>
      </c>
      <c r="AH227" s="105">
        <f t="shared" si="14"/>
        <v>0</v>
      </c>
      <c r="AI227" s="115"/>
      <c r="AJ227" s="103">
        <v>1717060725</v>
      </c>
      <c r="AK227" s="103">
        <v>3345.1891293834997</v>
      </c>
      <c r="AL227" s="104">
        <f t="shared" si="81"/>
        <v>0</v>
      </c>
      <c r="AM227" s="104">
        <f t="shared" si="16"/>
        <v>0</v>
      </c>
      <c r="AN227" s="108">
        <f t="shared" si="17"/>
        <v>0</v>
      </c>
      <c r="AO227" s="101">
        <f t="shared" si="18"/>
        <v>0</v>
      </c>
    </row>
    <row r="228" spans="1:41" ht="15.75" customHeight="1" x14ac:dyDescent="0.3">
      <c r="A228" s="99">
        <v>51002</v>
      </c>
      <c r="B228" s="62" t="s">
        <v>183</v>
      </c>
      <c r="C228" s="62" t="s">
        <v>812</v>
      </c>
      <c r="D228" s="112"/>
      <c r="E228" s="113">
        <v>1141.25</v>
      </c>
      <c r="F228" s="114"/>
      <c r="G228" s="103">
        <v>80715608</v>
      </c>
      <c r="H228" s="103">
        <f t="shared" si="0"/>
        <v>182521.39721431999</v>
      </c>
      <c r="I228" s="104">
        <f t="shared" si="76"/>
        <v>0</v>
      </c>
      <c r="J228" s="105">
        <f t="shared" si="2"/>
        <v>0</v>
      </c>
      <c r="K228" s="115"/>
      <c r="L228" s="107">
        <v>102296881</v>
      </c>
      <c r="M228" s="103">
        <f t="shared" si="3"/>
        <v>277273.31377018144</v>
      </c>
      <c r="N228" s="104">
        <f t="shared" si="77"/>
        <v>0</v>
      </c>
      <c r="O228" s="105">
        <f t="shared" si="5"/>
        <v>0</v>
      </c>
      <c r="P228" s="114"/>
      <c r="Q228" s="103">
        <v>1312701719</v>
      </c>
      <c r="R228" s="103">
        <f t="shared" si="6"/>
        <v>2557.4142236730381</v>
      </c>
      <c r="S228" s="104">
        <f t="shared" si="78"/>
        <v>0</v>
      </c>
      <c r="T228" s="105">
        <f t="shared" si="8"/>
        <v>0</v>
      </c>
      <c r="U228" s="104">
        <f t="shared" si="9"/>
        <v>0</v>
      </c>
      <c r="V228" s="103">
        <f t="shared" si="10"/>
        <v>0</v>
      </c>
      <c r="W228" s="112"/>
      <c r="X228" s="101">
        <v>1025</v>
      </c>
      <c r="Y228" s="114"/>
      <c r="Z228" s="107">
        <v>121716258</v>
      </c>
      <c r="AA228" s="103">
        <v>275236.30478494999</v>
      </c>
      <c r="AB228" s="104">
        <f t="shared" si="79"/>
        <v>0</v>
      </c>
      <c r="AC228" s="105">
        <f t="shared" si="12"/>
        <v>0</v>
      </c>
      <c r="AD228" s="114"/>
      <c r="AE228" s="103">
        <v>148074670</v>
      </c>
      <c r="AF228" s="103">
        <v>298068.80334898003</v>
      </c>
      <c r="AG228" s="104">
        <f t="shared" si="80"/>
        <v>0</v>
      </c>
      <c r="AH228" s="105">
        <f t="shared" si="14"/>
        <v>0</v>
      </c>
      <c r="AI228" s="115"/>
      <c r="AJ228" s="103">
        <v>1717060725</v>
      </c>
      <c r="AK228" s="103">
        <v>3345.1891293834997</v>
      </c>
      <c r="AL228" s="104">
        <f t="shared" si="81"/>
        <v>0</v>
      </c>
      <c r="AM228" s="104">
        <f t="shared" si="16"/>
        <v>0</v>
      </c>
      <c r="AN228" s="108">
        <f t="shared" si="17"/>
        <v>0</v>
      </c>
      <c r="AO228" s="101">
        <f t="shared" si="18"/>
        <v>0</v>
      </c>
    </row>
    <row r="229" spans="1:41" ht="15.75" customHeight="1" x14ac:dyDescent="0.3">
      <c r="A229" s="99">
        <v>51003</v>
      </c>
      <c r="B229" s="62" t="s">
        <v>183</v>
      </c>
      <c r="C229" s="62" t="s">
        <v>202</v>
      </c>
      <c r="D229" s="100">
        <v>2</v>
      </c>
      <c r="E229" s="101">
        <v>2197</v>
      </c>
      <c r="F229" s="102">
        <v>1.045405296491996</v>
      </c>
      <c r="G229" s="103">
        <v>80715608</v>
      </c>
      <c r="H229" s="103">
        <f t="shared" si="0"/>
        <v>182521.39721431999</v>
      </c>
      <c r="I229" s="104">
        <f t="shared" si="76"/>
        <v>2.3211529849213585E-5</v>
      </c>
      <c r="J229" s="105">
        <f t="shared" si="2"/>
        <v>1.928357241493108E-3</v>
      </c>
      <c r="K229" s="106">
        <v>0.89317177944935933</v>
      </c>
      <c r="L229" s="107">
        <v>102296881</v>
      </c>
      <c r="M229" s="103">
        <f t="shared" si="3"/>
        <v>277273.31377018144</v>
      </c>
      <c r="N229" s="104">
        <f t="shared" si="77"/>
        <v>8.394948836884087E-5</v>
      </c>
      <c r="O229" s="105">
        <f t="shared" si="5"/>
        <v>1.0594880668793724E-2</v>
      </c>
      <c r="P229" s="102">
        <v>6.1422924058644211E-2</v>
      </c>
      <c r="Q229" s="103">
        <v>1312701719</v>
      </c>
      <c r="R229" s="103">
        <f t="shared" si="6"/>
        <v>2557.4142236730381</v>
      </c>
      <c r="S229" s="104">
        <f t="shared" si="78"/>
        <v>4.1839157327931618E-5</v>
      </c>
      <c r="T229" s="105">
        <f t="shared" si="8"/>
        <v>4.8702802028651048E-5</v>
      </c>
      <c r="U229" s="104">
        <f t="shared" si="9"/>
        <v>1.2571940712315483E-2</v>
      </c>
      <c r="V229" s="103">
        <f t="shared" si="10"/>
        <v>27.620553744957117</v>
      </c>
      <c r="W229" s="100">
        <v>2</v>
      </c>
      <c r="X229" s="101">
        <v>1936</v>
      </c>
      <c r="Y229" s="102">
        <v>1.045405296491996</v>
      </c>
      <c r="Z229" s="107">
        <v>121716258</v>
      </c>
      <c r="AA229" s="103">
        <v>275236.30478494999</v>
      </c>
      <c r="AB229" s="104">
        <f t="shared" si="79"/>
        <v>1.4348394635184235E-5</v>
      </c>
      <c r="AC229" s="105">
        <f t="shared" si="12"/>
        <v>2.0398755779877631E-3</v>
      </c>
      <c r="AD229" s="102">
        <v>0.89317177944935933</v>
      </c>
      <c r="AE229" s="103">
        <v>148074670</v>
      </c>
      <c r="AF229" s="103">
        <v>298068.80334898003</v>
      </c>
      <c r="AG229" s="104">
        <f t="shared" si="80"/>
        <v>6.4521728991336386E-5</v>
      </c>
      <c r="AH229" s="105">
        <f t="shared" si="14"/>
        <v>9.9338401603588991E-3</v>
      </c>
      <c r="AI229" s="106">
        <v>6.1422924058644211E-2</v>
      </c>
      <c r="AJ229" s="103">
        <v>1717060725</v>
      </c>
      <c r="AK229" s="103">
        <v>3345.1891293834997</v>
      </c>
      <c r="AL229" s="104">
        <f t="shared" si="81"/>
        <v>2.8383171574658627E-5</v>
      </c>
      <c r="AM229" s="104">
        <f t="shared" si="16"/>
        <v>4.9042911678189453E-5</v>
      </c>
      <c r="AN229" s="108">
        <f t="shared" si="17"/>
        <v>1.2022758650024851E-2</v>
      </c>
      <c r="AO229" s="101">
        <f t="shared" si="18"/>
        <v>23.276060746448113</v>
      </c>
    </row>
    <row r="230" spans="1:41" ht="15.75" customHeight="1" x14ac:dyDescent="0.3">
      <c r="A230" s="99">
        <v>51101</v>
      </c>
      <c r="B230" s="62" t="s">
        <v>183</v>
      </c>
      <c r="C230" s="62" t="s">
        <v>200</v>
      </c>
      <c r="D230" s="100">
        <v>115</v>
      </c>
      <c r="E230" s="101">
        <v>20535</v>
      </c>
      <c r="F230" s="102">
        <v>92.241408774105679</v>
      </c>
      <c r="G230" s="103">
        <v>80715608</v>
      </c>
      <c r="H230" s="103">
        <f t="shared" si="0"/>
        <v>182521.39721431999</v>
      </c>
      <c r="I230" s="104">
        <f t="shared" si="76"/>
        <v>2.0480709446167025E-3</v>
      </c>
      <c r="J230" s="105">
        <f t="shared" si="2"/>
        <v>1.8203884607036411E-2</v>
      </c>
      <c r="K230" s="106">
        <v>20.07131234105081</v>
      </c>
      <c r="L230" s="107">
        <v>102296881</v>
      </c>
      <c r="M230" s="103">
        <f t="shared" si="3"/>
        <v>277273.31377018144</v>
      </c>
      <c r="N230" s="104">
        <f t="shared" si="77"/>
        <v>1.8865087776969462E-3</v>
      </c>
      <c r="O230" s="105">
        <f t="shared" si="5"/>
        <v>2.5472536656857406E-2</v>
      </c>
      <c r="P230" s="102">
        <v>2.6801472745497161</v>
      </c>
      <c r="Q230" s="103">
        <v>1312701719</v>
      </c>
      <c r="R230" s="103">
        <f t="shared" si="6"/>
        <v>2557.4142236730381</v>
      </c>
      <c r="S230" s="104">
        <f t="shared" si="78"/>
        <v>1.8256230096576074E-3</v>
      </c>
      <c r="T230" s="105">
        <f t="shared" si="8"/>
        <v>2.2736178485333066E-4</v>
      </c>
      <c r="U230" s="104">
        <f t="shared" si="9"/>
        <v>4.3903783048747147E-2</v>
      </c>
      <c r="V230" s="103">
        <f t="shared" si="10"/>
        <v>901.56418490602277</v>
      </c>
      <c r="W230" s="100">
        <v>126</v>
      </c>
      <c r="X230" s="101">
        <v>16389</v>
      </c>
      <c r="Y230" s="102">
        <v>98.51377306991786</v>
      </c>
      <c r="Z230" s="107">
        <v>121716258</v>
      </c>
      <c r="AA230" s="103">
        <v>275236.30478494999</v>
      </c>
      <c r="AB230" s="104">
        <f t="shared" si="79"/>
        <v>1.3521210364548684E-3</v>
      </c>
      <c r="AC230" s="105">
        <f t="shared" si="12"/>
        <v>2.2707474385004249E-2</v>
      </c>
      <c r="AD230" s="102">
        <v>24.643193215389442</v>
      </c>
      <c r="AE230" s="103">
        <v>148074670</v>
      </c>
      <c r="AF230" s="103">
        <v>298068.80334898003</v>
      </c>
      <c r="AG230" s="104">
        <f t="shared" si="80"/>
        <v>1.7801966774014576E-3</v>
      </c>
      <c r="AH230" s="105">
        <f t="shared" si="14"/>
        <v>3.2376660769960507E-2</v>
      </c>
      <c r="AI230" s="106">
        <v>2.8350408939498259</v>
      </c>
      <c r="AJ230" s="103">
        <v>1717060725</v>
      </c>
      <c r="AK230" s="103">
        <v>3345.1891293834997</v>
      </c>
      <c r="AL230" s="104">
        <f t="shared" si="81"/>
        <v>1.310055705542841E-3</v>
      </c>
      <c r="AM230" s="104">
        <f t="shared" si="16"/>
        <v>2.6739789523880307E-4</v>
      </c>
      <c r="AN230" s="108">
        <f t="shared" si="17"/>
        <v>5.5351533050203558E-2</v>
      </c>
      <c r="AO230" s="101">
        <f t="shared" si="18"/>
        <v>907.15627515978599</v>
      </c>
    </row>
    <row r="231" spans="1:41" ht="15.75" customHeight="1" x14ac:dyDescent="0.3">
      <c r="A231" s="99">
        <v>51102</v>
      </c>
      <c r="B231" s="62" t="s">
        <v>183</v>
      </c>
      <c r="C231" s="62" t="s">
        <v>813</v>
      </c>
      <c r="D231" s="112">
        <v>6</v>
      </c>
      <c r="E231" s="113">
        <v>12300</v>
      </c>
      <c r="F231" s="114">
        <v>3</v>
      </c>
      <c r="G231" s="103">
        <v>80715608</v>
      </c>
      <c r="H231" s="103">
        <f t="shared" si="0"/>
        <v>182521.39721431999</v>
      </c>
      <c r="I231" s="104">
        <f t="shared" si="76"/>
        <v>6.6610136548293168E-5</v>
      </c>
      <c r="J231" s="105">
        <f t="shared" si="2"/>
        <v>9.8843700743342366E-4</v>
      </c>
      <c r="K231" s="115">
        <v>3</v>
      </c>
      <c r="L231" s="107">
        <v>102296881</v>
      </c>
      <c r="M231" s="103">
        <f t="shared" si="3"/>
        <v>277273.31377018144</v>
      </c>
      <c r="N231" s="104">
        <f t="shared" si="77"/>
        <v>2.81970916346895E-4</v>
      </c>
      <c r="O231" s="105">
        <f t="shared" si="5"/>
        <v>6.3563423058795284E-3</v>
      </c>
      <c r="P231" s="114">
        <v>0</v>
      </c>
      <c r="Q231" s="103">
        <v>1312701719</v>
      </c>
      <c r="R231" s="103">
        <f t="shared" si="6"/>
        <v>2557.4142236730381</v>
      </c>
      <c r="S231" s="104">
        <f t="shared" si="78"/>
        <v>0</v>
      </c>
      <c r="T231" s="105">
        <f t="shared" si="8"/>
        <v>0</v>
      </c>
      <c r="U231" s="104">
        <f t="shared" si="9"/>
        <v>7.344779313312952E-3</v>
      </c>
      <c r="V231" s="103">
        <f t="shared" si="10"/>
        <v>90.340785553749313</v>
      </c>
      <c r="W231" s="112">
        <v>15</v>
      </c>
      <c r="X231" s="101">
        <v>12999</v>
      </c>
      <c r="Y231" s="114">
        <v>12</v>
      </c>
      <c r="Z231" s="107">
        <v>121716258</v>
      </c>
      <c r="AA231" s="103">
        <v>275236.30478494999</v>
      </c>
      <c r="AB231" s="104">
        <f t="shared" si="79"/>
        <v>1.6470237543275075E-4</v>
      </c>
      <c r="AC231" s="105">
        <f t="shared" si="12"/>
        <v>3.4873508118635158E-3</v>
      </c>
      <c r="AD231" s="114">
        <v>3</v>
      </c>
      <c r="AE231" s="103">
        <v>148074670</v>
      </c>
      <c r="AF231" s="103">
        <v>298068.80334898003</v>
      </c>
      <c r="AG231" s="104">
        <f t="shared" si="80"/>
        <v>2.1671663998759806E-4</v>
      </c>
      <c r="AH231" s="105">
        <f t="shared" si="14"/>
        <v>4.9693414529513869E-3</v>
      </c>
      <c r="AI231" s="115">
        <v>1</v>
      </c>
      <c r="AJ231" s="103">
        <v>1717060725</v>
      </c>
      <c r="AK231" s="103">
        <v>3345.1891293834997</v>
      </c>
      <c r="AL231" s="104">
        <f t="shared" si="81"/>
        <v>4.6209411241248435E-4</v>
      </c>
      <c r="AM231" s="104">
        <f t="shared" si="16"/>
        <v>1.1891623983339945E-4</v>
      </c>
      <c r="AN231" s="108">
        <f t="shared" si="17"/>
        <v>8.5756085046483025E-3</v>
      </c>
      <c r="AO231" s="101">
        <f t="shared" si="18"/>
        <v>111.47433495192328</v>
      </c>
    </row>
    <row r="232" spans="1:41" ht="15.75" customHeight="1" x14ac:dyDescent="0.3">
      <c r="A232" s="99">
        <v>51103</v>
      </c>
      <c r="B232" s="62" t="s">
        <v>183</v>
      </c>
      <c r="C232" s="62" t="s">
        <v>544</v>
      </c>
      <c r="D232" s="112"/>
      <c r="E232" s="113">
        <v>15443.5</v>
      </c>
      <c r="F232" s="114"/>
      <c r="G232" s="103">
        <v>80715608</v>
      </c>
      <c r="H232" s="103">
        <f t="shared" si="0"/>
        <v>182521.39721431999</v>
      </c>
      <c r="I232" s="104">
        <f t="shared" si="76"/>
        <v>0</v>
      </c>
      <c r="J232" s="105">
        <f t="shared" si="2"/>
        <v>0</v>
      </c>
      <c r="K232" s="115"/>
      <c r="L232" s="107">
        <v>102296881</v>
      </c>
      <c r="M232" s="103">
        <f t="shared" si="3"/>
        <v>277273.31377018144</v>
      </c>
      <c r="N232" s="104">
        <f t="shared" si="77"/>
        <v>0</v>
      </c>
      <c r="O232" s="105">
        <f t="shared" si="5"/>
        <v>0</v>
      </c>
      <c r="P232" s="114"/>
      <c r="Q232" s="103">
        <v>1312701719</v>
      </c>
      <c r="R232" s="103">
        <f t="shared" si="6"/>
        <v>2557.4142236730381</v>
      </c>
      <c r="S232" s="104">
        <f t="shared" si="78"/>
        <v>0</v>
      </c>
      <c r="T232" s="105">
        <f t="shared" si="8"/>
        <v>0</v>
      </c>
      <c r="U232" s="104">
        <f t="shared" si="9"/>
        <v>0</v>
      </c>
      <c r="V232" s="103">
        <f t="shared" si="10"/>
        <v>0</v>
      </c>
      <c r="W232" s="100">
        <v>2</v>
      </c>
      <c r="X232" s="101">
        <v>14338</v>
      </c>
      <c r="Y232" s="102">
        <v>0.23651007036539121</v>
      </c>
      <c r="Z232" s="107">
        <v>121716258</v>
      </c>
      <c r="AA232" s="103">
        <v>275236.30478494999</v>
      </c>
      <c r="AB232" s="104">
        <f t="shared" si="79"/>
        <v>3.2461475335789132E-6</v>
      </c>
      <c r="AC232" s="105">
        <f t="shared" si="12"/>
        <v>6.2313966517578426E-5</v>
      </c>
      <c r="AD232" s="102">
        <v>1.762872264409161</v>
      </c>
      <c r="AE232" s="103">
        <v>148074670</v>
      </c>
      <c r="AF232" s="103">
        <v>298068.80334898003</v>
      </c>
      <c r="AG232" s="104">
        <f t="shared" si="80"/>
        <v>1.2734791795669399E-4</v>
      </c>
      <c r="AH232" s="105">
        <f t="shared" si="14"/>
        <v>2.6474014168179566E-3</v>
      </c>
      <c r="AI232" s="106">
        <v>6.1766522544780701E-4</v>
      </c>
      <c r="AJ232" s="103">
        <v>1717060725</v>
      </c>
      <c r="AK232" s="103">
        <v>3345.1891293834997</v>
      </c>
      <c r="AL232" s="104">
        <f t="shared" si="81"/>
        <v>2.8541946412136144E-7</v>
      </c>
      <c r="AM232" s="104">
        <f t="shared" si="16"/>
        <v>6.6591023064112289E-8</v>
      </c>
      <c r="AN232" s="108">
        <f t="shared" si="17"/>
        <v>2.7097819743585991E-3</v>
      </c>
      <c r="AO232" s="101">
        <f t="shared" si="18"/>
        <v>38.852853948353591</v>
      </c>
    </row>
    <row r="233" spans="1:41" ht="15.75" customHeight="1" x14ac:dyDescent="0.3">
      <c r="A233" s="99">
        <v>51201</v>
      </c>
      <c r="B233" s="62" t="s">
        <v>183</v>
      </c>
      <c r="C233" s="62" t="s">
        <v>209</v>
      </c>
      <c r="D233" s="100">
        <v>2996</v>
      </c>
      <c r="E233" s="101">
        <v>31083.5</v>
      </c>
      <c r="F233" s="102">
        <v>2403.3373830557421</v>
      </c>
      <c r="G233" s="103">
        <v>80715608</v>
      </c>
      <c r="H233" s="103">
        <f t="shared" si="0"/>
        <v>182521.39721431999</v>
      </c>
      <c r="I233" s="104">
        <f t="shared" si="76"/>
        <v>5.3362210418986852E-2</v>
      </c>
      <c r="J233" s="105">
        <f t="shared" si="2"/>
        <v>0.31334132913339952</v>
      </c>
      <c r="K233" s="106">
        <v>507.39054792968773</v>
      </c>
      <c r="L233" s="107">
        <v>102296881</v>
      </c>
      <c r="M233" s="103">
        <f t="shared" si="3"/>
        <v>277273.31377018144</v>
      </c>
      <c r="N233" s="104">
        <f t="shared" si="77"/>
        <v>4.7689792581829059E-2</v>
      </c>
      <c r="O233" s="105">
        <f t="shared" si="5"/>
        <v>0.42540598137842778</v>
      </c>
      <c r="P233" s="102">
        <v>84.954238211197406</v>
      </c>
      <c r="Q233" s="103">
        <v>1312701719</v>
      </c>
      <c r="R233" s="103">
        <f t="shared" si="6"/>
        <v>2557.4142236730381</v>
      </c>
      <c r="S233" s="104">
        <f t="shared" si="78"/>
        <v>5.7867869246981021E-2</v>
      </c>
      <c r="T233" s="105">
        <f t="shared" si="8"/>
        <v>4.761114800646029E-3</v>
      </c>
      <c r="U233" s="104">
        <f t="shared" si="9"/>
        <v>0.7435084253124733</v>
      </c>
      <c r="V233" s="103">
        <f t="shared" si="10"/>
        <v>23110.844138200267</v>
      </c>
      <c r="W233" s="100">
        <v>4555</v>
      </c>
      <c r="X233" s="101">
        <v>35318</v>
      </c>
      <c r="Y233" s="102">
        <v>3708.8853722943581</v>
      </c>
      <c r="Z233" s="107">
        <v>121716258</v>
      </c>
      <c r="AA233" s="103">
        <v>275236.30478494999</v>
      </c>
      <c r="AB233" s="104">
        <f t="shared" si="79"/>
        <v>5.090518591872191E-2</v>
      </c>
      <c r="AC233" s="105">
        <f t="shared" si="12"/>
        <v>0.39670862638484311</v>
      </c>
      <c r="AD233" s="102">
        <v>715.10468134074335</v>
      </c>
      <c r="AE233" s="103">
        <v>148074670</v>
      </c>
      <c r="AF233" s="103">
        <v>298068.80334898003</v>
      </c>
      <c r="AG233" s="104">
        <f t="shared" si="80"/>
        <v>5.165836125985597E-2</v>
      </c>
      <c r="AH233" s="105">
        <f t="shared" si="14"/>
        <v>0.43597445845445887</v>
      </c>
      <c r="AI233" s="106">
        <v>130.5433725018539</v>
      </c>
      <c r="AJ233" s="103">
        <v>1717060725</v>
      </c>
      <c r="AK233" s="103">
        <v>3345.1891293834997</v>
      </c>
      <c r="AL233" s="104">
        <f t="shared" si="81"/>
        <v>6.0323323847576493E-2</v>
      </c>
      <c r="AM233" s="104">
        <f t="shared" si="16"/>
        <v>5.7136000674781499E-3</v>
      </c>
      <c r="AN233" s="108">
        <f t="shared" si="17"/>
        <v>0.8383966849067801</v>
      </c>
      <c r="AO233" s="101">
        <f t="shared" si="18"/>
        <v>29610.494117537659</v>
      </c>
    </row>
    <row r="234" spans="1:41" ht="15.75" customHeight="1" x14ac:dyDescent="0.3">
      <c r="A234" s="99">
        <v>51202</v>
      </c>
      <c r="B234" s="62" t="s">
        <v>183</v>
      </c>
      <c r="C234" s="62" t="s">
        <v>206</v>
      </c>
      <c r="D234" s="100">
        <v>1</v>
      </c>
      <c r="E234" s="101">
        <v>8601.75</v>
      </c>
      <c r="F234" s="102">
        <v>0.175725756639901</v>
      </c>
      <c r="G234" s="103">
        <v>80715608</v>
      </c>
      <c r="H234" s="103">
        <f t="shared" si="0"/>
        <v>182521.39721431999</v>
      </c>
      <c r="I234" s="104">
        <f t="shared" si="76"/>
        <v>3.9017055482786472E-6</v>
      </c>
      <c r="J234" s="105">
        <f t="shared" si="2"/>
        <v>8.2790681918293736E-5</v>
      </c>
      <c r="K234" s="106">
        <v>0.82365657813465099</v>
      </c>
      <c r="L234" s="107">
        <v>102296881</v>
      </c>
      <c r="M234" s="103">
        <f t="shared" si="3"/>
        <v>277273.31377018144</v>
      </c>
      <c r="N234" s="104">
        <f t="shared" si="77"/>
        <v>7.7415733363925146E-5</v>
      </c>
      <c r="O234" s="105">
        <f t="shared" si="5"/>
        <v>2.4954592876756847E-3</v>
      </c>
      <c r="P234" s="102">
        <v>6.1766522544780701E-4</v>
      </c>
      <c r="Q234" s="103">
        <v>1312701719</v>
      </c>
      <c r="R234" s="103">
        <f t="shared" si="6"/>
        <v>2557.4142236730381</v>
      </c>
      <c r="S234" s="104">
        <f t="shared" si="78"/>
        <v>4.2073204653737501E-7</v>
      </c>
      <c r="T234" s="105">
        <f t="shared" si="8"/>
        <v>1.2508921093611758E-7</v>
      </c>
      <c r="U234" s="104">
        <f t="shared" si="9"/>
        <v>2.5783750588049144E-3</v>
      </c>
      <c r="V234" s="103">
        <f t="shared" si="10"/>
        <v>22.178537662075176</v>
      </c>
      <c r="W234" s="100">
        <v>1</v>
      </c>
      <c r="X234" s="101">
        <v>7845</v>
      </c>
      <c r="Y234" s="102">
        <v>0.175725756639901</v>
      </c>
      <c r="Z234" s="107">
        <v>121716258</v>
      </c>
      <c r="AA234" s="103">
        <v>275236.30478494999</v>
      </c>
      <c r="AB234" s="104">
        <f t="shared" si="79"/>
        <v>2.4118707952757641E-6</v>
      </c>
      <c r="AC234" s="105">
        <f t="shared" si="12"/>
        <v>8.4618789714523886E-5</v>
      </c>
      <c r="AD234" s="102">
        <v>0.82365657813465099</v>
      </c>
      <c r="AE234" s="103">
        <v>148074670</v>
      </c>
      <c r="AF234" s="103">
        <v>298068.80334898003</v>
      </c>
      <c r="AG234" s="104">
        <f t="shared" si="80"/>
        <v>5.9500028705674701E-5</v>
      </c>
      <c r="AH234" s="105">
        <f t="shared" si="14"/>
        <v>2.2606886367788934E-3</v>
      </c>
      <c r="AI234" s="106">
        <v>6.1766522544780701E-4</v>
      </c>
      <c r="AJ234" s="103">
        <v>1717060725</v>
      </c>
      <c r="AK234" s="103">
        <v>3345.1891293834997</v>
      </c>
      <c r="AL234" s="104">
        <f t="shared" si="81"/>
        <v>2.8541946412136144E-7</v>
      </c>
      <c r="AM234" s="104">
        <f t="shared" si="16"/>
        <v>1.2170581117823354E-7</v>
      </c>
      <c r="AN234" s="108">
        <f t="shared" si="17"/>
        <v>2.3454291323045957E-3</v>
      </c>
      <c r="AO234" s="101">
        <f t="shared" si="18"/>
        <v>18.399891542929552</v>
      </c>
    </row>
    <row r="235" spans="1:41" ht="15.75" customHeight="1" x14ac:dyDescent="0.3">
      <c r="A235" s="99">
        <v>51203</v>
      </c>
      <c r="B235" s="62" t="s">
        <v>183</v>
      </c>
      <c r="C235" s="62" t="s">
        <v>199</v>
      </c>
      <c r="D235" s="100">
        <v>226</v>
      </c>
      <c r="E235" s="101">
        <v>11813</v>
      </c>
      <c r="F235" s="102">
        <v>138.4288718346717</v>
      </c>
      <c r="G235" s="103">
        <v>80715608</v>
      </c>
      <c r="H235" s="103">
        <f t="shared" si="0"/>
        <v>182521.39721431999</v>
      </c>
      <c r="I235" s="104">
        <f t="shared" si="76"/>
        <v>3.0735886850445523E-3</v>
      </c>
      <c r="J235" s="105">
        <f t="shared" si="2"/>
        <v>4.748968943168172E-2</v>
      </c>
      <c r="K235" s="106">
        <v>81.835296798337652</v>
      </c>
      <c r="L235" s="107">
        <v>102296881</v>
      </c>
      <c r="M235" s="103">
        <f t="shared" si="3"/>
        <v>277273.31377018144</v>
      </c>
      <c r="N235" s="104">
        <f t="shared" si="77"/>
        <v>7.6917245425824629E-3</v>
      </c>
      <c r="O235" s="105">
        <f t="shared" si="5"/>
        <v>0.18053923241592079</v>
      </c>
      <c r="P235" s="102">
        <v>5.7061085339289326</v>
      </c>
      <c r="Q235" s="103">
        <v>1312701719</v>
      </c>
      <c r="R235" s="103">
        <f t="shared" si="6"/>
        <v>2557.4142236730381</v>
      </c>
      <c r="S235" s="104">
        <f t="shared" si="78"/>
        <v>3.8868024656945241E-3</v>
      </c>
      <c r="T235" s="105">
        <f t="shared" si="8"/>
        <v>8.4145974014853222E-4</v>
      </c>
      <c r="U235" s="104">
        <f t="shared" si="9"/>
        <v>0.22887038158775105</v>
      </c>
      <c r="V235" s="103">
        <f t="shared" si="10"/>
        <v>2703.6458176961032</v>
      </c>
      <c r="W235" s="100">
        <v>629</v>
      </c>
      <c r="X235" s="101">
        <v>14654</v>
      </c>
      <c r="Y235" s="102">
        <v>356.54177676433358</v>
      </c>
      <c r="Z235" s="107">
        <v>121716258</v>
      </c>
      <c r="AA235" s="103">
        <v>275236.30478494999</v>
      </c>
      <c r="AB235" s="104">
        <f t="shared" si="79"/>
        <v>4.893606464508273E-3</v>
      </c>
      <c r="AC235" s="105">
        <f t="shared" si="12"/>
        <v>9.191334518650203E-2</v>
      </c>
      <c r="AD235" s="102">
        <v>258.78446347194182</v>
      </c>
      <c r="AE235" s="103">
        <v>148074670</v>
      </c>
      <c r="AF235" s="103">
        <v>298068.80334898003</v>
      </c>
      <c r="AG235" s="104">
        <f t="shared" si="80"/>
        <v>1.8694299801544179E-2</v>
      </c>
      <c r="AH235" s="105">
        <f t="shared" si="14"/>
        <v>0.38025027782812537</v>
      </c>
      <c r="AI235" s="106">
        <v>13.61250923290274</v>
      </c>
      <c r="AJ235" s="103">
        <v>1717060725</v>
      </c>
      <c r="AK235" s="103">
        <v>3345.1891293834997</v>
      </c>
      <c r="AL235" s="104">
        <f t="shared" si="81"/>
        <v>6.2902603716849404E-3</v>
      </c>
      <c r="AM235" s="104">
        <f t="shared" si="16"/>
        <v>1.4359294811213507E-3</v>
      </c>
      <c r="AN235" s="108">
        <f t="shared" si="17"/>
        <v>0.47359955249574875</v>
      </c>
      <c r="AO235" s="101">
        <f t="shared" si="18"/>
        <v>6940.1278422727019</v>
      </c>
    </row>
    <row r="236" spans="1:41" ht="15.75" customHeight="1" x14ac:dyDescent="0.3">
      <c r="A236" s="99">
        <v>51204</v>
      </c>
      <c r="B236" s="62" t="s">
        <v>183</v>
      </c>
      <c r="C236" s="62" t="s">
        <v>814</v>
      </c>
      <c r="D236" s="112"/>
      <c r="E236" s="113">
        <v>5906</v>
      </c>
      <c r="F236" s="114"/>
      <c r="G236" s="103">
        <v>80715608</v>
      </c>
      <c r="H236" s="103">
        <f t="shared" si="0"/>
        <v>182521.39721431999</v>
      </c>
      <c r="I236" s="104">
        <f t="shared" si="76"/>
        <v>0</v>
      </c>
      <c r="J236" s="105">
        <f t="shared" si="2"/>
        <v>0</v>
      </c>
      <c r="K236" s="115"/>
      <c r="L236" s="107">
        <v>102296881</v>
      </c>
      <c r="M236" s="103">
        <f t="shared" si="3"/>
        <v>277273.31377018144</v>
      </c>
      <c r="N236" s="104">
        <f t="shared" si="77"/>
        <v>0</v>
      </c>
      <c r="O236" s="105">
        <f t="shared" si="5"/>
        <v>0</v>
      </c>
      <c r="P236" s="114"/>
      <c r="Q236" s="103">
        <v>1312701719</v>
      </c>
      <c r="R236" s="103">
        <f t="shared" si="6"/>
        <v>2557.4142236730381</v>
      </c>
      <c r="S236" s="104">
        <f t="shared" si="78"/>
        <v>0</v>
      </c>
      <c r="T236" s="105">
        <f t="shared" si="8"/>
        <v>0</v>
      </c>
      <c r="U236" s="104">
        <f t="shared" si="9"/>
        <v>0</v>
      </c>
      <c r="V236" s="103">
        <f t="shared" si="10"/>
        <v>0</v>
      </c>
      <c r="W236" s="112"/>
      <c r="X236" s="101">
        <v>5819</v>
      </c>
      <c r="Y236" s="114"/>
      <c r="Z236" s="107">
        <v>121716258</v>
      </c>
      <c r="AA236" s="103">
        <v>275236.30478494999</v>
      </c>
      <c r="AB236" s="104">
        <f t="shared" si="79"/>
        <v>0</v>
      </c>
      <c r="AC236" s="105">
        <f t="shared" si="12"/>
        <v>0</v>
      </c>
      <c r="AD236" s="114"/>
      <c r="AE236" s="103">
        <v>148074670</v>
      </c>
      <c r="AF236" s="103">
        <v>298068.80334898003</v>
      </c>
      <c r="AG236" s="104">
        <f t="shared" si="80"/>
        <v>0</v>
      </c>
      <c r="AH236" s="105">
        <f t="shared" si="14"/>
        <v>0</v>
      </c>
      <c r="AI236" s="115"/>
      <c r="AJ236" s="103">
        <v>1717060725</v>
      </c>
      <c r="AK236" s="103">
        <v>3345.1891293834997</v>
      </c>
      <c r="AL236" s="104">
        <f t="shared" si="81"/>
        <v>0</v>
      </c>
      <c r="AM236" s="104">
        <f t="shared" si="16"/>
        <v>0</v>
      </c>
      <c r="AN236" s="108">
        <f t="shared" si="17"/>
        <v>0</v>
      </c>
      <c r="AO236" s="101">
        <f t="shared" si="18"/>
        <v>0</v>
      </c>
    </row>
    <row r="237" spans="1:41" ht="15.75" customHeight="1" x14ac:dyDescent="0.3">
      <c r="A237" s="99">
        <v>51301</v>
      </c>
      <c r="B237" s="62" t="s">
        <v>183</v>
      </c>
      <c r="C237" s="62" t="s">
        <v>815</v>
      </c>
      <c r="D237" s="112"/>
      <c r="E237" s="113">
        <v>4044</v>
      </c>
      <c r="F237" s="114"/>
      <c r="G237" s="103">
        <v>80715608</v>
      </c>
      <c r="H237" s="103">
        <f t="shared" si="0"/>
        <v>182521.39721431999</v>
      </c>
      <c r="I237" s="104">
        <f t="shared" si="76"/>
        <v>0</v>
      </c>
      <c r="J237" s="105">
        <f t="shared" si="2"/>
        <v>0</v>
      </c>
      <c r="K237" s="115"/>
      <c r="L237" s="107">
        <v>102296881</v>
      </c>
      <c r="M237" s="103">
        <f t="shared" si="3"/>
        <v>277273.31377018144</v>
      </c>
      <c r="N237" s="104">
        <f t="shared" si="77"/>
        <v>0</v>
      </c>
      <c r="O237" s="105">
        <f t="shared" si="5"/>
        <v>0</v>
      </c>
      <c r="P237" s="114"/>
      <c r="Q237" s="103">
        <v>1312701719</v>
      </c>
      <c r="R237" s="103">
        <f t="shared" si="6"/>
        <v>2557.4142236730381</v>
      </c>
      <c r="S237" s="104">
        <f t="shared" si="78"/>
        <v>0</v>
      </c>
      <c r="T237" s="105">
        <f t="shared" si="8"/>
        <v>0</v>
      </c>
      <c r="U237" s="104">
        <f t="shared" si="9"/>
        <v>0</v>
      </c>
      <c r="V237" s="103">
        <f t="shared" si="10"/>
        <v>0</v>
      </c>
      <c r="W237" s="112"/>
      <c r="X237" s="101">
        <v>3666</v>
      </c>
      <c r="Y237" s="114"/>
      <c r="Z237" s="107">
        <v>121716258</v>
      </c>
      <c r="AA237" s="103">
        <v>275236.30478494999</v>
      </c>
      <c r="AB237" s="104">
        <f t="shared" si="79"/>
        <v>0</v>
      </c>
      <c r="AC237" s="105">
        <f t="shared" si="12"/>
        <v>0</v>
      </c>
      <c r="AD237" s="114"/>
      <c r="AE237" s="103">
        <v>148074670</v>
      </c>
      <c r="AF237" s="103">
        <v>298068.80334898003</v>
      </c>
      <c r="AG237" s="104">
        <f t="shared" si="80"/>
        <v>0</v>
      </c>
      <c r="AH237" s="105">
        <f t="shared" si="14"/>
        <v>0</v>
      </c>
      <c r="AI237" s="115"/>
      <c r="AJ237" s="103">
        <v>1717060725</v>
      </c>
      <c r="AK237" s="103">
        <v>3345.1891293834997</v>
      </c>
      <c r="AL237" s="104">
        <f t="shared" si="81"/>
        <v>0</v>
      </c>
      <c r="AM237" s="104">
        <f t="shared" si="16"/>
        <v>0</v>
      </c>
      <c r="AN237" s="108">
        <f t="shared" si="17"/>
        <v>0</v>
      </c>
      <c r="AO237" s="101">
        <f t="shared" si="18"/>
        <v>0</v>
      </c>
    </row>
    <row r="238" spans="1:41" ht="15.75" customHeight="1" x14ac:dyDescent="0.3">
      <c r="A238" s="99">
        <v>51302</v>
      </c>
      <c r="B238" s="62" t="s">
        <v>183</v>
      </c>
      <c r="C238" s="62" t="s">
        <v>184</v>
      </c>
      <c r="D238" s="100">
        <v>0</v>
      </c>
      <c r="E238" s="101">
        <v>5738.5</v>
      </c>
      <c r="F238" s="102">
        <v>0</v>
      </c>
      <c r="G238" s="103">
        <v>80715608</v>
      </c>
      <c r="H238" s="103">
        <f t="shared" si="0"/>
        <v>182521.39721431999</v>
      </c>
      <c r="I238" s="104">
        <f t="shared" si="76"/>
        <v>0</v>
      </c>
      <c r="J238" s="105">
        <f t="shared" si="2"/>
        <v>0</v>
      </c>
      <c r="K238" s="106">
        <v>0</v>
      </c>
      <c r="L238" s="107">
        <v>102296881</v>
      </c>
      <c r="M238" s="103">
        <f t="shared" si="3"/>
        <v>277273.31377018144</v>
      </c>
      <c r="N238" s="104">
        <f t="shared" si="77"/>
        <v>0</v>
      </c>
      <c r="O238" s="105">
        <f t="shared" si="5"/>
        <v>0</v>
      </c>
      <c r="P238" s="102">
        <v>0</v>
      </c>
      <c r="Q238" s="103">
        <v>1312701719</v>
      </c>
      <c r="R238" s="103">
        <f t="shared" si="6"/>
        <v>2557.4142236730381</v>
      </c>
      <c r="S238" s="104">
        <f t="shared" si="78"/>
        <v>0</v>
      </c>
      <c r="T238" s="105">
        <f t="shared" si="8"/>
        <v>0</v>
      </c>
      <c r="U238" s="104">
        <f t="shared" si="9"/>
        <v>0</v>
      </c>
      <c r="V238" s="103">
        <f t="shared" si="10"/>
        <v>0</v>
      </c>
      <c r="W238" s="100">
        <v>0</v>
      </c>
      <c r="X238" s="101">
        <v>4471</v>
      </c>
      <c r="Y238" s="102">
        <v>0</v>
      </c>
      <c r="Z238" s="107">
        <v>121716258</v>
      </c>
      <c r="AA238" s="103">
        <v>275236.30478494999</v>
      </c>
      <c r="AB238" s="104">
        <f t="shared" si="79"/>
        <v>0</v>
      </c>
      <c r="AC238" s="105">
        <f t="shared" si="12"/>
        <v>0</v>
      </c>
      <c r="AD238" s="102">
        <v>0</v>
      </c>
      <c r="AE238" s="103">
        <v>148074670</v>
      </c>
      <c r="AF238" s="103">
        <v>298068.80334898003</v>
      </c>
      <c r="AG238" s="104">
        <f t="shared" si="80"/>
        <v>0</v>
      </c>
      <c r="AH238" s="105">
        <f t="shared" si="14"/>
        <v>0</v>
      </c>
      <c r="AI238" s="106">
        <v>0</v>
      </c>
      <c r="AJ238" s="103">
        <v>1717060725</v>
      </c>
      <c r="AK238" s="103">
        <v>3345.1891293834997</v>
      </c>
      <c r="AL238" s="104">
        <f t="shared" si="81"/>
        <v>0</v>
      </c>
      <c r="AM238" s="104">
        <f t="shared" si="16"/>
        <v>0</v>
      </c>
      <c r="AN238" s="108">
        <f t="shared" si="17"/>
        <v>0</v>
      </c>
      <c r="AO238" s="101">
        <f t="shared" si="18"/>
        <v>0</v>
      </c>
    </row>
    <row r="239" spans="1:41" ht="15.75" customHeight="1" x14ac:dyDescent="0.3">
      <c r="A239" s="99">
        <v>51401</v>
      </c>
      <c r="B239" s="62" t="s">
        <v>183</v>
      </c>
      <c r="C239" s="62" t="s">
        <v>196</v>
      </c>
      <c r="D239" s="100">
        <v>21</v>
      </c>
      <c r="E239" s="101">
        <v>4159.25</v>
      </c>
      <c r="F239" s="102">
        <v>14.33402960307833</v>
      </c>
      <c r="G239" s="103">
        <v>80715608</v>
      </c>
      <c r="H239" s="103">
        <f t="shared" si="0"/>
        <v>182521.39721431999</v>
      </c>
      <c r="I239" s="104">
        <f t="shared" si="76"/>
        <v>3.1826388971610802E-4</v>
      </c>
      <c r="J239" s="105">
        <f t="shared" si="2"/>
        <v>1.3966453046546442E-2</v>
      </c>
      <c r="K239" s="106">
        <v>5.9734168541323172</v>
      </c>
      <c r="L239" s="107">
        <v>102296881</v>
      </c>
      <c r="M239" s="103">
        <f t="shared" si="3"/>
        <v>277273.31377018144</v>
      </c>
      <c r="N239" s="104">
        <f t="shared" si="77"/>
        <v>5.6144327469389199E-4</v>
      </c>
      <c r="O239" s="105">
        <f t="shared" si="5"/>
        <v>3.742819913887304E-2</v>
      </c>
      <c r="P239" s="102">
        <v>0.6879530493689423</v>
      </c>
      <c r="Q239" s="103">
        <v>1312701719</v>
      </c>
      <c r="R239" s="103">
        <f t="shared" si="6"/>
        <v>2557.4142236730381</v>
      </c>
      <c r="S239" s="104">
        <f t="shared" si="78"/>
        <v>4.6860966500546669E-4</v>
      </c>
      <c r="T239" s="105">
        <f t="shared" si="8"/>
        <v>2.8813584724064149E-4</v>
      </c>
      <c r="U239" s="104">
        <f t="shared" si="9"/>
        <v>5.1682788032660125E-2</v>
      </c>
      <c r="V239" s="103">
        <f t="shared" si="10"/>
        <v>214.96163612484162</v>
      </c>
      <c r="W239" s="100">
        <v>20</v>
      </c>
      <c r="X239" s="101">
        <v>4187</v>
      </c>
      <c r="Y239" s="102">
        <v>14.158303846438431</v>
      </c>
      <c r="Z239" s="107">
        <v>121716258</v>
      </c>
      <c r="AA239" s="103">
        <v>275236.30478494999</v>
      </c>
      <c r="AB239" s="104">
        <f t="shared" si="79"/>
        <v>1.9432552296725511E-4</v>
      </c>
      <c r="AC239" s="105">
        <f t="shared" si="12"/>
        <v>1.2774167391189448E-2</v>
      </c>
      <c r="AD239" s="102">
        <v>5.153260275997666</v>
      </c>
      <c r="AE239" s="103">
        <v>148074670</v>
      </c>
      <c r="AF239" s="103">
        <v>298068.80334898003</v>
      </c>
      <c r="AG239" s="104">
        <f t="shared" si="80"/>
        <v>3.7226575066525884E-4</v>
      </c>
      <c r="AH239" s="105">
        <f t="shared" si="14"/>
        <v>2.650126745369082E-2</v>
      </c>
      <c r="AI239" s="106">
        <v>0.68733538414349449</v>
      </c>
      <c r="AJ239" s="103">
        <v>1717060725</v>
      </c>
      <c r="AK239" s="103">
        <v>3345.1891293834997</v>
      </c>
      <c r="AL239" s="104">
        <f t="shared" si="81"/>
        <v>3.1761363426548205E-4</v>
      </c>
      <c r="AM239" s="104">
        <f t="shared" si="16"/>
        <v>2.5375631160469962E-4</v>
      </c>
      <c r="AN239" s="108">
        <f t="shared" si="17"/>
        <v>3.9529191156484969E-2</v>
      </c>
      <c r="AO239" s="101">
        <f t="shared" si="18"/>
        <v>165.50872337220255</v>
      </c>
    </row>
    <row r="240" spans="1:41" ht="15.75" customHeight="1" x14ac:dyDescent="0.3">
      <c r="A240" s="99">
        <v>51402</v>
      </c>
      <c r="B240" s="62" t="s">
        <v>183</v>
      </c>
      <c r="C240" s="62" t="s">
        <v>204</v>
      </c>
      <c r="D240" s="100">
        <v>0</v>
      </c>
      <c r="E240" s="101">
        <v>1661.5</v>
      </c>
      <c r="F240" s="102">
        <v>0</v>
      </c>
      <c r="G240" s="103">
        <v>80715608</v>
      </c>
      <c r="H240" s="103">
        <f t="shared" si="0"/>
        <v>182521.39721431999</v>
      </c>
      <c r="I240" s="104">
        <f t="shared" si="76"/>
        <v>0</v>
      </c>
      <c r="J240" s="105">
        <f t="shared" si="2"/>
        <v>0</v>
      </c>
      <c r="K240" s="106">
        <v>0</v>
      </c>
      <c r="L240" s="107">
        <v>102296881</v>
      </c>
      <c r="M240" s="103">
        <f t="shared" si="3"/>
        <v>277273.31377018144</v>
      </c>
      <c r="N240" s="104">
        <f t="shared" si="77"/>
        <v>0</v>
      </c>
      <c r="O240" s="105">
        <f t="shared" si="5"/>
        <v>0</v>
      </c>
      <c r="P240" s="102">
        <v>0</v>
      </c>
      <c r="Q240" s="103">
        <v>1312701719</v>
      </c>
      <c r="R240" s="103">
        <f t="shared" si="6"/>
        <v>2557.4142236730381</v>
      </c>
      <c r="S240" s="104">
        <f t="shared" si="78"/>
        <v>0</v>
      </c>
      <c r="T240" s="105">
        <f t="shared" si="8"/>
        <v>0</v>
      </c>
      <c r="U240" s="104">
        <f t="shared" si="9"/>
        <v>0</v>
      </c>
      <c r="V240" s="103">
        <f t="shared" si="10"/>
        <v>0</v>
      </c>
      <c r="W240" s="100">
        <v>0</v>
      </c>
      <c r="X240" s="101">
        <v>1546</v>
      </c>
      <c r="Y240" s="102">
        <v>0</v>
      </c>
      <c r="Z240" s="107">
        <v>121716258</v>
      </c>
      <c r="AA240" s="103">
        <v>275236.30478494999</v>
      </c>
      <c r="AB240" s="104">
        <f t="shared" si="79"/>
        <v>0</v>
      </c>
      <c r="AC240" s="105">
        <f t="shared" si="12"/>
        <v>0</v>
      </c>
      <c r="AD240" s="102">
        <v>0</v>
      </c>
      <c r="AE240" s="103">
        <v>148074670</v>
      </c>
      <c r="AF240" s="103">
        <v>298068.80334898003</v>
      </c>
      <c r="AG240" s="104">
        <f t="shared" si="80"/>
        <v>0</v>
      </c>
      <c r="AH240" s="105">
        <f t="shared" si="14"/>
        <v>0</v>
      </c>
      <c r="AI240" s="106">
        <v>0</v>
      </c>
      <c r="AJ240" s="103">
        <v>1717060725</v>
      </c>
      <c r="AK240" s="103">
        <v>3345.1891293834997</v>
      </c>
      <c r="AL240" s="104">
        <f t="shared" si="81"/>
        <v>0</v>
      </c>
      <c r="AM240" s="104">
        <f t="shared" si="16"/>
        <v>0</v>
      </c>
      <c r="AN240" s="108">
        <f t="shared" si="17"/>
        <v>0</v>
      </c>
      <c r="AO240" s="101">
        <f t="shared" si="18"/>
        <v>0</v>
      </c>
    </row>
    <row r="241" spans="1:41" ht="15.75" customHeight="1" x14ac:dyDescent="0.3">
      <c r="A241" s="99">
        <v>51501</v>
      </c>
      <c r="B241" s="62" t="s">
        <v>183</v>
      </c>
      <c r="C241" s="62" t="s">
        <v>210</v>
      </c>
      <c r="D241" s="100">
        <v>2688</v>
      </c>
      <c r="E241" s="101">
        <v>46014.5</v>
      </c>
      <c r="F241" s="102">
        <v>2182.0929237670739</v>
      </c>
      <c r="G241" s="103">
        <v>80715608</v>
      </c>
      <c r="H241" s="103">
        <f t="shared" si="0"/>
        <v>182521.39721431999</v>
      </c>
      <c r="I241" s="104">
        <f t="shared" si="76"/>
        <v>4.8449835871063024E-2</v>
      </c>
      <c r="J241" s="105">
        <f t="shared" si="2"/>
        <v>0.1921814153797369</v>
      </c>
      <c r="K241" s="106">
        <v>426.44443815884563</v>
      </c>
      <c r="L241" s="107">
        <v>102296881</v>
      </c>
      <c r="M241" s="103">
        <f t="shared" si="3"/>
        <v>277273.31377018144</v>
      </c>
      <c r="N241" s="104">
        <f t="shared" si="77"/>
        <v>4.0081642999562163E-2</v>
      </c>
      <c r="O241" s="105">
        <f t="shared" si="5"/>
        <v>0.24152321498314652</v>
      </c>
      <c r="P241" s="102">
        <v>79.189336289159272</v>
      </c>
      <c r="Q241" s="103">
        <v>1312701719</v>
      </c>
      <c r="R241" s="103">
        <f t="shared" si="6"/>
        <v>2557.4142236730381</v>
      </c>
      <c r="S241" s="104">
        <f t="shared" si="78"/>
        <v>5.3941018772295679E-2</v>
      </c>
      <c r="T241" s="105">
        <f t="shared" si="8"/>
        <v>2.9979577882555137E-3</v>
      </c>
      <c r="U241" s="104">
        <f t="shared" si="9"/>
        <v>0.43670258815113894</v>
      </c>
      <c r="V241" s="103">
        <f t="shared" si="10"/>
        <v>20094.651242480584</v>
      </c>
      <c r="W241" s="100">
        <v>4637</v>
      </c>
      <c r="X241" s="101">
        <v>49340</v>
      </c>
      <c r="Y241" s="102">
        <v>3883.9759146273159</v>
      </c>
      <c r="Z241" s="107">
        <v>121716258</v>
      </c>
      <c r="AA241" s="103">
        <v>275236.30478494999</v>
      </c>
      <c r="AB241" s="104">
        <f t="shared" si="79"/>
        <v>5.3308338271892471E-2</v>
      </c>
      <c r="AC241" s="105">
        <f t="shared" si="12"/>
        <v>0.29737312606773025</v>
      </c>
      <c r="AD241" s="102">
        <v>627.89020822424823</v>
      </c>
      <c r="AE241" s="103">
        <v>148074670</v>
      </c>
      <c r="AF241" s="103">
        <v>298068.80334898003</v>
      </c>
      <c r="AG241" s="104">
        <f t="shared" si="80"/>
        <v>4.5358085402490797E-2</v>
      </c>
      <c r="AH241" s="105">
        <f t="shared" si="14"/>
        <v>0.27401358407217818</v>
      </c>
      <c r="AI241" s="106">
        <v>124.7235942934204</v>
      </c>
      <c r="AJ241" s="103">
        <v>1717060725</v>
      </c>
      <c r="AK241" s="103">
        <v>3345.1891293834997</v>
      </c>
      <c r="AL241" s="104">
        <f t="shared" si="81"/>
        <v>5.76340386019129E-2</v>
      </c>
      <c r="AM241" s="104">
        <f t="shared" si="16"/>
        <v>3.9075143780621813E-3</v>
      </c>
      <c r="AN241" s="108">
        <f t="shared" si="17"/>
        <v>0.57529422451797052</v>
      </c>
      <c r="AO241" s="101">
        <f t="shared" si="18"/>
        <v>28385.017037716669</v>
      </c>
    </row>
    <row r="242" spans="1:41" ht="15.75" customHeight="1" x14ac:dyDescent="0.3">
      <c r="A242" s="99">
        <v>51601</v>
      </c>
      <c r="B242" s="62" t="s">
        <v>183</v>
      </c>
      <c r="C242" s="62" t="s">
        <v>816</v>
      </c>
      <c r="D242" s="112"/>
      <c r="E242" s="113">
        <v>1794.5</v>
      </c>
      <c r="F242" s="114"/>
      <c r="G242" s="103">
        <v>80715608</v>
      </c>
      <c r="H242" s="103">
        <f t="shared" si="0"/>
        <v>182521.39721431999</v>
      </c>
      <c r="I242" s="104">
        <f t="shared" si="76"/>
        <v>0</v>
      </c>
      <c r="J242" s="105">
        <f t="shared" si="2"/>
        <v>0</v>
      </c>
      <c r="K242" s="115"/>
      <c r="L242" s="107">
        <v>102296881</v>
      </c>
      <c r="M242" s="103">
        <f t="shared" si="3"/>
        <v>277273.31377018144</v>
      </c>
      <c r="N242" s="104">
        <f t="shared" si="77"/>
        <v>0</v>
      </c>
      <c r="O242" s="105">
        <f t="shared" si="5"/>
        <v>0</v>
      </c>
      <c r="P242" s="114"/>
      <c r="Q242" s="103">
        <v>1312701719</v>
      </c>
      <c r="R242" s="103">
        <f t="shared" si="6"/>
        <v>2557.4142236730381</v>
      </c>
      <c r="S242" s="104">
        <f t="shared" si="78"/>
        <v>0</v>
      </c>
      <c r="T242" s="105">
        <f t="shared" si="8"/>
        <v>0</v>
      </c>
      <c r="U242" s="104">
        <f t="shared" si="9"/>
        <v>0</v>
      </c>
      <c r="V242" s="103">
        <f t="shared" si="10"/>
        <v>0</v>
      </c>
      <c r="W242" s="112"/>
      <c r="X242" s="101">
        <v>2126</v>
      </c>
      <c r="Y242" s="114"/>
      <c r="Z242" s="107">
        <v>121716258</v>
      </c>
      <c r="AA242" s="103">
        <v>275236.30478494999</v>
      </c>
      <c r="AB242" s="104">
        <f t="shared" si="79"/>
        <v>0</v>
      </c>
      <c r="AC242" s="105">
        <f t="shared" si="12"/>
        <v>0</v>
      </c>
      <c r="AD242" s="114"/>
      <c r="AE242" s="103">
        <v>148074670</v>
      </c>
      <c r="AF242" s="103">
        <v>298068.80334898003</v>
      </c>
      <c r="AG242" s="104">
        <f t="shared" si="80"/>
        <v>0</v>
      </c>
      <c r="AH242" s="105">
        <f t="shared" si="14"/>
        <v>0</v>
      </c>
      <c r="AI242" s="115"/>
      <c r="AJ242" s="103">
        <v>1717060725</v>
      </c>
      <c r="AK242" s="103">
        <v>3345.1891293834997</v>
      </c>
      <c r="AL242" s="104">
        <f t="shared" si="81"/>
        <v>0</v>
      </c>
      <c r="AM242" s="104">
        <f t="shared" si="16"/>
        <v>0</v>
      </c>
      <c r="AN242" s="108">
        <f t="shared" si="17"/>
        <v>0</v>
      </c>
      <c r="AO242" s="101">
        <f t="shared" si="18"/>
        <v>0</v>
      </c>
    </row>
    <row r="243" spans="1:41" ht="15.75" customHeight="1" x14ac:dyDescent="0.3">
      <c r="A243" s="99">
        <v>60101</v>
      </c>
      <c r="B243" s="62" t="s">
        <v>213</v>
      </c>
      <c r="C243" s="62" t="s">
        <v>213</v>
      </c>
      <c r="D243" s="100">
        <v>61230</v>
      </c>
      <c r="E243" s="101">
        <v>213718.5</v>
      </c>
      <c r="F243" s="102">
        <v>48971.691625062464</v>
      </c>
      <c r="G243" s="103">
        <v>73166581</v>
      </c>
      <c r="H243" s="103">
        <f t="shared" si="0"/>
        <v>165450.85794948999</v>
      </c>
      <c r="I243" s="104">
        <f t="shared" ref="I243:I253" si="82">F243/SUM($F$243:$F$253)</f>
        <v>0.6997255436732891</v>
      </c>
      <c r="J243" s="105">
        <f t="shared" si="2"/>
        <v>0.54169475983557347</v>
      </c>
      <c r="K243" s="106">
        <v>10938.58048525915</v>
      </c>
      <c r="L243" s="107">
        <v>109525629</v>
      </c>
      <c r="M243" s="103">
        <f t="shared" si="3"/>
        <v>296866.666888832</v>
      </c>
      <c r="N243" s="104">
        <f t="shared" ref="N243:N253" si="83">K243/SUM($K$243:$K$253)</f>
        <v>0.71191542370707106</v>
      </c>
      <c r="O243" s="105">
        <f t="shared" si="5"/>
        <v>0.98888939863731373</v>
      </c>
      <c r="P243" s="102">
        <v>1314.6523583589619</v>
      </c>
      <c r="Q243" s="103">
        <v>43388942926</v>
      </c>
      <c r="R243" s="103">
        <f t="shared" si="6"/>
        <v>84530.627318459432</v>
      </c>
      <c r="S243" s="104">
        <f t="shared" ref="S243:S253" si="84">P243/SUM($P$243:$P$253)</f>
        <v>0.67695796002006303</v>
      </c>
      <c r="T243" s="105">
        <f t="shared" si="8"/>
        <v>0.26775258589556128</v>
      </c>
      <c r="U243" s="104">
        <f t="shared" si="9"/>
        <v>1.7983367443684486</v>
      </c>
      <c r="V243" s="103">
        <f t="shared" si="10"/>
        <v>384337.8315013083</v>
      </c>
      <c r="W243" s="100">
        <v>86244</v>
      </c>
      <c r="X243" s="101">
        <v>238749</v>
      </c>
      <c r="Y243" s="102">
        <v>73159.957306980315</v>
      </c>
      <c r="Z243" s="107">
        <v>97868000</v>
      </c>
      <c r="AA243" s="103">
        <v>223054.08948726588</v>
      </c>
      <c r="AB243" s="104">
        <f t="shared" ref="AB243:AB253" si="85">Y243/SUM($Y$243:$Y$253)</f>
        <v>0.58012666831719406</v>
      </c>
      <c r="AC243" s="105">
        <f t="shared" si="12"/>
        <v>0.54199023153509673</v>
      </c>
      <c r="AD243" s="102">
        <v>11426.97785779922</v>
      </c>
      <c r="AE243" s="103">
        <v>119919247</v>
      </c>
      <c r="AF243" s="103">
        <v>289671.03710113</v>
      </c>
      <c r="AG243" s="104">
        <f t="shared" ref="AG243:AG253" si="86">AD243/SUM($AD$243:$AD$253)</f>
        <v>0.59097847318541674</v>
      </c>
      <c r="AH243" s="105">
        <f t="shared" si="14"/>
        <v>0.71702644715605934</v>
      </c>
      <c r="AI243" s="106">
        <v>1651.693296323567</v>
      </c>
      <c r="AJ243" s="103">
        <v>13268452106</v>
      </c>
      <c r="AK243" s="103">
        <v>126477.65809489001</v>
      </c>
      <c r="AL243" s="104">
        <f t="shared" ref="AL243:AL253" si="87">AI243/SUM($AI$243:$AI$253)</f>
        <v>0.59951352457481411</v>
      </c>
      <c r="AM243" s="104">
        <f t="shared" si="16"/>
        <v>0.31759323215777141</v>
      </c>
      <c r="AN243" s="108">
        <f t="shared" si="17"/>
        <v>1.5766099108489275</v>
      </c>
      <c r="AO243" s="101">
        <f t="shared" si="18"/>
        <v>376414.03960527061</v>
      </c>
    </row>
    <row r="244" spans="1:41" ht="15.75" customHeight="1" x14ac:dyDescent="0.3">
      <c r="A244" s="99">
        <v>60201</v>
      </c>
      <c r="B244" s="62" t="s">
        <v>213</v>
      </c>
      <c r="C244" s="62" t="s">
        <v>218</v>
      </c>
      <c r="D244" s="100">
        <v>164</v>
      </c>
      <c r="E244" s="101">
        <v>18465</v>
      </c>
      <c r="F244" s="102">
        <v>108.9992825008288</v>
      </c>
      <c r="G244" s="103">
        <v>73166581</v>
      </c>
      <c r="H244" s="103">
        <f t="shared" si="0"/>
        <v>165450.85794948999</v>
      </c>
      <c r="I244" s="104">
        <f t="shared" si="82"/>
        <v>1.5574218426397594E-3</v>
      </c>
      <c r="J244" s="105">
        <f t="shared" si="2"/>
        <v>1.3954875713729963E-2</v>
      </c>
      <c r="K244" s="106">
        <v>50.630341611256377</v>
      </c>
      <c r="L244" s="107">
        <v>109525629</v>
      </c>
      <c r="M244" s="103">
        <f t="shared" si="3"/>
        <v>296866.666888832</v>
      </c>
      <c r="N244" s="104">
        <f t="shared" si="83"/>
        <v>3.2951735510092003E-3</v>
      </c>
      <c r="O244" s="105">
        <f t="shared" si="5"/>
        <v>5.2977372808466712E-2</v>
      </c>
      <c r="P244" s="102">
        <v>4.347385425599513</v>
      </c>
      <c r="Q244" s="103">
        <v>43388942926</v>
      </c>
      <c r="R244" s="103">
        <f t="shared" si="6"/>
        <v>84530.627318459432</v>
      </c>
      <c r="S244" s="104">
        <f t="shared" si="84"/>
        <v>2.2386124745620568E-3</v>
      </c>
      <c r="T244" s="105">
        <f t="shared" si="8"/>
        <v>1.0248108139597046E-2</v>
      </c>
      <c r="U244" s="104">
        <f t="shared" si="9"/>
        <v>7.7180356661793723E-2</v>
      </c>
      <c r="V244" s="103">
        <f t="shared" si="10"/>
        <v>1425.1352857600211</v>
      </c>
      <c r="W244" s="100">
        <v>569</v>
      </c>
      <c r="X244" s="101">
        <v>17817</v>
      </c>
      <c r="Y244" s="102">
        <v>444.67564955715523</v>
      </c>
      <c r="Z244" s="107">
        <v>97868000</v>
      </c>
      <c r="AA244" s="103">
        <v>223054.08948726588</v>
      </c>
      <c r="AB244" s="104">
        <f t="shared" si="85"/>
        <v>3.526084658263783E-3</v>
      </c>
      <c r="AC244" s="105">
        <f t="shared" si="12"/>
        <v>4.4143660711906896E-2</v>
      </c>
      <c r="AD244" s="102">
        <v>112.02007781384719</v>
      </c>
      <c r="AE244" s="103">
        <v>119919247</v>
      </c>
      <c r="AF244" s="103">
        <v>289671.03710113</v>
      </c>
      <c r="AG244" s="104">
        <f t="shared" si="86"/>
        <v>5.7934350951205109E-3</v>
      </c>
      <c r="AH244" s="105">
        <f t="shared" si="14"/>
        <v>9.4190399752014486E-2</v>
      </c>
      <c r="AI244" s="106">
        <v>12.25604260604943</v>
      </c>
      <c r="AJ244" s="103">
        <v>13268452106</v>
      </c>
      <c r="AK244" s="103">
        <v>126477.65809489001</v>
      </c>
      <c r="AL244" s="104">
        <f t="shared" si="87"/>
        <v>4.4485639776141441E-3</v>
      </c>
      <c r="AM244" s="104">
        <f t="shared" si="16"/>
        <v>3.1579051118253675E-2</v>
      </c>
      <c r="AN244" s="108">
        <f t="shared" si="17"/>
        <v>0.16991311158217506</v>
      </c>
      <c r="AO244" s="101">
        <f t="shared" si="18"/>
        <v>3027.341909059613</v>
      </c>
    </row>
    <row r="245" spans="1:41" ht="15.75" customHeight="1" x14ac:dyDescent="0.3">
      <c r="A245" s="99">
        <v>60202</v>
      </c>
      <c r="B245" s="62" t="s">
        <v>213</v>
      </c>
      <c r="C245" s="62" t="s">
        <v>214</v>
      </c>
      <c r="D245" s="100">
        <v>5247</v>
      </c>
      <c r="E245" s="101">
        <v>35121.25</v>
      </c>
      <c r="F245" s="102">
        <v>4361.052725059656</v>
      </c>
      <c r="G245" s="103">
        <v>73166581</v>
      </c>
      <c r="H245" s="103">
        <f t="shared" si="0"/>
        <v>165450.85794948999</v>
      </c>
      <c r="I245" s="104">
        <f t="shared" si="82"/>
        <v>6.2312325504160174E-2</v>
      </c>
      <c r="J245" s="105">
        <f t="shared" si="2"/>
        <v>0.29354387202879134</v>
      </c>
      <c r="K245" s="106">
        <v>768.18610783547683</v>
      </c>
      <c r="L245" s="107">
        <v>109525629</v>
      </c>
      <c r="M245" s="103">
        <f t="shared" si="3"/>
        <v>296866.666888832</v>
      </c>
      <c r="N245" s="104">
        <f t="shared" si="83"/>
        <v>4.9995841707483023E-2</v>
      </c>
      <c r="O245" s="105">
        <f t="shared" si="5"/>
        <v>0.42259597497247781</v>
      </c>
      <c r="P245" s="102">
        <v>117.3635541197563</v>
      </c>
      <c r="Q245" s="103">
        <v>43388942926</v>
      </c>
      <c r="R245" s="103">
        <f t="shared" si="6"/>
        <v>84530.627318459432</v>
      </c>
      <c r="S245" s="104">
        <f t="shared" si="84"/>
        <v>6.0434373903067121E-2</v>
      </c>
      <c r="T245" s="105">
        <f t="shared" si="8"/>
        <v>0.14545483254794739</v>
      </c>
      <c r="U245" s="104">
        <f t="shared" si="9"/>
        <v>0.86159467954921665</v>
      </c>
      <c r="V245" s="103">
        <f t="shared" si="10"/>
        <v>30260.28213911792</v>
      </c>
      <c r="W245" s="100">
        <v>8486</v>
      </c>
      <c r="X245" s="101">
        <v>36970</v>
      </c>
      <c r="Y245" s="102">
        <v>7424.6105262502324</v>
      </c>
      <c r="Z245" s="107">
        <v>97868000</v>
      </c>
      <c r="AA245" s="103">
        <v>223054.08948726588</v>
      </c>
      <c r="AB245" s="104">
        <f t="shared" si="85"/>
        <v>5.887393495970996E-2</v>
      </c>
      <c r="AC245" s="105">
        <f t="shared" si="12"/>
        <v>0.35520887089452574</v>
      </c>
      <c r="AD245" s="102">
        <v>906.14858070831735</v>
      </c>
      <c r="AE245" s="103">
        <v>119919247</v>
      </c>
      <c r="AF245" s="103">
        <v>289671.03710113</v>
      </c>
      <c r="AG245" s="104">
        <f t="shared" si="86"/>
        <v>4.6864036263151665E-2</v>
      </c>
      <c r="AH245" s="105">
        <f t="shared" si="14"/>
        <v>0.36719377839037348</v>
      </c>
      <c r="AI245" s="106">
        <v>154.74485133382871</v>
      </c>
      <c r="AJ245" s="103">
        <v>13268452106</v>
      </c>
      <c r="AK245" s="103">
        <v>126477.65809489001</v>
      </c>
      <c r="AL245" s="104">
        <f t="shared" si="87"/>
        <v>5.616758961209424E-2</v>
      </c>
      <c r="AM245" s="104">
        <f t="shared" si="16"/>
        <v>0.19215431958270357</v>
      </c>
      <c r="AN245" s="108">
        <f t="shared" si="17"/>
        <v>0.91455696886760274</v>
      </c>
      <c r="AO245" s="101">
        <f t="shared" si="18"/>
        <v>33811.171139035272</v>
      </c>
    </row>
    <row r="246" spans="1:41" ht="15.75" customHeight="1" x14ac:dyDescent="0.3">
      <c r="A246" s="99">
        <v>60301</v>
      </c>
      <c r="B246" s="62" t="s">
        <v>213</v>
      </c>
      <c r="C246" s="62" t="s">
        <v>222</v>
      </c>
      <c r="D246" s="100">
        <v>14438</v>
      </c>
      <c r="E246" s="101">
        <v>93592.25</v>
      </c>
      <c r="F246" s="102">
        <v>11688.14211928881</v>
      </c>
      <c r="G246" s="103">
        <v>73166581</v>
      </c>
      <c r="H246" s="103">
        <f t="shared" si="0"/>
        <v>165450.85794948999</v>
      </c>
      <c r="I246" s="104">
        <f t="shared" si="82"/>
        <v>0.16700447396357632</v>
      </c>
      <c r="J246" s="105">
        <f t="shared" si="2"/>
        <v>0.2952277939538473</v>
      </c>
      <c r="K246" s="106">
        <v>2393.0144840823041</v>
      </c>
      <c r="L246" s="107">
        <v>109525629</v>
      </c>
      <c r="M246" s="103">
        <f t="shared" si="3"/>
        <v>296866.666888832</v>
      </c>
      <c r="N246" s="104">
        <f t="shared" si="83"/>
        <v>0.15574451572289641</v>
      </c>
      <c r="O246" s="105">
        <f t="shared" si="5"/>
        <v>0.49400837429243921</v>
      </c>
      <c r="P246" s="102">
        <v>355.91926209401799</v>
      </c>
      <c r="Q246" s="103">
        <v>43388942926</v>
      </c>
      <c r="R246" s="103">
        <f t="shared" si="6"/>
        <v>84530.627318459432</v>
      </c>
      <c r="S246" s="104">
        <f t="shared" si="84"/>
        <v>0.18327459428116277</v>
      </c>
      <c r="T246" s="105">
        <f t="shared" si="8"/>
        <v>0.16552990686860106</v>
      </c>
      <c r="U246" s="104">
        <f t="shared" si="9"/>
        <v>0.95476607511488754</v>
      </c>
      <c r="V246" s="103">
        <f t="shared" si="10"/>
        <v>89358.705193671325</v>
      </c>
      <c r="W246" s="100">
        <v>18762</v>
      </c>
      <c r="X246" s="101">
        <v>97634</v>
      </c>
      <c r="Y246" s="102">
        <v>15715.27724179518</v>
      </c>
      <c r="Z246" s="107">
        <v>97868000</v>
      </c>
      <c r="AA246" s="103">
        <v>223054.08948726588</v>
      </c>
      <c r="AB246" s="104">
        <f t="shared" si="85"/>
        <v>0.1246153191384354</v>
      </c>
      <c r="AC246" s="105">
        <f t="shared" si="12"/>
        <v>0.28469546005068691</v>
      </c>
      <c r="AD246" s="102">
        <v>2626.2453659608791</v>
      </c>
      <c r="AE246" s="103">
        <v>119919247</v>
      </c>
      <c r="AF246" s="103">
        <v>289671.03710113</v>
      </c>
      <c r="AG246" s="104">
        <f t="shared" si="86"/>
        <v>0.13582370561141127</v>
      </c>
      <c r="AH246" s="105">
        <f t="shared" si="14"/>
        <v>0.40297635728717529</v>
      </c>
      <c r="AI246" s="106">
        <v>419.38254246507239</v>
      </c>
      <c r="AJ246" s="103">
        <v>13268452106</v>
      </c>
      <c r="AK246" s="103">
        <v>126477.65809489001</v>
      </c>
      <c r="AL246" s="104">
        <f t="shared" si="87"/>
        <v>0.15222287741799245</v>
      </c>
      <c r="AM246" s="104">
        <f t="shared" si="16"/>
        <v>0.19719352934728887</v>
      </c>
      <c r="AN246" s="108">
        <f t="shared" si="17"/>
        <v>0.88486534668515104</v>
      </c>
      <c r="AO246" s="101">
        <f t="shared" si="18"/>
        <v>86392.943258258034</v>
      </c>
    </row>
    <row r="247" spans="1:41" ht="15.75" customHeight="1" x14ac:dyDescent="0.3">
      <c r="A247" s="99">
        <v>60302</v>
      </c>
      <c r="B247" s="62" t="s">
        <v>213</v>
      </c>
      <c r="C247" s="62" t="s">
        <v>215</v>
      </c>
      <c r="D247" s="100">
        <v>650</v>
      </c>
      <c r="E247" s="101">
        <v>15414.25</v>
      </c>
      <c r="F247" s="102">
        <v>480.51072970509261</v>
      </c>
      <c r="G247" s="103">
        <v>73166581</v>
      </c>
      <c r="H247" s="103">
        <f t="shared" si="0"/>
        <v>165450.85794948999</v>
      </c>
      <c r="I247" s="104">
        <f t="shared" si="82"/>
        <v>6.8657140569690486E-3</v>
      </c>
      <c r="J247" s="105">
        <f t="shared" si="2"/>
        <v>7.3694035140302178E-2</v>
      </c>
      <c r="K247" s="106">
        <v>149.72155604270301</v>
      </c>
      <c r="L247" s="107">
        <v>109525629</v>
      </c>
      <c r="M247" s="103">
        <f t="shared" si="3"/>
        <v>296866.666888832</v>
      </c>
      <c r="N247" s="104">
        <f t="shared" si="83"/>
        <v>9.7443251573513159E-3</v>
      </c>
      <c r="O247" s="105">
        <f t="shared" si="5"/>
        <v>0.18766825051779221</v>
      </c>
      <c r="P247" s="102">
        <v>19.711512489317101</v>
      </c>
      <c r="Q247" s="103">
        <v>43388942926</v>
      </c>
      <c r="R247" s="103">
        <f t="shared" si="6"/>
        <v>84530.627318459432</v>
      </c>
      <c r="S247" s="104">
        <f t="shared" si="84"/>
        <v>1.0150109417774E-2</v>
      </c>
      <c r="T247" s="105">
        <f t="shared" si="8"/>
        <v>5.5662462749432456E-2</v>
      </c>
      <c r="U247" s="104">
        <f t="shared" si="9"/>
        <v>0.31702474840752681</v>
      </c>
      <c r="V247" s="103">
        <f t="shared" si="10"/>
        <v>4886.69872814072</v>
      </c>
      <c r="W247" s="100">
        <v>1099</v>
      </c>
      <c r="X247" s="101">
        <v>15559</v>
      </c>
      <c r="Y247" s="102">
        <v>860.79327932849446</v>
      </c>
      <c r="Z247" s="107">
        <v>97868000</v>
      </c>
      <c r="AA247" s="103">
        <v>223054.08948726588</v>
      </c>
      <c r="AB247" s="104">
        <f t="shared" si="85"/>
        <v>6.8257166300864647E-3</v>
      </c>
      <c r="AC247" s="105">
        <f t="shared" si="12"/>
        <v>9.785359007789865E-2</v>
      </c>
      <c r="AD247" s="102">
        <v>208.5235144669999</v>
      </c>
      <c r="AE247" s="103">
        <v>119919247</v>
      </c>
      <c r="AF247" s="103">
        <v>289671.03710113</v>
      </c>
      <c r="AG247" s="104">
        <f t="shared" si="86"/>
        <v>1.0784383214574533E-2</v>
      </c>
      <c r="AH247" s="105">
        <f t="shared" si="14"/>
        <v>0.20077919340971934</v>
      </c>
      <c r="AI247" s="106">
        <v>29.605130679031831</v>
      </c>
      <c r="AJ247" s="103">
        <v>13268452106</v>
      </c>
      <c r="AK247" s="103">
        <v>126477.65809489001</v>
      </c>
      <c r="AL247" s="104">
        <f t="shared" si="87"/>
        <v>1.0745745761873798E-2</v>
      </c>
      <c r="AM247" s="104">
        <f t="shared" si="16"/>
        <v>8.735116385660309E-2</v>
      </c>
      <c r="AN247" s="108">
        <f t="shared" si="17"/>
        <v>0.38598394734422109</v>
      </c>
      <c r="AO247" s="101">
        <f t="shared" si="18"/>
        <v>6005.5242367287356</v>
      </c>
    </row>
    <row r="248" spans="1:41" ht="15.75" customHeight="1" x14ac:dyDescent="0.3">
      <c r="A248" s="99">
        <v>60303</v>
      </c>
      <c r="B248" s="62" t="s">
        <v>213</v>
      </c>
      <c r="C248" s="62" t="s">
        <v>817</v>
      </c>
      <c r="D248" s="121">
        <v>4718</v>
      </c>
      <c r="E248" s="113">
        <v>41418</v>
      </c>
      <c r="F248" s="114">
        <v>3770.0315541875325</v>
      </c>
      <c r="G248" s="103">
        <v>73166581</v>
      </c>
      <c r="H248" s="103">
        <f t="shared" si="0"/>
        <v>165450.85794948999</v>
      </c>
      <c r="I248" s="104">
        <f t="shared" si="82"/>
        <v>5.3867597613664456E-2</v>
      </c>
      <c r="J248" s="105">
        <f t="shared" si="2"/>
        <v>0.2151827765913053</v>
      </c>
      <c r="K248" s="115">
        <v>837.79834838322108</v>
      </c>
      <c r="L248" s="107">
        <v>109525629</v>
      </c>
      <c r="M248" s="103">
        <f t="shared" si="3"/>
        <v>296866.666888832</v>
      </c>
      <c r="N248" s="104">
        <f t="shared" si="83"/>
        <v>5.4526413822533086E-2</v>
      </c>
      <c r="O248" s="105">
        <f t="shared" si="5"/>
        <v>0.39082222050549359</v>
      </c>
      <c r="P248" s="114">
        <v>109.79026887400173</v>
      </c>
      <c r="Q248" s="103">
        <v>43388942926</v>
      </c>
      <c r="R248" s="103">
        <f t="shared" si="6"/>
        <v>84530.627318459432</v>
      </c>
      <c r="S248" s="104">
        <f t="shared" si="84"/>
        <v>5.6534638967045192E-2</v>
      </c>
      <c r="T248" s="105">
        <f t="shared" si="8"/>
        <v>0.11538240613035278</v>
      </c>
      <c r="U248" s="104">
        <f t="shared" si="9"/>
        <v>0.72138740322715167</v>
      </c>
      <c r="V248" s="103">
        <f t="shared" si="10"/>
        <v>29878.423466862172</v>
      </c>
      <c r="W248" s="121">
        <v>8252</v>
      </c>
      <c r="X248" s="101">
        <v>46071</v>
      </c>
      <c r="Y248" s="114">
        <v>7107.2193886776986</v>
      </c>
      <c r="Z248" s="107">
        <v>97868000</v>
      </c>
      <c r="AA248" s="103">
        <v>223054.08948726588</v>
      </c>
      <c r="AB248" s="104">
        <f t="shared" si="85"/>
        <v>5.6357161167445997E-2</v>
      </c>
      <c r="AC248" s="105">
        <f t="shared" si="12"/>
        <v>0.27285483862498677</v>
      </c>
      <c r="AD248" s="114">
        <v>994.19522638786441</v>
      </c>
      <c r="AE248" s="103">
        <v>119919247</v>
      </c>
      <c r="AF248" s="103">
        <v>289671.03710113</v>
      </c>
      <c r="AG248" s="104">
        <f t="shared" si="86"/>
        <v>5.1417617523246757E-2</v>
      </c>
      <c r="AH248" s="105">
        <f t="shared" si="14"/>
        <v>0.32328785121286979</v>
      </c>
      <c r="AI248" s="115">
        <v>150.12789256896801</v>
      </c>
      <c r="AJ248" s="103">
        <v>13268452106</v>
      </c>
      <c r="AK248" s="103">
        <v>126477.65809489001</v>
      </c>
      <c r="AL248" s="104">
        <f t="shared" si="87"/>
        <v>5.4491776537052262E-2</v>
      </c>
      <c r="AM248" s="104">
        <f t="shared" si="16"/>
        <v>0.14959502250518647</v>
      </c>
      <c r="AN248" s="108">
        <f t="shared" si="17"/>
        <v>0.74573771234304309</v>
      </c>
      <c r="AO248" s="101">
        <f t="shared" si="18"/>
        <v>34356.882145356336</v>
      </c>
    </row>
    <row r="249" spans="1:41" ht="15.75" customHeight="1" x14ac:dyDescent="0.3">
      <c r="A249" s="99">
        <v>60401</v>
      </c>
      <c r="B249" s="62" t="s">
        <v>213</v>
      </c>
      <c r="C249" s="62" t="s">
        <v>818</v>
      </c>
      <c r="D249" s="121">
        <v>218</v>
      </c>
      <c r="E249" s="113">
        <v>15066.5</v>
      </c>
      <c r="F249" s="114">
        <v>151.34759632839967</v>
      </c>
      <c r="G249" s="103">
        <v>73166581</v>
      </c>
      <c r="H249" s="103">
        <f t="shared" si="0"/>
        <v>165450.85794948999</v>
      </c>
      <c r="I249" s="104">
        <f t="shared" si="82"/>
        <v>2.1625101280009105E-3</v>
      </c>
      <c r="J249" s="105">
        <f t="shared" si="2"/>
        <v>2.3747330567962834E-2</v>
      </c>
      <c r="K249" s="115">
        <v>60.595373786005673</v>
      </c>
      <c r="L249" s="107">
        <v>109525629</v>
      </c>
      <c r="M249" s="103">
        <f t="shared" si="3"/>
        <v>296866.666888832</v>
      </c>
      <c r="N249" s="104">
        <f t="shared" si="83"/>
        <v>3.943727548714979E-3</v>
      </c>
      <c r="O249" s="105">
        <f t="shared" si="5"/>
        <v>7.7706252447793417E-2</v>
      </c>
      <c r="P249" s="114">
        <v>6.0197328192248483</v>
      </c>
      <c r="Q249" s="103">
        <v>43388942926</v>
      </c>
      <c r="R249" s="103">
        <f t="shared" si="6"/>
        <v>84530.627318459432</v>
      </c>
      <c r="S249" s="104">
        <f t="shared" si="84"/>
        <v>3.0997594331744851E-3</v>
      </c>
      <c r="T249" s="105">
        <f t="shared" si="8"/>
        <v>1.7391206280327313E-2</v>
      </c>
      <c r="U249" s="104">
        <f t="shared" si="9"/>
        <v>0.11884478929608355</v>
      </c>
      <c r="V249" s="103">
        <f t="shared" si="10"/>
        <v>1790.575017929443</v>
      </c>
      <c r="W249" s="121">
        <v>12924</v>
      </c>
      <c r="X249" s="101">
        <v>15923</v>
      </c>
      <c r="Y249" s="114">
        <v>11024.095187511693</v>
      </c>
      <c r="Z249" s="107">
        <v>97868000</v>
      </c>
      <c r="AA249" s="103">
        <v>223054.08948726588</v>
      </c>
      <c r="AB249" s="104">
        <f t="shared" si="85"/>
        <v>8.7416284095242061E-2</v>
      </c>
      <c r="AC249" s="105">
        <f t="shared" si="12"/>
        <v>1.2245531404398908</v>
      </c>
      <c r="AD249" s="114">
        <v>1716.206574678667</v>
      </c>
      <c r="AE249" s="103">
        <v>119919247</v>
      </c>
      <c r="AF249" s="103">
        <v>289671.03710113</v>
      </c>
      <c r="AG249" s="104">
        <f t="shared" si="86"/>
        <v>8.8758476107672304E-2</v>
      </c>
      <c r="AH249" s="105">
        <f t="shared" si="14"/>
        <v>1.6146932001271936</v>
      </c>
      <c r="AI249" s="115">
        <v>182.93457627898795</v>
      </c>
      <c r="AJ249" s="103">
        <v>13268452106</v>
      </c>
      <c r="AK249" s="103">
        <v>126477.65809489001</v>
      </c>
      <c r="AL249" s="104">
        <f t="shared" si="87"/>
        <v>6.6399586918303707E-2</v>
      </c>
      <c r="AM249" s="104">
        <f t="shared" si="16"/>
        <v>0.52741721107172945</v>
      </c>
      <c r="AN249" s="108">
        <f t="shared" si="17"/>
        <v>3.3666635516388137</v>
      </c>
      <c r="AO249" s="101">
        <f t="shared" si="18"/>
        <v>53607.383732744835</v>
      </c>
    </row>
    <row r="250" spans="1:41" ht="15.75" customHeight="1" x14ac:dyDescent="0.3">
      <c r="A250" s="99">
        <v>60402</v>
      </c>
      <c r="B250" s="62" t="s">
        <v>213</v>
      </c>
      <c r="C250" s="62" t="s">
        <v>223</v>
      </c>
      <c r="D250" s="100">
        <v>11</v>
      </c>
      <c r="E250" s="101">
        <v>5306</v>
      </c>
      <c r="F250" s="102">
        <v>6.7886022916973614</v>
      </c>
      <c r="G250" s="103">
        <v>73166581</v>
      </c>
      <c r="H250" s="103">
        <f t="shared" si="0"/>
        <v>165450.85794948999</v>
      </c>
      <c r="I250" s="104">
        <f t="shared" si="82"/>
        <v>9.6998046661485191E-5</v>
      </c>
      <c r="J250" s="105">
        <f t="shared" si="2"/>
        <v>3.024577843868712E-3</v>
      </c>
      <c r="K250" s="106">
        <v>3.916775670877902</v>
      </c>
      <c r="L250" s="107">
        <v>109525629</v>
      </c>
      <c r="M250" s="103">
        <f t="shared" si="3"/>
        <v>296866.666888832</v>
      </c>
      <c r="N250" s="104">
        <f t="shared" si="83"/>
        <v>2.5491543578769286E-4</v>
      </c>
      <c r="O250" s="105">
        <f t="shared" si="5"/>
        <v>1.4262324870110527E-2</v>
      </c>
      <c r="P250" s="102">
        <v>0.29127550515968548</v>
      </c>
      <c r="Q250" s="103">
        <v>43388942926</v>
      </c>
      <c r="R250" s="103">
        <f t="shared" si="6"/>
        <v>84530.627318459432</v>
      </c>
      <c r="S250" s="104">
        <f t="shared" si="84"/>
        <v>1.4998738679695446E-4</v>
      </c>
      <c r="T250" s="105">
        <f t="shared" si="8"/>
        <v>2.389470014286276E-3</v>
      </c>
      <c r="U250" s="104">
        <f t="shared" si="9"/>
        <v>1.9676372728265515E-2</v>
      </c>
      <c r="V250" s="103">
        <f t="shared" si="10"/>
        <v>104.40283369617683</v>
      </c>
      <c r="W250" s="100">
        <v>247</v>
      </c>
      <c r="X250" s="101">
        <v>4754</v>
      </c>
      <c r="Y250" s="102">
        <v>218.1516513612539</v>
      </c>
      <c r="Z250" s="107">
        <v>97868000</v>
      </c>
      <c r="AA250" s="103">
        <v>223054.08948726588</v>
      </c>
      <c r="AB250" s="104">
        <f t="shared" si="85"/>
        <v>1.7298477931181546E-3</v>
      </c>
      <c r="AC250" s="105">
        <f t="shared" si="12"/>
        <v>8.1163151965823771E-2</v>
      </c>
      <c r="AD250" s="102">
        <v>27.494918863043459</v>
      </c>
      <c r="AE250" s="103">
        <v>119919247</v>
      </c>
      <c r="AF250" s="103">
        <v>289671.03710113</v>
      </c>
      <c r="AG250" s="104">
        <f t="shared" si="86"/>
        <v>1.4219774792814553E-3</v>
      </c>
      <c r="AH250" s="105">
        <f t="shared" si="14"/>
        <v>8.6644024223371849E-2</v>
      </c>
      <c r="AI250" s="106">
        <v>1.343952453486827</v>
      </c>
      <c r="AJ250" s="103">
        <v>13268452106</v>
      </c>
      <c r="AK250" s="103">
        <v>126477.65809489001</v>
      </c>
      <c r="AL250" s="104">
        <f t="shared" si="87"/>
        <v>4.8781312731865467E-4</v>
      </c>
      <c r="AM250" s="104">
        <f t="shared" si="16"/>
        <v>1.2978010502988611E-2</v>
      </c>
      <c r="AN250" s="108">
        <f t="shared" si="17"/>
        <v>0.18078518669218421</v>
      </c>
      <c r="AO250" s="101">
        <f t="shared" si="18"/>
        <v>859.45277753464381</v>
      </c>
    </row>
    <row r="251" spans="1:41" ht="15.75" customHeight="1" x14ac:dyDescent="0.3">
      <c r="A251" s="99">
        <v>60501</v>
      </c>
      <c r="B251" s="62" t="s">
        <v>213</v>
      </c>
      <c r="C251" s="62" t="s">
        <v>219</v>
      </c>
      <c r="D251" s="100">
        <v>354</v>
      </c>
      <c r="E251" s="101">
        <v>25483.75</v>
      </c>
      <c r="F251" s="102">
        <v>276.11810918859942</v>
      </c>
      <c r="G251" s="103">
        <v>73166581</v>
      </c>
      <c r="H251" s="103">
        <f t="shared" si="0"/>
        <v>165450.85794948999</v>
      </c>
      <c r="I251" s="104">
        <f t="shared" si="82"/>
        <v>3.9452771113006636E-3</v>
      </c>
      <c r="J251" s="105">
        <f t="shared" si="2"/>
        <v>2.5614341802646011E-2</v>
      </c>
      <c r="K251" s="106">
        <v>69.102813069080398</v>
      </c>
      <c r="L251" s="107">
        <v>109525629</v>
      </c>
      <c r="M251" s="103">
        <f t="shared" si="3"/>
        <v>296866.666888832</v>
      </c>
      <c r="N251" s="104">
        <f t="shared" si="83"/>
        <v>4.4974170562369267E-3</v>
      </c>
      <c r="O251" s="105">
        <f t="shared" si="5"/>
        <v>5.2391551914221381E-2</v>
      </c>
      <c r="P251" s="102">
        <v>8.7377063265041315</v>
      </c>
      <c r="Q251" s="103">
        <v>43388942926</v>
      </c>
      <c r="R251" s="103">
        <f t="shared" si="6"/>
        <v>84530.627318459432</v>
      </c>
      <c r="S251" s="104">
        <f t="shared" si="84"/>
        <v>4.4993338447498121E-3</v>
      </c>
      <c r="T251" s="105">
        <f t="shared" si="8"/>
        <v>1.4924471963972239E-2</v>
      </c>
      <c r="U251" s="104">
        <f t="shared" si="9"/>
        <v>9.2930365680839636E-2</v>
      </c>
      <c r="V251" s="103">
        <f t="shared" si="10"/>
        <v>2368.2142064190971</v>
      </c>
      <c r="W251" s="100">
        <v>10726</v>
      </c>
      <c r="X251" s="101">
        <v>30346</v>
      </c>
      <c r="Y251" s="102">
        <v>9480.444441278536</v>
      </c>
      <c r="Z251" s="107">
        <v>97868000</v>
      </c>
      <c r="AA251" s="103">
        <v>223054.08948726588</v>
      </c>
      <c r="AB251" s="104">
        <f t="shared" si="85"/>
        <v>7.5175804502013138E-2</v>
      </c>
      <c r="AC251" s="105">
        <f t="shared" si="12"/>
        <v>0.55256938722300286</v>
      </c>
      <c r="AD251" s="102">
        <v>1108.812540848174</v>
      </c>
      <c r="AE251" s="103">
        <v>119919247</v>
      </c>
      <c r="AF251" s="103">
        <v>289671.03710113</v>
      </c>
      <c r="AG251" s="104">
        <f t="shared" si="86"/>
        <v>5.7345376056018797E-2</v>
      </c>
      <c r="AH251" s="105">
        <f t="shared" si="14"/>
        <v>0.54739651206423501</v>
      </c>
      <c r="AI251" s="106">
        <v>136.23421867354639</v>
      </c>
      <c r="AJ251" s="103">
        <v>13268452106</v>
      </c>
      <c r="AK251" s="103">
        <v>126477.65809489001</v>
      </c>
      <c r="AL251" s="104">
        <f t="shared" si="87"/>
        <v>4.9448803107979535E-2</v>
      </c>
      <c r="AM251" s="104">
        <f t="shared" si="16"/>
        <v>0.20609532764425526</v>
      </c>
      <c r="AN251" s="108">
        <f t="shared" si="17"/>
        <v>1.3060612269314931</v>
      </c>
      <c r="AO251" s="101">
        <f t="shared" si="18"/>
        <v>39633.733992463094</v>
      </c>
    </row>
    <row r="252" spans="1:41" ht="15.75" customHeight="1" x14ac:dyDescent="0.3">
      <c r="A252" s="99">
        <v>60502</v>
      </c>
      <c r="B252" s="62" t="s">
        <v>213</v>
      </c>
      <c r="C252" s="62" t="s">
        <v>819</v>
      </c>
      <c r="D252" s="121">
        <v>136</v>
      </c>
      <c r="E252" s="113">
        <v>10896.25</v>
      </c>
      <c r="F252" s="114">
        <v>83.237749385942919</v>
      </c>
      <c r="G252" s="103">
        <v>73166581</v>
      </c>
      <c r="H252" s="103">
        <f t="shared" si="0"/>
        <v>165450.85794948999</v>
      </c>
      <c r="I252" s="104">
        <f t="shared" si="82"/>
        <v>1.189331581378584E-3</v>
      </c>
      <c r="J252" s="105">
        <f t="shared" si="2"/>
        <v>1.8059050639028143E-2</v>
      </c>
      <c r="K252" s="115">
        <v>50.210980758504256</v>
      </c>
      <c r="L252" s="107">
        <v>109525629</v>
      </c>
      <c r="M252" s="103">
        <f t="shared" si="3"/>
        <v>296866.666888832</v>
      </c>
      <c r="N252" s="104">
        <f t="shared" si="83"/>
        <v>3.2678802966810442E-3</v>
      </c>
      <c r="O252" s="105">
        <f t="shared" si="5"/>
        <v>8.9032899526661838E-2</v>
      </c>
      <c r="P252" s="114">
        <v>2.5185016679507326</v>
      </c>
      <c r="Q252" s="103">
        <v>43388942926</v>
      </c>
      <c r="R252" s="103">
        <f t="shared" si="6"/>
        <v>84530.627318459432</v>
      </c>
      <c r="S252" s="104">
        <f t="shared" si="84"/>
        <v>1.2968597672248885E-3</v>
      </c>
      <c r="T252" s="105">
        <f t="shared" si="8"/>
        <v>1.0060742885634149E-2</v>
      </c>
      <c r="U252" s="104">
        <f t="shared" si="9"/>
        <v>0.11715269305132413</v>
      </c>
      <c r="V252" s="103">
        <f t="shared" si="10"/>
        <v>1276.5250316604906</v>
      </c>
      <c r="W252" s="121">
        <v>669</v>
      </c>
      <c r="X252" s="101">
        <v>9523</v>
      </c>
      <c r="Y252" s="114">
        <v>510.76479800716385</v>
      </c>
      <c r="Z252" s="107">
        <v>97868000</v>
      </c>
      <c r="AA252" s="103">
        <v>223054.08948726588</v>
      </c>
      <c r="AB252" s="104">
        <f t="shared" si="85"/>
        <v>4.0501428851070324E-3</v>
      </c>
      <c r="AC252" s="105">
        <f t="shared" si="12"/>
        <v>9.4865161559474664E-2</v>
      </c>
      <c r="AD252" s="114">
        <v>145.93060188923459</v>
      </c>
      <c r="AE252" s="103">
        <v>119919247</v>
      </c>
      <c r="AF252" s="103">
        <v>289671.03710113</v>
      </c>
      <c r="AG252" s="104">
        <f t="shared" si="86"/>
        <v>7.5472137400411929E-3</v>
      </c>
      <c r="AH252" s="105">
        <f t="shared" si="14"/>
        <v>0.22957148286271453</v>
      </c>
      <c r="AI252" s="115">
        <v>12.224911250593223</v>
      </c>
      <c r="AJ252" s="103">
        <v>13268452106</v>
      </c>
      <c r="AK252" s="103">
        <v>126477.65809489001</v>
      </c>
      <c r="AL252" s="104">
        <f t="shared" si="87"/>
        <v>4.4372642595152181E-3</v>
      </c>
      <c r="AM252" s="104">
        <f t="shared" si="16"/>
        <v>5.8932562416427713E-2</v>
      </c>
      <c r="AN252" s="108">
        <f t="shared" si="17"/>
        <v>0.38336920683861692</v>
      </c>
      <c r="AO252" s="101">
        <f t="shared" si="18"/>
        <v>3650.8249567241487</v>
      </c>
    </row>
    <row r="253" spans="1:41" ht="15.75" customHeight="1" x14ac:dyDescent="0.3">
      <c r="A253" s="99">
        <v>60601</v>
      </c>
      <c r="B253" s="62" t="s">
        <v>213</v>
      </c>
      <c r="C253" s="62" t="s">
        <v>120</v>
      </c>
      <c r="D253" s="121">
        <v>135</v>
      </c>
      <c r="E253" s="113">
        <v>21709.25</v>
      </c>
      <c r="F253" s="114">
        <v>89.079907000972128</v>
      </c>
      <c r="G253" s="103">
        <v>73166581</v>
      </c>
      <c r="H253" s="103">
        <f t="shared" si="0"/>
        <v>165450.85794948999</v>
      </c>
      <c r="I253" s="104">
        <f t="shared" si="82"/>
        <v>1.2728064783598691E-3</v>
      </c>
      <c r="J253" s="105">
        <f t="shared" si="2"/>
        <v>9.7003316028102908E-3</v>
      </c>
      <c r="K253" s="115">
        <v>43.24273350142095</v>
      </c>
      <c r="L253" s="107">
        <v>109525629</v>
      </c>
      <c r="M253" s="103">
        <f t="shared" si="3"/>
        <v>296866.666888832</v>
      </c>
      <c r="N253" s="104">
        <f t="shared" si="83"/>
        <v>2.8143659942350108E-3</v>
      </c>
      <c r="O253" s="105">
        <f t="shared" si="5"/>
        <v>3.8485505124028763E-2</v>
      </c>
      <c r="P253" s="114">
        <v>2.6484423195053122</v>
      </c>
      <c r="Q253" s="103">
        <v>43388942926</v>
      </c>
      <c r="R253" s="103">
        <f t="shared" si="6"/>
        <v>84530.627318459432</v>
      </c>
      <c r="S253" s="104">
        <f t="shared" si="84"/>
        <v>1.363770504379667E-3</v>
      </c>
      <c r="T253" s="105">
        <f t="shared" si="8"/>
        <v>5.3101961723055879E-3</v>
      </c>
      <c r="U253" s="104">
        <f t="shared" si="9"/>
        <v>5.3496032899144647E-2</v>
      </c>
      <c r="V253" s="103">
        <f t="shared" si="10"/>
        <v>1161.3587522157559</v>
      </c>
      <c r="W253" s="121">
        <v>232</v>
      </c>
      <c r="X253" s="101">
        <v>20864</v>
      </c>
      <c r="Y253" s="114">
        <v>164.32626288247485</v>
      </c>
      <c r="Z253" s="107">
        <v>97868000</v>
      </c>
      <c r="AA253" s="103">
        <v>223054.08948726588</v>
      </c>
      <c r="AB253" s="104">
        <f t="shared" si="85"/>
        <v>1.3030358533838281E-3</v>
      </c>
      <c r="AC253" s="105">
        <f t="shared" si="12"/>
        <v>1.3930573037087435E-2</v>
      </c>
      <c r="AD253" s="114">
        <v>63.136946438531233</v>
      </c>
      <c r="AE253" s="103">
        <v>119919247</v>
      </c>
      <c r="AF253" s="103">
        <v>289671.03710113</v>
      </c>
      <c r="AG253" s="104">
        <f t="shared" si="86"/>
        <v>3.2653057240647214E-3</v>
      </c>
      <c r="AH253" s="105">
        <f t="shared" si="14"/>
        <v>4.533476301486216E-2</v>
      </c>
      <c r="AI253" s="115">
        <v>4.5085242549483686</v>
      </c>
      <c r="AJ253" s="103">
        <v>13268452106</v>
      </c>
      <c r="AK253" s="103">
        <v>126477.65809489001</v>
      </c>
      <c r="AL253" s="104">
        <f t="shared" si="87"/>
        <v>1.6364547054416522E-3</v>
      </c>
      <c r="AM253" s="104">
        <f t="shared" si="16"/>
        <v>9.9201954909232757E-3</v>
      </c>
      <c r="AN253" s="108">
        <f t="shared" si="17"/>
        <v>6.918553154287288E-2</v>
      </c>
      <c r="AO253" s="101">
        <f t="shared" si="18"/>
        <v>1443.4869301104995</v>
      </c>
    </row>
    <row r="254" spans="1:41" ht="15.75" customHeight="1" x14ac:dyDescent="0.3">
      <c r="A254" s="99">
        <v>70101</v>
      </c>
      <c r="B254" s="62" t="s">
        <v>224</v>
      </c>
      <c r="C254" s="62" t="s">
        <v>267</v>
      </c>
      <c r="D254" s="100">
        <v>315393</v>
      </c>
      <c r="E254" s="101">
        <v>1486064.25</v>
      </c>
      <c r="F254" s="102">
        <v>246737.653339287</v>
      </c>
      <c r="G254" s="103">
        <v>502722601</v>
      </c>
      <c r="H254" s="103">
        <f t="shared" si="0"/>
        <v>1136801.5904152901</v>
      </c>
      <c r="I254" s="104">
        <f t="shared" ref="I254:I309" si="88">F254/SUM($F$254:$F$309)</f>
        <v>0.58667991981144763</v>
      </c>
      <c r="J254" s="105">
        <f t="shared" si="2"/>
        <v>0.44879531009939072</v>
      </c>
      <c r="K254" s="106">
        <v>53954.824118574143</v>
      </c>
      <c r="L254" s="107">
        <v>696325692</v>
      </c>
      <c r="M254" s="103">
        <f t="shared" si="3"/>
        <v>1887374.5728782751</v>
      </c>
      <c r="N254" s="104">
        <f t="shared" ref="N254:N309" si="89">K254/SUM($K$254:$K$309)</f>
        <v>0.68286119306852744</v>
      </c>
      <c r="O254" s="105">
        <f t="shared" si="5"/>
        <v>0.86726724810374878</v>
      </c>
      <c r="P254" s="102">
        <v>14690.488674565549</v>
      </c>
      <c r="Q254" s="103">
        <v>275172858841</v>
      </c>
      <c r="R254" s="103">
        <f t="shared" si="6"/>
        <v>536093.59459423891</v>
      </c>
      <c r="S254" s="104">
        <f t="shared" ref="S254:S309" si="90">P254/SUM($P$254:$P$309)</f>
        <v>0.72687167355550353</v>
      </c>
      <c r="T254" s="105">
        <f t="shared" si="8"/>
        <v>0.26221695884622759</v>
      </c>
      <c r="U254" s="104">
        <f t="shared" si="9"/>
        <v>1.5782795170493671</v>
      </c>
      <c r="V254" s="103">
        <f t="shared" si="10"/>
        <v>2345424.76679433</v>
      </c>
      <c r="W254" s="100">
        <v>389006</v>
      </c>
      <c r="X254" s="101">
        <v>1610982</v>
      </c>
      <c r="Y254" s="102">
        <v>313630.99753234279</v>
      </c>
      <c r="Z254" s="107">
        <v>782334930</v>
      </c>
      <c r="AA254" s="103">
        <v>1771534.1337791323</v>
      </c>
      <c r="AB254" s="104">
        <f t="shared" ref="AB254:AB309" si="91">Y254/SUM($Y$254:$Y$309)</f>
        <v>0.39128921204537331</v>
      </c>
      <c r="AC254" s="105">
        <f t="shared" si="12"/>
        <v>0.43028549997325832</v>
      </c>
      <c r="AD254" s="102">
        <v>57325.875876119047</v>
      </c>
      <c r="AE254" s="103">
        <v>854728458</v>
      </c>
      <c r="AF254" s="103">
        <v>1973061.0479396961</v>
      </c>
      <c r="AG254" s="104">
        <f t="shared" ref="AG254:AG309" si="92">AD254/SUM($AD$254:$AD$309)</f>
        <v>0.53296792470546805</v>
      </c>
      <c r="AH254" s="105">
        <f t="shared" si="14"/>
        <v>0.65275605316360807</v>
      </c>
      <c r="AI254" s="106">
        <v>18036.140002529799</v>
      </c>
      <c r="AJ254" s="103">
        <v>352046352185</v>
      </c>
      <c r="AK254" s="103">
        <v>685859.04594310001</v>
      </c>
      <c r="AL254" s="104">
        <f t="shared" ref="AL254:AL309" si="93">AI254/SUM($AI$254:$AI$309)</f>
        <v>0.62938701340574221</v>
      </c>
      <c r="AM254" s="104">
        <f t="shared" si="16"/>
        <v>0.26795505880477832</v>
      </c>
      <c r="AN254" s="108">
        <f t="shared" si="17"/>
        <v>1.3509966119416448</v>
      </c>
      <c r="AO254" s="101">
        <f t="shared" si="18"/>
        <v>2176431.2238989747</v>
      </c>
    </row>
    <row r="255" spans="1:41" ht="15.75" customHeight="1" x14ac:dyDescent="0.3">
      <c r="A255" s="99">
        <v>70102</v>
      </c>
      <c r="B255" s="62" t="s">
        <v>224</v>
      </c>
      <c r="C255" s="62" t="s">
        <v>234</v>
      </c>
      <c r="D255" s="100">
        <v>9029</v>
      </c>
      <c r="E255" s="101">
        <v>68375.5</v>
      </c>
      <c r="F255" s="102">
        <v>7960.6565608304263</v>
      </c>
      <c r="G255" s="103">
        <v>502722601</v>
      </c>
      <c r="H255" s="103">
        <f t="shared" si="0"/>
        <v>1136801.5904152901</v>
      </c>
      <c r="I255" s="104">
        <f t="shared" si="88"/>
        <v>1.8928433863040342E-2</v>
      </c>
      <c r="J255" s="105">
        <f t="shared" si="2"/>
        <v>0.31470151910516042</v>
      </c>
      <c r="K255" s="106">
        <v>850.9386126247</v>
      </c>
      <c r="L255" s="107">
        <v>696325692</v>
      </c>
      <c r="M255" s="103">
        <f t="shared" si="3"/>
        <v>1887374.5728782751</v>
      </c>
      <c r="N255" s="104">
        <f t="shared" si="89"/>
        <v>1.0769620061553378E-2</v>
      </c>
      <c r="O255" s="105">
        <f t="shared" si="5"/>
        <v>0.29727471190317595</v>
      </c>
      <c r="P255" s="102">
        <v>216.84967824946821</v>
      </c>
      <c r="Q255" s="103">
        <v>275172858841</v>
      </c>
      <c r="R255" s="103">
        <f t="shared" si="6"/>
        <v>536093.59459423891</v>
      </c>
      <c r="S255" s="104">
        <f t="shared" si="90"/>
        <v>1.0729519761453742E-2</v>
      </c>
      <c r="T255" s="105">
        <f t="shared" si="8"/>
        <v>8.4124091482879929E-2</v>
      </c>
      <c r="U255" s="104">
        <f t="shared" si="9"/>
        <v>0.69610032249121623</v>
      </c>
      <c r="V255" s="103">
        <f t="shared" si="10"/>
        <v>47596.207600498157</v>
      </c>
      <c r="W255" s="100">
        <v>29865</v>
      </c>
      <c r="X255" s="101">
        <v>106603</v>
      </c>
      <c r="Y255" s="102">
        <v>28086.719133048358</v>
      </c>
      <c r="Z255" s="107">
        <v>782334930</v>
      </c>
      <c r="AA255" s="103">
        <v>1771534.1337791323</v>
      </c>
      <c r="AB255" s="104">
        <f t="shared" si="91"/>
        <v>3.5041275527546892E-2</v>
      </c>
      <c r="AC255" s="105">
        <f t="shared" si="12"/>
        <v>0.58231771796486675</v>
      </c>
      <c r="AD255" s="102">
        <v>1421.8635287593131</v>
      </c>
      <c r="AE255" s="103">
        <v>854728458</v>
      </c>
      <c r="AF255" s="103">
        <v>1973061.0479396961</v>
      </c>
      <c r="AG255" s="104">
        <f t="shared" si="92"/>
        <v>1.3219294822025286E-2</v>
      </c>
      <c r="AH255" s="105">
        <f t="shared" si="14"/>
        <v>0.24466924659314476</v>
      </c>
      <c r="AI255" s="106">
        <v>354.1198151240817</v>
      </c>
      <c r="AJ255" s="103">
        <v>352046352185</v>
      </c>
      <c r="AK255" s="103">
        <v>685859.04594310001</v>
      </c>
      <c r="AL255" s="104">
        <f t="shared" si="93"/>
        <v>1.2357323285219443E-2</v>
      </c>
      <c r="AM255" s="104">
        <f t="shared" si="16"/>
        <v>7.9504159909299571E-2</v>
      </c>
      <c r="AN255" s="108">
        <f t="shared" si="17"/>
        <v>0.90649112446731106</v>
      </c>
      <c r="AO255" s="101">
        <f t="shared" si="18"/>
        <v>96634.673341588772</v>
      </c>
    </row>
    <row r="256" spans="1:41" ht="15.75" customHeight="1" x14ac:dyDescent="0.3">
      <c r="A256" s="99">
        <v>70103</v>
      </c>
      <c r="B256" s="62" t="s">
        <v>224</v>
      </c>
      <c r="C256" s="62" t="s">
        <v>820</v>
      </c>
      <c r="D256" s="112">
        <v>215</v>
      </c>
      <c r="E256" s="113">
        <v>17269.25</v>
      </c>
      <c r="F256" s="114">
        <v>168.28307543782552</v>
      </c>
      <c r="G256" s="103">
        <v>502722601</v>
      </c>
      <c r="H256" s="103">
        <f t="shared" si="0"/>
        <v>1136801.5904152901</v>
      </c>
      <c r="I256" s="104">
        <f t="shared" si="88"/>
        <v>4.0013471745119808E-4</v>
      </c>
      <c r="J256" s="105">
        <f t="shared" si="2"/>
        <v>2.6340100651672464E-2</v>
      </c>
      <c r="K256" s="115">
        <v>38.203411408006964</v>
      </c>
      <c r="L256" s="107">
        <v>696325692</v>
      </c>
      <c r="M256" s="103">
        <f t="shared" si="3"/>
        <v>1887374.5728782751</v>
      </c>
      <c r="N256" s="104">
        <f t="shared" si="89"/>
        <v>4.8350870417124888E-4</v>
      </c>
      <c r="O256" s="105">
        <f t="shared" si="5"/>
        <v>5.2843176977467994E-2</v>
      </c>
      <c r="P256" s="114">
        <v>8.504740751839492</v>
      </c>
      <c r="Q256" s="103">
        <v>275172858841</v>
      </c>
      <c r="R256" s="103">
        <f t="shared" si="6"/>
        <v>536093.59459423891</v>
      </c>
      <c r="S256" s="104">
        <f t="shared" si="90"/>
        <v>4.2080663757280241E-4</v>
      </c>
      <c r="T256" s="105">
        <f t="shared" si="8"/>
        <v>1.3063204422051842E-2</v>
      </c>
      <c r="U256" s="104">
        <f t="shared" si="9"/>
        <v>9.2246482051192305E-2</v>
      </c>
      <c r="V256" s="103">
        <f t="shared" si="10"/>
        <v>1593.0275601625526</v>
      </c>
      <c r="W256" s="121">
        <v>63008</v>
      </c>
      <c r="X256" s="101">
        <v>23126</v>
      </c>
      <c r="Y256" s="114">
        <v>56028.240325765568</v>
      </c>
      <c r="Z256" s="107">
        <v>782334930</v>
      </c>
      <c r="AA256" s="103">
        <v>1771534.1337791323</v>
      </c>
      <c r="AB256" s="104">
        <f t="shared" si="91"/>
        <v>6.9901400632750951E-2</v>
      </c>
      <c r="AC256" s="105">
        <f t="shared" si="12"/>
        <v>5.354696757757007</v>
      </c>
      <c r="AD256" s="114">
        <v>5578.4450142111045</v>
      </c>
      <c r="AE256" s="103">
        <v>854728458</v>
      </c>
      <c r="AF256" s="103">
        <v>1973061.0479396961</v>
      </c>
      <c r="AG256" s="104">
        <f t="shared" si="92"/>
        <v>5.1863704075496078E-2</v>
      </c>
      <c r="AH256" s="105">
        <f t="shared" si="14"/>
        <v>4.4249007313514044</v>
      </c>
      <c r="AI256" s="115">
        <v>1397.2465225009951</v>
      </c>
      <c r="AJ256" s="103">
        <v>352046352185</v>
      </c>
      <c r="AK256" s="103">
        <v>685859.04594310001</v>
      </c>
      <c r="AL256" s="104">
        <f t="shared" si="93"/>
        <v>4.8758149785104357E-2</v>
      </c>
      <c r="AM256" s="104">
        <f t="shared" si="16"/>
        <v>1.446044196729328</v>
      </c>
      <c r="AN256" s="108">
        <f t="shared" si="17"/>
        <v>11.22564168583774</v>
      </c>
      <c r="AO256" s="101">
        <f t="shared" si="18"/>
        <v>259604.18962668357</v>
      </c>
    </row>
    <row r="257" spans="1:41" ht="15.75" customHeight="1" x14ac:dyDescent="0.3">
      <c r="A257" s="99">
        <v>70104</v>
      </c>
      <c r="B257" s="62" t="s">
        <v>224</v>
      </c>
      <c r="C257" s="62" t="s">
        <v>241</v>
      </c>
      <c r="D257" s="100">
        <v>11450</v>
      </c>
      <c r="E257" s="101">
        <v>103894.5</v>
      </c>
      <c r="F257" s="102">
        <v>9623.5484657486795</v>
      </c>
      <c r="G257" s="103">
        <v>502722601</v>
      </c>
      <c r="H257" s="103">
        <f t="shared" ref="H257:H344" si="94">G257*$AR$1</f>
        <v>1136801.5904152901</v>
      </c>
      <c r="I257" s="104">
        <f t="shared" si="88"/>
        <v>2.2882371481515729E-2</v>
      </c>
      <c r="J257" s="105">
        <f t="shared" ref="J257:J344" si="95">(H257*I257)/E257</f>
        <v>0.25037625950036391</v>
      </c>
      <c r="K257" s="106">
        <v>1486.2222456538091</v>
      </c>
      <c r="L257" s="107">
        <v>696325692</v>
      </c>
      <c r="M257" s="103">
        <f t="shared" ref="M257:M344" si="96">L257*$AR$2</f>
        <v>1887374.5728782751</v>
      </c>
      <c r="N257" s="104">
        <f t="shared" si="89"/>
        <v>1.8809874972472922E-2</v>
      </c>
      <c r="O257" s="105">
        <f t="shared" ref="O257:O344" si="97">(M257*N257)/E257</f>
        <v>0.34170509258974091</v>
      </c>
      <c r="P257" s="102">
        <v>339.53577531807792</v>
      </c>
      <c r="Q257" s="103">
        <v>275172858841</v>
      </c>
      <c r="R257" s="103">
        <f t="shared" ref="R257:R344" si="98">Q257*$AR$3</f>
        <v>536093.59459423891</v>
      </c>
      <c r="S257" s="104">
        <f t="shared" si="90"/>
        <v>1.6799913379649058E-2</v>
      </c>
      <c r="T257" s="105">
        <f t="shared" ref="T257:T344" si="99">(R257*S257)/E257</f>
        <v>8.668722552751025E-2</v>
      </c>
      <c r="U257" s="104">
        <f t="shared" ref="U257:U344" si="100">J257+O257+T257</f>
        <v>0.67876857761761511</v>
      </c>
      <c r="V257" s="103">
        <f t="shared" ref="V257:V344" si="101">(H257*I257)+(M257*N257)+(R257*S257)</f>
        <v>70520.321987293311</v>
      </c>
      <c r="W257" s="100">
        <v>42988</v>
      </c>
      <c r="X257" s="101">
        <v>147726</v>
      </c>
      <c r="Y257" s="102">
        <v>35561.281101607863</v>
      </c>
      <c r="Z257" s="107">
        <v>782334930</v>
      </c>
      <c r="AA257" s="103">
        <v>1771534.1337791323</v>
      </c>
      <c r="AB257" s="104">
        <f t="shared" si="91"/>
        <v>4.436661481503347E-2</v>
      </c>
      <c r="AC257" s="105">
        <f t="shared" ref="AC257:AC344" si="102">(AA257*AB257)/X257</f>
        <v>0.53204562869814875</v>
      </c>
      <c r="AD257" s="102">
        <v>6025.6851764971234</v>
      </c>
      <c r="AE257" s="103">
        <v>854728458</v>
      </c>
      <c r="AF257" s="103">
        <v>1973061.0479396961</v>
      </c>
      <c r="AG257" s="104">
        <f t="shared" si="92"/>
        <v>5.6021768082291569E-2</v>
      </c>
      <c r="AH257" s="105">
        <f t="shared" ref="AH257:AH344" si="103">(AF257*AG257)/X257</f>
        <v>0.74823909426831314</v>
      </c>
      <c r="AI257" s="106">
        <v>1398.5993603139921</v>
      </c>
      <c r="AJ257" s="103">
        <v>352046352185</v>
      </c>
      <c r="AK257" s="103">
        <v>685859.04594310001</v>
      </c>
      <c r="AL257" s="104">
        <f t="shared" si="93"/>
        <v>4.8805358253802493E-2</v>
      </c>
      <c r="AM257" s="104">
        <f t="shared" ref="AM257:AM344" si="104">(AK257*AL257)/X257</f>
        <v>0.22659245121958341</v>
      </c>
      <c r="AN257" s="108">
        <f t="shared" ref="AN257:AN344" si="105">AC257+AH257+AM257</f>
        <v>1.5068771741860452</v>
      </c>
      <c r="AO257" s="101">
        <f t="shared" ref="AO257:AO344" si="106">(AA257*AB257)+(AF257*AG257)+(AK257*AL257)</f>
        <v>222604.93743380773</v>
      </c>
    </row>
    <row r="258" spans="1:41" ht="15.75" customHeight="1" x14ac:dyDescent="0.3">
      <c r="A258" s="99">
        <v>70105</v>
      </c>
      <c r="B258" s="62" t="s">
        <v>224</v>
      </c>
      <c r="C258" s="62" t="s">
        <v>237</v>
      </c>
      <c r="D258" s="100">
        <v>6068</v>
      </c>
      <c r="E258" s="101">
        <v>51163.25</v>
      </c>
      <c r="F258" s="102">
        <v>5228.9106184398324</v>
      </c>
      <c r="G258" s="103">
        <v>502722601</v>
      </c>
      <c r="H258" s="103">
        <f t="shared" si="94"/>
        <v>1136801.5904152901</v>
      </c>
      <c r="I258" s="104">
        <f t="shared" si="88"/>
        <v>1.2433030876358147E-2</v>
      </c>
      <c r="J258" s="105">
        <f t="shared" si="95"/>
        <v>0.27625081037514915</v>
      </c>
      <c r="K258" s="106">
        <v>720.47079762266821</v>
      </c>
      <c r="L258" s="107">
        <v>696325692</v>
      </c>
      <c r="M258" s="103">
        <f t="shared" si="96"/>
        <v>1887374.5728782751</v>
      </c>
      <c r="N258" s="104">
        <f t="shared" si="89"/>
        <v>9.1183977794912757E-3</v>
      </c>
      <c r="O258" s="105">
        <f t="shared" si="97"/>
        <v>0.33637097163298962</v>
      </c>
      <c r="P258" s="102">
        <v>118.2072079409641</v>
      </c>
      <c r="Q258" s="103">
        <v>275172858841</v>
      </c>
      <c r="R258" s="103">
        <f t="shared" si="98"/>
        <v>536093.59459423891</v>
      </c>
      <c r="S258" s="104">
        <f t="shared" si="90"/>
        <v>5.8487823629129881E-3</v>
      </c>
      <c r="T258" s="105">
        <f t="shared" si="99"/>
        <v>6.1284120163074281E-2</v>
      </c>
      <c r="U258" s="104">
        <f t="shared" si="100"/>
        <v>0.67390590217121304</v>
      </c>
      <c r="V258" s="103">
        <f t="shared" si="101"/>
        <v>34479.216149261316</v>
      </c>
      <c r="W258" s="100">
        <v>62703</v>
      </c>
      <c r="X258" s="101">
        <v>55697</v>
      </c>
      <c r="Y258" s="102">
        <v>58937.906793746733</v>
      </c>
      <c r="Z258" s="107">
        <v>782334930</v>
      </c>
      <c r="AA258" s="103">
        <v>1771534.1337791323</v>
      </c>
      <c r="AB258" s="104">
        <f t="shared" si="91"/>
        <v>7.3531530015781041E-2</v>
      </c>
      <c r="AC258" s="105">
        <f t="shared" si="102"/>
        <v>2.3387905153232835</v>
      </c>
      <c r="AD258" s="102">
        <v>3119.5493767178868</v>
      </c>
      <c r="AE258" s="103">
        <v>854728458</v>
      </c>
      <c r="AF258" s="103">
        <v>1973061.0479396961</v>
      </c>
      <c r="AG258" s="104">
        <f t="shared" si="92"/>
        <v>2.9002954284004002E-2</v>
      </c>
      <c r="AH258" s="105">
        <f t="shared" si="103"/>
        <v>1.0274269596736636</v>
      </c>
      <c r="AI258" s="106">
        <v>640.71779048307917</v>
      </c>
      <c r="AJ258" s="103">
        <v>352046352185</v>
      </c>
      <c r="AK258" s="103">
        <v>685859.04594310001</v>
      </c>
      <c r="AL258" s="104">
        <f t="shared" si="93"/>
        <v>2.2358412417042062E-2</v>
      </c>
      <c r="AM258" s="104">
        <f t="shared" si="104"/>
        <v>0.27532397452564467</v>
      </c>
      <c r="AN258" s="108">
        <f t="shared" si="105"/>
        <v>3.6415414495225922</v>
      </c>
      <c r="AO258" s="101">
        <f t="shared" si="106"/>
        <v>202822.93411405978</v>
      </c>
    </row>
    <row r="259" spans="1:41" ht="15.75" customHeight="1" x14ac:dyDescent="0.3">
      <c r="A259" s="99">
        <v>70201</v>
      </c>
      <c r="B259" s="62" t="s">
        <v>224</v>
      </c>
      <c r="C259" s="62" t="s">
        <v>272</v>
      </c>
      <c r="D259" s="100">
        <v>60416</v>
      </c>
      <c r="E259" s="101">
        <v>110116.5</v>
      </c>
      <c r="F259" s="102">
        <v>47149.803801741538</v>
      </c>
      <c r="G259" s="103">
        <v>502722601</v>
      </c>
      <c r="H259" s="103">
        <f t="shared" si="94"/>
        <v>1136801.5904152901</v>
      </c>
      <c r="I259" s="104">
        <f t="shared" si="88"/>
        <v>0.11211034367540829</v>
      </c>
      <c r="J259" s="105">
        <f t="shared" si="95"/>
        <v>1.1573852873294093</v>
      </c>
      <c r="K259" s="106">
        <v>10791.472162454131</v>
      </c>
      <c r="L259" s="107">
        <v>696325692</v>
      </c>
      <c r="M259" s="103">
        <f t="shared" si="96"/>
        <v>1887374.5728782751</v>
      </c>
      <c r="N259" s="104">
        <f t="shared" si="89"/>
        <v>0.13657865957684401</v>
      </c>
      <c r="O259" s="105">
        <f t="shared" si="97"/>
        <v>2.3409306442098443</v>
      </c>
      <c r="P259" s="102">
        <v>2472.2641470103372</v>
      </c>
      <c r="Q259" s="103">
        <v>275172858841</v>
      </c>
      <c r="R259" s="103">
        <f t="shared" si="98"/>
        <v>536093.59459423891</v>
      </c>
      <c r="S259" s="104">
        <f t="shared" si="90"/>
        <v>0.12232532339921072</v>
      </c>
      <c r="T259" s="105">
        <f t="shared" si="99"/>
        <v>0.59553129940549909</v>
      </c>
      <c r="U259" s="104">
        <f t="shared" si="100"/>
        <v>4.0938472309447524</v>
      </c>
      <c r="V259" s="103">
        <f t="shared" si="101"/>
        <v>450800.12860632781</v>
      </c>
      <c r="W259" s="100">
        <v>84531</v>
      </c>
      <c r="X259" s="101">
        <v>151248</v>
      </c>
      <c r="Y259" s="102">
        <v>71411.397932527645</v>
      </c>
      <c r="Z259" s="107">
        <v>782334930</v>
      </c>
      <c r="AA259" s="103">
        <v>1771534.1337791323</v>
      </c>
      <c r="AB259" s="104">
        <f t="shared" si="91"/>
        <v>8.9093584014111382E-2</v>
      </c>
      <c r="AC259" s="105">
        <f t="shared" si="102"/>
        <v>1.0435333041211596</v>
      </c>
      <c r="AD259" s="102">
        <v>10781.20907591385</v>
      </c>
      <c r="AE259" s="103">
        <v>854728458</v>
      </c>
      <c r="AF259" s="103">
        <v>1973061.0479396961</v>
      </c>
      <c r="AG259" s="104">
        <f t="shared" si="92"/>
        <v>0.10023464167250973</v>
      </c>
      <c r="AH259" s="105">
        <f t="shared" si="103"/>
        <v>1.3075813705848804</v>
      </c>
      <c r="AI259" s="106">
        <v>2333.502880926781</v>
      </c>
      <c r="AJ259" s="103">
        <v>352046352185</v>
      </c>
      <c r="AK259" s="103">
        <v>685859.04594310001</v>
      </c>
      <c r="AL259" s="104">
        <f t="shared" si="93"/>
        <v>8.1429641197850608E-2</v>
      </c>
      <c r="AM259" s="104">
        <f t="shared" si="104"/>
        <v>0.36925616221997493</v>
      </c>
      <c r="AN259" s="108">
        <f t="shared" si="105"/>
        <v>2.7203708369260151</v>
      </c>
      <c r="AO259" s="101">
        <f t="shared" si="106"/>
        <v>411450.6483433859</v>
      </c>
    </row>
    <row r="260" spans="1:41" ht="15.75" customHeight="1" x14ac:dyDescent="0.3">
      <c r="A260" s="99">
        <v>70202</v>
      </c>
      <c r="B260" s="62" t="s">
        <v>224</v>
      </c>
      <c r="C260" s="62" t="s">
        <v>821</v>
      </c>
      <c r="D260" s="121">
        <v>1106</v>
      </c>
      <c r="E260" s="113">
        <v>12027.75</v>
      </c>
      <c r="F260" s="114">
        <v>915.23056514142581</v>
      </c>
      <c r="G260" s="103">
        <v>502722601</v>
      </c>
      <c r="H260" s="103">
        <f t="shared" si="94"/>
        <v>1136801.5904152901</v>
      </c>
      <c r="I260" s="104">
        <f t="shared" si="88"/>
        <v>2.1761874902320056E-3</v>
      </c>
      <c r="J260" s="105">
        <f t="shared" si="95"/>
        <v>0.20568214337158677</v>
      </c>
      <c r="K260" s="115">
        <v>164.74771542929781</v>
      </c>
      <c r="L260" s="107">
        <v>696325692</v>
      </c>
      <c r="M260" s="103">
        <f t="shared" si="96"/>
        <v>1887374.5728782751</v>
      </c>
      <c r="N260" s="104">
        <f t="shared" si="89"/>
        <v>2.0850743812291677E-3</v>
      </c>
      <c r="O260" s="105">
        <f t="shared" si="97"/>
        <v>0.32718641222937239</v>
      </c>
      <c r="P260" s="114">
        <v>25.950332745191155</v>
      </c>
      <c r="Q260" s="103">
        <v>275172858841</v>
      </c>
      <c r="R260" s="103">
        <f t="shared" si="98"/>
        <v>536093.59459423891</v>
      </c>
      <c r="S260" s="104">
        <f t="shared" si="90"/>
        <v>1.2839982528611911E-3</v>
      </c>
      <c r="T260" s="105">
        <f t="shared" si="99"/>
        <v>5.7229593134965263E-2</v>
      </c>
      <c r="U260" s="104">
        <f t="shared" si="100"/>
        <v>0.59009814873592437</v>
      </c>
      <c r="V260" s="103">
        <f t="shared" si="101"/>
        <v>7097.5530084585153</v>
      </c>
      <c r="W260" s="121">
        <v>5811</v>
      </c>
      <c r="X260" s="101">
        <v>10665</v>
      </c>
      <c r="Y260" s="114">
        <v>4839.9909825915356</v>
      </c>
      <c r="Z260" s="107">
        <v>782334930</v>
      </c>
      <c r="AA260" s="103">
        <v>1771534.1337791323</v>
      </c>
      <c r="AB260" s="104">
        <f t="shared" si="91"/>
        <v>6.038421816675358E-3</v>
      </c>
      <c r="AC260" s="105">
        <f t="shared" si="102"/>
        <v>1.0030258192589774</v>
      </c>
      <c r="AD260" s="114">
        <v>844.15489749642029</v>
      </c>
      <c r="AE260" s="103">
        <v>854728458</v>
      </c>
      <c r="AF260" s="103">
        <v>1973061.0479396961</v>
      </c>
      <c r="AG260" s="104">
        <f t="shared" si="92"/>
        <v>7.8482443917799408E-3</v>
      </c>
      <c r="AH260" s="105">
        <f t="shared" si="103"/>
        <v>1.4519517397217228</v>
      </c>
      <c r="AI260" s="115">
        <v>126.49102723723985</v>
      </c>
      <c r="AJ260" s="103">
        <v>352046352185</v>
      </c>
      <c r="AK260" s="103">
        <v>685859.04594310001</v>
      </c>
      <c r="AL260" s="104">
        <f t="shared" si="93"/>
        <v>4.4140159615252599E-3</v>
      </c>
      <c r="AM260" s="104">
        <f t="shared" si="104"/>
        <v>0.2838624262681041</v>
      </c>
      <c r="AN260" s="108">
        <f t="shared" si="105"/>
        <v>2.7388399852488043</v>
      </c>
      <c r="AO260" s="101">
        <f t="shared" si="106"/>
        <v>29209.728442678494</v>
      </c>
    </row>
    <row r="261" spans="1:41" ht="15.75" customHeight="1" x14ac:dyDescent="0.3">
      <c r="A261" s="99">
        <v>70301</v>
      </c>
      <c r="B261" s="62" t="s">
        <v>224</v>
      </c>
      <c r="C261" s="62" t="s">
        <v>822</v>
      </c>
      <c r="D261" s="121">
        <v>1266</v>
      </c>
      <c r="E261" s="113">
        <v>56047.25</v>
      </c>
      <c r="F261" s="114">
        <v>1230.8515365378737</v>
      </c>
      <c r="G261" s="103">
        <v>502722601</v>
      </c>
      <c r="H261" s="103">
        <f t="shared" si="94"/>
        <v>1136801.5904152901</v>
      </c>
      <c r="I261" s="104">
        <f t="shared" si="88"/>
        <v>2.9266545700783698E-3</v>
      </c>
      <c r="J261" s="105">
        <f t="shared" si="95"/>
        <v>5.9361084974932185E-2</v>
      </c>
      <c r="K261" s="115">
        <v>27.138421366853649</v>
      </c>
      <c r="L261" s="107">
        <v>696325692</v>
      </c>
      <c r="M261" s="103">
        <f t="shared" si="96"/>
        <v>1887374.5728782751</v>
      </c>
      <c r="N261" s="104">
        <f t="shared" si="89"/>
        <v>3.4346835700621754E-4</v>
      </c>
      <c r="O261" s="105">
        <f t="shared" si="97"/>
        <v>1.1566195372686666E-2</v>
      </c>
      <c r="P261" s="114">
        <v>7.906719368129969</v>
      </c>
      <c r="Q261" s="103">
        <v>275172858841</v>
      </c>
      <c r="R261" s="103">
        <f t="shared" si="98"/>
        <v>536093.59459423891</v>
      </c>
      <c r="S261" s="104">
        <f t="shared" si="90"/>
        <v>3.9121709745413278E-4</v>
      </c>
      <c r="T261" s="105">
        <f t="shared" si="99"/>
        <v>3.7420030428060381E-3</v>
      </c>
      <c r="U261" s="104">
        <f t="shared" si="100"/>
        <v>7.466928339042489E-2</v>
      </c>
      <c r="V261" s="103">
        <f t="shared" si="101"/>
        <v>4185.0079935039912</v>
      </c>
      <c r="W261" s="121">
        <v>2196</v>
      </c>
      <c r="X261" s="101">
        <v>67103</v>
      </c>
      <c r="Y261" s="114">
        <v>2089.1701265532042</v>
      </c>
      <c r="Z261" s="107">
        <v>782334930</v>
      </c>
      <c r="AA261" s="103">
        <v>1771534.1337791323</v>
      </c>
      <c r="AB261" s="104">
        <f t="shared" si="91"/>
        <v>2.6064698294480143E-3</v>
      </c>
      <c r="AC261" s="105">
        <f t="shared" si="102"/>
        <v>6.8811383567539908E-2</v>
      </c>
      <c r="AD261" s="114">
        <v>87.791376021311493</v>
      </c>
      <c r="AE261" s="103">
        <v>854728458</v>
      </c>
      <c r="AF261" s="103">
        <v>1973061.0479396961</v>
      </c>
      <c r="AG261" s="104">
        <f t="shared" si="92"/>
        <v>8.162105989663155E-4</v>
      </c>
      <c r="AH261" s="105">
        <f t="shared" si="103"/>
        <v>2.3999423866831075E-2</v>
      </c>
      <c r="AI261" s="115">
        <v>18.857615963332695</v>
      </c>
      <c r="AJ261" s="103">
        <v>352046352185</v>
      </c>
      <c r="AK261" s="103">
        <v>685859.04594310001</v>
      </c>
      <c r="AL261" s="104">
        <f t="shared" si="93"/>
        <v>6.5805314160622341E-4</v>
      </c>
      <c r="AM261" s="104">
        <f t="shared" si="104"/>
        <v>6.7259541284578044E-3</v>
      </c>
      <c r="AN261" s="108">
        <f t="shared" si="105"/>
        <v>9.9536761562828785E-2</v>
      </c>
      <c r="AO261" s="101">
        <f t="shared" si="106"/>
        <v>6679.2153111505004</v>
      </c>
    </row>
    <row r="262" spans="1:41" ht="15.75" customHeight="1" x14ac:dyDescent="0.3">
      <c r="A262" s="99">
        <v>70302</v>
      </c>
      <c r="B262" s="62" t="s">
        <v>224</v>
      </c>
      <c r="C262" s="62" t="s">
        <v>264</v>
      </c>
      <c r="D262" s="100">
        <v>1</v>
      </c>
      <c r="E262" s="101">
        <v>12305</v>
      </c>
      <c r="F262" s="102">
        <v>0.75204557224236201</v>
      </c>
      <c r="G262" s="103">
        <v>502722601</v>
      </c>
      <c r="H262" s="103">
        <f t="shared" si="94"/>
        <v>1136801.5904152901</v>
      </c>
      <c r="I262" s="104">
        <f t="shared" si="88"/>
        <v>1.7881747274746055E-6</v>
      </c>
      <c r="J262" s="105">
        <f t="shared" si="95"/>
        <v>1.6520112751999672E-4</v>
      </c>
      <c r="K262" s="106">
        <v>0.18582772311410301</v>
      </c>
      <c r="L262" s="107">
        <v>696325692</v>
      </c>
      <c r="M262" s="103">
        <f t="shared" si="96"/>
        <v>1887374.5728782751</v>
      </c>
      <c r="N262" s="104">
        <f t="shared" si="89"/>
        <v>2.3518664509411395E-6</v>
      </c>
      <c r="O262" s="105">
        <f t="shared" si="97"/>
        <v>3.6073571217487023E-4</v>
      </c>
      <c r="P262" s="102">
        <v>6.2092180217503901E-2</v>
      </c>
      <c r="Q262" s="103">
        <v>275172858841</v>
      </c>
      <c r="R262" s="103">
        <f t="shared" si="98"/>
        <v>536093.59459423891</v>
      </c>
      <c r="S262" s="104">
        <f t="shared" si="90"/>
        <v>3.072263145850847E-6</v>
      </c>
      <c r="T262" s="105">
        <f t="shared" si="99"/>
        <v>1.3384970283613045E-4</v>
      </c>
      <c r="U262" s="104">
        <f t="shared" si="100"/>
        <v>6.5978654253099744E-4</v>
      </c>
      <c r="V262" s="103">
        <f t="shared" si="101"/>
        <v>8.1186734058439232</v>
      </c>
      <c r="W262" s="100">
        <v>37</v>
      </c>
      <c r="X262" s="101">
        <v>15239</v>
      </c>
      <c r="Y262" s="102">
        <v>31.14686665678132</v>
      </c>
      <c r="Z262" s="107">
        <v>782334930</v>
      </c>
      <c r="AA262" s="103">
        <v>1771534.1337791323</v>
      </c>
      <c r="AB262" s="104">
        <f t="shared" si="91"/>
        <v>3.8859146601277703E-5</v>
      </c>
      <c r="AC262" s="105">
        <f t="shared" si="102"/>
        <v>4.5173767710276792E-3</v>
      </c>
      <c r="AD262" s="102">
        <v>5.055783322073208</v>
      </c>
      <c r="AE262" s="103">
        <v>854728458</v>
      </c>
      <c r="AF262" s="103">
        <v>1973061.0479396961</v>
      </c>
      <c r="AG262" s="104">
        <f t="shared" si="92"/>
        <v>4.7004433926990124E-5</v>
      </c>
      <c r="AH262" s="105">
        <f t="shared" si="103"/>
        <v>6.0858729353500457E-3</v>
      </c>
      <c r="AI262" s="106">
        <v>0.79503021140400099</v>
      </c>
      <c r="AJ262" s="103">
        <v>352046352185</v>
      </c>
      <c r="AK262" s="103">
        <v>685859.04594310001</v>
      </c>
      <c r="AL262" s="104">
        <f t="shared" si="93"/>
        <v>2.7743280449847646E-5</v>
      </c>
      <c r="AM262" s="104">
        <f t="shared" si="104"/>
        <v>1.2486370405318172E-3</v>
      </c>
      <c r="AN262" s="108">
        <f t="shared" si="105"/>
        <v>1.1851886746909544E-2</v>
      </c>
      <c r="AO262" s="101">
        <f t="shared" si="106"/>
        <v>180.61090213615452</v>
      </c>
    </row>
    <row r="263" spans="1:41" ht="15.75" customHeight="1" x14ac:dyDescent="0.3">
      <c r="A263" s="99">
        <v>70303</v>
      </c>
      <c r="B263" s="62" t="s">
        <v>224</v>
      </c>
      <c r="C263" s="62" t="s">
        <v>823</v>
      </c>
      <c r="D263" s="112"/>
      <c r="E263" s="113">
        <v>6814.75</v>
      </c>
      <c r="F263" s="114"/>
      <c r="G263" s="103">
        <v>502722601</v>
      </c>
      <c r="H263" s="103">
        <f t="shared" si="94"/>
        <v>1136801.5904152901</v>
      </c>
      <c r="I263" s="104">
        <f t="shared" si="88"/>
        <v>0</v>
      </c>
      <c r="J263" s="105">
        <f t="shared" si="95"/>
        <v>0</v>
      </c>
      <c r="K263" s="115"/>
      <c r="L263" s="107">
        <v>696325692</v>
      </c>
      <c r="M263" s="103">
        <f t="shared" si="96"/>
        <v>1887374.5728782751</v>
      </c>
      <c r="N263" s="104">
        <f t="shared" si="89"/>
        <v>0</v>
      </c>
      <c r="O263" s="105">
        <f t="shared" si="97"/>
        <v>0</v>
      </c>
      <c r="P263" s="114"/>
      <c r="Q263" s="103">
        <v>275172858841</v>
      </c>
      <c r="R263" s="103">
        <f t="shared" si="98"/>
        <v>536093.59459423891</v>
      </c>
      <c r="S263" s="104">
        <f t="shared" si="90"/>
        <v>0</v>
      </c>
      <c r="T263" s="105">
        <f t="shared" si="99"/>
        <v>0</v>
      </c>
      <c r="U263" s="104">
        <f t="shared" si="100"/>
        <v>0</v>
      </c>
      <c r="V263" s="103">
        <f t="shared" si="101"/>
        <v>0</v>
      </c>
      <c r="W263" s="112"/>
      <c r="X263" s="101">
        <v>8842</v>
      </c>
      <c r="Y263" s="114"/>
      <c r="Z263" s="107">
        <v>782334930</v>
      </c>
      <c r="AA263" s="103">
        <v>1771534.1337791323</v>
      </c>
      <c r="AB263" s="104">
        <f t="shared" si="91"/>
        <v>0</v>
      </c>
      <c r="AC263" s="105">
        <f t="shared" si="102"/>
        <v>0</v>
      </c>
      <c r="AD263" s="114"/>
      <c r="AE263" s="103">
        <v>854728458</v>
      </c>
      <c r="AF263" s="103">
        <v>1973061.0479396961</v>
      </c>
      <c r="AG263" s="104">
        <f t="shared" si="92"/>
        <v>0</v>
      </c>
      <c r="AH263" s="105">
        <f t="shared" si="103"/>
        <v>0</v>
      </c>
      <c r="AI263" s="115"/>
      <c r="AJ263" s="103">
        <v>352046352185</v>
      </c>
      <c r="AK263" s="103">
        <v>685859.04594310001</v>
      </c>
      <c r="AL263" s="104">
        <f t="shared" si="93"/>
        <v>0</v>
      </c>
      <c r="AM263" s="104">
        <f t="shared" si="104"/>
        <v>0</v>
      </c>
      <c r="AN263" s="108">
        <f t="shared" si="105"/>
        <v>0</v>
      </c>
      <c r="AO263" s="101">
        <f t="shared" si="106"/>
        <v>0</v>
      </c>
    </row>
    <row r="264" spans="1:41" ht="15.75" customHeight="1" x14ac:dyDescent="0.3">
      <c r="A264" s="99">
        <v>70401</v>
      </c>
      <c r="B264" s="62" t="s">
        <v>224</v>
      </c>
      <c r="C264" s="62" t="s">
        <v>227</v>
      </c>
      <c r="D264" s="100">
        <v>143</v>
      </c>
      <c r="E264" s="101">
        <v>13072</v>
      </c>
      <c r="F264" s="102">
        <v>109.62226573881991</v>
      </c>
      <c r="G264" s="103">
        <v>502722601</v>
      </c>
      <c r="H264" s="103">
        <f t="shared" si="94"/>
        <v>1136801.5904152901</v>
      </c>
      <c r="I264" s="104">
        <f t="shared" si="88"/>
        <v>2.6065410448223528E-4</v>
      </c>
      <c r="J264" s="105">
        <f t="shared" si="95"/>
        <v>2.2667686698567797E-2</v>
      </c>
      <c r="K264" s="106">
        <v>30.15059589246026</v>
      </c>
      <c r="L264" s="107">
        <v>696325692</v>
      </c>
      <c r="M264" s="103">
        <f t="shared" si="96"/>
        <v>1887374.5728782751</v>
      </c>
      <c r="N264" s="104">
        <f t="shared" si="89"/>
        <v>3.8159093684756785E-4</v>
      </c>
      <c r="O264" s="105">
        <f t="shared" si="97"/>
        <v>5.5095244143734637E-2</v>
      </c>
      <c r="P264" s="102">
        <v>3.217831921912981</v>
      </c>
      <c r="Q264" s="103">
        <v>275172858841</v>
      </c>
      <c r="R264" s="103">
        <f t="shared" si="98"/>
        <v>536093.59459423891</v>
      </c>
      <c r="S264" s="104">
        <f t="shared" si="90"/>
        <v>1.5921532129497946E-4</v>
      </c>
      <c r="T264" s="105">
        <f t="shared" si="99"/>
        <v>6.5295527775016994E-3</v>
      </c>
      <c r="U264" s="104">
        <f t="shared" si="100"/>
        <v>8.4292483619804126E-2</v>
      </c>
      <c r="V264" s="103">
        <f t="shared" si="101"/>
        <v>1101.8713458780796</v>
      </c>
      <c r="W264" s="100">
        <v>495</v>
      </c>
      <c r="X264" s="101">
        <v>13651</v>
      </c>
      <c r="Y264" s="102">
        <v>438.15963988714998</v>
      </c>
      <c r="Z264" s="107">
        <v>782334930</v>
      </c>
      <c r="AA264" s="103">
        <v>1771534.1337791323</v>
      </c>
      <c r="AB264" s="104">
        <f t="shared" si="91"/>
        <v>5.4665240869199215E-4</v>
      </c>
      <c r="AC264" s="105">
        <f t="shared" si="102"/>
        <v>7.0940839594934038E-2</v>
      </c>
      <c r="AD264" s="102">
        <v>45.768415628220453</v>
      </c>
      <c r="AE264" s="103">
        <v>854728458</v>
      </c>
      <c r="AF264" s="103">
        <v>1973061.0479396961</v>
      </c>
      <c r="AG264" s="104">
        <f t="shared" si="92"/>
        <v>4.2551635054200197E-4</v>
      </c>
      <c r="AH264" s="105">
        <f t="shared" si="103"/>
        <v>6.1502434731219503E-2</v>
      </c>
      <c r="AI264" s="106">
        <v>11.03979560945341</v>
      </c>
      <c r="AJ264" s="103">
        <v>352046352185</v>
      </c>
      <c r="AK264" s="103">
        <v>685859.04594310001</v>
      </c>
      <c r="AL264" s="104">
        <f t="shared" si="93"/>
        <v>3.8524340497851086E-4</v>
      </c>
      <c r="AM264" s="104">
        <f t="shared" si="104"/>
        <v>1.9355554479117486E-2</v>
      </c>
      <c r="AN264" s="108">
        <f t="shared" si="105"/>
        <v>0.15179882880527104</v>
      </c>
      <c r="AO264" s="101">
        <f t="shared" si="106"/>
        <v>2072.2058120207548</v>
      </c>
    </row>
    <row r="265" spans="1:41" ht="15.75" customHeight="1" x14ac:dyDescent="0.3">
      <c r="A265" s="99">
        <v>70402</v>
      </c>
      <c r="B265" s="62" t="s">
        <v>224</v>
      </c>
      <c r="C265" s="62" t="s">
        <v>257</v>
      </c>
      <c r="D265" s="100">
        <v>294</v>
      </c>
      <c r="E265" s="101">
        <v>19805.25</v>
      </c>
      <c r="F265" s="102">
        <v>238.30063272109291</v>
      </c>
      <c r="G265" s="103">
        <v>502722601</v>
      </c>
      <c r="H265" s="103">
        <f t="shared" si="94"/>
        <v>1136801.5904152901</v>
      </c>
      <c r="I265" s="104">
        <f t="shared" si="88"/>
        <v>5.6661881234471186E-4</v>
      </c>
      <c r="J265" s="105">
        <f t="shared" si="95"/>
        <v>3.2523354516236419E-2</v>
      </c>
      <c r="K265" s="106">
        <v>47.63817982224046</v>
      </c>
      <c r="L265" s="107">
        <v>696325692</v>
      </c>
      <c r="M265" s="103">
        <f t="shared" si="96"/>
        <v>1887374.5728782751</v>
      </c>
      <c r="N265" s="104">
        <f t="shared" si="89"/>
        <v>6.0291669633725131E-4</v>
      </c>
      <c r="O265" s="105">
        <f t="shared" si="97"/>
        <v>5.7455959517335072E-2</v>
      </c>
      <c r="P265" s="102">
        <v>8.0436301061676261</v>
      </c>
      <c r="Q265" s="103">
        <v>275172858841</v>
      </c>
      <c r="R265" s="103">
        <f t="shared" si="98"/>
        <v>536093.59459423891</v>
      </c>
      <c r="S265" s="104">
        <f t="shared" si="90"/>
        <v>3.9799131303604526E-4</v>
      </c>
      <c r="T265" s="105">
        <f t="shared" si="99"/>
        <v>1.0772931097702602E-2</v>
      </c>
      <c r="U265" s="104">
        <f t="shared" si="100"/>
        <v>0.10075224513127409</v>
      </c>
      <c r="V265" s="103">
        <f t="shared" si="101"/>
        <v>1995.4234028861663</v>
      </c>
      <c r="W265" s="100">
        <v>2340</v>
      </c>
      <c r="X265" s="101">
        <v>18942</v>
      </c>
      <c r="Y265" s="102">
        <v>1893.191555788424</v>
      </c>
      <c r="Z265" s="107">
        <v>782334930</v>
      </c>
      <c r="AA265" s="103">
        <v>1771534.1337791323</v>
      </c>
      <c r="AB265" s="104">
        <f t="shared" si="91"/>
        <v>2.3619649777730095E-3</v>
      </c>
      <c r="AC265" s="105">
        <f t="shared" si="102"/>
        <v>0.22090072753224349</v>
      </c>
      <c r="AD265" s="102">
        <v>371.21642806471078</v>
      </c>
      <c r="AE265" s="103">
        <v>854728458</v>
      </c>
      <c r="AF265" s="103">
        <v>1973061.0479396961</v>
      </c>
      <c r="AG265" s="104">
        <f t="shared" si="92"/>
        <v>3.451259073821582E-3</v>
      </c>
      <c r="AH265" s="105">
        <f t="shared" si="103"/>
        <v>0.35949450136763783</v>
      </c>
      <c r="AI265" s="106">
        <v>75.474147142048764</v>
      </c>
      <c r="AJ265" s="103">
        <v>352046352185</v>
      </c>
      <c r="AK265" s="103">
        <v>685859.04594310001</v>
      </c>
      <c r="AL265" s="104">
        <f t="shared" si="93"/>
        <v>2.6337369333137126E-3</v>
      </c>
      <c r="AM265" s="104">
        <f t="shared" si="104"/>
        <v>9.5363335463396093E-2</v>
      </c>
      <c r="AN265" s="108">
        <f t="shared" si="105"/>
        <v>0.6757585643632773</v>
      </c>
      <c r="AO265" s="101">
        <f t="shared" si="106"/>
        <v>12800.218726169202</v>
      </c>
    </row>
    <row r="266" spans="1:41" ht="15.75" customHeight="1" x14ac:dyDescent="0.3">
      <c r="A266" s="99">
        <v>70403</v>
      </c>
      <c r="B266" s="62" t="s">
        <v>224</v>
      </c>
      <c r="C266" s="62" t="s">
        <v>273</v>
      </c>
      <c r="D266" s="100">
        <v>4123</v>
      </c>
      <c r="E266" s="101">
        <v>52367</v>
      </c>
      <c r="F266" s="102">
        <v>3640.8681718398871</v>
      </c>
      <c r="G266" s="103">
        <v>502722601</v>
      </c>
      <c r="H266" s="103">
        <f t="shared" si="94"/>
        <v>1136801.5904152901</v>
      </c>
      <c r="I266" s="104">
        <f t="shared" si="88"/>
        <v>8.6570663949772069E-3</v>
      </c>
      <c r="J266" s="105">
        <f t="shared" si="95"/>
        <v>0.18793069769398382</v>
      </c>
      <c r="K266" s="106">
        <v>379.40816193712499</v>
      </c>
      <c r="L266" s="107">
        <v>696325692</v>
      </c>
      <c r="M266" s="103">
        <f t="shared" si="96"/>
        <v>1887374.5728782751</v>
      </c>
      <c r="N266" s="104">
        <f t="shared" si="89"/>
        <v>4.8018525563339187E-3</v>
      </c>
      <c r="O266" s="105">
        <f t="shared" si="97"/>
        <v>0.17306499164617378</v>
      </c>
      <c r="P266" s="102">
        <v>102.4576547089446</v>
      </c>
      <c r="Q266" s="103">
        <v>275172858841</v>
      </c>
      <c r="R266" s="103">
        <f t="shared" si="98"/>
        <v>536093.59459423891</v>
      </c>
      <c r="S266" s="104">
        <f t="shared" si="90"/>
        <v>5.0695091631500775E-3</v>
      </c>
      <c r="T266" s="105">
        <f t="shared" si="99"/>
        <v>5.1897786585092844E-2</v>
      </c>
      <c r="U266" s="104">
        <f t="shared" si="100"/>
        <v>0.41289347592525044</v>
      </c>
      <c r="V266" s="103">
        <f t="shared" si="101"/>
        <v>21621.99265377759</v>
      </c>
      <c r="W266" s="100">
        <v>9223</v>
      </c>
      <c r="X266" s="101">
        <v>57794</v>
      </c>
      <c r="Y266" s="102">
        <v>8263.7686371315904</v>
      </c>
      <c r="Z266" s="107">
        <v>782334930</v>
      </c>
      <c r="AA266" s="103">
        <v>1771534.1337791323</v>
      </c>
      <c r="AB266" s="104">
        <f t="shared" si="91"/>
        <v>1.0309961528005647E-2</v>
      </c>
      <c r="AC266" s="105">
        <f t="shared" si="102"/>
        <v>0.31602672880942073</v>
      </c>
      <c r="AD266" s="102">
        <v>789.83205690500699</v>
      </c>
      <c r="AE266" s="103">
        <v>854728458</v>
      </c>
      <c r="AF266" s="103">
        <v>1973061.0479396961</v>
      </c>
      <c r="AG266" s="104">
        <f t="shared" si="92"/>
        <v>7.3431961710309478E-3</v>
      </c>
      <c r="AH266" s="105">
        <f t="shared" si="103"/>
        <v>0.2506933995300738</v>
      </c>
      <c r="AI266" s="106">
        <v>168.74750083827911</v>
      </c>
      <c r="AJ266" s="103">
        <v>352046352185</v>
      </c>
      <c r="AK266" s="103">
        <v>685859.04594310001</v>
      </c>
      <c r="AL266" s="104">
        <f t="shared" si="93"/>
        <v>5.8885928783758892E-3</v>
      </c>
      <c r="AM266" s="104">
        <f t="shared" si="104"/>
        <v>6.9881729825072153E-2</v>
      </c>
      <c r="AN266" s="108">
        <f t="shared" si="105"/>
        <v>0.6366018581645666</v>
      </c>
      <c r="AO266" s="101">
        <f t="shared" si="106"/>
        <v>36791.76779076297</v>
      </c>
    </row>
    <row r="267" spans="1:41" ht="15.75" customHeight="1" x14ac:dyDescent="0.3">
      <c r="A267" s="99">
        <v>70404</v>
      </c>
      <c r="B267" s="62" t="s">
        <v>224</v>
      </c>
      <c r="C267" s="62" t="s">
        <v>261</v>
      </c>
      <c r="D267" s="100">
        <v>906</v>
      </c>
      <c r="E267" s="101">
        <v>9443.25</v>
      </c>
      <c r="F267" s="102">
        <v>726.72448290717318</v>
      </c>
      <c r="G267" s="103">
        <v>502722601</v>
      </c>
      <c r="H267" s="103">
        <f t="shared" si="94"/>
        <v>1136801.5904152901</v>
      </c>
      <c r="I267" s="104">
        <f t="shared" si="88"/>
        <v>1.7279675622541453E-3</v>
      </c>
      <c r="J267" s="105">
        <f t="shared" si="95"/>
        <v>0.20801697222423893</v>
      </c>
      <c r="K267" s="106">
        <v>148.65429943989409</v>
      </c>
      <c r="L267" s="107">
        <v>696325692</v>
      </c>
      <c r="M267" s="103">
        <f t="shared" si="96"/>
        <v>1887374.5728782751</v>
      </c>
      <c r="N267" s="104">
        <f t="shared" si="89"/>
        <v>1.8813934421731706E-3</v>
      </c>
      <c r="O267" s="105">
        <f t="shared" si="97"/>
        <v>0.3760245830977233</v>
      </c>
      <c r="P267" s="102">
        <v>30.573842807594801</v>
      </c>
      <c r="Q267" s="103">
        <v>275172858841</v>
      </c>
      <c r="R267" s="103">
        <f t="shared" si="98"/>
        <v>536093.59459423891</v>
      </c>
      <c r="S267" s="104">
        <f t="shared" si="90"/>
        <v>1.5127652170656297E-3</v>
      </c>
      <c r="T267" s="105">
        <f t="shared" si="99"/>
        <v>8.5879728164969429E-2</v>
      </c>
      <c r="U267" s="104">
        <f t="shared" si="100"/>
        <v>0.6699212834869317</v>
      </c>
      <c r="V267" s="103">
        <f t="shared" si="101"/>
        <v>6326.2341602879678</v>
      </c>
      <c r="W267" s="100">
        <v>1190</v>
      </c>
      <c r="X267" s="101">
        <v>10200</v>
      </c>
      <c r="Y267" s="102">
        <v>985.30904984993617</v>
      </c>
      <c r="Z267" s="107">
        <v>782334930</v>
      </c>
      <c r="AA267" s="103">
        <v>1771534.1337791323</v>
      </c>
      <c r="AB267" s="104">
        <f t="shared" si="91"/>
        <v>1.2292815594453434E-3</v>
      </c>
      <c r="AC267" s="105">
        <f t="shared" si="102"/>
        <v>0.21350139633163406</v>
      </c>
      <c r="AD267" s="102">
        <v>169.75029871571019</v>
      </c>
      <c r="AE267" s="103">
        <v>854728458</v>
      </c>
      <c r="AF267" s="103">
        <v>1973061.0479396961</v>
      </c>
      <c r="AG267" s="104">
        <f t="shared" si="92"/>
        <v>1.5781959375580018E-3</v>
      </c>
      <c r="AH267" s="105">
        <f t="shared" si="103"/>
        <v>0.305282052001212</v>
      </c>
      <c r="AI267" s="106">
        <v>34.87249109241921</v>
      </c>
      <c r="AJ267" s="103">
        <v>352046352185</v>
      </c>
      <c r="AK267" s="103">
        <v>685859.04594310001</v>
      </c>
      <c r="AL267" s="104">
        <f t="shared" si="93"/>
        <v>1.2169063344816323E-3</v>
      </c>
      <c r="AM267" s="104">
        <f t="shared" si="104"/>
        <v>8.182609976173405E-2</v>
      </c>
      <c r="AN267" s="108">
        <f t="shared" si="105"/>
        <v>0.60060954809458011</v>
      </c>
      <c r="AO267" s="101">
        <f t="shared" si="106"/>
        <v>6126.2173905647169</v>
      </c>
    </row>
    <row r="268" spans="1:41" ht="15.75" customHeight="1" x14ac:dyDescent="0.3">
      <c r="A268" s="99">
        <v>70501</v>
      </c>
      <c r="B268" s="62" t="s">
        <v>224</v>
      </c>
      <c r="C268" s="62" t="s">
        <v>260</v>
      </c>
      <c r="D268" s="100">
        <v>604</v>
      </c>
      <c r="E268" s="101">
        <v>31935</v>
      </c>
      <c r="F268" s="102">
        <v>571.58984431178476</v>
      </c>
      <c r="G268" s="103">
        <v>502722601</v>
      </c>
      <c r="H268" s="103">
        <f t="shared" si="94"/>
        <v>1136801.5904152901</v>
      </c>
      <c r="I268" s="104">
        <f t="shared" si="88"/>
        <v>1.3590965119731925E-3</v>
      </c>
      <c r="J268" s="105">
        <f t="shared" si="95"/>
        <v>4.8380243505213673E-2</v>
      </c>
      <c r="K268" s="106">
        <v>22.74282844095875</v>
      </c>
      <c r="L268" s="107">
        <v>696325692</v>
      </c>
      <c r="M268" s="103">
        <f t="shared" si="96"/>
        <v>1887374.5728782751</v>
      </c>
      <c r="N268" s="104">
        <f t="shared" si="89"/>
        <v>2.8783700469147864E-4</v>
      </c>
      <c r="O268" s="105">
        <f t="shared" si="97"/>
        <v>1.701131184556573E-2</v>
      </c>
      <c r="P268" s="102">
        <v>9.6204135243790567</v>
      </c>
      <c r="Q268" s="103">
        <v>275172858841</v>
      </c>
      <c r="R268" s="103">
        <f t="shared" si="98"/>
        <v>536093.59459423891</v>
      </c>
      <c r="S268" s="104">
        <f t="shared" si="90"/>
        <v>4.7600908544781327E-4</v>
      </c>
      <c r="T268" s="105">
        <f t="shared" si="99"/>
        <v>7.990775690534975E-3</v>
      </c>
      <c r="U268" s="104">
        <f t="shared" si="100"/>
        <v>7.3382331041314364E-2</v>
      </c>
      <c r="V268" s="103">
        <f t="shared" si="101"/>
        <v>2343.4647418043746</v>
      </c>
      <c r="W268" s="100">
        <v>1654</v>
      </c>
      <c r="X268" s="101">
        <v>40974</v>
      </c>
      <c r="Y268" s="102">
        <v>1553.555545444457</v>
      </c>
      <c r="Z268" s="107">
        <v>782334930</v>
      </c>
      <c r="AA268" s="103">
        <v>1771534.1337791323</v>
      </c>
      <c r="AB268" s="104">
        <f t="shared" si="91"/>
        <v>1.9382316481105918E-3</v>
      </c>
      <c r="AC268" s="105">
        <f t="shared" si="102"/>
        <v>8.3800544828400866E-2</v>
      </c>
      <c r="AD268" s="102">
        <v>76.952234440047462</v>
      </c>
      <c r="AE268" s="103">
        <v>854728458</v>
      </c>
      <c r="AF268" s="103">
        <v>1973061.0479396961</v>
      </c>
      <c r="AG268" s="104">
        <f t="shared" si="92"/>
        <v>7.1543734943692457E-4</v>
      </c>
      <c r="AH268" s="105">
        <f t="shared" si="103"/>
        <v>3.4451153570928317E-2</v>
      </c>
      <c r="AI268" s="106">
        <v>23.352777590941749</v>
      </c>
      <c r="AJ268" s="103">
        <v>352046352185</v>
      </c>
      <c r="AK268" s="103">
        <v>685859.04594310001</v>
      </c>
      <c r="AL268" s="104">
        <f t="shared" si="93"/>
        <v>8.1491577136958337E-4</v>
      </c>
      <c r="AM268" s="104">
        <f t="shared" si="104"/>
        <v>1.3640780823827985E-2</v>
      </c>
      <c r="AN268" s="108">
        <f t="shared" si="105"/>
        <v>0.13189247922315717</v>
      </c>
      <c r="AO268" s="101">
        <f t="shared" si="106"/>
        <v>5404.1624436896418</v>
      </c>
    </row>
    <row r="269" spans="1:41" ht="15.75" customHeight="1" x14ac:dyDescent="0.3">
      <c r="A269" s="99">
        <v>70502</v>
      </c>
      <c r="B269" s="62" t="s">
        <v>224</v>
      </c>
      <c r="C269" s="62" t="s">
        <v>248</v>
      </c>
      <c r="D269" s="100">
        <v>1008</v>
      </c>
      <c r="E269" s="101">
        <v>42023.25</v>
      </c>
      <c r="F269" s="102">
        <v>869.6960100580518</v>
      </c>
      <c r="G269" s="103">
        <v>502722601</v>
      </c>
      <c r="H269" s="103">
        <f t="shared" si="94"/>
        <v>1136801.5904152901</v>
      </c>
      <c r="I269" s="104">
        <f t="shared" si="88"/>
        <v>2.0679178006916365E-3</v>
      </c>
      <c r="J269" s="105">
        <f t="shared" si="95"/>
        <v>5.5940752908790761E-2</v>
      </c>
      <c r="K269" s="106">
        <v>112.4330778904895</v>
      </c>
      <c r="L269" s="107">
        <v>696325692</v>
      </c>
      <c r="M269" s="103">
        <f t="shared" si="96"/>
        <v>1887374.5728782751</v>
      </c>
      <c r="N269" s="104">
        <f t="shared" si="89"/>
        <v>1.4229716612538426E-3</v>
      </c>
      <c r="O269" s="105">
        <f t="shared" si="97"/>
        <v>6.3909396140871072E-2</v>
      </c>
      <c r="P269" s="102">
        <v>25.80742674262088</v>
      </c>
      <c r="Q269" s="103">
        <v>275172858841</v>
      </c>
      <c r="R269" s="103">
        <f t="shared" si="98"/>
        <v>536093.59459423891</v>
      </c>
      <c r="S269" s="104">
        <f t="shared" si="90"/>
        <v>1.2769273971837195E-3</v>
      </c>
      <c r="T269" s="105">
        <f t="shared" si="99"/>
        <v>1.6289853792652534E-2</v>
      </c>
      <c r="U269" s="104">
        <f t="shared" si="100"/>
        <v>0.13614000284231437</v>
      </c>
      <c r="V269" s="103">
        <f t="shared" si="101"/>
        <v>5721.0453744432871</v>
      </c>
      <c r="W269" s="100">
        <v>4046</v>
      </c>
      <c r="X269" s="101">
        <v>54495</v>
      </c>
      <c r="Y269" s="102">
        <v>3720.6854939941518</v>
      </c>
      <c r="Z269" s="107">
        <v>782334930</v>
      </c>
      <c r="AA269" s="103">
        <v>1771534.1337791323</v>
      </c>
      <c r="AB269" s="104">
        <f t="shared" si="91"/>
        <v>4.6419649418214413E-3</v>
      </c>
      <c r="AC269" s="105">
        <f t="shared" si="102"/>
        <v>0.15090190553707214</v>
      </c>
      <c r="AD269" s="102">
        <v>254.81755915520441</v>
      </c>
      <c r="AE269" s="103">
        <v>854728458</v>
      </c>
      <c r="AF269" s="103">
        <v>1973061.0479396961</v>
      </c>
      <c r="AG269" s="104">
        <f t="shared" si="92"/>
        <v>2.3690799940841033E-3</v>
      </c>
      <c r="AH269" s="105">
        <f t="shared" si="103"/>
        <v>8.5775565754299468E-2</v>
      </c>
      <c r="AI269" s="106">
        <v>70.200267259534627</v>
      </c>
      <c r="AJ269" s="103">
        <v>352046352185</v>
      </c>
      <c r="AK269" s="103">
        <v>685859.04594310001</v>
      </c>
      <c r="AL269" s="104">
        <f t="shared" si="93"/>
        <v>2.4497002432098086E-3</v>
      </c>
      <c r="AM269" s="104">
        <f t="shared" si="104"/>
        <v>3.083125188832846E-2</v>
      </c>
      <c r="AN269" s="108">
        <f t="shared" si="105"/>
        <v>0.26750872317970009</v>
      </c>
      <c r="AO269" s="101">
        <f t="shared" si="106"/>
        <v>14577.887869677756</v>
      </c>
    </row>
    <row r="270" spans="1:41" ht="15.75" customHeight="1" x14ac:dyDescent="0.3">
      <c r="A270" s="99">
        <v>70503</v>
      </c>
      <c r="B270" s="62" t="s">
        <v>224</v>
      </c>
      <c r="C270" s="62" t="s">
        <v>254</v>
      </c>
      <c r="D270" s="100">
        <v>2</v>
      </c>
      <c r="E270" s="101">
        <v>16421.5</v>
      </c>
      <c r="F270" s="102">
        <v>0.97718201950691297</v>
      </c>
      <c r="G270" s="103">
        <v>502722601</v>
      </c>
      <c r="H270" s="103">
        <f t="shared" si="94"/>
        <v>1136801.5904152901</v>
      </c>
      <c r="I270" s="104">
        <f t="shared" si="88"/>
        <v>2.3234924264160581E-6</v>
      </c>
      <c r="J270" s="105">
        <f t="shared" si="95"/>
        <v>1.6084705329401432E-4</v>
      </c>
      <c r="K270" s="106">
        <v>1.00818814791153</v>
      </c>
      <c r="L270" s="107">
        <v>696325692</v>
      </c>
      <c r="M270" s="103">
        <f t="shared" si="96"/>
        <v>1887374.5728782751</v>
      </c>
      <c r="N270" s="104">
        <f t="shared" si="89"/>
        <v>1.2759796232630367E-5</v>
      </c>
      <c r="O270" s="105">
        <f t="shared" si="97"/>
        <v>1.4665234579407827E-3</v>
      </c>
      <c r="P270" s="102">
        <v>1.453752204892572E-2</v>
      </c>
      <c r="Q270" s="103">
        <v>275172858841</v>
      </c>
      <c r="R270" s="103">
        <f t="shared" si="98"/>
        <v>536093.59459423891</v>
      </c>
      <c r="S270" s="104">
        <f t="shared" si="90"/>
        <v>7.1930302763499954E-7</v>
      </c>
      <c r="T270" s="105">
        <f t="shared" si="99"/>
        <v>2.3482248618418905E-5</v>
      </c>
      <c r="U270" s="104">
        <f t="shared" si="100"/>
        <v>1.6508527598532159E-3</v>
      </c>
      <c r="V270" s="103">
        <f t="shared" si="101"/>
        <v>27.109478595929584</v>
      </c>
      <c r="W270" s="100">
        <v>1</v>
      </c>
      <c r="X270" s="101">
        <v>18763</v>
      </c>
      <c r="Y270" s="102">
        <v>8.3479491676667003E-2</v>
      </c>
      <c r="Z270" s="107">
        <v>782334930</v>
      </c>
      <c r="AA270" s="103">
        <v>1771534.1337791323</v>
      </c>
      <c r="AB270" s="104">
        <f t="shared" si="91"/>
        <v>1.0414986011305478E-7</v>
      </c>
      <c r="AC270" s="105">
        <f t="shared" si="102"/>
        <v>9.8334505259605768E-6</v>
      </c>
      <c r="AD270" s="102">
        <v>0.91350503092402902</v>
      </c>
      <c r="AE270" s="103">
        <v>854728458</v>
      </c>
      <c r="AF270" s="103">
        <v>1973061.0479396961</v>
      </c>
      <c r="AG270" s="104">
        <f t="shared" si="92"/>
        <v>8.4930037805563681E-6</v>
      </c>
      <c r="AH270" s="105">
        <f t="shared" si="103"/>
        <v>8.9309891485478583E-4</v>
      </c>
      <c r="AI270" s="106">
        <v>2.9231668666728199E-3</v>
      </c>
      <c r="AJ270" s="103">
        <v>352046352185</v>
      </c>
      <c r="AK270" s="103">
        <v>685859.04594310001</v>
      </c>
      <c r="AL270" s="104">
        <f t="shared" si="93"/>
        <v>1.0200648606873598E-7</v>
      </c>
      <c r="AM270" s="104">
        <f t="shared" si="104"/>
        <v>3.7287252153233159E-6</v>
      </c>
      <c r="AN270" s="108">
        <f t="shared" si="105"/>
        <v>9.0666109059606972E-4</v>
      </c>
      <c r="AO270" s="101">
        <f t="shared" si="106"/>
        <v>17.011682042854058</v>
      </c>
    </row>
    <row r="271" spans="1:41" ht="15.75" customHeight="1" x14ac:dyDescent="0.3">
      <c r="A271" s="99">
        <v>70601</v>
      </c>
      <c r="B271" s="62" t="s">
        <v>224</v>
      </c>
      <c r="C271" s="62" t="s">
        <v>251</v>
      </c>
      <c r="D271" s="100">
        <v>5478</v>
      </c>
      <c r="E271" s="101">
        <v>18599.5</v>
      </c>
      <c r="F271" s="102">
        <v>4597.6207614439209</v>
      </c>
      <c r="G271" s="103">
        <v>502722601</v>
      </c>
      <c r="H271" s="103">
        <f t="shared" si="94"/>
        <v>1136801.5904152901</v>
      </c>
      <c r="I271" s="104">
        <f t="shared" si="88"/>
        <v>1.093198278877317E-2</v>
      </c>
      <c r="J271" s="105">
        <f t="shared" si="95"/>
        <v>0.66816287645742722</v>
      </c>
      <c r="K271" s="106">
        <v>710.05782014089823</v>
      </c>
      <c r="L271" s="107">
        <v>696325692</v>
      </c>
      <c r="M271" s="103">
        <f t="shared" si="96"/>
        <v>1887374.5728782751</v>
      </c>
      <c r="N271" s="104">
        <f t="shared" si="89"/>
        <v>8.9866094113006858E-3</v>
      </c>
      <c r="O271" s="105">
        <f t="shared" si="97"/>
        <v>0.91191150833503687</v>
      </c>
      <c r="P271" s="102">
        <v>170.03307161426011</v>
      </c>
      <c r="Q271" s="103">
        <v>275172858841</v>
      </c>
      <c r="R271" s="103">
        <f t="shared" si="98"/>
        <v>536093.59459423891</v>
      </c>
      <c r="S271" s="104">
        <f t="shared" si="90"/>
        <v>8.4130777445152009E-3</v>
      </c>
      <c r="T271" s="105">
        <f t="shared" si="99"/>
        <v>0.24249023305239098</v>
      </c>
      <c r="U271" s="104">
        <f t="shared" si="100"/>
        <v>1.8225646178448551</v>
      </c>
      <c r="V271" s="103">
        <f t="shared" si="101"/>
        <v>33898.790609605385</v>
      </c>
      <c r="W271" s="100">
        <v>12825</v>
      </c>
      <c r="X271" s="101">
        <v>20743</v>
      </c>
      <c r="Y271" s="102">
        <v>11067.853185270391</v>
      </c>
      <c r="Z271" s="107">
        <v>782334930</v>
      </c>
      <c r="AA271" s="103">
        <v>1771534.1337791323</v>
      </c>
      <c r="AB271" s="104">
        <f t="shared" si="91"/>
        <v>1.3808365837473463E-2</v>
      </c>
      <c r="AC271" s="105">
        <f t="shared" si="102"/>
        <v>1.1792889848524282</v>
      </c>
      <c r="AD271" s="102">
        <v>1423.4953565673909</v>
      </c>
      <c r="AE271" s="103">
        <v>854728458</v>
      </c>
      <c r="AF271" s="103">
        <v>1973061.0479396961</v>
      </c>
      <c r="AG271" s="104">
        <f t="shared" si="92"/>
        <v>1.3234466188656079E-2</v>
      </c>
      <c r="AH271" s="105">
        <f t="shared" si="103"/>
        <v>1.2588540580972973</v>
      </c>
      <c r="AI271" s="106">
        <v>332.88666227652033</v>
      </c>
      <c r="AJ271" s="103">
        <v>352046352185</v>
      </c>
      <c r="AK271" s="103">
        <v>685859.04594310001</v>
      </c>
      <c r="AL271" s="104">
        <f t="shared" si="93"/>
        <v>1.1616373688795829E-2</v>
      </c>
      <c r="AM271" s="104">
        <f t="shared" si="104"/>
        <v>0.38409077643137624</v>
      </c>
      <c r="AN271" s="108">
        <f t="shared" si="105"/>
        <v>2.8222338193811018</v>
      </c>
      <c r="AO271" s="101">
        <f t="shared" si="106"/>
        <v>58541.596115422195</v>
      </c>
    </row>
    <row r="272" spans="1:41" ht="15.75" customHeight="1" x14ac:dyDescent="0.3">
      <c r="A272" s="99">
        <v>70602</v>
      </c>
      <c r="B272" s="62" t="s">
        <v>224</v>
      </c>
      <c r="C272" s="62" t="s">
        <v>824</v>
      </c>
      <c r="D272" s="112">
        <v>14</v>
      </c>
      <c r="E272" s="113">
        <v>18912.5</v>
      </c>
      <c r="F272" s="114">
        <v>9</v>
      </c>
      <c r="G272" s="103">
        <v>502722601</v>
      </c>
      <c r="H272" s="103">
        <f t="shared" si="94"/>
        <v>1136801.5904152901</v>
      </c>
      <c r="I272" s="104">
        <f t="shared" si="88"/>
        <v>2.1399730470170188E-5</v>
      </c>
      <c r="J272" s="105">
        <f t="shared" si="95"/>
        <v>1.2863052284440455E-3</v>
      </c>
      <c r="K272" s="115">
        <v>4</v>
      </c>
      <c r="L272" s="107">
        <v>696325692</v>
      </c>
      <c r="M272" s="103">
        <f t="shared" si="96"/>
        <v>1887374.5728782751</v>
      </c>
      <c r="N272" s="104">
        <f t="shared" si="89"/>
        <v>5.0624662704327119E-5</v>
      </c>
      <c r="O272" s="105">
        <f t="shared" si="97"/>
        <v>5.0520925921314552E-3</v>
      </c>
      <c r="P272" s="114">
        <v>1</v>
      </c>
      <c r="Q272" s="103">
        <v>275172858841</v>
      </c>
      <c r="R272" s="103">
        <f t="shared" si="98"/>
        <v>536093.59459423891</v>
      </c>
      <c r="S272" s="104">
        <f t="shared" si="90"/>
        <v>4.9479067011159166E-5</v>
      </c>
      <c r="T272" s="105">
        <f t="shared" si="99"/>
        <v>1.4025332923294934E-3</v>
      </c>
      <c r="U272" s="104">
        <f t="shared" si="100"/>
        <v>7.7409311129049939E-3</v>
      </c>
      <c r="V272" s="103">
        <f t="shared" si="101"/>
        <v>146.40035967281571</v>
      </c>
      <c r="W272" s="112">
        <v>169</v>
      </c>
      <c r="X272" s="101">
        <v>17999</v>
      </c>
      <c r="Y272" s="114">
        <v>137.46448103261611</v>
      </c>
      <c r="Z272" s="107">
        <v>782334930</v>
      </c>
      <c r="AA272" s="103">
        <v>1771534.1337791323</v>
      </c>
      <c r="AB272" s="104">
        <f t="shared" si="91"/>
        <v>1.7150208012182107E-4</v>
      </c>
      <c r="AC272" s="105">
        <f t="shared" si="102"/>
        <v>1.6879926048665461E-2</v>
      </c>
      <c r="AD272" s="114">
        <v>26.53763212792926</v>
      </c>
      <c r="AE272" s="103">
        <v>854728458</v>
      </c>
      <c r="AF272" s="103">
        <v>1973061.0479396961</v>
      </c>
      <c r="AG272" s="104">
        <f t="shared" si="92"/>
        <v>2.4672465105259094E-4</v>
      </c>
      <c r="AH272" s="105">
        <f t="shared" si="103"/>
        <v>2.7046102481159004E-2</v>
      </c>
      <c r="AI272" s="115">
        <v>4.9877569037963578</v>
      </c>
      <c r="AJ272" s="103">
        <v>352046352185</v>
      </c>
      <c r="AK272" s="103">
        <v>685859.04594310001</v>
      </c>
      <c r="AL272" s="104">
        <f t="shared" si="93"/>
        <v>1.7405217639882727E-4</v>
      </c>
      <c r="AM272" s="104">
        <f t="shared" si="104"/>
        <v>6.6323273320306585E-3</v>
      </c>
      <c r="AN272" s="108">
        <f t="shared" si="105"/>
        <v>5.0558355861855128E-2</v>
      </c>
      <c r="AO272" s="101">
        <f t="shared" si="106"/>
        <v>909.99984715753033</v>
      </c>
    </row>
    <row r="273" spans="1:41" ht="15.75" customHeight="1" x14ac:dyDescent="0.3">
      <c r="A273" s="99">
        <v>70603</v>
      </c>
      <c r="B273" s="62" t="s">
        <v>224</v>
      </c>
      <c r="C273" s="62" t="s">
        <v>231</v>
      </c>
      <c r="D273" s="100">
        <v>166</v>
      </c>
      <c r="E273" s="101">
        <v>6053.5</v>
      </c>
      <c r="F273" s="102">
        <v>135.8405304661928</v>
      </c>
      <c r="G273" s="103">
        <v>502722601</v>
      </c>
      <c r="H273" s="103">
        <f t="shared" si="94"/>
        <v>1136801.5904152901</v>
      </c>
      <c r="I273" s="104">
        <f t="shared" si="88"/>
        <v>3.2299452654460751E-4</v>
      </c>
      <c r="J273" s="105">
        <f t="shared" si="95"/>
        <v>6.0655933174418676E-2</v>
      </c>
      <c r="K273" s="106">
        <v>24.878732840941989</v>
      </c>
      <c r="L273" s="107">
        <v>696325692</v>
      </c>
      <c r="M273" s="103">
        <f t="shared" si="96"/>
        <v>1887374.5728782751</v>
      </c>
      <c r="N273" s="104">
        <f t="shared" si="89"/>
        <v>3.1486936464593856E-4</v>
      </c>
      <c r="O273" s="105">
        <f t="shared" si="97"/>
        <v>9.8170716545978712E-2</v>
      </c>
      <c r="P273" s="102">
        <v>5.2722408387223219</v>
      </c>
      <c r="Q273" s="103">
        <v>275172858841</v>
      </c>
      <c r="R273" s="103">
        <f t="shared" si="98"/>
        <v>536093.59459423891</v>
      </c>
      <c r="S273" s="104">
        <f t="shared" si="90"/>
        <v>2.6086555775811177E-4</v>
      </c>
      <c r="T273" s="105">
        <f t="shared" si="99"/>
        <v>2.3102065675126321E-2</v>
      </c>
      <c r="U273" s="104">
        <f t="shared" si="100"/>
        <v>0.18192871539552372</v>
      </c>
      <c r="V273" s="103">
        <f t="shared" si="101"/>
        <v>1101.3054786468026</v>
      </c>
      <c r="W273" s="100">
        <v>32397</v>
      </c>
      <c r="X273" s="101">
        <v>6007</v>
      </c>
      <c r="Y273" s="102">
        <v>24283.654642899372</v>
      </c>
      <c r="Z273" s="107">
        <v>782334930</v>
      </c>
      <c r="AA273" s="103">
        <v>1771534.1337791323</v>
      </c>
      <c r="AB273" s="104">
        <f t="shared" si="91"/>
        <v>3.0296533714982019E-2</v>
      </c>
      <c r="AC273" s="105">
        <f t="shared" si="102"/>
        <v>8.9348000018779654</v>
      </c>
      <c r="AD273" s="102">
        <v>7083.4515958233233</v>
      </c>
      <c r="AE273" s="103">
        <v>854728458</v>
      </c>
      <c r="AF273" s="103">
        <v>1973061.0479396961</v>
      </c>
      <c r="AG273" s="104">
        <f t="shared" si="92"/>
        <v>6.5855993285403897E-2</v>
      </c>
      <c r="AH273" s="105">
        <f t="shared" si="103"/>
        <v>21.631079594607726</v>
      </c>
      <c r="AI273" s="106">
        <v>1028.323935106818</v>
      </c>
      <c r="AJ273" s="103">
        <v>352046352185</v>
      </c>
      <c r="AK273" s="103">
        <v>685859.04594310001</v>
      </c>
      <c r="AL273" s="104">
        <f t="shared" si="93"/>
        <v>3.5884270705358268E-2</v>
      </c>
      <c r="AM273" s="104">
        <f t="shared" si="104"/>
        <v>4.0971452755686615</v>
      </c>
      <c r="AN273" s="108">
        <f t="shared" si="105"/>
        <v>34.663024872054358</v>
      </c>
      <c r="AO273" s="101">
        <f t="shared" si="106"/>
        <v>208220.79040643049</v>
      </c>
    </row>
    <row r="274" spans="1:41" ht="15.75" customHeight="1" x14ac:dyDescent="0.3">
      <c r="A274" s="99">
        <v>70701</v>
      </c>
      <c r="B274" s="62" t="s">
        <v>224</v>
      </c>
      <c r="C274" s="62" t="s">
        <v>242</v>
      </c>
      <c r="D274" s="100">
        <v>1</v>
      </c>
      <c r="E274" s="101">
        <v>5511</v>
      </c>
      <c r="F274" s="102">
        <v>0.75204557224236201</v>
      </c>
      <c r="G274" s="103">
        <v>502722601</v>
      </c>
      <c r="H274" s="103">
        <f t="shared" si="94"/>
        <v>1136801.5904152901</v>
      </c>
      <c r="I274" s="104">
        <f t="shared" si="88"/>
        <v>1.7881747274746055E-6</v>
      </c>
      <c r="J274" s="105">
        <f t="shared" si="95"/>
        <v>3.6886225260997273E-4</v>
      </c>
      <c r="K274" s="106">
        <v>0.18582772311410301</v>
      </c>
      <c r="L274" s="107">
        <v>696325692</v>
      </c>
      <c r="M274" s="103">
        <f t="shared" si="96"/>
        <v>1887374.5728782751</v>
      </c>
      <c r="N274" s="104">
        <f t="shared" si="89"/>
        <v>2.3518664509411395E-6</v>
      </c>
      <c r="O274" s="105">
        <f t="shared" si="97"/>
        <v>8.0545326407399349E-4</v>
      </c>
      <c r="P274" s="102">
        <v>6.2092180217503901E-2</v>
      </c>
      <c r="Q274" s="103">
        <v>275172858841</v>
      </c>
      <c r="R274" s="103">
        <f t="shared" si="98"/>
        <v>536093.59459423891</v>
      </c>
      <c r="S274" s="104">
        <f t="shared" si="90"/>
        <v>3.072263145850847E-6</v>
      </c>
      <c r="T274" s="105">
        <f t="shared" si="99"/>
        <v>2.9886056857169029E-4</v>
      </c>
      <c r="U274" s="104">
        <f t="shared" si="100"/>
        <v>1.4731760852556566E-3</v>
      </c>
      <c r="V274" s="103">
        <f t="shared" si="101"/>
        <v>8.1186734058439232</v>
      </c>
      <c r="W274" s="100">
        <v>295</v>
      </c>
      <c r="X274" s="101">
        <v>5946</v>
      </c>
      <c r="Y274" s="102">
        <v>167.45657259216611</v>
      </c>
      <c r="Z274" s="107">
        <v>782334930</v>
      </c>
      <c r="AA274" s="103">
        <v>1771534.1337791323</v>
      </c>
      <c r="AB274" s="104">
        <f t="shared" si="91"/>
        <v>2.0892051760492986E-4</v>
      </c>
      <c r="AC274" s="105">
        <f t="shared" si="102"/>
        <v>6.2245177965680694E-2</v>
      </c>
      <c r="AD274" s="102">
        <v>119.6416110425555</v>
      </c>
      <c r="AE274" s="103">
        <v>854728458</v>
      </c>
      <c r="AF274" s="103">
        <v>1973061.0479396961</v>
      </c>
      <c r="AG274" s="104">
        <f t="shared" si="92"/>
        <v>1.1123273769696217E-3</v>
      </c>
      <c r="AH274" s="105">
        <f t="shared" si="103"/>
        <v>0.36910356879510514</v>
      </c>
      <c r="AI274" s="106">
        <v>7.8828367559534671</v>
      </c>
      <c r="AJ274" s="103">
        <v>352046352185</v>
      </c>
      <c r="AK274" s="103">
        <v>685859.04594310001</v>
      </c>
      <c r="AL274" s="104">
        <f t="shared" si="93"/>
        <v>2.7507854132306959E-4</v>
      </c>
      <c r="AM274" s="104">
        <f t="shared" si="104"/>
        <v>3.1729752087329317E-2</v>
      </c>
      <c r="AN274" s="108">
        <f t="shared" si="105"/>
        <v>0.46307849884811514</v>
      </c>
      <c r="AO274" s="101">
        <f t="shared" si="106"/>
        <v>2753.4647541508925</v>
      </c>
    </row>
    <row r="275" spans="1:41" ht="15.75" customHeight="1" x14ac:dyDescent="0.3">
      <c r="A275" s="99">
        <v>70702</v>
      </c>
      <c r="B275" s="62" t="s">
        <v>224</v>
      </c>
      <c r="C275" s="62" t="s">
        <v>825</v>
      </c>
      <c r="D275" s="112">
        <v>95</v>
      </c>
      <c r="E275" s="113">
        <v>33744.5</v>
      </c>
      <c r="F275" s="114">
        <v>78</v>
      </c>
      <c r="G275" s="103">
        <v>502722601</v>
      </c>
      <c r="H275" s="103">
        <f t="shared" si="94"/>
        <v>1136801.5904152901</v>
      </c>
      <c r="I275" s="104">
        <f t="shared" si="88"/>
        <v>1.8546433074147496E-4</v>
      </c>
      <c r="J275" s="105">
        <f t="shared" si="95"/>
        <v>6.2480151180849064E-3</v>
      </c>
      <c r="K275" s="115">
        <v>13.694113650634318</v>
      </c>
      <c r="L275" s="107">
        <v>696325692</v>
      </c>
      <c r="M275" s="103">
        <f t="shared" si="96"/>
        <v>1887374.5728782751</v>
      </c>
      <c r="N275" s="104">
        <f t="shared" si="89"/>
        <v>1.73314971149521E-4</v>
      </c>
      <c r="O275" s="105">
        <f t="shared" si="97"/>
        <v>9.6937358575986537E-3</v>
      </c>
      <c r="P275" s="114">
        <v>3.7783073498801389</v>
      </c>
      <c r="Q275" s="103">
        <v>275172858841</v>
      </c>
      <c r="R275" s="103">
        <f t="shared" si="98"/>
        <v>536093.59459423891</v>
      </c>
      <c r="S275" s="104">
        <f t="shared" si="90"/>
        <v>1.8694712255347458E-4</v>
      </c>
      <c r="T275" s="105">
        <f t="shared" si="99"/>
        <v>2.9699997015437151E-3</v>
      </c>
      <c r="U275" s="104">
        <f t="shared" si="100"/>
        <v>1.8911750677227276E-2</v>
      </c>
      <c r="V275" s="103">
        <f t="shared" si="101"/>
        <v>638.16757072769587</v>
      </c>
      <c r="W275" s="112">
        <v>472</v>
      </c>
      <c r="X275" s="101">
        <v>38420</v>
      </c>
      <c r="Y275" s="114">
        <v>359.57879132279959</v>
      </c>
      <c r="Z275" s="107">
        <v>782334930</v>
      </c>
      <c r="AA275" s="103">
        <v>1771534.1337791323</v>
      </c>
      <c r="AB275" s="104">
        <f t="shared" si="91"/>
        <v>4.4861414538726051E-4</v>
      </c>
      <c r="AC275" s="105">
        <f t="shared" si="102"/>
        <v>2.0685457351631603E-2</v>
      </c>
      <c r="AD275" s="114">
        <v>93.667889245870725</v>
      </c>
      <c r="AE275" s="103">
        <v>854728458</v>
      </c>
      <c r="AF275" s="103">
        <v>1973061.0479396961</v>
      </c>
      <c r="AG275" s="104">
        <f t="shared" si="92"/>
        <v>8.7084549132392716E-4</v>
      </c>
      <c r="AH275" s="105">
        <f t="shared" si="103"/>
        <v>4.4722314359842454E-2</v>
      </c>
      <c r="AI275" s="115">
        <v>18.734809864532437</v>
      </c>
      <c r="AJ275" s="103">
        <v>352046352185</v>
      </c>
      <c r="AK275" s="103">
        <v>685859.04594310001</v>
      </c>
      <c r="AL275" s="104">
        <f t="shared" si="93"/>
        <v>6.5376771447264259E-4</v>
      </c>
      <c r="AM275" s="104">
        <f t="shared" si="104"/>
        <v>1.1670809498089737E-2</v>
      </c>
      <c r="AN275" s="108">
        <f t="shared" si="105"/>
        <v>7.707858120956379E-2</v>
      </c>
      <c r="AO275" s="101">
        <f t="shared" si="106"/>
        <v>2961.3590900714412</v>
      </c>
    </row>
    <row r="276" spans="1:41" ht="15.75" customHeight="1" x14ac:dyDescent="0.3">
      <c r="A276" s="99">
        <v>70703</v>
      </c>
      <c r="B276" s="62" t="s">
        <v>224</v>
      </c>
      <c r="C276" s="62" t="s">
        <v>228</v>
      </c>
      <c r="D276" s="100">
        <v>615</v>
      </c>
      <c r="E276" s="101">
        <v>28065.75</v>
      </c>
      <c r="F276" s="102">
        <v>582.31310108621835</v>
      </c>
      <c r="G276" s="103">
        <v>502722601</v>
      </c>
      <c r="H276" s="103">
        <f t="shared" si="94"/>
        <v>1136801.5904152901</v>
      </c>
      <c r="I276" s="104">
        <f t="shared" si="88"/>
        <v>1.3845937124993377E-3</v>
      </c>
      <c r="J276" s="105">
        <f t="shared" si="95"/>
        <v>5.6082888732645948E-2</v>
      </c>
      <c r="K276" s="106">
        <v>25.241526582016789</v>
      </c>
      <c r="L276" s="107">
        <v>696325692</v>
      </c>
      <c r="M276" s="103">
        <f t="shared" si="96"/>
        <v>1887374.5728782751</v>
      </c>
      <c r="N276" s="104">
        <f t="shared" si="89"/>
        <v>3.1946094233922676E-4</v>
      </c>
      <c r="O276" s="105">
        <f t="shared" si="97"/>
        <v>2.1483212085862284E-2</v>
      </c>
      <c r="P276" s="102">
        <v>7.3979312502923849</v>
      </c>
      <c r="Q276" s="103">
        <v>275172858841</v>
      </c>
      <c r="R276" s="103">
        <f t="shared" si="98"/>
        <v>536093.59459423891</v>
      </c>
      <c r="S276" s="104">
        <f t="shared" si="90"/>
        <v>3.6604273607716538E-4</v>
      </c>
      <c r="T276" s="105">
        <f t="shared" si="99"/>
        <v>6.991908862535934E-3</v>
      </c>
      <c r="U276" s="104">
        <f t="shared" si="100"/>
        <v>8.4558009681044169E-2</v>
      </c>
      <c r="V276" s="103">
        <f t="shared" si="101"/>
        <v>2373.1839602057653</v>
      </c>
      <c r="W276" s="100">
        <v>2444</v>
      </c>
      <c r="X276" s="101">
        <v>32961</v>
      </c>
      <c r="Y276" s="102">
        <v>1996.404072354836</v>
      </c>
      <c r="Z276" s="107">
        <v>782334930</v>
      </c>
      <c r="AA276" s="103">
        <v>1771534.1337791323</v>
      </c>
      <c r="AB276" s="104">
        <f t="shared" si="91"/>
        <v>2.4907339597876992E-3</v>
      </c>
      <c r="AC276" s="105">
        <f t="shared" si="102"/>
        <v>0.13386791140823304</v>
      </c>
      <c r="AD276" s="102">
        <v>361.94085262367082</v>
      </c>
      <c r="AE276" s="103">
        <v>854728458</v>
      </c>
      <c r="AF276" s="103">
        <v>1973061.0479396961</v>
      </c>
      <c r="AG276" s="104">
        <f t="shared" si="92"/>
        <v>3.365022551174407E-3</v>
      </c>
      <c r="AH276" s="105">
        <f t="shared" si="103"/>
        <v>0.20143184130217182</v>
      </c>
      <c r="AI276" s="106">
        <v>85.534094149777459</v>
      </c>
      <c r="AJ276" s="103">
        <v>352046352185</v>
      </c>
      <c r="AK276" s="103">
        <v>685859.04594310001</v>
      </c>
      <c r="AL276" s="104">
        <f t="shared" si="93"/>
        <v>2.984787657100859E-3</v>
      </c>
      <c r="AM276" s="104">
        <f t="shared" si="104"/>
        <v>6.2108055424348045E-2</v>
      </c>
      <c r="AN276" s="108">
        <f t="shared" si="105"/>
        <v>0.3974078081347529</v>
      </c>
      <c r="AO276" s="101">
        <f t="shared" si="106"/>
        <v>13098.958763929591</v>
      </c>
    </row>
    <row r="277" spans="1:41" ht="15.75" customHeight="1" x14ac:dyDescent="0.3">
      <c r="A277" s="99">
        <v>70704</v>
      </c>
      <c r="B277" s="62" t="s">
        <v>224</v>
      </c>
      <c r="C277" s="62" t="s">
        <v>236</v>
      </c>
      <c r="D277" s="100">
        <v>1</v>
      </c>
      <c r="E277" s="101">
        <v>5122.75</v>
      </c>
      <c r="F277" s="102">
        <v>0.80233518255708902</v>
      </c>
      <c r="G277" s="103">
        <v>502722601</v>
      </c>
      <c r="H277" s="103">
        <f t="shared" si="94"/>
        <v>1136801.5904152901</v>
      </c>
      <c r="I277" s="104">
        <f t="shared" si="88"/>
        <v>1.907750739272944E-6</v>
      </c>
      <c r="J277" s="105">
        <f t="shared" si="95"/>
        <v>4.2335348680326551E-4</v>
      </c>
      <c r="K277" s="106">
        <v>0.124687137143594</v>
      </c>
      <c r="L277" s="107">
        <v>696325692</v>
      </c>
      <c r="M277" s="103">
        <f t="shared" si="96"/>
        <v>1887374.5728782751</v>
      </c>
      <c r="N277" s="104">
        <f t="shared" si="89"/>
        <v>1.578061065365656E-6</v>
      </c>
      <c r="O277" s="105">
        <f t="shared" si="97"/>
        <v>5.8140497373878111E-4</v>
      </c>
      <c r="P277" s="102">
        <v>7.2958327957682895E-2</v>
      </c>
      <c r="Q277" s="103">
        <v>275172858841</v>
      </c>
      <c r="R277" s="103">
        <f t="shared" si="98"/>
        <v>536093.59459423891</v>
      </c>
      <c r="S277" s="104">
        <f t="shared" si="90"/>
        <v>3.6099099980403192E-6</v>
      </c>
      <c r="T277" s="105">
        <f t="shared" si="99"/>
        <v>3.7777553599358091E-4</v>
      </c>
      <c r="U277" s="104">
        <f t="shared" si="100"/>
        <v>1.3825339965356275E-3</v>
      </c>
      <c r="V277" s="103">
        <f t="shared" si="101"/>
        <v>7.0823760307528856</v>
      </c>
      <c r="W277" s="100">
        <v>218</v>
      </c>
      <c r="X277" s="101">
        <v>5335</v>
      </c>
      <c r="Y277" s="102">
        <v>160.5230610039799</v>
      </c>
      <c r="Z277" s="107">
        <v>782334930</v>
      </c>
      <c r="AA277" s="103">
        <v>1771534.1337791323</v>
      </c>
      <c r="AB277" s="104">
        <f t="shared" si="91"/>
        <v>2.0027019825705011E-4</v>
      </c>
      <c r="AC277" s="105">
        <f t="shared" si="102"/>
        <v>6.6501498067681034E-2</v>
      </c>
      <c r="AD277" s="102">
        <v>49.538277924585003</v>
      </c>
      <c r="AE277" s="103">
        <v>854728458</v>
      </c>
      <c r="AF277" s="103">
        <v>1973061.0479396961</v>
      </c>
      <c r="AG277" s="104">
        <f t="shared" si="92"/>
        <v>4.6056536904911925E-4</v>
      </c>
      <c r="AH277" s="105">
        <f t="shared" si="103"/>
        <v>0.1703324441800915</v>
      </c>
      <c r="AI277" s="106">
        <v>7.9266736668729738</v>
      </c>
      <c r="AJ277" s="103">
        <v>352046352185</v>
      </c>
      <c r="AK277" s="103">
        <v>685859.04594310001</v>
      </c>
      <c r="AL277" s="104">
        <f t="shared" si="93"/>
        <v>2.7660826899410631E-4</v>
      </c>
      <c r="AM277" s="104">
        <f t="shared" si="104"/>
        <v>3.5560315552440512E-2</v>
      </c>
      <c r="AN277" s="108">
        <f t="shared" si="105"/>
        <v>0.27239425780021304</v>
      </c>
      <c r="AO277" s="101">
        <f t="shared" si="106"/>
        <v>1453.2233653641367</v>
      </c>
    </row>
    <row r="278" spans="1:41" ht="15.75" customHeight="1" x14ac:dyDescent="0.3">
      <c r="A278" s="99">
        <v>70705</v>
      </c>
      <c r="B278" s="62" t="s">
        <v>224</v>
      </c>
      <c r="C278" s="62" t="s">
        <v>826</v>
      </c>
      <c r="D278" s="112">
        <v>1</v>
      </c>
      <c r="E278" s="113">
        <v>12802</v>
      </c>
      <c r="F278" s="114">
        <v>1</v>
      </c>
      <c r="G278" s="103">
        <v>502722601</v>
      </c>
      <c r="H278" s="103">
        <f t="shared" si="94"/>
        <v>1136801.5904152901</v>
      </c>
      <c r="I278" s="104">
        <f t="shared" si="88"/>
        <v>2.3777478300189098E-6</v>
      </c>
      <c r="J278" s="105">
        <f t="shared" si="95"/>
        <v>2.1114103380503058E-4</v>
      </c>
      <c r="K278" s="115">
        <v>0</v>
      </c>
      <c r="L278" s="107">
        <v>696325692</v>
      </c>
      <c r="M278" s="103">
        <f t="shared" si="96"/>
        <v>1887374.5728782751</v>
      </c>
      <c r="N278" s="104">
        <f t="shared" si="89"/>
        <v>0</v>
      </c>
      <c r="O278" s="105">
        <f t="shared" si="97"/>
        <v>0</v>
      </c>
      <c r="P278" s="114">
        <v>0</v>
      </c>
      <c r="Q278" s="103">
        <v>275172858841</v>
      </c>
      <c r="R278" s="103">
        <f t="shared" si="98"/>
        <v>536093.59459423891</v>
      </c>
      <c r="S278" s="104">
        <f t="shared" si="90"/>
        <v>0</v>
      </c>
      <c r="T278" s="105">
        <f t="shared" si="99"/>
        <v>0</v>
      </c>
      <c r="U278" s="104">
        <f t="shared" si="100"/>
        <v>2.1114103380503058E-4</v>
      </c>
      <c r="V278" s="103">
        <f t="shared" si="101"/>
        <v>2.7030275147720015</v>
      </c>
      <c r="W278" s="112">
        <v>1</v>
      </c>
      <c r="X278" s="101">
        <v>14389</v>
      </c>
      <c r="Y278" s="114">
        <v>1</v>
      </c>
      <c r="Z278" s="107">
        <v>782334930</v>
      </c>
      <c r="AA278" s="103">
        <v>1771534.1337791323</v>
      </c>
      <c r="AB278" s="104">
        <f t="shared" si="91"/>
        <v>1.2476101377862759E-6</v>
      </c>
      <c r="AC278" s="105">
        <f t="shared" si="102"/>
        <v>1.5360233127648023E-4</v>
      </c>
      <c r="AD278" s="114">
        <v>0</v>
      </c>
      <c r="AE278" s="103">
        <v>854728458</v>
      </c>
      <c r="AF278" s="103">
        <v>1973061.0479396961</v>
      </c>
      <c r="AG278" s="104">
        <f t="shared" si="92"/>
        <v>0</v>
      </c>
      <c r="AH278" s="105">
        <f t="shared" si="103"/>
        <v>0</v>
      </c>
      <c r="AI278" s="115">
        <v>0</v>
      </c>
      <c r="AJ278" s="103">
        <v>352046352185</v>
      </c>
      <c r="AK278" s="103">
        <v>685859.04594310001</v>
      </c>
      <c r="AL278" s="104">
        <f t="shared" si="93"/>
        <v>0</v>
      </c>
      <c r="AM278" s="104">
        <f t="shared" si="104"/>
        <v>0</v>
      </c>
      <c r="AN278" s="108">
        <f t="shared" si="105"/>
        <v>1.5360233127648023E-4</v>
      </c>
      <c r="AO278" s="101">
        <f t="shared" si="106"/>
        <v>2.210183944737274</v>
      </c>
    </row>
    <row r="279" spans="1:41" ht="15.75" customHeight="1" x14ac:dyDescent="0.3">
      <c r="A279" s="99">
        <v>70706</v>
      </c>
      <c r="B279" s="62" t="s">
        <v>224</v>
      </c>
      <c r="C279" s="62" t="s">
        <v>229</v>
      </c>
      <c r="D279" s="100">
        <v>4314</v>
      </c>
      <c r="E279" s="101">
        <v>33449.75</v>
      </c>
      <c r="F279" s="102">
        <v>3435.047453785955</v>
      </c>
      <c r="G279" s="103">
        <v>502722601</v>
      </c>
      <c r="H279" s="103">
        <f t="shared" si="94"/>
        <v>1136801.5904152901</v>
      </c>
      <c r="I279" s="104">
        <f t="shared" si="88"/>
        <v>8.167676629251535E-3</v>
      </c>
      <c r="J279" s="105">
        <f t="shared" si="95"/>
        <v>0.27758138049255798</v>
      </c>
      <c r="K279" s="106">
        <v>670.19365978216797</v>
      </c>
      <c r="L279" s="107">
        <v>696325692</v>
      </c>
      <c r="M279" s="103">
        <f t="shared" si="96"/>
        <v>1887374.5728782751</v>
      </c>
      <c r="N279" s="104">
        <f t="shared" si="89"/>
        <v>8.4820819932627037E-3</v>
      </c>
      <c r="O279" s="105">
        <f t="shared" si="97"/>
        <v>0.47859448513524627</v>
      </c>
      <c r="P279" s="102">
        <v>208.59933127906879</v>
      </c>
      <c r="Q279" s="103">
        <v>275172858841</v>
      </c>
      <c r="R279" s="103">
        <f t="shared" si="98"/>
        <v>536093.59459423891</v>
      </c>
      <c r="S279" s="104">
        <f t="shared" si="90"/>
        <v>1.0321300290840035E-2</v>
      </c>
      <c r="T279" s="105">
        <f t="shared" si="99"/>
        <v>0.16541776766053551</v>
      </c>
      <c r="U279" s="104">
        <f t="shared" si="100"/>
        <v>0.92159363328833976</v>
      </c>
      <c r="V279" s="103">
        <f t="shared" si="101"/>
        <v>30827.07663508664</v>
      </c>
      <c r="W279" s="100">
        <v>4846</v>
      </c>
      <c r="X279" s="101">
        <v>32285</v>
      </c>
      <c r="Y279" s="102">
        <v>4010.2267189080881</v>
      </c>
      <c r="Z279" s="107">
        <v>782334930</v>
      </c>
      <c r="AA279" s="103">
        <v>1771534.1337791323</v>
      </c>
      <c r="AB279" s="104">
        <f t="shared" si="91"/>
        <v>5.003199509331124E-3</v>
      </c>
      <c r="AC279" s="105">
        <f t="shared" si="102"/>
        <v>0.27453426386517249</v>
      </c>
      <c r="AD279" s="102">
        <v>633.29167682309026</v>
      </c>
      <c r="AE279" s="103">
        <v>854728458</v>
      </c>
      <c r="AF279" s="103">
        <v>1973061.0479396961</v>
      </c>
      <c r="AG279" s="104">
        <f t="shared" si="92"/>
        <v>5.887814980080488E-3</v>
      </c>
      <c r="AH279" s="105">
        <f t="shared" si="103"/>
        <v>0.359827114594166</v>
      </c>
      <c r="AI279" s="106">
        <v>202.25875055920719</v>
      </c>
      <c r="AJ279" s="103">
        <v>352046352185</v>
      </c>
      <c r="AK279" s="103">
        <v>685859.04594310001</v>
      </c>
      <c r="AL279" s="104">
        <f t="shared" si="93"/>
        <v>7.0579974945737325E-3</v>
      </c>
      <c r="AM279" s="104">
        <f t="shared" si="104"/>
        <v>0.14993933492015271</v>
      </c>
      <c r="AN279" s="108">
        <f t="shared" si="105"/>
        <v>0.78430071337949125</v>
      </c>
      <c r="AO279" s="101">
        <f t="shared" si="106"/>
        <v>25321.148531456871</v>
      </c>
    </row>
    <row r="280" spans="1:41" ht="15.75" customHeight="1" x14ac:dyDescent="0.3">
      <c r="A280" s="99">
        <v>70707</v>
      </c>
      <c r="B280" s="62" t="s">
        <v>224</v>
      </c>
      <c r="C280" s="62" t="s">
        <v>226</v>
      </c>
      <c r="D280" s="100">
        <v>0</v>
      </c>
      <c r="E280" s="101">
        <v>5218.25</v>
      </c>
      <c r="F280" s="102">
        <v>0</v>
      </c>
      <c r="G280" s="103">
        <v>502722601</v>
      </c>
      <c r="H280" s="103">
        <f t="shared" si="94"/>
        <v>1136801.5904152901</v>
      </c>
      <c r="I280" s="104">
        <f t="shared" si="88"/>
        <v>0</v>
      </c>
      <c r="J280" s="105">
        <f t="shared" si="95"/>
        <v>0</v>
      </c>
      <c r="K280" s="106">
        <v>0</v>
      </c>
      <c r="L280" s="107">
        <v>696325692</v>
      </c>
      <c r="M280" s="103">
        <f t="shared" si="96"/>
        <v>1887374.5728782751</v>
      </c>
      <c r="N280" s="104">
        <f t="shared" si="89"/>
        <v>0</v>
      </c>
      <c r="O280" s="105">
        <f t="shared" si="97"/>
        <v>0</v>
      </c>
      <c r="P280" s="102">
        <v>0</v>
      </c>
      <c r="Q280" s="103">
        <v>275172858841</v>
      </c>
      <c r="R280" s="103">
        <f t="shared" si="98"/>
        <v>536093.59459423891</v>
      </c>
      <c r="S280" s="104">
        <f t="shared" si="90"/>
        <v>0</v>
      </c>
      <c r="T280" s="105">
        <f t="shared" si="99"/>
        <v>0</v>
      </c>
      <c r="U280" s="104">
        <f t="shared" si="100"/>
        <v>0</v>
      </c>
      <c r="V280" s="103">
        <f t="shared" si="101"/>
        <v>0</v>
      </c>
      <c r="W280" s="100">
        <v>69</v>
      </c>
      <c r="X280" s="101">
        <v>5612</v>
      </c>
      <c r="Y280" s="102">
        <v>67.820761214580358</v>
      </c>
      <c r="Z280" s="107">
        <v>782334930</v>
      </c>
      <c r="AA280" s="103">
        <v>1771534.1337791323</v>
      </c>
      <c r="AB280" s="104">
        <f t="shared" si="91"/>
        <v>8.4613869243692702E-5</v>
      </c>
      <c r="AC280" s="105">
        <f t="shared" si="102"/>
        <v>2.6709971054227712E-2</v>
      </c>
      <c r="AD280" s="102">
        <v>0.74302576366145445</v>
      </c>
      <c r="AE280" s="103">
        <v>854728458</v>
      </c>
      <c r="AF280" s="103">
        <v>1973061.0479396961</v>
      </c>
      <c r="AG280" s="104">
        <f t="shared" si="92"/>
        <v>6.908030504708108E-6</v>
      </c>
      <c r="AH280" s="105">
        <f t="shared" si="103"/>
        <v>2.428718087458797E-3</v>
      </c>
      <c r="AI280" s="106">
        <v>0.43061733953721781</v>
      </c>
      <c r="AJ280" s="103">
        <v>352046352185</v>
      </c>
      <c r="AK280" s="103">
        <v>685859.04594310001</v>
      </c>
      <c r="AL280" s="104">
        <f t="shared" si="93"/>
        <v>1.5026771871034558E-5</v>
      </c>
      <c r="AM280" s="104">
        <f t="shared" si="104"/>
        <v>1.8364660404619341E-3</v>
      </c>
      <c r="AN280" s="108">
        <f t="shared" si="105"/>
        <v>3.0975155182148443E-2</v>
      </c>
      <c r="AO280" s="101">
        <f t="shared" si="106"/>
        <v>173.83257088221706</v>
      </c>
    </row>
    <row r="281" spans="1:41" ht="15.75" customHeight="1" x14ac:dyDescent="0.3">
      <c r="A281" s="99">
        <v>70801</v>
      </c>
      <c r="B281" s="62" t="s">
        <v>224</v>
      </c>
      <c r="C281" s="62" t="s">
        <v>271</v>
      </c>
      <c r="D281" s="100">
        <v>2751</v>
      </c>
      <c r="E281" s="101">
        <v>17218.25</v>
      </c>
      <c r="F281" s="102">
        <v>2175.7088207821489</v>
      </c>
      <c r="G281" s="103">
        <v>502722601</v>
      </c>
      <c r="H281" s="103">
        <f t="shared" si="94"/>
        <v>1136801.5904152901</v>
      </c>
      <c r="I281" s="104">
        <f t="shared" si="88"/>
        <v>5.1732869273677555E-3</v>
      </c>
      <c r="J281" s="105">
        <f t="shared" si="95"/>
        <v>0.34155624449094962</v>
      </c>
      <c r="K281" s="106">
        <v>474.70819378120387</v>
      </c>
      <c r="L281" s="107">
        <v>696325692</v>
      </c>
      <c r="M281" s="103">
        <f t="shared" si="96"/>
        <v>1887374.5728782751</v>
      </c>
      <c r="N281" s="104">
        <f t="shared" si="89"/>
        <v>6.0079855482884506E-3</v>
      </c>
      <c r="O281" s="105">
        <f t="shared" si="97"/>
        <v>0.65856397473957939</v>
      </c>
      <c r="P281" s="102">
        <v>100.4405333579729</v>
      </c>
      <c r="Q281" s="103">
        <v>275172858841</v>
      </c>
      <c r="R281" s="103">
        <f t="shared" si="98"/>
        <v>536093.59459423891</v>
      </c>
      <c r="S281" s="104">
        <f t="shared" si="90"/>
        <v>4.9697038806557079E-3</v>
      </c>
      <c r="T281" s="105">
        <f t="shared" si="99"/>
        <v>0.15473270613736337</v>
      </c>
      <c r="U281" s="104">
        <f t="shared" si="100"/>
        <v>1.1548529253678923</v>
      </c>
      <c r="V281" s="103">
        <f t="shared" si="101"/>
        <v>19884.546382215714</v>
      </c>
      <c r="W281" s="100">
        <v>2769</v>
      </c>
      <c r="X281" s="101">
        <v>17249</v>
      </c>
      <c r="Y281" s="102">
        <v>2314.39082721656</v>
      </c>
      <c r="Z281" s="107">
        <v>782334930</v>
      </c>
      <c r="AA281" s="103">
        <v>1771534.1337791323</v>
      </c>
      <c r="AB281" s="104">
        <f t="shared" si="91"/>
        <v>2.8874574588349453E-3</v>
      </c>
      <c r="AC281" s="105">
        <f t="shared" si="102"/>
        <v>0.29655223190685021</v>
      </c>
      <c r="AD281" s="102">
        <v>383.7487460691334</v>
      </c>
      <c r="AE281" s="103">
        <v>854728458</v>
      </c>
      <c r="AF281" s="103">
        <v>1973061.0479396961</v>
      </c>
      <c r="AG281" s="104">
        <f t="shared" si="92"/>
        <v>3.5677740579624275E-3</v>
      </c>
      <c r="AH281" s="105">
        <f t="shared" si="103"/>
        <v>0.40810690600124117</v>
      </c>
      <c r="AI281" s="106">
        <v>70.687806763293636</v>
      </c>
      <c r="AJ281" s="103">
        <v>352046352185</v>
      </c>
      <c r="AK281" s="103">
        <v>685859.04594310001</v>
      </c>
      <c r="AL281" s="104">
        <f t="shared" si="93"/>
        <v>2.4667133642071594E-3</v>
      </c>
      <c r="AM281" s="104">
        <f t="shared" si="104"/>
        <v>9.808207285003287E-2</v>
      </c>
      <c r="AN281" s="108">
        <f t="shared" si="105"/>
        <v>0.80274121075812421</v>
      </c>
      <c r="AO281" s="101">
        <f t="shared" si="106"/>
        <v>13846.483144366885</v>
      </c>
    </row>
    <row r="282" spans="1:41" ht="15.75" customHeight="1" x14ac:dyDescent="0.3">
      <c r="A282" s="99">
        <v>70802</v>
      </c>
      <c r="B282" s="62" t="s">
        <v>224</v>
      </c>
      <c r="C282" s="62" t="s">
        <v>269</v>
      </c>
      <c r="D282" s="100">
        <v>1</v>
      </c>
      <c r="E282" s="101">
        <v>2191</v>
      </c>
      <c r="F282" s="102">
        <v>0.99972709235342305</v>
      </c>
      <c r="G282" s="103">
        <v>502722601</v>
      </c>
      <c r="H282" s="103">
        <f t="shared" si="94"/>
        <v>1136801.5904152901</v>
      </c>
      <c r="I282" s="104">
        <f t="shared" si="88"/>
        <v>2.3770989244544658E-6</v>
      </c>
      <c r="J282" s="105">
        <f t="shared" si="95"/>
        <v>1.2333591227267513E-3</v>
      </c>
      <c r="K282" s="106">
        <v>5.1631176379474402E-5</v>
      </c>
      <c r="L282" s="107">
        <v>696325692</v>
      </c>
      <c r="M282" s="103">
        <f t="shared" si="96"/>
        <v>1887374.5728782751</v>
      </c>
      <c r="N282" s="104">
        <f t="shared" si="89"/>
        <v>6.5345272230962824E-10</v>
      </c>
      <c r="O282" s="105">
        <f t="shared" si="97"/>
        <v>5.6289824402796927E-7</v>
      </c>
      <c r="P282" s="102">
        <v>1.32765882118648E-4</v>
      </c>
      <c r="Q282" s="103">
        <v>275172858841</v>
      </c>
      <c r="R282" s="103">
        <f t="shared" si="98"/>
        <v>536093.59459423891</v>
      </c>
      <c r="S282" s="104">
        <f t="shared" si="90"/>
        <v>6.5691319781442428E-9</v>
      </c>
      <c r="T282" s="105">
        <f t="shared" si="99"/>
        <v>1.6073343566989095E-6</v>
      </c>
      <c r="U282" s="104">
        <f t="shared" si="100"/>
        <v>1.2355293553274781E-3</v>
      </c>
      <c r="V282" s="103">
        <f t="shared" si="101"/>
        <v>2.7070448175225046</v>
      </c>
      <c r="W282" s="100">
        <v>17</v>
      </c>
      <c r="X282" s="101">
        <v>2359</v>
      </c>
      <c r="Y282" s="102">
        <v>12.596272897349429</v>
      </c>
      <c r="Z282" s="107">
        <v>782334930</v>
      </c>
      <c r="AA282" s="103">
        <v>1771534.1337791323</v>
      </c>
      <c r="AB282" s="104">
        <f t="shared" si="91"/>
        <v>1.5715237765055651E-5</v>
      </c>
      <c r="AC282" s="105">
        <f t="shared" si="102"/>
        <v>1.1801644816130127E-2</v>
      </c>
      <c r="AD282" s="102">
        <v>3.578189951992123</v>
      </c>
      <c r="AE282" s="103">
        <v>854728458</v>
      </c>
      <c r="AF282" s="103">
        <v>1973061.0479396961</v>
      </c>
      <c r="AG282" s="104">
        <f t="shared" si="92"/>
        <v>3.3267009771230522E-5</v>
      </c>
      <c r="AH282" s="105">
        <f t="shared" si="103"/>
        <v>2.7824434574414671E-2</v>
      </c>
      <c r="AI282" s="106">
        <v>0.82446526095141082</v>
      </c>
      <c r="AJ282" s="103">
        <v>352046352185</v>
      </c>
      <c r="AK282" s="103">
        <v>685859.04594310001</v>
      </c>
      <c r="AL282" s="104">
        <f t="shared" si="93"/>
        <v>2.8770442465749929E-5</v>
      </c>
      <c r="AM282" s="104">
        <f t="shared" si="104"/>
        <v>8.3647597375668074E-3</v>
      </c>
      <c r="AN282" s="108">
        <f t="shared" si="105"/>
        <v>4.7990839128111605E-2</v>
      </c>
      <c r="AO282" s="101">
        <f t="shared" si="106"/>
        <v>113.21038950321527</v>
      </c>
    </row>
    <row r="283" spans="1:41" ht="15.75" customHeight="1" x14ac:dyDescent="0.3">
      <c r="A283" s="99">
        <v>70803</v>
      </c>
      <c r="B283" s="62" t="s">
        <v>224</v>
      </c>
      <c r="C283" s="62" t="s">
        <v>246</v>
      </c>
      <c r="D283" s="100">
        <v>25</v>
      </c>
      <c r="E283" s="101">
        <v>2773.5</v>
      </c>
      <c r="F283" s="102">
        <v>17.026409566589582</v>
      </c>
      <c r="G283" s="103">
        <v>502722601</v>
      </c>
      <c r="H283" s="103">
        <f t="shared" si="94"/>
        <v>1136801.5904152901</v>
      </c>
      <c r="I283" s="104">
        <f t="shared" si="88"/>
        <v>4.0484508399971584E-5</v>
      </c>
      <c r="J283" s="105">
        <f t="shared" si="95"/>
        <v>1.6593781696869973E-2</v>
      </c>
      <c r="K283" s="106">
        <v>7.0999184214429771</v>
      </c>
      <c r="L283" s="107">
        <v>696325692</v>
      </c>
      <c r="M283" s="103">
        <f t="shared" si="96"/>
        <v>1887374.5728782751</v>
      </c>
      <c r="N283" s="104">
        <f t="shared" si="89"/>
        <v>8.985774382844734E-5</v>
      </c>
      <c r="O283" s="105">
        <f t="shared" si="97"/>
        <v>6.1148448126202001E-2</v>
      </c>
      <c r="P283" s="102">
        <v>0.87223600238670418</v>
      </c>
      <c r="Q283" s="103">
        <v>275172858841</v>
      </c>
      <c r="R283" s="103">
        <f t="shared" si="98"/>
        <v>536093.59459423891</v>
      </c>
      <c r="S283" s="104">
        <f t="shared" si="90"/>
        <v>4.3157423611637318E-5</v>
      </c>
      <c r="T283" s="105">
        <f t="shared" si="99"/>
        <v>8.3419572227831015E-3</v>
      </c>
      <c r="U283" s="104">
        <f t="shared" si="100"/>
        <v>8.6084187045855076E-2</v>
      </c>
      <c r="V283" s="103">
        <f t="shared" si="101"/>
        <v>238.75449277167903</v>
      </c>
      <c r="W283" s="100">
        <v>127</v>
      </c>
      <c r="X283" s="101">
        <v>2793</v>
      </c>
      <c r="Y283" s="102">
        <v>61.872720363346033</v>
      </c>
      <c r="Z283" s="107">
        <v>782334930</v>
      </c>
      <c r="AA283" s="103">
        <v>1771534.1337791323</v>
      </c>
      <c r="AB283" s="104">
        <f t="shared" si="91"/>
        <v>7.7193033177725857E-5</v>
      </c>
      <c r="AC283" s="105">
        <f t="shared" si="102"/>
        <v>4.8961723295483851E-2</v>
      </c>
      <c r="AD283" s="102">
        <v>61.749209067100502</v>
      </c>
      <c r="AE283" s="103">
        <v>854728458</v>
      </c>
      <c r="AF283" s="103">
        <v>1973061.0479396961</v>
      </c>
      <c r="AG283" s="104">
        <f t="shared" si="92"/>
        <v>5.7409236763893037E-4</v>
      </c>
      <c r="AH283" s="105">
        <f t="shared" si="103"/>
        <v>0.40555649427420315</v>
      </c>
      <c r="AI283" s="106">
        <v>3.370359723096926</v>
      </c>
      <c r="AJ283" s="103">
        <v>352046352185</v>
      </c>
      <c r="AK283" s="103">
        <v>685859.04594310001</v>
      </c>
      <c r="AL283" s="104">
        <f t="shared" si="93"/>
        <v>1.1761167522127487E-4</v>
      </c>
      <c r="AM283" s="104">
        <f t="shared" si="104"/>
        <v>2.888114262765246E-2</v>
      </c>
      <c r="AN283" s="108">
        <f t="shared" si="105"/>
        <v>0.48339936019733948</v>
      </c>
      <c r="AO283" s="101">
        <f t="shared" si="106"/>
        <v>1350.1344130311691</v>
      </c>
    </row>
    <row r="284" spans="1:41" ht="15.75" customHeight="1" x14ac:dyDescent="0.3">
      <c r="A284" s="99">
        <v>70804</v>
      </c>
      <c r="B284" s="62" t="s">
        <v>224</v>
      </c>
      <c r="C284" s="62" t="s">
        <v>827</v>
      </c>
      <c r="D284" s="112"/>
      <c r="E284" s="113">
        <v>2244</v>
      </c>
      <c r="F284" s="114"/>
      <c r="G284" s="103">
        <v>502722601</v>
      </c>
      <c r="H284" s="103">
        <f t="shared" si="94"/>
        <v>1136801.5904152901</v>
      </c>
      <c r="I284" s="104">
        <f t="shared" si="88"/>
        <v>0</v>
      </c>
      <c r="J284" s="105">
        <f t="shared" si="95"/>
        <v>0</v>
      </c>
      <c r="K284" s="115"/>
      <c r="L284" s="107">
        <v>696325692</v>
      </c>
      <c r="M284" s="103">
        <f t="shared" si="96"/>
        <v>1887374.5728782751</v>
      </c>
      <c r="N284" s="104">
        <f t="shared" si="89"/>
        <v>0</v>
      </c>
      <c r="O284" s="105">
        <f t="shared" si="97"/>
        <v>0</v>
      </c>
      <c r="P284" s="114"/>
      <c r="Q284" s="103">
        <v>275172858841</v>
      </c>
      <c r="R284" s="103">
        <f t="shared" si="98"/>
        <v>536093.59459423891</v>
      </c>
      <c r="S284" s="104">
        <f t="shared" si="90"/>
        <v>0</v>
      </c>
      <c r="T284" s="105">
        <f t="shared" si="99"/>
        <v>0</v>
      </c>
      <c r="U284" s="104">
        <f t="shared" si="100"/>
        <v>0</v>
      </c>
      <c r="V284" s="103">
        <f t="shared" si="101"/>
        <v>0</v>
      </c>
      <c r="W284" s="112"/>
      <c r="X284" s="101">
        <v>1806</v>
      </c>
      <c r="Y284" s="114"/>
      <c r="Z284" s="107">
        <v>782334930</v>
      </c>
      <c r="AA284" s="103">
        <v>1771534.1337791323</v>
      </c>
      <c r="AB284" s="104">
        <f t="shared" si="91"/>
        <v>0</v>
      </c>
      <c r="AC284" s="105">
        <f t="shared" si="102"/>
        <v>0</v>
      </c>
      <c r="AD284" s="114"/>
      <c r="AE284" s="103">
        <v>854728458</v>
      </c>
      <c r="AF284" s="103">
        <v>1973061.0479396961</v>
      </c>
      <c r="AG284" s="104">
        <f t="shared" si="92"/>
        <v>0</v>
      </c>
      <c r="AH284" s="105">
        <f t="shared" si="103"/>
        <v>0</v>
      </c>
      <c r="AI284" s="115"/>
      <c r="AJ284" s="103">
        <v>352046352185</v>
      </c>
      <c r="AK284" s="103">
        <v>685859.04594310001</v>
      </c>
      <c r="AL284" s="104">
        <f t="shared" si="93"/>
        <v>0</v>
      </c>
      <c r="AM284" s="104">
        <f t="shared" si="104"/>
        <v>0</v>
      </c>
      <c r="AN284" s="108">
        <f t="shared" si="105"/>
        <v>0</v>
      </c>
      <c r="AO284" s="101">
        <f t="shared" si="106"/>
        <v>0</v>
      </c>
    </row>
    <row r="285" spans="1:41" ht="15.75" customHeight="1" x14ac:dyDescent="0.3">
      <c r="A285" s="99">
        <v>70805</v>
      </c>
      <c r="B285" s="62" t="s">
        <v>224</v>
      </c>
      <c r="C285" s="62" t="s">
        <v>828</v>
      </c>
      <c r="D285" s="112"/>
      <c r="E285" s="113">
        <v>2060.75</v>
      </c>
      <c r="F285" s="114"/>
      <c r="G285" s="103">
        <v>502722601</v>
      </c>
      <c r="H285" s="103">
        <f t="shared" si="94"/>
        <v>1136801.5904152901</v>
      </c>
      <c r="I285" s="104">
        <f t="shared" si="88"/>
        <v>0</v>
      </c>
      <c r="J285" s="105">
        <f t="shared" si="95"/>
        <v>0</v>
      </c>
      <c r="K285" s="115"/>
      <c r="L285" s="107">
        <v>696325692</v>
      </c>
      <c r="M285" s="103">
        <f t="shared" si="96"/>
        <v>1887374.5728782751</v>
      </c>
      <c r="N285" s="104">
        <f t="shared" si="89"/>
        <v>0</v>
      </c>
      <c r="O285" s="105">
        <f t="shared" si="97"/>
        <v>0</v>
      </c>
      <c r="P285" s="114"/>
      <c r="Q285" s="103">
        <v>275172858841</v>
      </c>
      <c r="R285" s="103">
        <f t="shared" si="98"/>
        <v>536093.59459423891</v>
      </c>
      <c r="S285" s="104">
        <f t="shared" si="90"/>
        <v>0</v>
      </c>
      <c r="T285" s="105">
        <f t="shared" si="99"/>
        <v>0</v>
      </c>
      <c r="U285" s="104">
        <f t="shared" si="100"/>
        <v>0</v>
      </c>
      <c r="V285" s="103">
        <f t="shared" si="101"/>
        <v>0</v>
      </c>
      <c r="W285" s="112"/>
      <c r="X285" s="101">
        <v>2015</v>
      </c>
      <c r="Y285" s="114"/>
      <c r="Z285" s="107">
        <v>782334930</v>
      </c>
      <c r="AA285" s="103">
        <v>1771534.1337791323</v>
      </c>
      <c r="AB285" s="104">
        <f t="shared" si="91"/>
        <v>0</v>
      </c>
      <c r="AC285" s="105">
        <f t="shared" si="102"/>
        <v>0</v>
      </c>
      <c r="AD285" s="114"/>
      <c r="AE285" s="103">
        <v>854728458</v>
      </c>
      <c r="AF285" s="103">
        <v>1973061.0479396961</v>
      </c>
      <c r="AG285" s="104">
        <f t="shared" si="92"/>
        <v>0</v>
      </c>
      <c r="AH285" s="105">
        <f t="shared" si="103"/>
        <v>0</v>
      </c>
      <c r="AI285" s="115"/>
      <c r="AJ285" s="103">
        <v>352046352185</v>
      </c>
      <c r="AK285" s="103">
        <v>685859.04594310001</v>
      </c>
      <c r="AL285" s="104">
        <f t="shared" si="93"/>
        <v>0</v>
      </c>
      <c r="AM285" s="104">
        <f t="shared" si="104"/>
        <v>0</v>
      </c>
      <c r="AN285" s="108">
        <f t="shared" si="105"/>
        <v>0</v>
      </c>
      <c r="AO285" s="101">
        <f t="shared" si="106"/>
        <v>0</v>
      </c>
    </row>
    <row r="286" spans="1:41" ht="15.75" customHeight="1" x14ac:dyDescent="0.3">
      <c r="A286" s="99">
        <v>70901</v>
      </c>
      <c r="B286" s="62" t="s">
        <v>224</v>
      </c>
      <c r="C286" s="62" t="s">
        <v>256</v>
      </c>
      <c r="D286" s="100">
        <v>49</v>
      </c>
      <c r="E286" s="101">
        <v>10814.75</v>
      </c>
      <c r="F286" s="102">
        <v>28.671797145800479</v>
      </c>
      <c r="G286" s="103">
        <v>502722601</v>
      </c>
      <c r="H286" s="103">
        <f t="shared" si="94"/>
        <v>1136801.5904152901</v>
      </c>
      <c r="I286" s="104">
        <f t="shared" si="88"/>
        <v>6.8174303446169452E-5</v>
      </c>
      <c r="J286" s="105">
        <f t="shared" si="95"/>
        <v>7.1661995499720313E-3</v>
      </c>
      <c r="K286" s="106">
        <v>18.234828447398421</v>
      </c>
      <c r="L286" s="107">
        <v>696325692</v>
      </c>
      <c r="M286" s="103">
        <f t="shared" si="96"/>
        <v>1887374.5728782751</v>
      </c>
      <c r="N286" s="104">
        <f t="shared" si="89"/>
        <v>2.307830099052035E-4</v>
      </c>
      <c r="O286" s="105">
        <f t="shared" si="97"/>
        <v>4.0275918051494136E-2</v>
      </c>
      <c r="P286" s="102">
        <v>2.0912249422827389</v>
      </c>
      <c r="Q286" s="103">
        <v>275172858841</v>
      </c>
      <c r="R286" s="103">
        <f t="shared" si="98"/>
        <v>536093.59459423891</v>
      </c>
      <c r="S286" s="104">
        <f t="shared" si="90"/>
        <v>1.0347185905461509E-4</v>
      </c>
      <c r="T286" s="105">
        <f t="shared" si="99"/>
        <v>5.1291616412711388E-3</v>
      </c>
      <c r="U286" s="104">
        <f t="shared" si="100"/>
        <v>5.2571279242737308E-2</v>
      </c>
      <c r="V286" s="103">
        <f t="shared" si="101"/>
        <v>568.5452421903932</v>
      </c>
      <c r="W286" s="100">
        <v>54</v>
      </c>
      <c r="X286" s="101">
        <v>11843</v>
      </c>
      <c r="Y286" s="102">
        <v>37.860174695362637</v>
      </c>
      <c r="Z286" s="107">
        <v>782334930</v>
      </c>
      <c r="AA286" s="103">
        <v>1771534.1337791323</v>
      </c>
      <c r="AB286" s="104">
        <f t="shared" si="91"/>
        <v>4.7234737768293854E-5</v>
      </c>
      <c r="AC286" s="105">
        <f t="shared" si="102"/>
        <v>7.0656041760228747E-3</v>
      </c>
      <c r="AD286" s="102">
        <v>14.22902068323215</v>
      </c>
      <c r="AE286" s="103">
        <v>854728458</v>
      </c>
      <c r="AF286" s="103">
        <v>1973061.0479396961</v>
      </c>
      <c r="AG286" s="104">
        <f t="shared" si="92"/>
        <v>1.3228950292048865E-4</v>
      </c>
      <c r="AH286" s="105">
        <f t="shared" si="103"/>
        <v>2.2039623850689929E-2</v>
      </c>
      <c r="AI286" s="106">
        <v>1.9080975755214991</v>
      </c>
      <c r="AJ286" s="103">
        <v>352046352185</v>
      </c>
      <c r="AK286" s="103">
        <v>685859.04594310001</v>
      </c>
      <c r="AL286" s="104">
        <f t="shared" si="93"/>
        <v>6.658474785490509E-5</v>
      </c>
      <c r="AM286" s="104">
        <f t="shared" si="104"/>
        <v>3.8560965665901444E-3</v>
      </c>
      <c r="AN286" s="108">
        <f t="shared" si="105"/>
        <v>3.2961324593302949E-2</v>
      </c>
      <c r="AO286" s="101">
        <f t="shared" si="106"/>
        <v>390.3609671584868</v>
      </c>
    </row>
    <row r="287" spans="1:41" ht="15.75" customHeight="1" x14ac:dyDescent="0.3">
      <c r="A287" s="99">
        <v>70902</v>
      </c>
      <c r="B287" s="62" t="s">
        <v>224</v>
      </c>
      <c r="C287" s="62" t="s">
        <v>829</v>
      </c>
      <c r="D287" s="112">
        <v>6</v>
      </c>
      <c r="E287" s="113">
        <v>9321.5</v>
      </c>
      <c r="F287" s="114">
        <v>3.4676670588548473</v>
      </c>
      <c r="G287" s="103">
        <v>502722601</v>
      </c>
      <c r="H287" s="103">
        <f t="shared" si="94"/>
        <v>1136801.5904152901</v>
      </c>
      <c r="I287" s="104">
        <f t="shared" si="88"/>
        <v>8.2452378244201676E-6</v>
      </c>
      <c r="J287" s="105">
        <f t="shared" si="95"/>
        <v>1.0055462610259244E-3</v>
      </c>
      <c r="K287" s="115">
        <v>2.2957545902663417</v>
      </c>
      <c r="L287" s="107">
        <v>696325692</v>
      </c>
      <c r="M287" s="103">
        <f t="shared" si="96"/>
        <v>1887374.5728782751</v>
      </c>
      <c r="N287" s="104">
        <f t="shared" si="89"/>
        <v>2.9055450446036064E-5</v>
      </c>
      <c r="O287" s="105">
        <f t="shared" si="97"/>
        <v>5.8830143619989488E-3</v>
      </c>
      <c r="P287" s="114">
        <v>0.23633567278864723</v>
      </c>
      <c r="Q287" s="103">
        <v>275172858841</v>
      </c>
      <c r="R287" s="103">
        <f t="shared" si="98"/>
        <v>536093.59459423891</v>
      </c>
      <c r="S287" s="104">
        <f t="shared" si="90"/>
        <v>1.1693668591036862E-5</v>
      </c>
      <c r="T287" s="105">
        <f t="shared" si="99"/>
        <v>6.7252060601434322E-4</v>
      </c>
      <c r="U287" s="104">
        <f t="shared" si="100"/>
        <v>7.5610812290392163E-3</v>
      </c>
      <c r="V287" s="103">
        <f t="shared" si="101"/>
        <v>70.480618676489058</v>
      </c>
      <c r="W287" s="112">
        <v>141</v>
      </c>
      <c r="X287" s="101">
        <v>9692</v>
      </c>
      <c r="Y287" s="114">
        <v>106.3845381373437</v>
      </c>
      <c r="Z287" s="107">
        <v>782334930</v>
      </c>
      <c r="AA287" s="103">
        <v>1771534.1337791323</v>
      </c>
      <c r="AB287" s="104">
        <f t="shared" si="91"/>
        <v>1.3272642828386069E-4</v>
      </c>
      <c r="AC287" s="105">
        <f t="shared" si="102"/>
        <v>2.4260152513356094E-2</v>
      </c>
      <c r="AD287" s="114">
        <v>31.76084243690276</v>
      </c>
      <c r="AE287" s="103">
        <v>854728458</v>
      </c>
      <c r="AF287" s="103">
        <v>1973061.0479396961</v>
      </c>
      <c r="AG287" s="104">
        <f t="shared" si="92"/>
        <v>2.9528568071203476E-4</v>
      </c>
      <c r="AH287" s="105">
        <f t="shared" si="103"/>
        <v>6.0113152561625444E-2</v>
      </c>
      <c r="AI287" s="115">
        <v>2.8454131274616863</v>
      </c>
      <c r="AJ287" s="103">
        <v>352046352185</v>
      </c>
      <c r="AK287" s="103">
        <v>685859.04594310001</v>
      </c>
      <c r="AL287" s="104">
        <f t="shared" si="93"/>
        <v>9.929320075955339E-5</v>
      </c>
      <c r="AM287" s="104">
        <f t="shared" si="104"/>
        <v>7.0265311536921154E-3</v>
      </c>
      <c r="AN287" s="108">
        <f t="shared" si="105"/>
        <v>9.1399836228673648E-2</v>
      </c>
      <c r="AO287" s="101">
        <f t="shared" si="106"/>
        <v>885.84721272830507</v>
      </c>
    </row>
    <row r="288" spans="1:41" ht="15.75" customHeight="1" x14ac:dyDescent="0.3">
      <c r="A288" s="99">
        <v>70903</v>
      </c>
      <c r="B288" s="62" t="s">
        <v>224</v>
      </c>
      <c r="C288" s="62" t="s">
        <v>243</v>
      </c>
      <c r="D288" s="100">
        <v>85</v>
      </c>
      <c r="E288" s="101">
        <v>10816.5</v>
      </c>
      <c r="F288" s="102">
        <v>57.378473211681289</v>
      </c>
      <c r="G288" s="103">
        <v>502722601</v>
      </c>
      <c r="H288" s="103">
        <f t="shared" si="94"/>
        <v>1136801.5904152901</v>
      </c>
      <c r="I288" s="104">
        <f t="shared" si="88"/>
        <v>1.3643154016887332E-4</v>
      </c>
      <c r="J288" s="105">
        <f t="shared" si="95"/>
        <v>1.4338796454193383E-2</v>
      </c>
      <c r="K288" s="106">
        <v>24.490875831114369</v>
      </c>
      <c r="L288" s="107">
        <v>696325692</v>
      </c>
      <c r="M288" s="103">
        <f t="shared" si="96"/>
        <v>1887374.5728782751</v>
      </c>
      <c r="N288" s="104">
        <f t="shared" si="89"/>
        <v>3.0996058207093054E-4</v>
      </c>
      <c r="O288" s="105">
        <f t="shared" si="97"/>
        <v>5.4085121915150372E-2</v>
      </c>
      <c r="P288" s="102">
        <v>3.1258759638727032</v>
      </c>
      <c r="Q288" s="103">
        <v>275172858841</v>
      </c>
      <c r="R288" s="103">
        <f t="shared" si="98"/>
        <v>536093.59459423891</v>
      </c>
      <c r="S288" s="104">
        <f t="shared" si="90"/>
        <v>1.5466542628502923E-4</v>
      </c>
      <c r="T288" s="105">
        <f t="shared" si="99"/>
        <v>7.6656168202830499E-3</v>
      </c>
      <c r="U288" s="104">
        <f t="shared" si="100"/>
        <v>7.60895351896268E-2</v>
      </c>
      <c r="V288" s="103">
        <f t="shared" si="101"/>
        <v>823.02245737859846</v>
      </c>
      <c r="W288" s="100">
        <v>692</v>
      </c>
      <c r="X288" s="101">
        <v>12735</v>
      </c>
      <c r="Y288" s="102">
        <v>596.81187073635408</v>
      </c>
      <c r="Z288" s="107">
        <v>782334930</v>
      </c>
      <c r="AA288" s="103">
        <v>1771534.1337791323</v>
      </c>
      <c r="AB288" s="104">
        <f t="shared" si="91"/>
        <v>7.4458854028186777E-4</v>
      </c>
      <c r="AC288" s="105">
        <f t="shared" si="102"/>
        <v>0.10357785745819452</v>
      </c>
      <c r="AD288" s="102">
        <v>85.474238796383361</v>
      </c>
      <c r="AE288" s="103">
        <v>854728458</v>
      </c>
      <c r="AF288" s="103">
        <v>1973061.0479396961</v>
      </c>
      <c r="AG288" s="104">
        <f t="shared" si="92"/>
        <v>7.9466780002685443E-4</v>
      </c>
      <c r="AH288" s="105">
        <f t="shared" si="103"/>
        <v>0.12311959813780277</v>
      </c>
      <c r="AI288" s="106">
        <v>9.661138999979519</v>
      </c>
      <c r="AJ288" s="103">
        <v>352046352185</v>
      </c>
      <c r="AK288" s="103">
        <v>685859.04594310001</v>
      </c>
      <c r="AL288" s="104">
        <f t="shared" si="93"/>
        <v>3.3713396660493692E-4</v>
      </c>
      <c r="AM288" s="104">
        <f t="shared" si="104"/>
        <v>1.8156763305117785E-2</v>
      </c>
      <c r="AN288" s="108">
        <f t="shared" si="105"/>
        <v>0.24485421890111508</v>
      </c>
      <c r="AO288" s="101">
        <f t="shared" si="106"/>
        <v>3118.2184777057</v>
      </c>
    </row>
    <row r="289" spans="1:41" ht="15.75" customHeight="1" x14ac:dyDescent="0.3">
      <c r="A289" s="99">
        <v>70904</v>
      </c>
      <c r="B289" s="62" t="s">
        <v>224</v>
      </c>
      <c r="C289" s="62" t="s">
        <v>830</v>
      </c>
      <c r="D289" s="112"/>
      <c r="E289" s="113">
        <v>3017.75</v>
      </c>
      <c r="F289" s="114"/>
      <c r="G289" s="103">
        <v>502722601</v>
      </c>
      <c r="H289" s="103">
        <f t="shared" si="94"/>
        <v>1136801.5904152901</v>
      </c>
      <c r="I289" s="104">
        <f t="shared" si="88"/>
        <v>0</v>
      </c>
      <c r="J289" s="105">
        <f t="shared" si="95"/>
        <v>0</v>
      </c>
      <c r="K289" s="115"/>
      <c r="L289" s="107">
        <v>696325692</v>
      </c>
      <c r="M289" s="103">
        <f t="shared" si="96"/>
        <v>1887374.5728782751</v>
      </c>
      <c r="N289" s="104">
        <f t="shared" si="89"/>
        <v>0</v>
      </c>
      <c r="O289" s="105">
        <f t="shared" si="97"/>
        <v>0</v>
      </c>
      <c r="P289" s="114"/>
      <c r="Q289" s="103">
        <v>275172858841</v>
      </c>
      <c r="R289" s="103">
        <f t="shared" si="98"/>
        <v>536093.59459423891</v>
      </c>
      <c r="S289" s="104">
        <f t="shared" si="90"/>
        <v>0</v>
      </c>
      <c r="T289" s="105">
        <f t="shared" si="99"/>
        <v>0</v>
      </c>
      <c r="U289" s="104">
        <f t="shared" si="100"/>
        <v>0</v>
      </c>
      <c r="V289" s="103">
        <f t="shared" si="101"/>
        <v>0</v>
      </c>
      <c r="W289" s="112"/>
      <c r="X289" s="101">
        <v>3086</v>
      </c>
      <c r="Y289" s="114"/>
      <c r="Z289" s="107">
        <v>782334930</v>
      </c>
      <c r="AA289" s="103">
        <v>1771534.1337791323</v>
      </c>
      <c r="AB289" s="104">
        <f t="shared" si="91"/>
        <v>0</v>
      </c>
      <c r="AC289" s="105">
        <f t="shared" si="102"/>
        <v>0</v>
      </c>
      <c r="AD289" s="114"/>
      <c r="AE289" s="103">
        <v>854728458</v>
      </c>
      <c r="AF289" s="103">
        <v>1973061.0479396961</v>
      </c>
      <c r="AG289" s="104">
        <f t="shared" si="92"/>
        <v>0</v>
      </c>
      <c r="AH289" s="105">
        <f t="shared" si="103"/>
        <v>0</v>
      </c>
      <c r="AI289" s="115"/>
      <c r="AJ289" s="103">
        <v>352046352185</v>
      </c>
      <c r="AK289" s="103">
        <v>685859.04594310001</v>
      </c>
      <c r="AL289" s="104">
        <f t="shared" si="93"/>
        <v>0</v>
      </c>
      <c r="AM289" s="104">
        <f t="shared" si="104"/>
        <v>0</v>
      </c>
      <c r="AN289" s="108">
        <f t="shared" si="105"/>
        <v>0</v>
      </c>
      <c r="AO289" s="101">
        <f t="shared" si="106"/>
        <v>0</v>
      </c>
    </row>
    <row r="290" spans="1:41" ht="15.75" customHeight="1" x14ac:dyDescent="0.3">
      <c r="A290" s="99">
        <v>71001</v>
      </c>
      <c r="B290" s="62" t="s">
        <v>224</v>
      </c>
      <c r="C290" s="62" t="s">
        <v>245</v>
      </c>
      <c r="D290" s="100">
        <v>80442</v>
      </c>
      <c r="E290" s="101">
        <v>113860</v>
      </c>
      <c r="F290" s="102">
        <v>72642.323518536214</v>
      </c>
      <c r="G290" s="103">
        <v>502722601</v>
      </c>
      <c r="H290" s="103">
        <f t="shared" si="94"/>
        <v>1136801.5904152901</v>
      </c>
      <c r="I290" s="104">
        <f t="shared" si="88"/>
        <v>0.17272512711373109</v>
      </c>
      <c r="J290" s="105">
        <f t="shared" si="95"/>
        <v>1.724523091582405</v>
      </c>
      <c r="K290" s="106">
        <v>6483.5600098389041</v>
      </c>
      <c r="L290" s="107">
        <v>696325692</v>
      </c>
      <c r="M290" s="103">
        <f t="shared" si="96"/>
        <v>1887374.5728782751</v>
      </c>
      <c r="N290" s="104">
        <f t="shared" si="89"/>
        <v>8.2057009655339588E-2</v>
      </c>
      <c r="O290" s="105">
        <f t="shared" si="97"/>
        <v>1.3601994866495262</v>
      </c>
      <c r="P290" s="102">
        <v>1310.442313205413</v>
      </c>
      <c r="Q290" s="103">
        <v>275172858841</v>
      </c>
      <c r="R290" s="103">
        <f t="shared" si="98"/>
        <v>536093.59459423891</v>
      </c>
      <c r="S290" s="104">
        <f t="shared" si="90"/>
        <v>6.4839463029349051E-2</v>
      </c>
      <c r="T290" s="105">
        <f t="shared" si="99"/>
        <v>0.30528737754227991</v>
      </c>
      <c r="U290" s="104">
        <f t="shared" si="100"/>
        <v>3.3900099557742109</v>
      </c>
      <c r="V290" s="103">
        <f t="shared" si="101"/>
        <v>385986.53356445173</v>
      </c>
      <c r="W290" s="100">
        <v>131837</v>
      </c>
      <c r="X290" s="101">
        <v>126886</v>
      </c>
      <c r="Y290" s="102">
        <v>124150.7652365281</v>
      </c>
      <c r="Z290" s="107">
        <v>782334930</v>
      </c>
      <c r="AA290" s="103">
        <v>1771534.1337791323</v>
      </c>
      <c r="AB290" s="104">
        <f t="shared" si="91"/>
        <v>0.15489175332301638</v>
      </c>
      <c r="AC290" s="105">
        <f t="shared" si="102"/>
        <v>2.1625398235630477</v>
      </c>
      <c r="AD290" s="102">
        <v>6209.390311198671</v>
      </c>
      <c r="AE290" s="103">
        <v>854728458</v>
      </c>
      <c r="AF290" s="103">
        <v>1973061.0479396961</v>
      </c>
      <c r="AG290" s="104">
        <f t="shared" si="92"/>
        <v>5.7729704383364458E-2</v>
      </c>
      <c r="AH290" s="105">
        <f t="shared" si="103"/>
        <v>0.89768950891264565</v>
      </c>
      <c r="AI290" s="106">
        <v>1466.6457436642741</v>
      </c>
      <c r="AJ290" s="103">
        <v>352046352185</v>
      </c>
      <c r="AK290" s="103">
        <v>685859.04594310001</v>
      </c>
      <c r="AL290" s="104">
        <f t="shared" si="93"/>
        <v>5.1179896818256368E-2</v>
      </c>
      <c r="AM290" s="104">
        <f t="shared" si="104"/>
        <v>0.27664356353920538</v>
      </c>
      <c r="AN290" s="108">
        <f t="shared" si="105"/>
        <v>3.3368728960148988</v>
      </c>
      <c r="AO290" s="101">
        <f t="shared" si="106"/>
        <v>423402.45428374643</v>
      </c>
    </row>
    <row r="291" spans="1:41" ht="15.75" customHeight="1" x14ac:dyDescent="0.3">
      <c r="A291" s="99">
        <v>71002</v>
      </c>
      <c r="B291" s="62" t="s">
        <v>224</v>
      </c>
      <c r="C291" s="62" t="s">
        <v>831</v>
      </c>
      <c r="D291" s="121">
        <v>1402</v>
      </c>
      <c r="E291" s="113">
        <v>14806.25</v>
      </c>
      <c r="F291" s="114">
        <v>1048.3669157336515</v>
      </c>
      <c r="G291" s="103">
        <v>502722601</v>
      </c>
      <c r="H291" s="103">
        <f t="shared" si="94"/>
        <v>1136801.5904152901</v>
      </c>
      <c r="I291" s="104">
        <f t="shared" si="88"/>
        <v>2.4927521589493068E-3</v>
      </c>
      <c r="J291" s="105">
        <f t="shared" si="95"/>
        <v>0.19138975897372529</v>
      </c>
      <c r="K291" s="115">
        <v>328.50284759257266</v>
      </c>
      <c r="L291" s="107">
        <v>696325692</v>
      </c>
      <c r="M291" s="103">
        <f t="shared" si="96"/>
        <v>1887374.5728782751</v>
      </c>
      <c r="N291" s="104">
        <f t="shared" si="89"/>
        <v>4.1575864641962426E-3</v>
      </c>
      <c r="O291" s="105">
        <f t="shared" si="97"/>
        <v>0.52997369199269784</v>
      </c>
      <c r="P291" s="114">
        <v>25.03293377778725</v>
      </c>
      <c r="Q291" s="103">
        <v>275172858841</v>
      </c>
      <c r="R291" s="103">
        <f t="shared" si="98"/>
        <v>536093.59459423891</v>
      </c>
      <c r="S291" s="104">
        <f t="shared" si="90"/>
        <v>1.238606207877045E-3</v>
      </c>
      <c r="T291" s="105">
        <f t="shared" si="99"/>
        <v>4.4846524560070523E-2</v>
      </c>
      <c r="U291" s="104">
        <f t="shared" si="100"/>
        <v>0.76620997552649361</v>
      </c>
      <c r="V291" s="103">
        <f t="shared" si="101"/>
        <v>11344.696450139145</v>
      </c>
      <c r="W291" s="121">
        <v>19621</v>
      </c>
      <c r="X291" s="101">
        <v>16598</v>
      </c>
      <c r="Y291" s="114">
        <v>18865.984021210505</v>
      </c>
      <c r="Z291" s="107">
        <v>782334930</v>
      </c>
      <c r="AA291" s="103">
        <v>1771534.1337791323</v>
      </c>
      <c r="AB291" s="104">
        <f t="shared" si="91"/>
        <v>2.3537392924176115E-2</v>
      </c>
      <c r="AC291" s="105">
        <f t="shared" si="102"/>
        <v>2.5121879133238592</v>
      </c>
      <c r="AD291" s="114">
        <v>672.35268853352193</v>
      </c>
      <c r="AE291" s="103">
        <v>854728458</v>
      </c>
      <c r="AF291" s="103">
        <v>1973061.0479396961</v>
      </c>
      <c r="AG291" s="104">
        <f t="shared" si="92"/>
        <v>6.2509715133220022E-3</v>
      </c>
      <c r="AH291" s="105">
        <f t="shared" si="103"/>
        <v>0.74307437069022153</v>
      </c>
      <c r="AI291" s="115">
        <v>81.020864238961309</v>
      </c>
      <c r="AJ291" s="103">
        <v>352046352185</v>
      </c>
      <c r="AK291" s="103">
        <v>685859.04594310001</v>
      </c>
      <c r="AL291" s="104">
        <f t="shared" si="93"/>
        <v>2.8272945186586197E-3</v>
      </c>
      <c r="AM291" s="104">
        <f t="shared" si="104"/>
        <v>0.1168288661987804</v>
      </c>
      <c r="AN291" s="108">
        <f t="shared" si="105"/>
        <v>3.372091150212861</v>
      </c>
      <c r="AO291" s="101">
        <f t="shared" si="106"/>
        <v>55969.968911233067</v>
      </c>
    </row>
    <row r="292" spans="1:41" ht="15.75" customHeight="1" x14ac:dyDescent="0.3">
      <c r="A292" s="99">
        <v>71003</v>
      </c>
      <c r="B292" s="62" t="s">
        <v>224</v>
      </c>
      <c r="C292" s="62" t="s">
        <v>244</v>
      </c>
      <c r="D292" s="100">
        <v>2581</v>
      </c>
      <c r="E292" s="101">
        <v>23215.75</v>
      </c>
      <c r="F292" s="102">
        <v>2146.3012953165112</v>
      </c>
      <c r="G292" s="103">
        <v>502722601</v>
      </c>
      <c r="H292" s="103">
        <f t="shared" si="94"/>
        <v>1136801.5904152901</v>
      </c>
      <c r="I292" s="104">
        <f t="shared" si="88"/>
        <v>5.1033632475056094E-3</v>
      </c>
      <c r="J292" s="105">
        <f t="shared" si="95"/>
        <v>0.24989550009072792</v>
      </c>
      <c r="K292" s="106">
        <v>387.63224660241059</v>
      </c>
      <c r="L292" s="107">
        <v>696325692</v>
      </c>
      <c r="M292" s="103">
        <f t="shared" si="96"/>
        <v>1887374.5728782751</v>
      </c>
      <c r="N292" s="104">
        <f t="shared" si="89"/>
        <v>4.9059379343918972E-3</v>
      </c>
      <c r="O292" s="105">
        <f t="shared" si="97"/>
        <v>0.39883882767044931</v>
      </c>
      <c r="P292" s="102">
        <v>46.889697828556592</v>
      </c>
      <c r="Q292" s="103">
        <v>275172858841</v>
      </c>
      <c r="R292" s="103">
        <f t="shared" si="98"/>
        <v>536093.59459423891</v>
      </c>
      <c r="S292" s="104">
        <f t="shared" si="90"/>
        <v>2.320058500992156E-3</v>
      </c>
      <c r="T292" s="105">
        <f t="shared" si="99"/>
        <v>5.3574340758571509E-2</v>
      </c>
      <c r="U292" s="104">
        <f t="shared" si="100"/>
        <v>0.70230866851974871</v>
      </c>
      <c r="V292" s="103">
        <f t="shared" si="101"/>
        <v>16304.622471187356</v>
      </c>
      <c r="W292" s="100">
        <v>6020</v>
      </c>
      <c r="X292" s="101">
        <v>23110</v>
      </c>
      <c r="Y292" s="102">
        <v>5382.1825680192642</v>
      </c>
      <c r="Z292" s="107">
        <v>782334930</v>
      </c>
      <c r="AA292" s="103">
        <v>1771534.1337791323</v>
      </c>
      <c r="AB292" s="104">
        <f t="shared" si="91"/>
        <v>6.7148655352774053E-3</v>
      </c>
      <c r="AC292" s="105">
        <f t="shared" si="102"/>
        <v>0.51473879270796219</v>
      </c>
      <c r="AD292" s="102">
        <v>562.58970731432316</v>
      </c>
      <c r="AE292" s="103">
        <v>854728458</v>
      </c>
      <c r="AF292" s="103">
        <v>1973061.0479396961</v>
      </c>
      <c r="AG292" s="104">
        <f t="shared" si="92"/>
        <v>5.2304873529700497E-3</v>
      </c>
      <c r="AH292" s="105">
        <f t="shared" si="103"/>
        <v>0.44656299687955059</v>
      </c>
      <c r="AI292" s="106">
        <v>74.780753439973537</v>
      </c>
      <c r="AJ292" s="103">
        <v>352046352185</v>
      </c>
      <c r="AK292" s="103">
        <v>685859.04594310001</v>
      </c>
      <c r="AL292" s="104">
        <f t="shared" si="93"/>
        <v>2.6095403485010935E-3</v>
      </c>
      <c r="AM292" s="104">
        <f t="shared" si="104"/>
        <v>7.7445991076286649E-2</v>
      </c>
      <c r="AN292" s="108">
        <f t="shared" si="105"/>
        <v>1.0387477806637995</v>
      </c>
      <c r="AO292" s="101">
        <f t="shared" si="106"/>
        <v>24005.461211140406</v>
      </c>
    </row>
    <row r="293" spans="1:41" ht="15.75" customHeight="1" x14ac:dyDescent="0.3">
      <c r="A293" s="99">
        <v>71004</v>
      </c>
      <c r="B293" s="62" t="s">
        <v>224</v>
      </c>
      <c r="C293" s="62" t="s">
        <v>238</v>
      </c>
      <c r="D293" s="100">
        <v>940</v>
      </c>
      <c r="E293" s="101">
        <v>14990.25</v>
      </c>
      <c r="F293" s="102">
        <v>784.08714777083651</v>
      </c>
      <c r="G293" s="103">
        <v>502722601</v>
      </c>
      <c r="H293" s="103">
        <f t="shared" si="94"/>
        <v>1136801.5904152901</v>
      </c>
      <c r="I293" s="104">
        <f t="shared" si="88"/>
        <v>1.8643615141578226E-3</v>
      </c>
      <c r="J293" s="105">
        <f t="shared" si="95"/>
        <v>0.14138584309158761</v>
      </c>
      <c r="K293" s="106">
        <v>138.5746110345867</v>
      </c>
      <c r="L293" s="107">
        <v>696325692</v>
      </c>
      <c r="M293" s="103">
        <f t="shared" si="96"/>
        <v>1887374.5728782751</v>
      </c>
      <c r="N293" s="104">
        <f t="shared" si="89"/>
        <v>1.7538232357523196E-3</v>
      </c>
      <c r="O293" s="105">
        <f t="shared" si="97"/>
        <v>0.2208182905876839</v>
      </c>
      <c r="P293" s="102">
        <v>17.272930094555321</v>
      </c>
      <c r="Q293" s="103">
        <v>275172858841</v>
      </c>
      <c r="R293" s="103">
        <f t="shared" si="98"/>
        <v>536093.59459423891</v>
      </c>
      <c r="S293" s="104">
        <f t="shared" si="90"/>
        <v>8.5464846562757052E-4</v>
      </c>
      <c r="T293" s="105">
        <f t="shared" si="99"/>
        <v>3.0564638218357604E-2</v>
      </c>
      <c r="U293" s="104">
        <f t="shared" si="100"/>
        <v>0.3927687718976291</v>
      </c>
      <c r="V293" s="103">
        <f t="shared" si="101"/>
        <v>5887.7020829384346</v>
      </c>
      <c r="W293" s="100">
        <v>5095</v>
      </c>
      <c r="X293" s="101">
        <v>14610</v>
      </c>
      <c r="Y293" s="102">
        <v>3820.526128247197</v>
      </c>
      <c r="Z293" s="107">
        <v>782334930</v>
      </c>
      <c r="AA293" s="103">
        <v>1771534.1337791323</v>
      </c>
      <c r="AB293" s="104">
        <f t="shared" si="91"/>
        <v>4.7665271292785518E-3</v>
      </c>
      <c r="AC293" s="105">
        <f t="shared" si="102"/>
        <v>0.57796478501719462</v>
      </c>
      <c r="AD293" s="102">
        <v>1087.963615918427</v>
      </c>
      <c r="AE293" s="103">
        <v>854728458</v>
      </c>
      <c r="AF293" s="103">
        <v>1973061.0479396961</v>
      </c>
      <c r="AG293" s="104">
        <f t="shared" si="92"/>
        <v>1.0114973415916986E-2</v>
      </c>
      <c r="AH293" s="105">
        <f t="shared" si="103"/>
        <v>1.3660136925319188</v>
      </c>
      <c r="AI293" s="106">
        <v>186.28447603710009</v>
      </c>
      <c r="AJ293" s="103">
        <v>352046352185</v>
      </c>
      <c r="AK293" s="103">
        <v>685859.04594310001</v>
      </c>
      <c r="AL293" s="104">
        <f t="shared" si="93"/>
        <v>6.5005610956889257E-3</v>
      </c>
      <c r="AM293" s="104">
        <f t="shared" si="104"/>
        <v>0.3051655462822751</v>
      </c>
      <c r="AN293" s="108">
        <f t="shared" si="105"/>
        <v>2.2491440238313887</v>
      </c>
      <c r="AO293" s="101">
        <f t="shared" si="106"/>
        <v>32859.994188176592</v>
      </c>
    </row>
    <row r="294" spans="1:41" ht="15.75" customHeight="1" x14ac:dyDescent="0.3">
      <c r="A294" s="99">
        <v>71005</v>
      </c>
      <c r="B294" s="62" t="s">
        <v>224</v>
      </c>
      <c r="C294" s="62" t="s">
        <v>265</v>
      </c>
      <c r="D294" s="100">
        <v>666</v>
      </c>
      <c r="E294" s="101">
        <v>18138.75</v>
      </c>
      <c r="F294" s="102">
        <v>594.8187866441915</v>
      </c>
      <c r="G294" s="103">
        <v>502722601</v>
      </c>
      <c r="H294" s="103">
        <f t="shared" si="94"/>
        <v>1136801.5904152901</v>
      </c>
      <c r="I294" s="104">
        <f t="shared" si="88"/>
        <v>1.4143290791977072E-3</v>
      </c>
      <c r="J294" s="105">
        <f t="shared" si="95"/>
        <v>8.8639600115914624E-2</v>
      </c>
      <c r="K294" s="106">
        <v>60.076020037621007</v>
      </c>
      <c r="L294" s="107">
        <v>696325692</v>
      </c>
      <c r="M294" s="103">
        <f t="shared" si="96"/>
        <v>1887374.5728782751</v>
      </c>
      <c r="N294" s="104">
        <f t="shared" si="89"/>
        <v>7.6033206275574023E-4</v>
      </c>
      <c r="O294" s="105">
        <f t="shared" si="97"/>
        <v>7.9114128712798451E-2</v>
      </c>
      <c r="P294" s="102">
        <v>11.056731773595789</v>
      </c>
      <c r="Q294" s="103">
        <v>275172858841</v>
      </c>
      <c r="R294" s="103">
        <f t="shared" si="98"/>
        <v>536093.59459423891</v>
      </c>
      <c r="S294" s="104">
        <f t="shared" si="90"/>
        <v>5.4707677235015873E-4</v>
      </c>
      <c r="T294" s="105">
        <f t="shared" si="99"/>
        <v>1.6168939613160262E-2</v>
      </c>
      <c r="U294" s="104">
        <f t="shared" si="100"/>
        <v>0.18392266844187335</v>
      </c>
      <c r="V294" s="103">
        <f t="shared" si="101"/>
        <v>3336.12730220003</v>
      </c>
      <c r="W294" s="100">
        <v>1372</v>
      </c>
      <c r="X294" s="101">
        <v>15246</v>
      </c>
      <c r="Y294" s="102">
        <v>1205.2182055555611</v>
      </c>
      <c r="Z294" s="107">
        <v>782334930</v>
      </c>
      <c r="AA294" s="103">
        <v>1771534.1337791323</v>
      </c>
      <c r="AB294" s="104">
        <f t="shared" si="91"/>
        <v>1.5036424514957016E-3</v>
      </c>
      <c r="AC294" s="105">
        <f t="shared" si="102"/>
        <v>0.17471821643867039</v>
      </c>
      <c r="AD294" s="102">
        <v>140.7126509244338</v>
      </c>
      <c r="AE294" s="103">
        <v>854728458</v>
      </c>
      <c r="AF294" s="103">
        <v>1973061.0479396961</v>
      </c>
      <c r="AG294" s="104">
        <f t="shared" si="92"/>
        <v>1.3082282371937066E-3</v>
      </c>
      <c r="AH294" s="105">
        <f t="shared" si="103"/>
        <v>0.16930435370731445</v>
      </c>
      <c r="AI294" s="106">
        <v>25.97278209168104</v>
      </c>
      <c r="AJ294" s="103">
        <v>352046352185</v>
      </c>
      <c r="AK294" s="103">
        <v>685859.04594310001</v>
      </c>
      <c r="AL294" s="104">
        <f t="shared" si="93"/>
        <v>9.0634313928747564E-4</v>
      </c>
      <c r="AM294" s="104">
        <f t="shared" si="104"/>
        <v>4.0772900485949254E-2</v>
      </c>
      <c r="AN294" s="108">
        <f t="shared" si="105"/>
        <v>0.38479547063193409</v>
      </c>
      <c r="AO294" s="101">
        <f t="shared" si="106"/>
        <v>5866.5917452544672</v>
      </c>
    </row>
    <row r="295" spans="1:41" ht="15.75" customHeight="1" x14ac:dyDescent="0.3">
      <c r="A295" s="99">
        <v>71101</v>
      </c>
      <c r="B295" s="62" t="s">
        <v>224</v>
      </c>
      <c r="C295" s="62" t="s">
        <v>233</v>
      </c>
      <c r="D295" s="100">
        <v>182</v>
      </c>
      <c r="E295" s="101">
        <v>21629.5</v>
      </c>
      <c r="F295" s="102">
        <v>165.79699053953021</v>
      </c>
      <c r="G295" s="103">
        <v>502722601</v>
      </c>
      <c r="H295" s="103">
        <f t="shared" si="94"/>
        <v>1136801.5904152901</v>
      </c>
      <c r="I295" s="104">
        <f t="shared" si="88"/>
        <v>3.9422343447903367E-4</v>
      </c>
      <c r="J295" s="105">
        <f t="shared" si="95"/>
        <v>2.0719564820950248E-2</v>
      </c>
      <c r="K295" s="106">
        <v>14.257574185729471</v>
      </c>
      <c r="L295" s="107">
        <v>696325692</v>
      </c>
      <c r="M295" s="103">
        <f t="shared" si="96"/>
        <v>1887374.5728782751</v>
      </c>
      <c r="N295" s="104">
        <f t="shared" si="89"/>
        <v>1.8044622103361897E-4</v>
      </c>
      <c r="O295" s="105">
        <f t="shared" si="97"/>
        <v>1.5745607126878818E-2</v>
      </c>
      <c r="P295" s="102">
        <v>1.931471373034412</v>
      </c>
      <c r="Q295" s="103">
        <v>275172858841</v>
      </c>
      <c r="R295" s="103">
        <f t="shared" si="98"/>
        <v>536093.59459423891</v>
      </c>
      <c r="S295" s="104">
        <f t="shared" si="90"/>
        <v>9.5567401496505274E-5</v>
      </c>
      <c r="T295" s="105">
        <f t="shared" si="99"/>
        <v>2.3686664876345896E-3</v>
      </c>
      <c r="U295" s="104">
        <f t="shared" si="100"/>
        <v>3.8833838435463661E-2</v>
      </c>
      <c r="V295" s="103">
        <f t="shared" si="101"/>
        <v>839.95650843986118</v>
      </c>
      <c r="W295" s="100">
        <v>745</v>
      </c>
      <c r="X295" s="101">
        <v>30118</v>
      </c>
      <c r="Y295" s="102">
        <v>633.76444611201828</v>
      </c>
      <c r="Z295" s="107">
        <v>782334930</v>
      </c>
      <c r="AA295" s="103">
        <v>1771534.1337791323</v>
      </c>
      <c r="AB295" s="104">
        <f t="shared" si="91"/>
        <v>7.9069094793785791E-4</v>
      </c>
      <c r="AC295" s="105">
        <f t="shared" si="102"/>
        <v>4.6508267598847665E-2</v>
      </c>
      <c r="AD295" s="102">
        <v>90.875500415936884</v>
      </c>
      <c r="AE295" s="103">
        <v>854728458</v>
      </c>
      <c r="AF295" s="103">
        <v>1973061.0479396961</v>
      </c>
      <c r="AG295" s="104">
        <f t="shared" si="92"/>
        <v>8.4488420147156313E-4</v>
      </c>
      <c r="AH295" s="105">
        <f t="shared" si="103"/>
        <v>5.5349229960262161E-2</v>
      </c>
      <c r="AI295" s="106">
        <v>20.30107631064843</v>
      </c>
      <c r="AJ295" s="103">
        <v>352046352185</v>
      </c>
      <c r="AK295" s="103">
        <v>685859.04594310001</v>
      </c>
      <c r="AL295" s="104">
        <f t="shared" si="93"/>
        <v>7.0842396356919548E-4</v>
      </c>
      <c r="AM295" s="104">
        <f t="shared" si="104"/>
        <v>1.6132511580343907E-2</v>
      </c>
      <c r="AN295" s="108">
        <f t="shared" si="105"/>
        <v>0.11799000913945373</v>
      </c>
      <c r="AO295" s="101">
        <f t="shared" si="106"/>
        <v>3553.6230952620676</v>
      </c>
    </row>
    <row r="296" spans="1:41" ht="15.75" customHeight="1" x14ac:dyDescent="0.3">
      <c r="A296" s="99">
        <v>71102</v>
      </c>
      <c r="B296" s="62" t="s">
        <v>224</v>
      </c>
      <c r="C296" s="62" t="s">
        <v>832</v>
      </c>
      <c r="D296" s="121">
        <v>101</v>
      </c>
      <c r="E296" s="113">
        <v>13937</v>
      </c>
      <c r="F296" s="114">
        <v>74</v>
      </c>
      <c r="G296" s="103">
        <v>502722601</v>
      </c>
      <c r="H296" s="103">
        <f t="shared" si="94"/>
        <v>1136801.5904152901</v>
      </c>
      <c r="I296" s="104">
        <f t="shared" si="88"/>
        <v>1.7595333942139931E-4</v>
      </c>
      <c r="J296" s="105">
        <f t="shared" si="95"/>
        <v>1.4352015217990106E-2</v>
      </c>
      <c r="K296" s="115">
        <v>18</v>
      </c>
      <c r="L296" s="107">
        <v>696325692</v>
      </c>
      <c r="M296" s="103">
        <f t="shared" si="96"/>
        <v>1887374.5728782751</v>
      </c>
      <c r="N296" s="104">
        <f t="shared" si="89"/>
        <v>2.2781098216947206E-4</v>
      </c>
      <c r="O296" s="105">
        <f t="shared" si="97"/>
        <v>3.0850588732803882E-2</v>
      </c>
      <c r="P296" s="114">
        <v>9</v>
      </c>
      <c r="Q296" s="103">
        <v>275172858841</v>
      </c>
      <c r="R296" s="103">
        <f t="shared" si="98"/>
        <v>536093.59459423891</v>
      </c>
      <c r="S296" s="104">
        <f t="shared" si="90"/>
        <v>4.4531160310043249E-4</v>
      </c>
      <c r="T296" s="105">
        <f t="shared" si="99"/>
        <v>1.7129130947882175E-2</v>
      </c>
      <c r="U296" s="104">
        <f t="shared" si="100"/>
        <v>6.2331734898676161E-2</v>
      </c>
      <c r="V296" s="103">
        <f t="shared" si="101"/>
        <v>868.71738928284958</v>
      </c>
      <c r="W296" s="112">
        <v>511</v>
      </c>
      <c r="X296" s="101">
        <v>14888</v>
      </c>
      <c r="Y296" s="114">
        <v>432.76548158738899</v>
      </c>
      <c r="Z296" s="107">
        <v>782334930</v>
      </c>
      <c r="AA296" s="103">
        <v>1771534.1337791323</v>
      </c>
      <c r="AB296" s="104">
        <f t="shared" si="91"/>
        <v>5.399226021123864E-4</v>
      </c>
      <c r="AC296" s="105">
        <f t="shared" si="102"/>
        <v>6.4245789846919768E-2</v>
      </c>
      <c r="AD296" s="114">
        <v>59.943713486215799</v>
      </c>
      <c r="AE296" s="103">
        <v>854728458</v>
      </c>
      <c r="AF296" s="103">
        <v>1973061.0479396961</v>
      </c>
      <c r="AG296" s="104">
        <f t="shared" si="92"/>
        <v>5.5730638368138086E-4</v>
      </c>
      <c r="AH296" s="105">
        <f t="shared" si="103"/>
        <v>7.3858108369819167E-2</v>
      </c>
      <c r="AI296" s="115">
        <v>18.264872721040071</v>
      </c>
      <c r="AJ296" s="103">
        <v>352046352185</v>
      </c>
      <c r="AK296" s="103">
        <v>685859.04594310001</v>
      </c>
      <c r="AL296" s="104">
        <f t="shared" si="93"/>
        <v>6.3736884336221646E-4</v>
      </c>
      <c r="AM296" s="104">
        <f t="shared" si="104"/>
        <v>2.9362250592575693E-2</v>
      </c>
      <c r="AN296" s="108">
        <f t="shared" si="105"/>
        <v>0.16746614880931462</v>
      </c>
      <c r="AO296" s="101">
        <f t="shared" si="106"/>
        <v>2493.2360234730763</v>
      </c>
    </row>
    <row r="297" spans="1:41" ht="15.75" customHeight="1" x14ac:dyDescent="0.3">
      <c r="A297" s="99">
        <v>71103</v>
      </c>
      <c r="B297" s="62" t="s">
        <v>224</v>
      </c>
      <c r="C297" s="62" t="s">
        <v>266</v>
      </c>
      <c r="D297" s="100">
        <v>63</v>
      </c>
      <c r="E297" s="101">
        <v>7752.75</v>
      </c>
      <c r="F297" s="102">
        <v>57.923655877627681</v>
      </c>
      <c r="G297" s="103">
        <v>502722601</v>
      </c>
      <c r="H297" s="103">
        <f t="shared" si="94"/>
        <v>1136801.5904152901</v>
      </c>
      <c r="I297" s="104">
        <f t="shared" si="88"/>
        <v>1.3772784706979127E-4</v>
      </c>
      <c r="J297" s="105">
        <f t="shared" si="95"/>
        <v>2.0195315932206324E-2</v>
      </c>
      <c r="K297" s="106">
        <v>4.6109967970563739</v>
      </c>
      <c r="L297" s="107">
        <v>696325692</v>
      </c>
      <c r="M297" s="103">
        <f t="shared" si="96"/>
        <v>1887374.5728782751</v>
      </c>
      <c r="N297" s="104">
        <f t="shared" si="89"/>
        <v>5.8357539395427904E-5</v>
      </c>
      <c r="O297" s="105">
        <f t="shared" si="97"/>
        <v>1.4206898970129677E-2</v>
      </c>
      <c r="P297" s="102">
        <v>0.46033655700374271</v>
      </c>
      <c r="Q297" s="103">
        <v>275172858841</v>
      </c>
      <c r="R297" s="103">
        <f t="shared" si="98"/>
        <v>536093.59459423891</v>
      </c>
      <c r="S297" s="104">
        <f t="shared" si="90"/>
        <v>2.2777023351674475E-5</v>
      </c>
      <c r="T297" s="105">
        <f t="shared" si="99"/>
        <v>1.5750045239116557E-3</v>
      </c>
      <c r="U297" s="104">
        <f t="shared" si="100"/>
        <v>3.5977219426247653E-2</v>
      </c>
      <c r="V297" s="103">
        <f t="shared" si="101"/>
        <v>278.92238790684155</v>
      </c>
      <c r="W297" s="100">
        <v>274</v>
      </c>
      <c r="X297" s="101">
        <v>8541</v>
      </c>
      <c r="Y297" s="102">
        <v>257.9985949764108</v>
      </c>
      <c r="Z297" s="107">
        <v>782334930</v>
      </c>
      <c r="AA297" s="103">
        <v>1771534.1337791323</v>
      </c>
      <c r="AB297" s="104">
        <f t="shared" si="91"/>
        <v>3.2188166262718542E-4</v>
      </c>
      <c r="AC297" s="105">
        <f t="shared" si="102"/>
        <v>6.6763183746825647E-2</v>
      </c>
      <c r="AD297" s="102">
        <v>12.42416322665613</v>
      </c>
      <c r="AE297" s="103">
        <v>854728458</v>
      </c>
      <c r="AF297" s="103">
        <v>1973061.0479396961</v>
      </c>
      <c r="AG297" s="104">
        <f t="shared" si="92"/>
        <v>1.1550945170767789E-4</v>
      </c>
      <c r="AH297" s="105">
        <f t="shared" si="103"/>
        <v>2.6683901163012606E-2</v>
      </c>
      <c r="AI297" s="106">
        <v>3.5561136522236851</v>
      </c>
      <c r="AJ297" s="103">
        <v>352046352185</v>
      </c>
      <c r="AK297" s="103">
        <v>685859.04594310001</v>
      </c>
      <c r="AL297" s="104">
        <f t="shared" si="93"/>
        <v>1.2409372241458091E-4</v>
      </c>
      <c r="AM297" s="104">
        <f t="shared" si="104"/>
        <v>9.9649692147046418E-3</v>
      </c>
      <c r="AN297" s="108">
        <f t="shared" si="105"/>
        <v>0.10341205412454289</v>
      </c>
      <c r="AO297" s="101">
        <f t="shared" si="106"/>
        <v>883.24235427772078</v>
      </c>
    </row>
    <row r="298" spans="1:41" ht="15.75" customHeight="1" x14ac:dyDescent="0.3">
      <c r="A298" s="99">
        <v>71104</v>
      </c>
      <c r="B298" s="62" t="s">
        <v>224</v>
      </c>
      <c r="C298" s="62" t="s">
        <v>262</v>
      </c>
      <c r="D298" s="100">
        <v>3785</v>
      </c>
      <c r="E298" s="101">
        <v>46789.25</v>
      </c>
      <c r="F298" s="102">
        <v>3311.765761226658</v>
      </c>
      <c r="G298" s="103">
        <v>502722601</v>
      </c>
      <c r="H298" s="103">
        <f t="shared" si="94"/>
        <v>1136801.5904152901</v>
      </c>
      <c r="I298" s="104">
        <f t="shared" si="88"/>
        <v>7.874543852287608E-3</v>
      </c>
      <c r="J298" s="105">
        <f t="shared" si="95"/>
        <v>0.19132159577414679</v>
      </c>
      <c r="K298" s="106">
        <v>383.93391600316829</v>
      </c>
      <c r="L298" s="107">
        <v>696325692</v>
      </c>
      <c r="M298" s="103">
        <f t="shared" si="96"/>
        <v>1887374.5728782751</v>
      </c>
      <c r="N298" s="104">
        <f t="shared" si="89"/>
        <v>4.8591312496029642E-3</v>
      </c>
      <c r="O298" s="105">
        <f t="shared" si="97"/>
        <v>0.19600657772413266</v>
      </c>
      <c r="P298" s="102">
        <v>89.049378180853836</v>
      </c>
      <c r="Q298" s="103">
        <v>275172858841</v>
      </c>
      <c r="R298" s="103">
        <f t="shared" si="98"/>
        <v>536093.59459423891</v>
      </c>
      <c r="S298" s="104">
        <f t="shared" si="90"/>
        <v>4.4060801503125217E-3</v>
      </c>
      <c r="T298" s="105">
        <f t="shared" si="99"/>
        <v>5.0483205989652842E-2</v>
      </c>
      <c r="U298" s="104">
        <f t="shared" si="100"/>
        <v>0.43781137948793225</v>
      </c>
      <c r="V298" s="103">
        <f t="shared" si="101"/>
        <v>20484.866087705734</v>
      </c>
      <c r="W298" s="100">
        <v>7192</v>
      </c>
      <c r="X298" s="101">
        <v>44909</v>
      </c>
      <c r="Y298" s="102">
        <v>6452.8263038901787</v>
      </c>
      <c r="Z298" s="107">
        <v>782334930</v>
      </c>
      <c r="AA298" s="103">
        <v>1771534.1337791323</v>
      </c>
      <c r="AB298" s="104">
        <f t="shared" si="91"/>
        <v>8.0506115141073305E-3</v>
      </c>
      <c r="AC298" s="105">
        <f t="shared" si="102"/>
        <v>0.31757405186124027</v>
      </c>
      <c r="AD298" s="102">
        <v>616.46480378202227</v>
      </c>
      <c r="AE298" s="103">
        <v>854728458</v>
      </c>
      <c r="AF298" s="103">
        <v>1973061.0479396961</v>
      </c>
      <c r="AG298" s="104">
        <f t="shared" si="92"/>
        <v>5.731372824301471E-3</v>
      </c>
      <c r="AH298" s="105">
        <f t="shared" si="103"/>
        <v>0.25180584005097767</v>
      </c>
      <c r="AI298" s="106">
        <v>122.1720746422403</v>
      </c>
      <c r="AJ298" s="103">
        <v>352046352185</v>
      </c>
      <c r="AK298" s="103">
        <v>685859.04594310001</v>
      </c>
      <c r="AL298" s="104">
        <f t="shared" si="93"/>
        <v>4.2633023013725633E-3</v>
      </c>
      <c r="AM298" s="104">
        <f t="shared" si="104"/>
        <v>6.5109987953114276E-2</v>
      </c>
      <c r="AN298" s="108">
        <f t="shared" si="105"/>
        <v>0.63448987986533223</v>
      </c>
      <c r="AO298" s="101">
        <f t="shared" si="106"/>
        <v>28494.306014872203</v>
      </c>
    </row>
    <row r="299" spans="1:41" ht="15.75" customHeight="1" x14ac:dyDescent="0.3">
      <c r="A299" s="99">
        <v>71105</v>
      </c>
      <c r="B299" s="62" t="s">
        <v>224</v>
      </c>
      <c r="C299" s="62" t="s">
        <v>833</v>
      </c>
      <c r="D299" s="112"/>
      <c r="E299" s="113">
        <v>6451.75</v>
      </c>
      <c r="F299" s="114"/>
      <c r="G299" s="103">
        <v>502722601</v>
      </c>
      <c r="H299" s="103">
        <f t="shared" si="94"/>
        <v>1136801.5904152901</v>
      </c>
      <c r="I299" s="104">
        <f t="shared" si="88"/>
        <v>0</v>
      </c>
      <c r="J299" s="105">
        <f t="shared" si="95"/>
        <v>0</v>
      </c>
      <c r="K299" s="115"/>
      <c r="L299" s="107">
        <v>696325692</v>
      </c>
      <c r="M299" s="103">
        <f t="shared" si="96"/>
        <v>1887374.5728782751</v>
      </c>
      <c r="N299" s="104">
        <f t="shared" si="89"/>
        <v>0</v>
      </c>
      <c r="O299" s="105">
        <f t="shared" si="97"/>
        <v>0</v>
      </c>
      <c r="P299" s="114"/>
      <c r="Q299" s="103">
        <v>275172858841</v>
      </c>
      <c r="R299" s="103">
        <f t="shared" si="98"/>
        <v>536093.59459423891</v>
      </c>
      <c r="S299" s="104">
        <f t="shared" si="90"/>
        <v>0</v>
      </c>
      <c r="T299" s="105">
        <f t="shared" si="99"/>
        <v>0</v>
      </c>
      <c r="U299" s="104">
        <f t="shared" si="100"/>
        <v>0</v>
      </c>
      <c r="V299" s="103">
        <f t="shared" si="101"/>
        <v>0</v>
      </c>
      <c r="W299" s="112"/>
      <c r="X299" s="101">
        <v>6364</v>
      </c>
      <c r="Y299" s="114"/>
      <c r="Z299" s="107">
        <v>782334930</v>
      </c>
      <c r="AA299" s="103">
        <v>1771534.1337791323</v>
      </c>
      <c r="AB299" s="104">
        <f t="shared" si="91"/>
        <v>0</v>
      </c>
      <c r="AC299" s="105">
        <f t="shared" si="102"/>
        <v>0</v>
      </c>
      <c r="AD299" s="114"/>
      <c r="AE299" s="103">
        <v>854728458</v>
      </c>
      <c r="AF299" s="103">
        <v>1973061.0479396961</v>
      </c>
      <c r="AG299" s="104">
        <f t="shared" si="92"/>
        <v>0</v>
      </c>
      <c r="AH299" s="105">
        <f t="shared" si="103"/>
        <v>0</v>
      </c>
      <c r="AI299" s="115"/>
      <c r="AJ299" s="103">
        <v>352046352185</v>
      </c>
      <c r="AK299" s="103">
        <v>685859.04594310001</v>
      </c>
      <c r="AL299" s="104">
        <f t="shared" si="93"/>
        <v>0</v>
      </c>
      <c r="AM299" s="104">
        <f t="shared" si="104"/>
        <v>0</v>
      </c>
      <c r="AN299" s="108">
        <f t="shared" si="105"/>
        <v>0</v>
      </c>
      <c r="AO299" s="101">
        <f t="shared" si="106"/>
        <v>0</v>
      </c>
    </row>
    <row r="300" spans="1:41" ht="15.75" customHeight="1" x14ac:dyDescent="0.3">
      <c r="A300" s="99">
        <v>71106</v>
      </c>
      <c r="B300" s="62" t="s">
        <v>224</v>
      </c>
      <c r="C300" s="62" t="s">
        <v>235</v>
      </c>
      <c r="D300" s="100">
        <v>962</v>
      </c>
      <c r="E300" s="101">
        <v>23448.25</v>
      </c>
      <c r="F300" s="102">
        <v>798.12331969525792</v>
      </c>
      <c r="G300" s="103">
        <v>502722601</v>
      </c>
      <c r="H300" s="103">
        <f t="shared" si="94"/>
        <v>1136801.5904152901</v>
      </c>
      <c r="I300" s="104">
        <f t="shared" si="88"/>
        <v>1.897735991492888E-3</v>
      </c>
      <c r="J300" s="105">
        <f t="shared" si="95"/>
        <v>9.2004703690785131E-2</v>
      </c>
      <c r="K300" s="106">
        <v>126.33050033118199</v>
      </c>
      <c r="L300" s="107">
        <v>696325692</v>
      </c>
      <c r="M300" s="103">
        <f t="shared" si="96"/>
        <v>1887374.5728782751</v>
      </c>
      <c r="N300" s="104">
        <f t="shared" si="89"/>
        <v>1.5988597421337436E-3</v>
      </c>
      <c r="O300" s="105">
        <f t="shared" si="97"/>
        <v>0.12869392056558349</v>
      </c>
      <c r="P300" s="102">
        <v>37.495104911366617</v>
      </c>
      <c r="Q300" s="103">
        <v>275172858841</v>
      </c>
      <c r="R300" s="103">
        <f t="shared" si="98"/>
        <v>536093.59459423891</v>
      </c>
      <c r="S300" s="104">
        <f t="shared" si="90"/>
        <v>1.855222808499952E-3</v>
      </c>
      <c r="T300" s="105">
        <f t="shared" si="99"/>
        <v>4.2415662754446859E-2</v>
      </c>
      <c r="U300" s="104">
        <f t="shared" si="100"/>
        <v>0.26311428701081546</v>
      </c>
      <c r="V300" s="103">
        <f t="shared" si="101"/>
        <v>6169.569580401354</v>
      </c>
      <c r="W300" s="100">
        <v>3659</v>
      </c>
      <c r="X300" s="101">
        <v>25258</v>
      </c>
      <c r="Y300" s="102">
        <v>3162.7308790846</v>
      </c>
      <c r="Z300" s="107">
        <v>782334930</v>
      </c>
      <c r="AA300" s="103">
        <v>1771534.1337791323</v>
      </c>
      <c r="AB300" s="104">
        <f t="shared" si="91"/>
        <v>3.9458551078356465E-3</v>
      </c>
      <c r="AC300" s="105">
        <f t="shared" si="102"/>
        <v>0.27675259365260857</v>
      </c>
      <c r="AD300" s="102">
        <v>408.44332537498133</v>
      </c>
      <c r="AE300" s="103">
        <v>854728458</v>
      </c>
      <c r="AF300" s="103">
        <v>1973061.0479396961</v>
      </c>
      <c r="AG300" s="104">
        <f t="shared" si="92"/>
        <v>3.7973635493215151E-3</v>
      </c>
      <c r="AH300" s="105">
        <f t="shared" si="103"/>
        <v>0.29663592145190881</v>
      </c>
      <c r="AI300" s="106">
        <v>87.585546592230131</v>
      </c>
      <c r="AJ300" s="103">
        <v>352046352185</v>
      </c>
      <c r="AK300" s="103">
        <v>685859.04594310001</v>
      </c>
      <c r="AL300" s="104">
        <f t="shared" si="93"/>
        <v>3.0563748994774484E-3</v>
      </c>
      <c r="AM300" s="104">
        <f t="shared" si="104"/>
        <v>8.2993205028111527E-2</v>
      </c>
      <c r="AN300" s="108">
        <f t="shared" si="105"/>
        <v>0.65638172013262897</v>
      </c>
      <c r="AO300" s="101">
        <f t="shared" si="106"/>
        <v>16578.88948710994</v>
      </c>
    </row>
    <row r="301" spans="1:41" ht="15.75" customHeight="1" x14ac:dyDescent="0.3">
      <c r="A301" s="99">
        <v>71201</v>
      </c>
      <c r="B301" s="62" t="s">
        <v>224</v>
      </c>
      <c r="C301" s="62" t="s">
        <v>263</v>
      </c>
      <c r="D301" s="100">
        <v>1</v>
      </c>
      <c r="E301" s="101">
        <v>14697</v>
      </c>
      <c r="F301" s="102">
        <v>0.75204557224236201</v>
      </c>
      <c r="G301" s="103">
        <v>502722601</v>
      </c>
      <c r="H301" s="103">
        <f t="shared" si="94"/>
        <v>1136801.5904152901</v>
      </c>
      <c r="I301" s="104">
        <f t="shared" si="88"/>
        <v>1.7881747274746055E-6</v>
      </c>
      <c r="J301" s="105">
        <f t="shared" si="95"/>
        <v>1.3831393305664826E-4</v>
      </c>
      <c r="K301" s="106">
        <v>0.18582772311410301</v>
      </c>
      <c r="L301" s="107">
        <v>696325692</v>
      </c>
      <c r="M301" s="103">
        <f t="shared" si="96"/>
        <v>1887374.5728782751</v>
      </c>
      <c r="N301" s="104">
        <f t="shared" si="89"/>
        <v>2.3518664509411395E-6</v>
      </c>
      <c r="O301" s="105">
        <f t="shared" si="97"/>
        <v>3.0202442255642498E-4</v>
      </c>
      <c r="P301" s="102">
        <v>6.2092180217503901E-2</v>
      </c>
      <c r="Q301" s="103">
        <v>275172858841</v>
      </c>
      <c r="R301" s="103">
        <f t="shared" si="98"/>
        <v>536093.59459423891</v>
      </c>
      <c r="S301" s="104">
        <f t="shared" si="90"/>
        <v>3.072263145850847E-6</v>
      </c>
      <c r="T301" s="105">
        <f t="shared" si="99"/>
        <v>1.1206508766405287E-4</v>
      </c>
      <c r="U301" s="104">
        <f t="shared" si="100"/>
        <v>5.5240344327712608E-4</v>
      </c>
      <c r="V301" s="103">
        <f t="shared" si="101"/>
        <v>8.1186734058439232</v>
      </c>
      <c r="W301" s="100">
        <v>1</v>
      </c>
      <c r="X301" s="101">
        <v>15378</v>
      </c>
      <c r="Y301" s="102">
        <v>0.75204557224236201</v>
      </c>
      <c r="Z301" s="107">
        <v>782334930</v>
      </c>
      <c r="AA301" s="103">
        <v>1771534.1337791323</v>
      </c>
      <c r="AB301" s="104">
        <f t="shared" si="91"/>
        <v>9.382596800068519E-7</v>
      </c>
      <c r="AC301" s="105">
        <f t="shared" si="102"/>
        <v>1.0808681554693876E-4</v>
      </c>
      <c r="AD301" s="102">
        <v>0.18582772311410301</v>
      </c>
      <c r="AE301" s="103">
        <v>854728458</v>
      </c>
      <c r="AF301" s="103">
        <v>1973061.0479396961</v>
      </c>
      <c r="AG301" s="104">
        <f t="shared" si="92"/>
        <v>1.7276703482889869E-6</v>
      </c>
      <c r="AH301" s="105">
        <f t="shared" si="103"/>
        <v>2.2166725633303476E-4</v>
      </c>
      <c r="AI301" s="106">
        <v>6.2092180217503901E-2</v>
      </c>
      <c r="AJ301" s="103">
        <v>352046352185</v>
      </c>
      <c r="AK301" s="103">
        <v>685859.04594310001</v>
      </c>
      <c r="AL301" s="104">
        <f t="shared" si="93"/>
        <v>2.1667613944815476E-6</v>
      </c>
      <c r="AM301" s="104">
        <f t="shared" si="104"/>
        <v>9.6637592847278922E-5</v>
      </c>
      <c r="AN301" s="108">
        <f t="shared" si="105"/>
        <v>4.2639166472725244E-4</v>
      </c>
      <c r="AO301" s="101">
        <f t="shared" si="106"/>
        <v>6.5570510201756882</v>
      </c>
    </row>
    <row r="302" spans="1:41" ht="15.75" customHeight="1" x14ac:dyDescent="0.3">
      <c r="A302" s="99">
        <v>71301</v>
      </c>
      <c r="B302" s="62" t="s">
        <v>224</v>
      </c>
      <c r="C302" s="62" t="s">
        <v>232</v>
      </c>
      <c r="D302" s="100">
        <v>607</v>
      </c>
      <c r="E302" s="101">
        <v>16238</v>
      </c>
      <c r="F302" s="102">
        <v>487.56236862271902</v>
      </c>
      <c r="G302" s="103">
        <v>502722601</v>
      </c>
      <c r="H302" s="103">
        <f t="shared" si="94"/>
        <v>1136801.5904152901</v>
      </c>
      <c r="I302" s="104">
        <f t="shared" si="88"/>
        <v>1.1593003639915498E-3</v>
      </c>
      <c r="J302" s="105">
        <f t="shared" si="95"/>
        <v>8.1161134225558471E-2</v>
      </c>
      <c r="K302" s="106">
        <v>96.503045232556872</v>
      </c>
      <c r="L302" s="107">
        <v>696325692</v>
      </c>
      <c r="M302" s="103">
        <f t="shared" si="96"/>
        <v>1887374.5728782751</v>
      </c>
      <c r="N302" s="104">
        <f t="shared" si="89"/>
        <v>1.2213585287096538E-3</v>
      </c>
      <c r="O302" s="105">
        <f t="shared" si="97"/>
        <v>0.14196089613589244</v>
      </c>
      <c r="P302" s="102">
        <v>22.903049255704971</v>
      </c>
      <c r="Q302" s="103">
        <v>275172858841</v>
      </c>
      <c r="R302" s="103">
        <f t="shared" si="98"/>
        <v>536093.59459423891</v>
      </c>
      <c r="S302" s="104">
        <f t="shared" si="90"/>
        <v>1.1332215088829052E-3</v>
      </c>
      <c r="T302" s="105">
        <f t="shared" si="99"/>
        <v>3.7413030679181176E-2</v>
      </c>
      <c r="U302" s="104">
        <f t="shared" si="100"/>
        <v>0.26053506104063207</v>
      </c>
      <c r="V302" s="103">
        <f t="shared" si="101"/>
        <v>4230.5683211777832</v>
      </c>
      <c r="W302" s="100">
        <v>1249</v>
      </c>
      <c r="X302" s="101">
        <v>17195</v>
      </c>
      <c r="Y302" s="102">
        <v>1117.005084243943</v>
      </c>
      <c r="Z302" s="107">
        <v>782334930</v>
      </c>
      <c r="AA302" s="103">
        <v>1771534.1337791323</v>
      </c>
      <c r="AB302" s="104">
        <f t="shared" si="91"/>
        <v>1.3935868670615563E-3</v>
      </c>
      <c r="AC302" s="105">
        <f t="shared" si="102"/>
        <v>0.14357584782703511</v>
      </c>
      <c r="AD302" s="102">
        <v>110.67305275522899</v>
      </c>
      <c r="AE302" s="103">
        <v>854728458</v>
      </c>
      <c r="AF302" s="103">
        <v>1973061.0479396961</v>
      </c>
      <c r="AG302" s="104">
        <f t="shared" si="92"/>
        <v>1.028945242376059E-3</v>
      </c>
      <c r="AH302" s="105">
        <f t="shared" si="103"/>
        <v>0.11806756488485441</v>
      </c>
      <c r="AI302" s="106">
        <v>21.229984912068321</v>
      </c>
      <c r="AJ302" s="103">
        <v>352046352185</v>
      </c>
      <c r="AK302" s="103">
        <v>685859.04594310001</v>
      </c>
      <c r="AL302" s="104">
        <f t="shared" si="93"/>
        <v>7.4083904852044143E-4</v>
      </c>
      <c r="AM302" s="104">
        <f t="shared" si="104"/>
        <v>2.9549936784857456E-2</v>
      </c>
      <c r="AN302" s="108">
        <f t="shared" si="105"/>
        <v>0.29119334949674697</v>
      </c>
      <c r="AO302" s="101">
        <f t="shared" si="106"/>
        <v>5007.0696445965641</v>
      </c>
    </row>
    <row r="303" spans="1:41" ht="15.75" customHeight="1" x14ac:dyDescent="0.3">
      <c r="A303" s="99">
        <v>71302</v>
      </c>
      <c r="B303" s="62" t="s">
        <v>224</v>
      </c>
      <c r="C303" s="62" t="s">
        <v>255</v>
      </c>
      <c r="D303" s="100">
        <v>126</v>
      </c>
      <c r="E303" s="101">
        <v>7054.5</v>
      </c>
      <c r="F303" s="102">
        <v>88.378205812309517</v>
      </c>
      <c r="G303" s="103">
        <v>502722601</v>
      </c>
      <c r="H303" s="103">
        <f t="shared" si="94"/>
        <v>1136801.5904152901</v>
      </c>
      <c r="I303" s="104">
        <f t="shared" si="88"/>
        <v>2.1014108709118355E-4</v>
      </c>
      <c r="J303" s="105">
        <f t="shared" si="95"/>
        <v>3.3863310229903673E-2</v>
      </c>
      <c r="K303" s="106">
        <v>31.56592521496486</v>
      </c>
      <c r="L303" s="107">
        <v>696325692</v>
      </c>
      <c r="M303" s="103">
        <f t="shared" si="96"/>
        <v>1887374.5728782751</v>
      </c>
      <c r="N303" s="104">
        <f t="shared" si="89"/>
        <v>3.9950357923940265E-4</v>
      </c>
      <c r="O303" s="105">
        <f t="shared" si="97"/>
        <v>0.10688396019991632</v>
      </c>
      <c r="P303" s="102">
        <v>6.0506007883961681</v>
      </c>
      <c r="Q303" s="103">
        <v>275172858841</v>
      </c>
      <c r="R303" s="103">
        <f t="shared" si="98"/>
        <v>536093.59459423891</v>
      </c>
      <c r="S303" s="104">
        <f t="shared" si="90"/>
        <v>2.9937808186682646E-4</v>
      </c>
      <c r="T303" s="105">
        <f t="shared" si="99"/>
        <v>2.2750679998683868E-2</v>
      </c>
      <c r="U303" s="104">
        <f t="shared" si="100"/>
        <v>0.16349795042850385</v>
      </c>
      <c r="V303" s="103">
        <f t="shared" si="101"/>
        <v>1153.3962912978805</v>
      </c>
      <c r="W303" s="100">
        <v>68</v>
      </c>
      <c r="X303" s="101">
        <v>6048</v>
      </c>
      <c r="Y303" s="102">
        <v>49.593257283564903</v>
      </c>
      <c r="Z303" s="107">
        <v>782334930</v>
      </c>
      <c r="AA303" s="103">
        <v>1771534.1337791323</v>
      </c>
      <c r="AB303" s="104">
        <f t="shared" si="91"/>
        <v>6.1873050552818627E-5</v>
      </c>
      <c r="AC303" s="105">
        <f t="shared" si="102"/>
        <v>1.8123383104391537E-2</v>
      </c>
      <c r="AD303" s="102">
        <v>15.8571957994846</v>
      </c>
      <c r="AE303" s="103">
        <v>854728458</v>
      </c>
      <c r="AF303" s="103">
        <v>1973061.0479396961</v>
      </c>
      <c r="AG303" s="104">
        <f t="shared" si="92"/>
        <v>1.4742690988556301E-4</v>
      </c>
      <c r="AH303" s="105">
        <f t="shared" si="103"/>
        <v>4.8095617280641545E-2</v>
      </c>
      <c r="AI303" s="106">
        <v>2.546019087471532</v>
      </c>
      <c r="AJ303" s="103">
        <v>352046352185</v>
      </c>
      <c r="AK303" s="103">
        <v>685859.04594310001</v>
      </c>
      <c r="AL303" s="104">
        <f t="shared" si="93"/>
        <v>8.8845581666196824E-5</v>
      </c>
      <c r="AM303" s="104">
        <f t="shared" si="104"/>
        <v>1.007532173906044E-2</v>
      </c>
      <c r="AN303" s="108">
        <f t="shared" si="105"/>
        <v>7.6294322124093525E-2</v>
      </c>
      <c r="AO303" s="101">
        <f t="shared" si="106"/>
        <v>461.42806020651761</v>
      </c>
    </row>
    <row r="304" spans="1:41" ht="15.75" customHeight="1" x14ac:dyDescent="0.3">
      <c r="A304" s="99">
        <v>71401</v>
      </c>
      <c r="B304" s="62" t="s">
        <v>224</v>
      </c>
      <c r="C304" s="62" t="s">
        <v>253</v>
      </c>
      <c r="D304" s="100">
        <v>334</v>
      </c>
      <c r="E304" s="101">
        <v>19226</v>
      </c>
      <c r="F304" s="102">
        <v>285.51754876545311</v>
      </c>
      <c r="G304" s="103">
        <v>502722601</v>
      </c>
      <c r="H304" s="103">
        <f t="shared" si="94"/>
        <v>1136801.5904152901</v>
      </c>
      <c r="I304" s="104">
        <f t="shared" si="88"/>
        <v>6.7888873200937434E-4</v>
      </c>
      <c r="J304" s="105">
        <f t="shared" si="95"/>
        <v>4.0141568202604623E-2</v>
      </c>
      <c r="K304" s="106">
        <v>33.313639671709183</v>
      </c>
      <c r="L304" s="107">
        <v>696325692</v>
      </c>
      <c r="M304" s="103">
        <f t="shared" si="96"/>
        <v>1887374.5728782751</v>
      </c>
      <c r="N304" s="104">
        <f t="shared" si="89"/>
        <v>4.2162294295844209E-4</v>
      </c>
      <c r="O304" s="105">
        <f t="shared" si="97"/>
        <v>4.1389806609896544E-2</v>
      </c>
      <c r="P304" s="102">
        <v>15.15840189159772</v>
      </c>
      <c r="Q304" s="103">
        <v>275172858841</v>
      </c>
      <c r="R304" s="103">
        <f t="shared" si="98"/>
        <v>536093.59459423891</v>
      </c>
      <c r="S304" s="104">
        <f t="shared" si="90"/>
        <v>7.5002358297644538E-4</v>
      </c>
      <c r="T304" s="105">
        <f t="shared" si="99"/>
        <v>2.0913494155221733E-2</v>
      </c>
      <c r="U304" s="104">
        <f t="shared" si="100"/>
        <v>0.1024448689677229</v>
      </c>
      <c r="V304" s="103">
        <f t="shared" si="101"/>
        <v>1969.6050507734406</v>
      </c>
      <c r="W304" s="100">
        <v>393</v>
      </c>
      <c r="X304" s="101">
        <v>17417</v>
      </c>
      <c r="Y304" s="102">
        <v>336.36860203683233</v>
      </c>
      <c r="Z304" s="107">
        <v>782334930</v>
      </c>
      <c r="AA304" s="103">
        <v>1771534.1337791323</v>
      </c>
      <c r="AB304" s="104">
        <f t="shared" si="91"/>
        <v>4.1965687793414934E-4</v>
      </c>
      <c r="AC304" s="105">
        <f t="shared" si="102"/>
        <v>4.2684531419620392E-2</v>
      </c>
      <c r="AD304" s="102">
        <v>43.752951127030222</v>
      </c>
      <c r="AE304" s="103">
        <v>854728458</v>
      </c>
      <c r="AF304" s="103">
        <v>1973061.0479396961</v>
      </c>
      <c r="AG304" s="104">
        <f t="shared" si="92"/>
        <v>4.0677825162767936E-4</v>
      </c>
      <c r="AH304" s="105">
        <f t="shared" si="103"/>
        <v>4.6081318449537029E-2</v>
      </c>
      <c r="AI304" s="106">
        <v>12.860116542369109</v>
      </c>
      <c r="AJ304" s="103">
        <v>352046352185</v>
      </c>
      <c r="AK304" s="103">
        <v>685859.04594310001</v>
      </c>
      <c r="AL304" s="104">
        <f t="shared" si="93"/>
        <v>4.4876510946999682E-4</v>
      </c>
      <c r="AM304" s="104">
        <f t="shared" si="104"/>
        <v>1.767179249202749E-2</v>
      </c>
      <c r="AN304" s="108">
        <f t="shared" si="105"/>
        <v>0.10643764236118491</v>
      </c>
      <c r="AO304" s="101">
        <f t="shared" si="106"/>
        <v>1853.8244170047574</v>
      </c>
    </row>
    <row r="305" spans="1:41" ht="15.75" customHeight="1" x14ac:dyDescent="0.3">
      <c r="A305" s="99">
        <v>71402</v>
      </c>
      <c r="B305" s="62" t="s">
        <v>224</v>
      </c>
      <c r="C305" s="62" t="s">
        <v>252</v>
      </c>
      <c r="D305" s="100">
        <v>1295</v>
      </c>
      <c r="E305" s="101">
        <v>16987.75</v>
      </c>
      <c r="F305" s="102">
        <v>1118.364239293935</v>
      </c>
      <c r="G305" s="103">
        <v>502722601</v>
      </c>
      <c r="H305" s="103">
        <f t="shared" si="94"/>
        <v>1136801.5904152901</v>
      </c>
      <c r="I305" s="104">
        <f t="shared" si="88"/>
        <v>2.6591881431519025E-3</v>
      </c>
      <c r="J305" s="105">
        <f t="shared" si="95"/>
        <v>0.17794995278059569</v>
      </c>
      <c r="K305" s="106">
        <v>124.99148668442309</v>
      </c>
      <c r="L305" s="107">
        <v>696325692</v>
      </c>
      <c r="M305" s="103">
        <f t="shared" si="96"/>
        <v>1887374.5728782751</v>
      </c>
      <c r="N305" s="104">
        <f t="shared" si="89"/>
        <v>1.5819129635778284E-3</v>
      </c>
      <c r="O305" s="105">
        <f t="shared" si="97"/>
        <v>0.1757538405005554</v>
      </c>
      <c r="P305" s="102">
        <v>51.587023891714608</v>
      </c>
      <c r="Q305" s="103">
        <v>275172858841</v>
      </c>
      <c r="R305" s="103">
        <f t="shared" si="98"/>
        <v>536093.59459423891</v>
      </c>
      <c r="S305" s="104">
        <f t="shared" si="90"/>
        <v>2.5524778120444157E-3</v>
      </c>
      <c r="T305" s="105">
        <f t="shared" si="99"/>
        <v>8.0550220328232336E-2</v>
      </c>
      <c r="U305" s="104">
        <f t="shared" si="100"/>
        <v>0.43425401360938343</v>
      </c>
      <c r="V305" s="103">
        <f t="shared" si="101"/>
        <v>7376.9986196928039</v>
      </c>
      <c r="W305" s="100">
        <v>1567</v>
      </c>
      <c r="X305" s="101">
        <v>17974</v>
      </c>
      <c r="Y305" s="102">
        <v>1366.517970990662</v>
      </c>
      <c r="Z305" s="107">
        <v>782334930</v>
      </c>
      <c r="AA305" s="103">
        <v>1771534.1337791323</v>
      </c>
      <c r="AB305" s="104">
        <f t="shared" si="91"/>
        <v>1.7048816740750819E-3</v>
      </c>
      <c r="AC305" s="105">
        <f t="shared" si="102"/>
        <v>0.16803472124616206</v>
      </c>
      <c r="AD305" s="102">
        <v>154.83948750496899</v>
      </c>
      <c r="AE305" s="103">
        <v>854728458</v>
      </c>
      <c r="AF305" s="103">
        <v>1973061.0479396961</v>
      </c>
      <c r="AG305" s="104">
        <f t="shared" si="92"/>
        <v>1.4395677180112625E-3</v>
      </c>
      <c r="AH305" s="105">
        <f t="shared" si="103"/>
        <v>0.15802575888947692</v>
      </c>
      <c r="AI305" s="106">
        <v>45.553789164393379</v>
      </c>
      <c r="AJ305" s="103">
        <v>352046352185</v>
      </c>
      <c r="AK305" s="103">
        <v>685859.04594310001</v>
      </c>
      <c r="AL305" s="104">
        <f t="shared" si="93"/>
        <v>1.5896396516921548E-3</v>
      </c>
      <c r="AM305" s="104">
        <f t="shared" si="104"/>
        <v>6.0658102531595814E-2</v>
      </c>
      <c r="AN305" s="108">
        <f t="shared" si="105"/>
        <v>0.3867185826672348</v>
      </c>
      <c r="AO305" s="101">
        <f t="shared" si="106"/>
        <v>6950.8798048608778</v>
      </c>
    </row>
    <row r="306" spans="1:41" ht="15.75" customHeight="1" x14ac:dyDescent="0.3">
      <c r="A306" s="99">
        <v>71403</v>
      </c>
      <c r="B306" s="62" t="s">
        <v>224</v>
      </c>
      <c r="C306" s="62" t="s">
        <v>834</v>
      </c>
      <c r="D306" s="112"/>
      <c r="E306" s="113">
        <v>6960.5</v>
      </c>
      <c r="F306" s="114"/>
      <c r="G306" s="103">
        <v>502722601</v>
      </c>
      <c r="H306" s="103">
        <f t="shared" si="94"/>
        <v>1136801.5904152901</v>
      </c>
      <c r="I306" s="104">
        <f t="shared" si="88"/>
        <v>0</v>
      </c>
      <c r="J306" s="105">
        <f t="shared" si="95"/>
        <v>0</v>
      </c>
      <c r="K306" s="115"/>
      <c r="L306" s="107">
        <v>696325692</v>
      </c>
      <c r="M306" s="103">
        <f t="shared" si="96"/>
        <v>1887374.5728782751</v>
      </c>
      <c r="N306" s="104">
        <f t="shared" si="89"/>
        <v>0</v>
      </c>
      <c r="O306" s="105">
        <f t="shared" si="97"/>
        <v>0</v>
      </c>
      <c r="P306" s="114"/>
      <c r="Q306" s="103">
        <v>275172858841</v>
      </c>
      <c r="R306" s="103">
        <f t="shared" si="98"/>
        <v>536093.59459423891</v>
      </c>
      <c r="S306" s="104">
        <f t="shared" si="90"/>
        <v>0</v>
      </c>
      <c r="T306" s="105">
        <f t="shared" si="99"/>
        <v>0</v>
      </c>
      <c r="U306" s="104">
        <f t="shared" si="100"/>
        <v>0</v>
      </c>
      <c r="V306" s="103">
        <f t="shared" si="101"/>
        <v>0</v>
      </c>
      <c r="W306" s="112"/>
      <c r="X306" s="101">
        <v>8816</v>
      </c>
      <c r="Y306" s="114"/>
      <c r="Z306" s="107">
        <v>782334930</v>
      </c>
      <c r="AA306" s="103">
        <v>1771534.1337791323</v>
      </c>
      <c r="AB306" s="104">
        <f t="shared" si="91"/>
        <v>0</v>
      </c>
      <c r="AC306" s="105">
        <f t="shared" si="102"/>
        <v>0</v>
      </c>
      <c r="AD306" s="114"/>
      <c r="AE306" s="103">
        <v>854728458</v>
      </c>
      <c r="AF306" s="103">
        <v>1973061.0479396961</v>
      </c>
      <c r="AG306" s="104">
        <f t="shared" si="92"/>
        <v>0</v>
      </c>
      <c r="AH306" s="105">
        <f t="shared" si="103"/>
        <v>0</v>
      </c>
      <c r="AI306" s="115"/>
      <c r="AJ306" s="103">
        <v>352046352185</v>
      </c>
      <c r="AK306" s="103">
        <v>685859.04594310001</v>
      </c>
      <c r="AL306" s="104">
        <f t="shared" si="93"/>
        <v>0</v>
      </c>
      <c r="AM306" s="104">
        <f t="shared" si="104"/>
        <v>0</v>
      </c>
      <c r="AN306" s="108">
        <f t="shared" si="105"/>
        <v>0</v>
      </c>
      <c r="AO306" s="101">
        <f t="shared" si="106"/>
        <v>0</v>
      </c>
    </row>
    <row r="307" spans="1:41" ht="15.75" customHeight="1" x14ac:dyDescent="0.3">
      <c r="A307" s="99">
        <v>71501</v>
      </c>
      <c r="B307" s="62" t="s">
        <v>224</v>
      </c>
      <c r="C307" s="62" t="s">
        <v>835</v>
      </c>
      <c r="D307" s="121">
        <v>697</v>
      </c>
      <c r="E307" s="113">
        <v>28822.25</v>
      </c>
      <c r="F307" s="114">
        <v>663.86538335388639</v>
      </c>
      <c r="G307" s="103">
        <v>502722601</v>
      </c>
      <c r="H307" s="103">
        <f t="shared" si="94"/>
        <v>1136801.5904152901</v>
      </c>
      <c r="I307" s="104">
        <f t="shared" si="88"/>
        <v>1.5785044746943748E-3</v>
      </c>
      <c r="J307" s="105">
        <f t="shared" si="95"/>
        <v>6.2259067120374621E-2</v>
      </c>
      <c r="K307" s="115">
        <v>29.388779021473997</v>
      </c>
      <c r="L307" s="107">
        <v>696325692</v>
      </c>
      <c r="M307" s="103">
        <f t="shared" si="96"/>
        <v>1887374.5728782751</v>
      </c>
      <c r="N307" s="104">
        <f t="shared" si="89"/>
        <v>3.7194925631353149E-4</v>
      </c>
      <c r="O307" s="105">
        <f t="shared" si="97"/>
        <v>2.4356445758646306E-2</v>
      </c>
      <c r="P307" s="114">
        <v>3.6878462108853345</v>
      </c>
      <c r="Q307" s="103">
        <v>275172858841</v>
      </c>
      <c r="R307" s="103">
        <f t="shared" si="98"/>
        <v>536093.59459423891</v>
      </c>
      <c r="S307" s="104">
        <f t="shared" si="90"/>
        <v>1.8247118979524486E-4</v>
      </c>
      <c r="T307" s="105">
        <f t="shared" si="99"/>
        <v>3.3939625132396126E-3</v>
      </c>
      <c r="U307" s="104">
        <f t="shared" si="100"/>
        <v>9.0009475392260549E-2</v>
      </c>
      <c r="V307" s="103">
        <f t="shared" si="101"/>
        <v>2594.2756021245814</v>
      </c>
      <c r="W307" s="121">
        <v>1564</v>
      </c>
      <c r="X307" s="101">
        <v>34079</v>
      </c>
      <c r="Y307" s="114">
        <v>1442.9402368457411</v>
      </c>
      <c r="Z307" s="107">
        <v>782334930</v>
      </c>
      <c r="AA307" s="103">
        <v>1771534.1337791323</v>
      </c>
      <c r="AB307" s="104">
        <f t="shared" si="91"/>
        <v>1.8002268677084765E-3</v>
      </c>
      <c r="AC307" s="105">
        <f t="shared" si="102"/>
        <v>9.3581482575540845E-2</v>
      </c>
      <c r="AD307" s="114">
        <v>101.51303998160789</v>
      </c>
      <c r="AE307" s="103">
        <v>854728458</v>
      </c>
      <c r="AF307" s="103">
        <v>1973061.0479396961</v>
      </c>
      <c r="AG307" s="104">
        <f t="shared" si="92"/>
        <v>9.4378312450833757E-4</v>
      </c>
      <c r="AH307" s="105">
        <f t="shared" si="103"/>
        <v>5.4641912047601784E-2</v>
      </c>
      <c r="AI307" s="115">
        <v>19.416641968626646</v>
      </c>
      <c r="AJ307" s="103">
        <v>352046352185</v>
      </c>
      <c r="AK307" s="103">
        <v>685859.04594310001</v>
      </c>
      <c r="AL307" s="104">
        <f t="shared" si="93"/>
        <v>6.7756084712629328E-4</v>
      </c>
      <c r="AM307" s="104">
        <f t="shared" si="104"/>
        <v>1.3636293206327596E-2</v>
      </c>
      <c r="AN307" s="108">
        <f t="shared" si="105"/>
        <v>0.16185968782947022</v>
      </c>
      <c r="AO307" s="101">
        <f t="shared" si="106"/>
        <v>5516.016301540516</v>
      </c>
    </row>
    <row r="308" spans="1:41" ht="15.75" customHeight="1" x14ac:dyDescent="0.3">
      <c r="A308" s="99">
        <v>71502</v>
      </c>
      <c r="B308" s="62" t="s">
        <v>224</v>
      </c>
      <c r="C308" s="62" t="s">
        <v>270</v>
      </c>
      <c r="D308" s="100">
        <v>1</v>
      </c>
      <c r="E308" s="101">
        <v>6908.25</v>
      </c>
      <c r="F308" s="102">
        <v>0.99972709235342305</v>
      </c>
      <c r="G308" s="103">
        <v>502722601</v>
      </c>
      <c r="H308" s="103">
        <f t="shared" si="94"/>
        <v>1136801.5904152901</v>
      </c>
      <c r="I308" s="104">
        <f t="shared" si="88"/>
        <v>2.3770989244544658E-6</v>
      </c>
      <c r="J308" s="105">
        <f t="shared" si="95"/>
        <v>3.91168506914821E-4</v>
      </c>
      <c r="K308" s="106">
        <v>5.1631176379474402E-5</v>
      </c>
      <c r="L308" s="107">
        <v>696325692</v>
      </c>
      <c r="M308" s="103">
        <f t="shared" si="96"/>
        <v>1887374.5728782751</v>
      </c>
      <c r="N308" s="104">
        <f t="shared" si="89"/>
        <v>6.5345272230962824E-10</v>
      </c>
      <c r="O308" s="105">
        <f t="shared" si="97"/>
        <v>1.7852713099052302E-7</v>
      </c>
      <c r="P308" s="102">
        <v>1.32765882118648E-4</v>
      </c>
      <c r="Q308" s="103">
        <v>275172858841</v>
      </c>
      <c r="R308" s="103">
        <f t="shared" si="98"/>
        <v>536093.59459423891</v>
      </c>
      <c r="S308" s="104">
        <f t="shared" si="90"/>
        <v>6.5691319781442428E-9</v>
      </c>
      <c r="T308" s="105">
        <f t="shared" si="99"/>
        <v>5.0977737857305545E-7</v>
      </c>
      <c r="U308" s="104">
        <f t="shared" si="100"/>
        <v>3.918568114243846E-4</v>
      </c>
      <c r="V308" s="103">
        <f t="shared" si="101"/>
        <v>2.7070448175225046</v>
      </c>
      <c r="W308" s="100">
        <v>1</v>
      </c>
      <c r="X308" s="101">
        <v>6555</v>
      </c>
      <c r="Y308" s="102">
        <v>0.99972709235342305</v>
      </c>
      <c r="Z308" s="107">
        <v>782334930</v>
      </c>
      <c r="AA308" s="103">
        <v>1771534.1337791323</v>
      </c>
      <c r="AB308" s="104">
        <f t="shared" si="91"/>
        <v>1.247269655439727E-6</v>
      </c>
      <c r="AC308" s="105">
        <f t="shared" si="102"/>
        <v>3.3708325989907151E-4</v>
      </c>
      <c r="AD308" s="102">
        <v>5.1631176379474402E-5</v>
      </c>
      <c r="AE308" s="103">
        <v>854728458</v>
      </c>
      <c r="AF308" s="103">
        <v>1973061.0479396961</v>
      </c>
      <c r="AG308" s="104">
        <f t="shared" si="92"/>
        <v>4.8002338393461634E-10</v>
      </c>
      <c r="AH308" s="105">
        <f t="shared" si="103"/>
        <v>1.4448748145562062E-7</v>
      </c>
      <c r="AI308" s="106">
        <v>1.32765882118648E-4</v>
      </c>
      <c r="AJ308" s="103">
        <v>352046352185</v>
      </c>
      <c r="AK308" s="103">
        <v>685859.04594310001</v>
      </c>
      <c r="AL308" s="104">
        <f t="shared" si="93"/>
        <v>4.6329825570833993E-9</v>
      </c>
      <c r="AM308" s="104">
        <f t="shared" si="104"/>
        <v>4.8475560586914485E-7</v>
      </c>
      <c r="AN308" s="108">
        <f t="shared" si="105"/>
        <v>3.3771250298639629E-4</v>
      </c>
      <c r="AO308" s="101">
        <f t="shared" si="106"/>
        <v>2.2137054570758274</v>
      </c>
    </row>
    <row r="309" spans="1:41" ht="15.75" customHeight="1" x14ac:dyDescent="0.3">
      <c r="A309" s="99">
        <v>71503</v>
      </c>
      <c r="B309" s="62" t="s">
        <v>224</v>
      </c>
      <c r="C309" s="62" t="s">
        <v>819</v>
      </c>
      <c r="D309" s="112"/>
      <c r="E309" s="113">
        <v>14976.25</v>
      </c>
      <c r="F309" s="114"/>
      <c r="G309" s="103">
        <v>502722601</v>
      </c>
      <c r="H309" s="103">
        <f t="shared" si="94"/>
        <v>1136801.5904152901</v>
      </c>
      <c r="I309" s="104">
        <f t="shared" si="88"/>
        <v>0</v>
      </c>
      <c r="J309" s="105">
        <f t="shared" si="95"/>
        <v>0</v>
      </c>
      <c r="K309" s="115"/>
      <c r="L309" s="107">
        <v>696325692</v>
      </c>
      <c r="M309" s="103">
        <f t="shared" si="96"/>
        <v>1887374.5728782751</v>
      </c>
      <c r="N309" s="104">
        <f t="shared" si="89"/>
        <v>0</v>
      </c>
      <c r="O309" s="105">
        <f t="shared" si="97"/>
        <v>0</v>
      </c>
      <c r="P309" s="114"/>
      <c r="Q309" s="103">
        <v>275172858841</v>
      </c>
      <c r="R309" s="103">
        <f t="shared" si="98"/>
        <v>536093.59459423891</v>
      </c>
      <c r="S309" s="104">
        <f t="shared" si="90"/>
        <v>0</v>
      </c>
      <c r="T309" s="105">
        <f t="shared" si="99"/>
        <v>0</v>
      </c>
      <c r="U309" s="104">
        <f t="shared" si="100"/>
        <v>0</v>
      </c>
      <c r="V309" s="103">
        <f t="shared" si="101"/>
        <v>0</v>
      </c>
      <c r="W309" s="112"/>
      <c r="X309" s="101">
        <v>17290</v>
      </c>
      <c r="Y309" s="114"/>
      <c r="Z309" s="107">
        <v>782334930</v>
      </c>
      <c r="AA309" s="103">
        <v>1771534.1337791323</v>
      </c>
      <c r="AB309" s="104">
        <f t="shared" si="91"/>
        <v>0</v>
      </c>
      <c r="AC309" s="105">
        <f t="shared" si="102"/>
        <v>0</v>
      </c>
      <c r="AD309" s="114"/>
      <c r="AE309" s="103">
        <v>854728458</v>
      </c>
      <c r="AF309" s="103">
        <v>1973061.0479396961</v>
      </c>
      <c r="AG309" s="104">
        <f t="shared" si="92"/>
        <v>0</v>
      </c>
      <c r="AH309" s="105">
        <f t="shared" si="103"/>
        <v>0</v>
      </c>
      <c r="AI309" s="115"/>
      <c r="AJ309" s="103">
        <v>352046352185</v>
      </c>
      <c r="AK309" s="103">
        <v>685859.04594310001</v>
      </c>
      <c r="AL309" s="104">
        <f t="shared" si="93"/>
        <v>0</v>
      </c>
      <c r="AM309" s="104">
        <f t="shared" si="104"/>
        <v>0</v>
      </c>
      <c r="AN309" s="108">
        <f t="shared" si="105"/>
        <v>0</v>
      </c>
      <c r="AO309" s="101">
        <f t="shared" si="106"/>
        <v>0</v>
      </c>
    </row>
    <row r="310" spans="1:41" ht="15.75" customHeight="1" x14ac:dyDescent="0.3">
      <c r="A310" s="99">
        <v>80101</v>
      </c>
      <c r="B310" s="62" t="s">
        <v>274</v>
      </c>
      <c r="C310" s="62" t="s">
        <v>283</v>
      </c>
      <c r="D310" s="100">
        <v>32418</v>
      </c>
      <c r="E310" s="101">
        <v>112094.25</v>
      </c>
      <c r="F310" s="102">
        <v>30766.975345627008</v>
      </c>
      <c r="G310" s="103">
        <v>62494613</v>
      </c>
      <c r="H310" s="103">
        <f t="shared" si="94"/>
        <v>141318.44343077001</v>
      </c>
      <c r="I310" s="104">
        <f t="shared" ref="I310:I329" si="107">F310/SUM($F$310:$F$329)</f>
        <v>0.87892993340618231</v>
      </c>
      <c r="J310" s="105">
        <f t="shared" si="95"/>
        <v>1.1080765523090794</v>
      </c>
      <c r="K310" s="106">
        <v>1522.2891067481851</v>
      </c>
      <c r="L310" s="107">
        <v>69208298</v>
      </c>
      <c r="M310" s="103">
        <f t="shared" si="96"/>
        <v>187587.48008020129</v>
      </c>
      <c r="N310" s="104">
        <f t="shared" ref="N310:N329" si="108">K310/SUM($K$310:$K$329)</f>
        <v>0.94121799259474925</v>
      </c>
      <c r="O310" s="105">
        <f t="shared" si="97"/>
        <v>1.5751094408231874</v>
      </c>
      <c r="P310" s="102">
        <v>115.7266719820495</v>
      </c>
      <c r="Q310" s="106"/>
      <c r="R310" s="103">
        <f t="shared" si="98"/>
        <v>0</v>
      </c>
      <c r="S310" s="104">
        <f t="shared" ref="S310:S329" si="109">P310/SUM($P$310:$P$329)</f>
        <v>0.9515909616632604</v>
      </c>
      <c r="T310" s="105">
        <f t="shared" si="99"/>
        <v>0</v>
      </c>
      <c r="U310" s="104">
        <f t="shared" si="100"/>
        <v>2.683185993132267</v>
      </c>
      <c r="V310" s="103">
        <f t="shared" si="101"/>
        <v>300769.7215106666</v>
      </c>
      <c r="W310" s="100">
        <v>46738</v>
      </c>
      <c r="X310" s="101">
        <v>128589</v>
      </c>
      <c r="Y310" s="102">
        <v>44820.996486425131</v>
      </c>
      <c r="Z310" s="107">
        <v>88140830</v>
      </c>
      <c r="AA310" s="103">
        <v>199312.37411092999</v>
      </c>
      <c r="AB310" s="104">
        <f t="shared" ref="AB310:AB329" si="110">Y310/SUM($Y$310:$Y$329)</f>
        <v>0.82456787425907574</v>
      </c>
      <c r="AC310" s="105">
        <f t="shared" si="102"/>
        <v>1.2780765122536077</v>
      </c>
      <c r="AD310" s="102">
        <v>1760.0012499840329</v>
      </c>
      <c r="AE310" s="103">
        <v>73585374</v>
      </c>
      <c r="AF310" s="103">
        <v>118292.19145099001</v>
      </c>
      <c r="AG310" s="104">
        <f t="shared" ref="AG310:AG329" si="111">AD310/SUM($AD$310:$AD$329)</f>
        <v>0.87172058888818404</v>
      </c>
      <c r="AH310" s="105">
        <f t="shared" si="103"/>
        <v>0.80191726191611112</v>
      </c>
      <c r="AI310" s="106">
        <v>137.47421197454531</v>
      </c>
      <c r="AJ310" s="106"/>
      <c r="AK310" s="106"/>
      <c r="AL310" s="104">
        <f t="shared" ref="AL310:AL329" si="112">AI310/SUM($AI$310:$AI$329)</f>
        <v>0.90418336518525255</v>
      </c>
      <c r="AM310" s="104">
        <f t="shared" si="104"/>
        <v>0</v>
      </c>
      <c r="AN310" s="108">
        <f t="shared" si="105"/>
        <v>2.079993774169719</v>
      </c>
      <c r="AO310" s="101">
        <f t="shared" si="106"/>
        <v>267464.31942671002</v>
      </c>
    </row>
    <row r="311" spans="1:41" ht="15.75" customHeight="1" x14ac:dyDescent="0.3">
      <c r="A311" s="99">
        <v>80102</v>
      </c>
      <c r="B311" s="62" t="s">
        <v>274</v>
      </c>
      <c r="C311" s="62" t="s">
        <v>832</v>
      </c>
      <c r="D311" s="112">
        <v>1</v>
      </c>
      <c r="E311" s="113">
        <v>5936</v>
      </c>
      <c r="F311" s="114">
        <v>1</v>
      </c>
      <c r="G311" s="103">
        <v>62494613</v>
      </c>
      <c r="H311" s="103">
        <f t="shared" si="94"/>
        <v>141318.44343077001</v>
      </c>
      <c r="I311" s="104">
        <f t="shared" si="107"/>
        <v>2.8567316856224766E-5</v>
      </c>
      <c r="J311" s="105">
        <f t="shared" si="95"/>
        <v>6.8010255241160423E-4</v>
      </c>
      <c r="K311" s="115">
        <v>0</v>
      </c>
      <c r="L311" s="107">
        <v>69208298</v>
      </c>
      <c r="M311" s="103">
        <f t="shared" si="96"/>
        <v>187587.48008020129</v>
      </c>
      <c r="N311" s="104">
        <f t="shared" si="108"/>
        <v>0</v>
      </c>
      <c r="O311" s="105">
        <f t="shared" si="97"/>
        <v>0</v>
      </c>
      <c r="P311" s="114">
        <v>0</v>
      </c>
      <c r="Q311" s="115"/>
      <c r="R311" s="103">
        <f t="shared" si="98"/>
        <v>0</v>
      </c>
      <c r="S311" s="104">
        <f t="shared" si="109"/>
        <v>0</v>
      </c>
      <c r="T311" s="105">
        <f t="shared" si="99"/>
        <v>0</v>
      </c>
      <c r="U311" s="104">
        <f t="shared" si="100"/>
        <v>6.8010255241160423E-4</v>
      </c>
      <c r="V311" s="103">
        <f t="shared" si="101"/>
        <v>4.0370887511152826</v>
      </c>
      <c r="W311" s="112">
        <v>316</v>
      </c>
      <c r="X311" s="101">
        <v>7913</v>
      </c>
      <c r="Y311" s="114">
        <v>311.44594066463662</v>
      </c>
      <c r="Z311" s="107">
        <v>88140830</v>
      </c>
      <c r="AA311" s="103">
        <v>199312.37411092999</v>
      </c>
      <c r="AB311" s="104">
        <f t="shared" si="110"/>
        <v>5.7296431889513394E-3</v>
      </c>
      <c r="AC311" s="105">
        <f t="shared" si="102"/>
        <v>0.14431805722209165</v>
      </c>
      <c r="AD311" s="114">
        <v>4.2385577168336672</v>
      </c>
      <c r="AE311" s="103">
        <v>73585374</v>
      </c>
      <c r="AF311" s="103">
        <v>118292.19145099001</v>
      </c>
      <c r="AG311" s="104">
        <f t="shared" si="111"/>
        <v>2.099338298190596E-3</v>
      </c>
      <c r="AH311" s="105">
        <f t="shared" si="103"/>
        <v>3.1383208377348357E-2</v>
      </c>
      <c r="AI311" s="115">
        <v>0.1671375534197066</v>
      </c>
      <c r="AJ311" s="115"/>
      <c r="AK311" s="115"/>
      <c r="AL311" s="104">
        <f t="shared" si="112"/>
        <v>1.0992825005452086E-3</v>
      </c>
      <c r="AM311" s="104">
        <f t="shared" si="104"/>
        <v>0</v>
      </c>
      <c r="AN311" s="108">
        <f t="shared" si="105"/>
        <v>0.17570126559943999</v>
      </c>
      <c r="AO311" s="101">
        <f t="shared" si="106"/>
        <v>1390.3241146883688</v>
      </c>
    </row>
    <row r="312" spans="1:41" ht="15.75" customHeight="1" x14ac:dyDescent="0.3">
      <c r="A312" s="99">
        <v>80201</v>
      </c>
      <c r="B312" s="62" t="s">
        <v>274</v>
      </c>
      <c r="C312" s="62" t="s">
        <v>277</v>
      </c>
      <c r="D312" s="100">
        <v>3627</v>
      </c>
      <c r="E312" s="101">
        <v>94342</v>
      </c>
      <c r="F312" s="102">
        <v>3551.1233950728802</v>
      </c>
      <c r="G312" s="103">
        <v>62494613</v>
      </c>
      <c r="H312" s="103">
        <f t="shared" si="94"/>
        <v>141318.44343077001</v>
      </c>
      <c r="I312" s="104">
        <f t="shared" si="107"/>
        <v>0.10144606722259962</v>
      </c>
      <c r="J312" s="105">
        <f t="shared" si="95"/>
        <v>0.15195989391862624</v>
      </c>
      <c r="K312" s="106">
        <v>69.346591579522311</v>
      </c>
      <c r="L312" s="107">
        <v>69208298</v>
      </c>
      <c r="M312" s="103">
        <f t="shared" si="96"/>
        <v>187587.48008020129</v>
      </c>
      <c r="N312" s="104">
        <f t="shared" si="108"/>
        <v>4.2876388874116045E-2</v>
      </c>
      <c r="O312" s="105">
        <f t="shared" si="97"/>
        <v>8.5254433272924118E-2</v>
      </c>
      <c r="P312" s="102">
        <v>4.8513378162039169</v>
      </c>
      <c r="Q312" s="106"/>
      <c r="R312" s="103">
        <f t="shared" si="98"/>
        <v>0</v>
      </c>
      <c r="S312" s="104">
        <f t="shared" si="109"/>
        <v>3.9891315794434112E-2</v>
      </c>
      <c r="T312" s="105">
        <f t="shared" si="99"/>
        <v>0</v>
      </c>
      <c r="U312" s="104">
        <f t="shared" si="100"/>
        <v>0.23721432719155036</v>
      </c>
      <c r="V312" s="103">
        <f t="shared" si="101"/>
        <v>22379.274055905244</v>
      </c>
      <c r="W312" s="100">
        <v>6592</v>
      </c>
      <c r="X312" s="101">
        <v>110302</v>
      </c>
      <c r="Y312" s="102">
        <v>6408.3732206185823</v>
      </c>
      <c r="Z312" s="107">
        <v>88140830</v>
      </c>
      <c r="AA312" s="103">
        <v>199312.37411092999</v>
      </c>
      <c r="AB312" s="104">
        <f t="shared" si="110"/>
        <v>0.11789427050299184</v>
      </c>
      <c r="AC312" s="105">
        <f t="shared" si="102"/>
        <v>0.21303137701970487</v>
      </c>
      <c r="AD312" s="102">
        <v>170.17164740066889</v>
      </c>
      <c r="AE312" s="103">
        <v>73585374</v>
      </c>
      <c r="AF312" s="103">
        <v>118292.19145099001</v>
      </c>
      <c r="AG312" s="104">
        <f t="shared" si="111"/>
        <v>8.4285240527828764E-2</v>
      </c>
      <c r="AH312" s="105">
        <f t="shared" si="103"/>
        <v>9.039079807266108E-2</v>
      </c>
      <c r="AI312" s="106">
        <v>10.443636222059769</v>
      </c>
      <c r="AJ312" s="106"/>
      <c r="AK312" s="106"/>
      <c r="AL312" s="104">
        <f t="shared" si="112"/>
        <v>6.8688970886998477E-2</v>
      </c>
      <c r="AM312" s="104">
        <f t="shared" si="104"/>
        <v>0</v>
      </c>
      <c r="AN312" s="108">
        <f t="shared" si="105"/>
        <v>0.30342217509236596</v>
      </c>
      <c r="AO312" s="101">
        <f t="shared" si="106"/>
        <v>33468.07275703815</v>
      </c>
    </row>
    <row r="313" spans="1:41" ht="15.75" customHeight="1" x14ac:dyDescent="0.3">
      <c r="A313" s="99">
        <v>80202</v>
      </c>
      <c r="B313" s="62" t="s">
        <v>274</v>
      </c>
      <c r="C313" s="62" t="s">
        <v>836</v>
      </c>
      <c r="D313" s="112">
        <v>7</v>
      </c>
      <c r="E313" s="113">
        <v>41868.25</v>
      </c>
      <c r="F313" s="114">
        <v>3</v>
      </c>
      <c r="G313" s="103">
        <v>62494613</v>
      </c>
      <c r="H313" s="103">
        <f t="shared" si="94"/>
        <v>141318.44343077001</v>
      </c>
      <c r="I313" s="104">
        <f t="shared" si="107"/>
        <v>8.5701950568674309E-5</v>
      </c>
      <c r="J313" s="105">
        <f t="shared" si="95"/>
        <v>2.8927089747830034E-4</v>
      </c>
      <c r="K313" s="115">
        <v>4</v>
      </c>
      <c r="L313" s="107">
        <v>69208298</v>
      </c>
      <c r="M313" s="103">
        <f t="shared" si="96"/>
        <v>187587.48008020129</v>
      </c>
      <c r="N313" s="104">
        <f t="shared" si="108"/>
        <v>2.4731648894350112E-3</v>
      </c>
      <c r="O313" s="105">
        <f t="shared" si="97"/>
        <v>1.1080825432922164E-2</v>
      </c>
      <c r="P313" s="114">
        <v>0</v>
      </c>
      <c r="Q313" s="115"/>
      <c r="R313" s="103">
        <f t="shared" si="98"/>
        <v>0</v>
      </c>
      <c r="S313" s="104">
        <f t="shared" si="109"/>
        <v>0</v>
      </c>
      <c r="T313" s="105">
        <f t="shared" si="99"/>
        <v>0</v>
      </c>
      <c r="U313" s="104">
        <f t="shared" si="100"/>
        <v>1.1370096330400464E-2</v>
      </c>
      <c r="V313" s="103">
        <f t="shared" si="101"/>
        <v>476.04603568528921</v>
      </c>
      <c r="W313" s="112">
        <v>6</v>
      </c>
      <c r="X313" s="101">
        <v>42031</v>
      </c>
      <c r="Y313" s="114">
        <v>2</v>
      </c>
      <c r="Z313" s="107">
        <v>88140830</v>
      </c>
      <c r="AA313" s="103">
        <v>199312.37411092999</v>
      </c>
      <c r="AB313" s="104">
        <f t="shared" si="110"/>
        <v>3.6793821596929974E-5</v>
      </c>
      <c r="AC313" s="105">
        <f t="shared" si="102"/>
        <v>1.7447750315476964E-4</v>
      </c>
      <c r="AD313" s="114">
        <v>4</v>
      </c>
      <c r="AE313" s="103">
        <v>73585374</v>
      </c>
      <c r="AF313" s="103">
        <v>118292.19145099001</v>
      </c>
      <c r="AG313" s="104">
        <f t="shared" si="111"/>
        <v>1.9811817494927177E-3</v>
      </c>
      <c r="AH313" s="105">
        <f t="shared" si="103"/>
        <v>5.5758447529252195E-3</v>
      </c>
      <c r="AI313" s="115">
        <v>0</v>
      </c>
      <c r="AJ313" s="115"/>
      <c r="AK313" s="115"/>
      <c r="AL313" s="104">
        <f t="shared" si="112"/>
        <v>0</v>
      </c>
      <c r="AM313" s="104">
        <f t="shared" si="104"/>
        <v>0</v>
      </c>
      <c r="AN313" s="108">
        <f t="shared" si="105"/>
        <v>5.7503222560799892E-3</v>
      </c>
      <c r="AO313" s="101">
        <f t="shared" si="106"/>
        <v>241.69179474529801</v>
      </c>
    </row>
    <row r="314" spans="1:41" ht="15.75" customHeight="1" x14ac:dyDescent="0.3">
      <c r="A314" s="99">
        <v>80301</v>
      </c>
      <c r="B314" s="62" t="s">
        <v>274</v>
      </c>
      <c r="C314" s="62" t="s">
        <v>837</v>
      </c>
      <c r="D314" s="112"/>
      <c r="E314" s="113">
        <v>12804</v>
      </c>
      <c r="F314" s="114"/>
      <c r="G314" s="103">
        <v>62494613</v>
      </c>
      <c r="H314" s="103">
        <f t="shared" si="94"/>
        <v>141318.44343077001</v>
      </c>
      <c r="I314" s="104">
        <f t="shared" si="107"/>
        <v>0</v>
      </c>
      <c r="J314" s="105">
        <f t="shared" si="95"/>
        <v>0</v>
      </c>
      <c r="K314" s="115"/>
      <c r="L314" s="107">
        <v>69208298</v>
      </c>
      <c r="M314" s="103">
        <f t="shared" si="96"/>
        <v>187587.48008020129</v>
      </c>
      <c r="N314" s="104">
        <f t="shared" si="108"/>
        <v>0</v>
      </c>
      <c r="O314" s="105">
        <f t="shared" si="97"/>
        <v>0</v>
      </c>
      <c r="P314" s="114"/>
      <c r="Q314" s="115"/>
      <c r="R314" s="103">
        <f t="shared" si="98"/>
        <v>0</v>
      </c>
      <c r="S314" s="104">
        <f t="shared" si="109"/>
        <v>0</v>
      </c>
      <c r="T314" s="105">
        <f t="shared" si="99"/>
        <v>0</v>
      </c>
      <c r="U314" s="104">
        <f t="shared" si="100"/>
        <v>0</v>
      </c>
      <c r="V314" s="103">
        <f t="shared" si="101"/>
        <v>0</v>
      </c>
      <c r="W314" s="112"/>
      <c r="X314" s="101">
        <v>11478</v>
      </c>
      <c r="Y314" s="114"/>
      <c r="Z314" s="107">
        <v>88140830</v>
      </c>
      <c r="AA314" s="103">
        <v>199312.37411092999</v>
      </c>
      <c r="AB314" s="104">
        <f t="shared" si="110"/>
        <v>0</v>
      </c>
      <c r="AC314" s="105">
        <f t="shared" si="102"/>
        <v>0</v>
      </c>
      <c r="AD314" s="114"/>
      <c r="AE314" s="103">
        <v>73585374</v>
      </c>
      <c r="AF314" s="103">
        <v>118292.19145099001</v>
      </c>
      <c r="AG314" s="104">
        <f t="shared" si="111"/>
        <v>0</v>
      </c>
      <c r="AH314" s="105">
        <f t="shared" si="103"/>
        <v>0</v>
      </c>
      <c r="AI314" s="115"/>
      <c r="AJ314" s="115"/>
      <c r="AK314" s="115"/>
      <c r="AL314" s="104">
        <f t="shared" si="112"/>
        <v>0</v>
      </c>
      <c r="AM314" s="104">
        <f t="shared" si="104"/>
        <v>0</v>
      </c>
      <c r="AN314" s="108">
        <f t="shared" si="105"/>
        <v>0</v>
      </c>
      <c r="AO314" s="101">
        <f t="shared" si="106"/>
        <v>0</v>
      </c>
    </row>
    <row r="315" spans="1:41" ht="15.75" customHeight="1" x14ac:dyDescent="0.3">
      <c r="A315" s="99">
        <v>80302</v>
      </c>
      <c r="B315" s="62" t="s">
        <v>274</v>
      </c>
      <c r="C315" s="62" t="s">
        <v>278</v>
      </c>
      <c r="D315" s="100">
        <v>230</v>
      </c>
      <c r="E315" s="101">
        <v>42097.5</v>
      </c>
      <c r="F315" s="102">
        <v>217.43262789721271</v>
      </c>
      <c r="G315" s="103">
        <v>62494613</v>
      </c>
      <c r="H315" s="103">
        <f t="shared" si="94"/>
        <v>141318.44343077001</v>
      </c>
      <c r="I315" s="104">
        <f t="shared" si="107"/>
        <v>6.2114667760212921E-3</v>
      </c>
      <c r="J315" s="105">
        <f t="shared" si="95"/>
        <v>2.0851471375004985E-2</v>
      </c>
      <c r="K315" s="106">
        <v>12.008102648328929</v>
      </c>
      <c r="L315" s="107">
        <v>69208298</v>
      </c>
      <c r="M315" s="103">
        <f t="shared" si="96"/>
        <v>187587.48008020129</v>
      </c>
      <c r="N315" s="104">
        <f t="shared" si="108"/>
        <v>7.4245044646446701E-3</v>
      </c>
      <c r="O315" s="105">
        <f t="shared" si="97"/>
        <v>3.3083771800389516E-2</v>
      </c>
      <c r="P315" s="102">
        <v>0.46003256322586822</v>
      </c>
      <c r="Q315" s="106"/>
      <c r="R315" s="103">
        <f t="shared" si="98"/>
        <v>0</v>
      </c>
      <c r="S315" s="104">
        <f t="shared" si="109"/>
        <v>3.7827306509291177E-3</v>
      </c>
      <c r="T315" s="105">
        <f t="shared" si="99"/>
        <v>0</v>
      </c>
      <c r="U315" s="104">
        <f t="shared" si="100"/>
        <v>5.3935243175394498E-2</v>
      </c>
      <c r="V315" s="103">
        <f t="shared" si="101"/>
        <v>2270.53889957617</v>
      </c>
      <c r="W315" s="100">
        <v>468</v>
      </c>
      <c r="X315" s="101">
        <v>45798</v>
      </c>
      <c r="Y315" s="102">
        <v>441.36184133960359</v>
      </c>
      <c r="Z315" s="107">
        <v>88140830</v>
      </c>
      <c r="AA315" s="103">
        <v>199312.37411092999</v>
      </c>
      <c r="AB315" s="104">
        <f t="shared" si="110"/>
        <v>8.1196944249709441E-3</v>
      </c>
      <c r="AC315" s="105">
        <f t="shared" si="102"/>
        <v>3.5336817609857227E-2</v>
      </c>
      <c r="AD315" s="102">
        <v>25.416600186229338</v>
      </c>
      <c r="AE315" s="103">
        <v>73585374</v>
      </c>
      <c r="AF315" s="103">
        <v>118292.19145099001</v>
      </c>
      <c r="AG315" s="104">
        <f t="shared" si="111"/>
        <v>1.2588726105777694E-2</v>
      </c>
      <c r="AH315" s="105">
        <f t="shared" si="103"/>
        <v>3.2515568335489124E-2</v>
      </c>
      <c r="AI315" s="106">
        <v>1.020137061269401</v>
      </c>
      <c r="AJ315" s="106"/>
      <c r="AK315" s="106"/>
      <c r="AL315" s="104">
        <f t="shared" si="112"/>
        <v>6.7095562706666091E-3</v>
      </c>
      <c r="AM315" s="104">
        <f t="shared" si="104"/>
        <v>0</v>
      </c>
      <c r="AN315" s="108">
        <f t="shared" si="105"/>
        <v>6.7852385945346344E-2</v>
      </c>
      <c r="AO315" s="101">
        <f t="shared" si="106"/>
        <v>3107.5035715249724</v>
      </c>
    </row>
    <row r="316" spans="1:41" ht="15.75" customHeight="1" x14ac:dyDescent="0.3">
      <c r="A316" s="99">
        <v>80303</v>
      </c>
      <c r="B316" s="62" t="s">
        <v>274</v>
      </c>
      <c r="C316" s="62" t="s">
        <v>824</v>
      </c>
      <c r="D316" s="112"/>
      <c r="E316" s="113">
        <v>9889</v>
      </c>
      <c r="F316" s="114"/>
      <c r="G316" s="103">
        <v>62494613</v>
      </c>
      <c r="H316" s="103">
        <f t="shared" si="94"/>
        <v>141318.44343077001</v>
      </c>
      <c r="I316" s="104">
        <f t="shared" si="107"/>
        <v>0</v>
      </c>
      <c r="J316" s="105">
        <f t="shared" si="95"/>
        <v>0</v>
      </c>
      <c r="K316" s="115"/>
      <c r="L316" s="107">
        <v>69208298</v>
      </c>
      <c r="M316" s="103">
        <f t="shared" si="96"/>
        <v>187587.48008020129</v>
      </c>
      <c r="N316" s="104">
        <f t="shared" si="108"/>
        <v>0</v>
      </c>
      <c r="O316" s="105">
        <f t="shared" si="97"/>
        <v>0</v>
      </c>
      <c r="P316" s="114"/>
      <c r="Q316" s="115"/>
      <c r="R316" s="103">
        <f t="shared" si="98"/>
        <v>0</v>
      </c>
      <c r="S316" s="104">
        <f t="shared" si="109"/>
        <v>0</v>
      </c>
      <c r="T316" s="105">
        <f t="shared" si="99"/>
        <v>0</v>
      </c>
      <c r="U316" s="104">
        <f t="shared" si="100"/>
        <v>0</v>
      </c>
      <c r="V316" s="103">
        <f t="shared" si="101"/>
        <v>0</v>
      </c>
      <c r="W316" s="112"/>
      <c r="X316" s="101">
        <v>11122</v>
      </c>
      <c r="Y316" s="114"/>
      <c r="Z316" s="107">
        <v>88140830</v>
      </c>
      <c r="AA316" s="103">
        <v>199312.37411092999</v>
      </c>
      <c r="AB316" s="104">
        <f t="shared" si="110"/>
        <v>0</v>
      </c>
      <c r="AC316" s="105">
        <f t="shared" si="102"/>
        <v>0</v>
      </c>
      <c r="AD316" s="114"/>
      <c r="AE316" s="103">
        <v>73585374</v>
      </c>
      <c r="AF316" s="103">
        <v>118292.19145099001</v>
      </c>
      <c r="AG316" s="104">
        <f t="shared" si="111"/>
        <v>0</v>
      </c>
      <c r="AH316" s="105">
        <f t="shared" si="103"/>
        <v>0</v>
      </c>
      <c r="AI316" s="115"/>
      <c r="AJ316" s="115"/>
      <c r="AK316" s="115"/>
      <c r="AL316" s="104">
        <f t="shared" si="112"/>
        <v>0</v>
      </c>
      <c r="AM316" s="104">
        <f t="shared" si="104"/>
        <v>0</v>
      </c>
      <c r="AN316" s="108">
        <f t="shared" si="105"/>
        <v>0</v>
      </c>
      <c r="AO316" s="101">
        <f t="shared" si="106"/>
        <v>0</v>
      </c>
    </row>
    <row r="317" spans="1:41" ht="15.75" customHeight="1" x14ac:dyDescent="0.3">
      <c r="A317" s="99">
        <v>80304</v>
      </c>
      <c r="B317" s="62" t="s">
        <v>274</v>
      </c>
      <c r="C317" s="62" t="s">
        <v>838</v>
      </c>
      <c r="D317" s="121">
        <v>435</v>
      </c>
      <c r="E317" s="113">
        <v>19706.25</v>
      </c>
      <c r="F317" s="114">
        <v>427.68090252522052</v>
      </c>
      <c r="G317" s="103">
        <v>62494613</v>
      </c>
      <c r="H317" s="103">
        <f t="shared" si="94"/>
        <v>141318.44343077001</v>
      </c>
      <c r="I317" s="104">
        <f t="shared" si="107"/>
        <v>1.2217695855794153E-2</v>
      </c>
      <c r="J317" s="105">
        <f t="shared" si="95"/>
        <v>8.7616150239208337E-2</v>
      </c>
      <c r="K317" s="115">
        <v>6.5740250418380484</v>
      </c>
      <c r="L317" s="107">
        <v>69208298</v>
      </c>
      <c r="M317" s="103">
        <f t="shared" si="96"/>
        <v>187587.48008020129</v>
      </c>
      <c r="N317" s="104">
        <f t="shared" si="108"/>
        <v>4.0646619789350977E-3</v>
      </c>
      <c r="O317" s="105">
        <f t="shared" si="97"/>
        <v>3.8692277729463459E-2</v>
      </c>
      <c r="P317" s="114">
        <v>0.54414229178252937</v>
      </c>
      <c r="Q317" s="115"/>
      <c r="R317" s="103">
        <f t="shared" si="98"/>
        <v>0</v>
      </c>
      <c r="S317" s="104">
        <f t="shared" si="109"/>
        <v>4.4743435359422094E-3</v>
      </c>
      <c r="T317" s="105">
        <f t="shared" si="99"/>
        <v>0</v>
      </c>
      <c r="U317" s="104">
        <f t="shared" si="100"/>
        <v>0.12630842796867181</v>
      </c>
      <c r="V317" s="103">
        <f t="shared" si="101"/>
        <v>2489.0654586576384</v>
      </c>
      <c r="W317" s="121">
        <v>1040</v>
      </c>
      <c r="X317" s="101">
        <v>21240</v>
      </c>
      <c r="Y317" s="114">
        <v>1017.3060842069665</v>
      </c>
      <c r="Z317" s="107">
        <v>88140830</v>
      </c>
      <c r="AA317" s="103">
        <v>199312.37411092999</v>
      </c>
      <c r="AB317" s="104">
        <f t="shared" si="110"/>
        <v>1.8715289285891272E-2</v>
      </c>
      <c r="AC317" s="105">
        <f t="shared" si="102"/>
        <v>0.17562093878266671</v>
      </c>
      <c r="AD317" s="114">
        <v>21.256757203866478</v>
      </c>
      <c r="AE317" s="103">
        <v>73585374</v>
      </c>
      <c r="AF317" s="103">
        <v>118292.19145099001</v>
      </c>
      <c r="AG317" s="104">
        <f t="shared" si="111"/>
        <v>1.0528374856424529E-2</v>
      </c>
      <c r="AH317" s="105">
        <f t="shared" si="103"/>
        <v>5.8635806694160068E-2</v>
      </c>
      <c r="AI317" s="115">
        <v>0.95276465473511585</v>
      </c>
      <c r="AJ317" s="115"/>
      <c r="AK317" s="115"/>
      <c r="AL317" s="104">
        <f t="shared" si="112"/>
        <v>6.2664403699762439E-3</v>
      </c>
      <c r="AM317" s="104">
        <f t="shared" si="104"/>
        <v>0</v>
      </c>
      <c r="AN317" s="108">
        <f t="shared" si="105"/>
        <v>0.23425674547682679</v>
      </c>
      <c r="AO317" s="101">
        <f t="shared" si="106"/>
        <v>4975.6132739278009</v>
      </c>
    </row>
    <row r="318" spans="1:41" ht="15.75" customHeight="1" x14ac:dyDescent="0.3">
      <c r="A318" s="99">
        <v>80401</v>
      </c>
      <c r="B318" s="62" t="s">
        <v>274</v>
      </c>
      <c r="C318" s="62" t="s">
        <v>839</v>
      </c>
      <c r="D318" s="112">
        <v>38</v>
      </c>
      <c r="E318" s="113">
        <v>17323.75</v>
      </c>
      <c r="F318" s="114">
        <v>36</v>
      </c>
      <c r="G318" s="103">
        <v>62494613</v>
      </c>
      <c r="H318" s="103">
        <f t="shared" si="94"/>
        <v>141318.44343077001</v>
      </c>
      <c r="I318" s="104">
        <f t="shared" si="107"/>
        <v>1.0284234068240917E-3</v>
      </c>
      <c r="J318" s="105">
        <f t="shared" si="95"/>
        <v>8.3893611394848227E-3</v>
      </c>
      <c r="K318" s="115">
        <v>2</v>
      </c>
      <c r="L318" s="107">
        <v>69208298</v>
      </c>
      <c r="M318" s="103">
        <f t="shared" si="96"/>
        <v>187587.48008020129</v>
      </c>
      <c r="N318" s="104">
        <f t="shared" si="108"/>
        <v>1.2365824447175056E-3</v>
      </c>
      <c r="O318" s="105">
        <f t="shared" si="97"/>
        <v>1.3390136934322632E-2</v>
      </c>
      <c r="P318" s="114">
        <v>0</v>
      </c>
      <c r="Q318" s="115"/>
      <c r="R318" s="103">
        <f t="shared" si="98"/>
        <v>0</v>
      </c>
      <c r="S318" s="104">
        <f t="shared" si="109"/>
        <v>0</v>
      </c>
      <c r="T318" s="105">
        <f t="shared" si="99"/>
        <v>0</v>
      </c>
      <c r="U318" s="104">
        <f t="shared" si="100"/>
        <v>2.1779498073807455E-2</v>
      </c>
      <c r="V318" s="103">
        <f t="shared" si="101"/>
        <v>377.30257975612187</v>
      </c>
      <c r="W318" s="112">
        <v>554</v>
      </c>
      <c r="X318" s="101">
        <v>18088</v>
      </c>
      <c r="Y318" s="114">
        <v>522.2806447811007</v>
      </c>
      <c r="Z318" s="107">
        <v>88140830</v>
      </c>
      <c r="AA318" s="103">
        <v>199312.37411092999</v>
      </c>
      <c r="AB318" s="104">
        <f t="shared" si="110"/>
        <v>9.6083504338026881E-3</v>
      </c>
      <c r="AC318" s="105">
        <f t="shared" si="102"/>
        <v>0.10587478639158546</v>
      </c>
      <c r="AD318" s="114">
        <v>30.068920814569374</v>
      </c>
      <c r="AE318" s="103">
        <v>73585374</v>
      </c>
      <c r="AF318" s="103">
        <v>118292.19145099001</v>
      </c>
      <c r="AG318" s="104">
        <f t="shared" si="111"/>
        <v>1.4892999286191635E-2</v>
      </c>
      <c r="AH318" s="105">
        <f t="shared" si="103"/>
        <v>9.7397474725875635E-2</v>
      </c>
      <c r="AI318" s="115">
        <v>1.4180628718894461</v>
      </c>
      <c r="AJ318" s="115"/>
      <c r="AK318" s="115"/>
      <c r="AL318" s="104">
        <f t="shared" si="112"/>
        <v>9.3267591145506836E-3</v>
      </c>
      <c r="AM318" s="104">
        <f t="shared" si="104"/>
        <v>0</v>
      </c>
      <c r="AN318" s="108">
        <f t="shared" si="105"/>
        <v>0.20327226111746111</v>
      </c>
      <c r="AO318" s="101">
        <f t="shared" si="106"/>
        <v>3676.7886590926364</v>
      </c>
    </row>
    <row r="319" spans="1:41" ht="15.75" customHeight="1" x14ac:dyDescent="0.3">
      <c r="A319" s="99">
        <v>80402</v>
      </c>
      <c r="B319" s="62" t="s">
        <v>274</v>
      </c>
      <c r="C319" s="62" t="s">
        <v>840</v>
      </c>
      <c r="D319" s="112"/>
      <c r="E319" s="113">
        <v>6774.5</v>
      </c>
      <c r="F319" s="114"/>
      <c r="G319" s="103">
        <v>62494613</v>
      </c>
      <c r="H319" s="103">
        <f t="shared" si="94"/>
        <v>141318.44343077001</v>
      </c>
      <c r="I319" s="104">
        <f t="shared" si="107"/>
        <v>0</v>
      </c>
      <c r="J319" s="105">
        <f t="shared" si="95"/>
        <v>0</v>
      </c>
      <c r="K319" s="115"/>
      <c r="L319" s="107">
        <v>69208298</v>
      </c>
      <c r="M319" s="103">
        <f t="shared" si="96"/>
        <v>187587.48008020129</v>
      </c>
      <c r="N319" s="104">
        <f t="shared" si="108"/>
        <v>0</v>
      </c>
      <c r="O319" s="105">
        <f t="shared" si="97"/>
        <v>0</v>
      </c>
      <c r="P319" s="114"/>
      <c r="Q319" s="115"/>
      <c r="R319" s="103">
        <f t="shared" si="98"/>
        <v>0</v>
      </c>
      <c r="S319" s="104">
        <f t="shared" si="109"/>
        <v>0</v>
      </c>
      <c r="T319" s="105">
        <f t="shared" si="99"/>
        <v>0</v>
      </c>
      <c r="U319" s="104">
        <f t="shared" si="100"/>
        <v>0</v>
      </c>
      <c r="V319" s="103">
        <f t="shared" si="101"/>
        <v>0</v>
      </c>
      <c r="W319" s="112"/>
      <c r="X319" s="101">
        <v>8012</v>
      </c>
      <c r="Y319" s="114"/>
      <c r="Z319" s="107">
        <v>88140830</v>
      </c>
      <c r="AA319" s="103">
        <v>199312.37411092999</v>
      </c>
      <c r="AB319" s="104">
        <f t="shared" si="110"/>
        <v>0</v>
      </c>
      <c r="AC319" s="105">
        <f t="shared" si="102"/>
        <v>0</v>
      </c>
      <c r="AD319" s="114"/>
      <c r="AE319" s="103">
        <v>73585374</v>
      </c>
      <c r="AF319" s="103">
        <v>118292.19145099001</v>
      </c>
      <c r="AG319" s="104">
        <f t="shared" si="111"/>
        <v>0</v>
      </c>
      <c r="AH319" s="105">
        <f t="shared" si="103"/>
        <v>0</v>
      </c>
      <c r="AI319" s="115"/>
      <c r="AJ319" s="115"/>
      <c r="AK319" s="115"/>
      <c r="AL319" s="104">
        <f t="shared" si="112"/>
        <v>0</v>
      </c>
      <c r="AM319" s="104">
        <f t="shared" si="104"/>
        <v>0</v>
      </c>
      <c r="AN319" s="108">
        <f t="shared" si="105"/>
        <v>0</v>
      </c>
      <c r="AO319" s="101">
        <f t="shared" si="106"/>
        <v>0</v>
      </c>
    </row>
    <row r="320" spans="1:41" ht="15.75" customHeight="1" x14ac:dyDescent="0.3">
      <c r="A320" s="99">
        <v>80501</v>
      </c>
      <c r="B320" s="62" t="s">
        <v>274</v>
      </c>
      <c r="C320" s="62" t="s">
        <v>822</v>
      </c>
      <c r="D320" s="112">
        <v>1</v>
      </c>
      <c r="E320" s="113">
        <v>19835</v>
      </c>
      <c r="F320" s="114">
        <v>1</v>
      </c>
      <c r="G320" s="103">
        <v>62494613</v>
      </c>
      <c r="H320" s="103">
        <f t="shared" si="94"/>
        <v>141318.44343077001</v>
      </c>
      <c r="I320" s="104">
        <f t="shared" si="107"/>
        <v>2.8567316856224766E-5</v>
      </c>
      <c r="J320" s="105">
        <f t="shared" si="95"/>
        <v>2.0353358967054613E-4</v>
      </c>
      <c r="K320" s="115">
        <v>0</v>
      </c>
      <c r="L320" s="107">
        <v>69208298</v>
      </c>
      <c r="M320" s="103">
        <f t="shared" si="96"/>
        <v>187587.48008020129</v>
      </c>
      <c r="N320" s="104">
        <f t="shared" si="108"/>
        <v>0</v>
      </c>
      <c r="O320" s="105">
        <f t="shared" si="97"/>
        <v>0</v>
      </c>
      <c r="P320" s="114">
        <v>0</v>
      </c>
      <c r="Q320" s="115"/>
      <c r="R320" s="103">
        <f t="shared" si="98"/>
        <v>0</v>
      </c>
      <c r="S320" s="104">
        <f t="shared" si="109"/>
        <v>0</v>
      </c>
      <c r="T320" s="105">
        <f t="shared" si="99"/>
        <v>0</v>
      </c>
      <c r="U320" s="104">
        <f t="shared" si="100"/>
        <v>2.0353358967054613E-4</v>
      </c>
      <c r="V320" s="103">
        <f t="shared" si="101"/>
        <v>4.0370887511152826</v>
      </c>
      <c r="W320" s="112">
        <v>1</v>
      </c>
      <c r="X320" s="101">
        <v>21584</v>
      </c>
      <c r="Y320" s="114">
        <v>1</v>
      </c>
      <c r="Z320" s="107">
        <v>88140830</v>
      </c>
      <c r="AA320" s="103">
        <v>199312.37411092999</v>
      </c>
      <c r="AB320" s="104">
        <f t="shared" si="110"/>
        <v>1.8396910798464987E-5</v>
      </c>
      <c r="AC320" s="105">
        <f t="shared" si="102"/>
        <v>1.6988194808881862E-4</v>
      </c>
      <c r="AD320" s="114">
        <v>0</v>
      </c>
      <c r="AE320" s="103">
        <v>73585374</v>
      </c>
      <c r="AF320" s="103">
        <v>118292.19145099001</v>
      </c>
      <c r="AG320" s="104">
        <f t="shared" si="111"/>
        <v>0</v>
      </c>
      <c r="AH320" s="105">
        <f t="shared" si="103"/>
        <v>0</v>
      </c>
      <c r="AI320" s="115">
        <v>0</v>
      </c>
      <c r="AJ320" s="115"/>
      <c r="AK320" s="115"/>
      <c r="AL320" s="104">
        <f t="shared" si="112"/>
        <v>0</v>
      </c>
      <c r="AM320" s="104">
        <f t="shared" si="104"/>
        <v>0</v>
      </c>
      <c r="AN320" s="108">
        <f t="shared" si="105"/>
        <v>1.6988194808881862E-4</v>
      </c>
      <c r="AO320" s="101">
        <f t="shared" si="106"/>
        <v>3.6667319675490613</v>
      </c>
    </row>
    <row r="321" spans="1:41" ht="15.75" customHeight="1" x14ac:dyDescent="0.3">
      <c r="A321" s="99">
        <v>80601</v>
      </c>
      <c r="B321" s="62" t="s">
        <v>274</v>
      </c>
      <c r="C321" s="62" t="s">
        <v>841</v>
      </c>
      <c r="D321" s="112"/>
      <c r="E321" s="113">
        <v>3938.25</v>
      </c>
      <c r="F321" s="114"/>
      <c r="G321" s="103">
        <v>62494613</v>
      </c>
      <c r="H321" s="103">
        <f t="shared" si="94"/>
        <v>141318.44343077001</v>
      </c>
      <c r="I321" s="104">
        <f t="shared" si="107"/>
        <v>0</v>
      </c>
      <c r="J321" s="105">
        <f t="shared" si="95"/>
        <v>0</v>
      </c>
      <c r="K321" s="115"/>
      <c r="L321" s="107">
        <v>69208298</v>
      </c>
      <c r="M321" s="103">
        <f t="shared" si="96"/>
        <v>187587.48008020129</v>
      </c>
      <c r="N321" s="104">
        <f t="shared" si="108"/>
        <v>0</v>
      </c>
      <c r="O321" s="105">
        <f t="shared" si="97"/>
        <v>0</v>
      </c>
      <c r="P321" s="114"/>
      <c r="Q321" s="115"/>
      <c r="R321" s="103">
        <f t="shared" si="98"/>
        <v>0</v>
      </c>
      <c r="S321" s="104">
        <f t="shared" si="109"/>
        <v>0</v>
      </c>
      <c r="T321" s="105">
        <f t="shared" si="99"/>
        <v>0</v>
      </c>
      <c r="U321" s="104">
        <f t="shared" si="100"/>
        <v>0</v>
      </c>
      <c r="V321" s="103">
        <f t="shared" si="101"/>
        <v>0</v>
      </c>
      <c r="W321" s="112"/>
      <c r="X321" s="101">
        <v>4269</v>
      </c>
      <c r="Y321" s="114"/>
      <c r="Z321" s="107">
        <v>88140830</v>
      </c>
      <c r="AA321" s="103">
        <v>199312.37411092999</v>
      </c>
      <c r="AB321" s="104">
        <f t="shared" si="110"/>
        <v>0</v>
      </c>
      <c r="AC321" s="105">
        <f t="shared" si="102"/>
        <v>0</v>
      </c>
      <c r="AD321" s="114"/>
      <c r="AE321" s="103">
        <v>73585374</v>
      </c>
      <c r="AF321" s="103">
        <v>118292.19145099001</v>
      </c>
      <c r="AG321" s="104">
        <f t="shared" si="111"/>
        <v>0</v>
      </c>
      <c r="AH321" s="105">
        <f t="shared" si="103"/>
        <v>0</v>
      </c>
      <c r="AI321" s="115"/>
      <c r="AJ321" s="115"/>
      <c r="AK321" s="115"/>
      <c r="AL321" s="104">
        <f t="shared" si="112"/>
        <v>0</v>
      </c>
      <c r="AM321" s="104">
        <f t="shared" si="104"/>
        <v>0</v>
      </c>
      <c r="AN321" s="108">
        <f t="shared" si="105"/>
        <v>0</v>
      </c>
      <c r="AO321" s="101">
        <f t="shared" si="106"/>
        <v>0</v>
      </c>
    </row>
    <row r="322" spans="1:41" ht="15.75" customHeight="1" x14ac:dyDescent="0.3">
      <c r="A322" s="99">
        <v>80602</v>
      </c>
      <c r="B322" s="62" t="s">
        <v>274</v>
      </c>
      <c r="C322" s="62" t="s">
        <v>693</v>
      </c>
      <c r="D322" s="112"/>
      <c r="E322" s="113">
        <v>13269.75</v>
      </c>
      <c r="F322" s="114"/>
      <c r="G322" s="103">
        <v>62494613</v>
      </c>
      <c r="H322" s="103">
        <f t="shared" si="94"/>
        <v>141318.44343077001</v>
      </c>
      <c r="I322" s="104">
        <f t="shared" si="107"/>
        <v>0</v>
      </c>
      <c r="J322" s="105">
        <f t="shared" si="95"/>
        <v>0</v>
      </c>
      <c r="K322" s="115"/>
      <c r="L322" s="107">
        <v>69208298</v>
      </c>
      <c r="M322" s="103">
        <f t="shared" si="96"/>
        <v>187587.48008020129</v>
      </c>
      <c r="N322" s="104">
        <f t="shared" si="108"/>
        <v>0</v>
      </c>
      <c r="O322" s="105">
        <f t="shared" si="97"/>
        <v>0</v>
      </c>
      <c r="P322" s="114"/>
      <c r="Q322" s="115"/>
      <c r="R322" s="103">
        <f t="shared" si="98"/>
        <v>0</v>
      </c>
      <c r="S322" s="104">
        <f t="shared" si="109"/>
        <v>0</v>
      </c>
      <c r="T322" s="105">
        <f t="shared" si="99"/>
        <v>0</v>
      </c>
      <c r="U322" s="104">
        <f t="shared" si="100"/>
        <v>0</v>
      </c>
      <c r="V322" s="103">
        <f t="shared" si="101"/>
        <v>0</v>
      </c>
      <c r="W322" s="100">
        <v>835</v>
      </c>
      <c r="X322" s="101">
        <v>15570</v>
      </c>
      <c r="Y322" s="102">
        <v>831.36262809215975</v>
      </c>
      <c r="Z322" s="107">
        <v>88140830</v>
      </c>
      <c r="AA322" s="103">
        <v>199312.37411092999</v>
      </c>
      <c r="AB322" s="104">
        <f t="shared" si="110"/>
        <v>1.5294504110188884E-2</v>
      </c>
      <c r="AC322" s="105">
        <f t="shared" si="102"/>
        <v>0.1957857369975031</v>
      </c>
      <c r="AD322" s="102">
        <v>2.7002657310015921</v>
      </c>
      <c r="AE322" s="103">
        <v>73585374</v>
      </c>
      <c r="AF322" s="103">
        <v>118292.19145099001</v>
      </c>
      <c r="AG322" s="104">
        <f t="shared" si="111"/>
        <v>1.3374292962602414E-3</v>
      </c>
      <c r="AH322" s="105">
        <f t="shared" si="103"/>
        <v>1.0161043183389808E-2</v>
      </c>
      <c r="AI322" s="106">
        <v>0.53475462278211983</v>
      </c>
      <c r="AJ322" s="106"/>
      <c r="AK322" s="106"/>
      <c r="AL322" s="104">
        <f t="shared" si="112"/>
        <v>3.5171413418615205E-3</v>
      </c>
      <c r="AM322" s="104">
        <f t="shared" si="104"/>
        <v>0</v>
      </c>
      <c r="AN322" s="108">
        <f t="shared" si="105"/>
        <v>0.20594678018089291</v>
      </c>
      <c r="AO322" s="101">
        <f t="shared" si="106"/>
        <v>3206.5913674165026</v>
      </c>
    </row>
    <row r="323" spans="1:41" ht="15.75" customHeight="1" x14ac:dyDescent="0.3">
      <c r="A323" s="99">
        <v>80701</v>
      </c>
      <c r="B323" s="62" t="s">
        <v>274</v>
      </c>
      <c r="C323" s="62" t="s">
        <v>281</v>
      </c>
      <c r="D323" s="100">
        <v>1</v>
      </c>
      <c r="E323" s="101">
        <v>6889.75</v>
      </c>
      <c r="F323" s="102">
        <v>7.8692493946731196E-2</v>
      </c>
      <c r="G323" s="103">
        <v>62494613</v>
      </c>
      <c r="H323" s="103">
        <f t="shared" si="94"/>
        <v>141318.44343077001</v>
      </c>
      <c r="I323" s="104">
        <f t="shared" si="107"/>
        <v>2.2480334087828198E-6</v>
      </c>
      <c r="J323" s="105">
        <f t="shared" si="95"/>
        <v>4.6110320709685545E-5</v>
      </c>
      <c r="K323" s="106">
        <v>0.92009685230024196</v>
      </c>
      <c r="L323" s="107">
        <v>69208298</v>
      </c>
      <c r="M323" s="103">
        <f t="shared" si="96"/>
        <v>187587.48008020129</v>
      </c>
      <c r="N323" s="104">
        <f t="shared" si="108"/>
        <v>5.6888780749715748E-4</v>
      </c>
      <c r="O323" s="105">
        <f t="shared" si="97"/>
        <v>1.5489129541237696E-2</v>
      </c>
      <c r="P323" s="102">
        <v>1.2106537530266301E-3</v>
      </c>
      <c r="Q323" s="106"/>
      <c r="R323" s="103">
        <f t="shared" si="98"/>
        <v>0</v>
      </c>
      <c r="S323" s="104">
        <f t="shared" si="109"/>
        <v>9.9548975992547482E-6</v>
      </c>
      <c r="T323" s="105">
        <f t="shared" si="99"/>
        <v>0</v>
      </c>
      <c r="U323" s="104">
        <f t="shared" si="100"/>
        <v>1.5535239861947381E-2</v>
      </c>
      <c r="V323" s="103">
        <f t="shared" si="101"/>
        <v>107.03391883885197</v>
      </c>
      <c r="W323" s="100">
        <v>1</v>
      </c>
      <c r="X323" s="101">
        <v>6808</v>
      </c>
      <c r="Y323" s="102">
        <v>7.8692493946731196E-2</v>
      </c>
      <c r="Z323" s="107">
        <v>88140830</v>
      </c>
      <c r="AA323" s="103">
        <v>199312.37411092999</v>
      </c>
      <c r="AB323" s="104">
        <f t="shared" si="110"/>
        <v>1.4476987916467597E-6</v>
      </c>
      <c r="AC323" s="105">
        <f t="shared" si="102"/>
        <v>4.2383120323243276E-5</v>
      </c>
      <c r="AD323" s="102">
        <v>0.92009685230024196</v>
      </c>
      <c r="AE323" s="103">
        <v>73585374</v>
      </c>
      <c r="AF323" s="103">
        <v>118292.19145099001</v>
      </c>
      <c r="AG323" s="104">
        <f t="shared" si="111"/>
        <v>4.5571977288573397E-4</v>
      </c>
      <c r="AH323" s="105">
        <f t="shared" si="103"/>
        <v>7.9183446859872105E-3</v>
      </c>
      <c r="AI323" s="106">
        <v>1.2106537530266301E-3</v>
      </c>
      <c r="AJ323" s="106"/>
      <c r="AK323" s="106"/>
      <c r="AL323" s="104">
        <f t="shared" si="112"/>
        <v>7.9626059954317806E-6</v>
      </c>
      <c r="AM323" s="104">
        <f t="shared" si="104"/>
        <v>0</v>
      </c>
      <c r="AN323" s="108">
        <f t="shared" si="105"/>
        <v>7.9607278063104532E-3</v>
      </c>
      <c r="AO323" s="101">
        <f t="shared" si="106"/>
        <v>54.19663490536157</v>
      </c>
    </row>
    <row r="324" spans="1:41" ht="15.75" customHeight="1" x14ac:dyDescent="0.3">
      <c r="A324" s="99">
        <v>80702</v>
      </c>
      <c r="B324" s="62" t="s">
        <v>274</v>
      </c>
      <c r="C324" s="62" t="s">
        <v>266</v>
      </c>
      <c r="D324" s="100">
        <v>1</v>
      </c>
      <c r="E324" s="101">
        <v>5088.5</v>
      </c>
      <c r="F324" s="102">
        <v>0.74661246612466103</v>
      </c>
      <c r="G324" s="103">
        <v>62494613</v>
      </c>
      <c r="H324" s="103">
        <f t="shared" si="94"/>
        <v>141318.44343077001</v>
      </c>
      <c r="I324" s="104">
        <f t="shared" si="107"/>
        <v>2.1328714888590572E-5</v>
      </c>
      <c r="J324" s="105">
        <f t="shared" si="95"/>
        <v>5.9234367464563401E-4</v>
      </c>
      <c r="K324" s="106">
        <v>0.22289972899728999</v>
      </c>
      <c r="L324" s="107">
        <v>69208298</v>
      </c>
      <c r="M324" s="103">
        <f t="shared" si="96"/>
        <v>187587.48008020129</v>
      </c>
      <c r="N324" s="104">
        <f t="shared" si="108"/>
        <v>1.3781694590516916E-4</v>
      </c>
      <c r="O324" s="105">
        <f t="shared" si="97"/>
        <v>5.0806197493760636E-3</v>
      </c>
      <c r="P324" s="102">
        <v>3.0487804878048801E-2</v>
      </c>
      <c r="Q324" s="106"/>
      <c r="R324" s="103">
        <f t="shared" si="98"/>
        <v>0</v>
      </c>
      <c r="S324" s="104">
        <f t="shared" si="109"/>
        <v>2.5069345783489198E-4</v>
      </c>
      <c r="T324" s="105">
        <f t="shared" si="99"/>
        <v>0</v>
      </c>
      <c r="U324" s="104">
        <f t="shared" si="100"/>
        <v>5.6729634240216976E-3</v>
      </c>
      <c r="V324" s="103">
        <f t="shared" si="101"/>
        <v>28.866874383134405</v>
      </c>
      <c r="W324" s="100">
        <v>1</v>
      </c>
      <c r="X324" s="101">
        <v>5489</v>
      </c>
      <c r="Y324" s="102">
        <v>0.74661246612466103</v>
      </c>
      <c r="Z324" s="107">
        <v>88140830</v>
      </c>
      <c r="AA324" s="103">
        <v>199312.37411092999</v>
      </c>
      <c r="AB324" s="104">
        <f t="shared" si="110"/>
        <v>1.3735362940317352E-5</v>
      </c>
      <c r="AC324" s="105">
        <f t="shared" si="102"/>
        <v>4.9874800453815547E-4</v>
      </c>
      <c r="AD324" s="102">
        <v>0.22289972899728999</v>
      </c>
      <c r="AE324" s="103">
        <v>73585374</v>
      </c>
      <c r="AF324" s="103">
        <v>118292.19145099001</v>
      </c>
      <c r="AG324" s="104">
        <f t="shared" si="111"/>
        <v>1.1040121876407591E-4</v>
      </c>
      <c r="AH324" s="105">
        <f t="shared" si="103"/>
        <v>2.3792315734127707E-3</v>
      </c>
      <c r="AI324" s="106">
        <v>3.0487804878048801E-2</v>
      </c>
      <c r="AJ324" s="106"/>
      <c r="AK324" s="106"/>
      <c r="AL324" s="104">
        <f t="shared" si="112"/>
        <v>2.0052172415325239E-4</v>
      </c>
      <c r="AM324" s="104">
        <f t="shared" si="104"/>
        <v>0</v>
      </c>
      <c r="AN324" s="108">
        <f t="shared" si="105"/>
        <v>2.877979577950926E-3</v>
      </c>
      <c r="AO324" s="101">
        <f t="shared" si="106"/>
        <v>15.797229903372633</v>
      </c>
    </row>
    <row r="325" spans="1:41" ht="15.75" customHeight="1" x14ac:dyDescent="0.3">
      <c r="A325" s="99">
        <v>80703</v>
      </c>
      <c r="B325" s="62" t="s">
        <v>274</v>
      </c>
      <c r="C325" s="62" t="s">
        <v>842</v>
      </c>
      <c r="D325" s="112"/>
      <c r="E325" s="113">
        <v>981.5</v>
      </c>
      <c r="F325" s="114"/>
      <c r="G325" s="103">
        <v>62494613</v>
      </c>
      <c r="H325" s="103">
        <f t="shared" si="94"/>
        <v>141318.44343077001</v>
      </c>
      <c r="I325" s="104">
        <f t="shared" si="107"/>
        <v>0</v>
      </c>
      <c r="J325" s="105">
        <f t="shared" si="95"/>
        <v>0</v>
      </c>
      <c r="K325" s="115"/>
      <c r="L325" s="107">
        <v>69208298</v>
      </c>
      <c r="M325" s="103">
        <f t="shared" si="96"/>
        <v>187587.48008020129</v>
      </c>
      <c r="N325" s="104">
        <f t="shared" si="108"/>
        <v>0</v>
      </c>
      <c r="O325" s="105">
        <f t="shared" si="97"/>
        <v>0</v>
      </c>
      <c r="P325" s="114"/>
      <c r="Q325" s="115"/>
      <c r="R325" s="103">
        <f t="shared" si="98"/>
        <v>0</v>
      </c>
      <c r="S325" s="104">
        <f t="shared" si="109"/>
        <v>0</v>
      </c>
      <c r="T325" s="105">
        <f t="shared" si="99"/>
        <v>0</v>
      </c>
      <c r="U325" s="104">
        <f t="shared" si="100"/>
        <v>0</v>
      </c>
      <c r="V325" s="103">
        <f t="shared" si="101"/>
        <v>0</v>
      </c>
      <c r="W325" s="112"/>
      <c r="X325" s="101">
        <v>1091</v>
      </c>
      <c r="Y325" s="114"/>
      <c r="Z325" s="107">
        <v>88140830</v>
      </c>
      <c r="AA325" s="103">
        <v>199312.37411092999</v>
      </c>
      <c r="AB325" s="104">
        <f t="shared" si="110"/>
        <v>0</v>
      </c>
      <c r="AC325" s="105">
        <f t="shared" si="102"/>
        <v>0</v>
      </c>
      <c r="AD325" s="114"/>
      <c r="AE325" s="103">
        <v>73585374</v>
      </c>
      <c r="AF325" s="103">
        <v>118292.19145099001</v>
      </c>
      <c r="AG325" s="104">
        <f t="shared" si="111"/>
        <v>0</v>
      </c>
      <c r="AH325" s="105">
        <f t="shared" si="103"/>
        <v>0</v>
      </c>
      <c r="AI325" s="115"/>
      <c r="AJ325" s="115"/>
      <c r="AK325" s="115"/>
      <c r="AL325" s="104">
        <f t="shared" si="112"/>
        <v>0</v>
      </c>
      <c r="AM325" s="104">
        <f t="shared" si="104"/>
        <v>0</v>
      </c>
      <c r="AN325" s="108">
        <f t="shared" si="105"/>
        <v>0</v>
      </c>
      <c r="AO325" s="101">
        <f t="shared" si="106"/>
        <v>0</v>
      </c>
    </row>
    <row r="326" spans="1:41" ht="15.75" customHeight="1" x14ac:dyDescent="0.3">
      <c r="A326" s="99">
        <v>80801</v>
      </c>
      <c r="B326" s="62" t="s">
        <v>274</v>
      </c>
      <c r="C326" s="62" t="s">
        <v>843</v>
      </c>
      <c r="D326" s="112"/>
      <c r="E326" s="113">
        <v>11729</v>
      </c>
      <c r="F326" s="114"/>
      <c r="G326" s="103">
        <v>62494613</v>
      </c>
      <c r="H326" s="103">
        <f t="shared" si="94"/>
        <v>141318.44343077001</v>
      </c>
      <c r="I326" s="104">
        <f t="shared" si="107"/>
        <v>0</v>
      </c>
      <c r="J326" s="105">
        <f t="shared" si="95"/>
        <v>0</v>
      </c>
      <c r="K326" s="115"/>
      <c r="L326" s="107">
        <v>69208298</v>
      </c>
      <c r="M326" s="103">
        <f t="shared" si="96"/>
        <v>187587.48008020129</v>
      </c>
      <c r="N326" s="104">
        <f t="shared" si="108"/>
        <v>0</v>
      </c>
      <c r="O326" s="105">
        <f t="shared" si="97"/>
        <v>0</v>
      </c>
      <c r="P326" s="114"/>
      <c r="Q326" s="115"/>
      <c r="R326" s="103">
        <f t="shared" si="98"/>
        <v>0</v>
      </c>
      <c r="S326" s="104">
        <f t="shared" si="109"/>
        <v>0</v>
      </c>
      <c r="T326" s="105">
        <f t="shared" si="99"/>
        <v>0</v>
      </c>
      <c r="U326" s="104">
        <f t="shared" si="100"/>
        <v>0</v>
      </c>
      <c r="V326" s="103">
        <f t="shared" si="101"/>
        <v>0</v>
      </c>
      <c r="W326" s="112"/>
      <c r="X326" s="101">
        <v>12785</v>
      </c>
      <c r="Y326" s="114"/>
      <c r="Z326" s="107">
        <v>88140830</v>
      </c>
      <c r="AA326" s="103">
        <v>199312.37411092999</v>
      </c>
      <c r="AB326" s="104">
        <f t="shared" si="110"/>
        <v>0</v>
      </c>
      <c r="AC326" s="105">
        <f t="shared" si="102"/>
        <v>0</v>
      </c>
      <c r="AD326" s="114"/>
      <c r="AE326" s="103">
        <v>73585374</v>
      </c>
      <c r="AF326" s="103">
        <v>118292.19145099001</v>
      </c>
      <c r="AG326" s="104">
        <f t="shared" si="111"/>
        <v>0</v>
      </c>
      <c r="AH326" s="105">
        <f t="shared" si="103"/>
        <v>0</v>
      </c>
      <c r="AI326" s="115"/>
      <c r="AJ326" s="115"/>
      <c r="AK326" s="115"/>
      <c r="AL326" s="104">
        <f t="shared" si="112"/>
        <v>0</v>
      </c>
      <c r="AM326" s="104">
        <f t="shared" si="104"/>
        <v>0</v>
      </c>
      <c r="AN326" s="108">
        <f t="shared" si="105"/>
        <v>0</v>
      </c>
      <c r="AO326" s="101">
        <f t="shared" si="106"/>
        <v>0</v>
      </c>
    </row>
    <row r="327" spans="1:41" ht="15.75" customHeight="1" x14ac:dyDescent="0.3">
      <c r="A327" s="99">
        <v>80802</v>
      </c>
      <c r="B327" s="62" t="s">
        <v>274</v>
      </c>
      <c r="C327" s="62" t="s">
        <v>844</v>
      </c>
      <c r="D327" s="112"/>
      <c r="E327" s="113">
        <v>6345.75</v>
      </c>
      <c r="F327" s="114"/>
      <c r="G327" s="103">
        <v>62494613</v>
      </c>
      <c r="H327" s="103">
        <f t="shared" si="94"/>
        <v>141318.44343077001</v>
      </c>
      <c r="I327" s="104">
        <f t="shared" si="107"/>
        <v>0</v>
      </c>
      <c r="J327" s="105">
        <f t="shared" si="95"/>
        <v>0</v>
      </c>
      <c r="K327" s="115"/>
      <c r="L327" s="107">
        <v>69208298</v>
      </c>
      <c r="M327" s="103">
        <f t="shared" si="96"/>
        <v>187587.48008020129</v>
      </c>
      <c r="N327" s="104">
        <f t="shared" si="108"/>
        <v>0</v>
      </c>
      <c r="O327" s="105">
        <f t="shared" si="97"/>
        <v>0</v>
      </c>
      <c r="P327" s="114"/>
      <c r="Q327" s="115"/>
      <c r="R327" s="103">
        <f t="shared" si="98"/>
        <v>0</v>
      </c>
      <c r="S327" s="104">
        <f t="shared" si="109"/>
        <v>0</v>
      </c>
      <c r="T327" s="105">
        <f t="shared" si="99"/>
        <v>0</v>
      </c>
      <c r="U327" s="104">
        <f t="shared" si="100"/>
        <v>0</v>
      </c>
      <c r="V327" s="103">
        <f t="shared" si="101"/>
        <v>0</v>
      </c>
      <c r="W327" s="112"/>
      <c r="X327" s="101">
        <v>7488</v>
      </c>
      <c r="Y327" s="114"/>
      <c r="Z327" s="107">
        <v>88140830</v>
      </c>
      <c r="AA327" s="103">
        <v>199312.37411092999</v>
      </c>
      <c r="AB327" s="104">
        <f t="shared" si="110"/>
        <v>0</v>
      </c>
      <c r="AC327" s="105">
        <f t="shared" si="102"/>
        <v>0</v>
      </c>
      <c r="AD327" s="114"/>
      <c r="AE327" s="103">
        <v>73585374</v>
      </c>
      <c r="AF327" s="103">
        <v>118292.19145099001</v>
      </c>
      <c r="AG327" s="104">
        <f t="shared" si="111"/>
        <v>0</v>
      </c>
      <c r="AH327" s="105">
        <f t="shared" si="103"/>
        <v>0</v>
      </c>
      <c r="AI327" s="115"/>
      <c r="AJ327" s="115"/>
      <c r="AK327" s="115"/>
      <c r="AL327" s="104">
        <f t="shared" si="112"/>
        <v>0</v>
      </c>
      <c r="AM327" s="104">
        <f t="shared" si="104"/>
        <v>0</v>
      </c>
      <c r="AN327" s="108">
        <f t="shared" si="105"/>
        <v>0</v>
      </c>
      <c r="AO327" s="101">
        <f t="shared" si="106"/>
        <v>0</v>
      </c>
    </row>
    <row r="328" spans="1:41" ht="15.75" customHeight="1" x14ac:dyDescent="0.3">
      <c r="A328" s="99">
        <v>80803</v>
      </c>
      <c r="B328" s="62" t="s">
        <v>274</v>
      </c>
      <c r="C328" s="62" t="s">
        <v>845</v>
      </c>
      <c r="D328" s="112"/>
      <c r="E328" s="113">
        <v>4240.75</v>
      </c>
      <c r="F328" s="114"/>
      <c r="G328" s="103">
        <v>62494613</v>
      </c>
      <c r="H328" s="103">
        <f t="shared" si="94"/>
        <v>141318.44343077001</v>
      </c>
      <c r="I328" s="104">
        <f t="shared" si="107"/>
        <v>0</v>
      </c>
      <c r="J328" s="105">
        <f t="shared" si="95"/>
        <v>0</v>
      </c>
      <c r="K328" s="115"/>
      <c r="L328" s="107">
        <v>69208298</v>
      </c>
      <c r="M328" s="103">
        <f t="shared" si="96"/>
        <v>187587.48008020129</v>
      </c>
      <c r="N328" s="104">
        <f t="shared" si="108"/>
        <v>0</v>
      </c>
      <c r="O328" s="105">
        <f t="shared" si="97"/>
        <v>0</v>
      </c>
      <c r="P328" s="114"/>
      <c r="Q328" s="115"/>
      <c r="R328" s="103">
        <f t="shared" si="98"/>
        <v>0</v>
      </c>
      <c r="S328" s="104">
        <f t="shared" si="109"/>
        <v>0</v>
      </c>
      <c r="T328" s="105">
        <f t="shared" si="99"/>
        <v>0</v>
      </c>
      <c r="U328" s="104">
        <f t="shared" si="100"/>
        <v>0</v>
      </c>
      <c r="V328" s="103">
        <f t="shared" si="101"/>
        <v>0</v>
      </c>
      <c r="W328" s="112"/>
      <c r="X328" s="101">
        <v>4630</v>
      </c>
      <c r="Y328" s="114"/>
      <c r="Z328" s="107">
        <v>88140830</v>
      </c>
      <c r="AA328" s="103">
        <v>199312.37411092999</v>
      </c>
      <c r="AB328" s="104">
        <f t="shared" si="110"/>
        <v>0</v>
      </c>
      <c r="AC328" s="105">
        <f t="shared" si="102"/>
        <v>0</v>
      </c>
      <c r="AD328" s="114"/>
      <c r="AE328" s="103">
        <v>73585374</v>
      </c>
      <c r="AF328" s="103">
        <v>118292.19145099001</v>
      </c>
      <c r="AG328" s="104">
        <f t="shared" si="111"/>
        <v>0</v>
      </c>
      <c r="AH328" s="105">
        <f t="shared" si="103"/>
        <v>0</v>
      </c>
      <c r="AI328" s="115"/>
      <c r="AJ328" s="115"/>
      <c r="AK328" s="115"/>
      <c r="AL328" s="104">
        <f t="shared" si="112"/>
        <v>0</v>
      </c>
      <c r="AM328" s="104">
        <f t="shared" si="104"/>
        <v>0</v>
      </c>
      <c r="AN328" s="108">
        <f t="shared" si="105"/>
        <v>0</v>
      </c>
      <c r="AO328" s="101">
        <f t="shared" si="106"/>
        <v>0</v>
      </c>
    </row>
    <row r="329" spans="1:41" ht="15.75" customHeight="1" x14ac:dyDescent="0.3">
      <c r="A329" s="99">
        <v>80901</v>
      </c>
      <c r="B329" s="62" t="s">
        <v>274</v>
      </c>
      <c r="C329" s="62" t="s">
        <v>846</v>
      </c>
      <c r="D329" s="112"/>
      <c r="E329" s="113">
        <v>3417.25</v>
      </c>
      <c r="F329" s="114"/>
      <c r="G329" s="103">
        <v>62494613</v>
      </c>
      <c r="H329" s="103">
        <f t="shared" si="94"/>
        <v>141318.44343077001</v>
      </c>
      <c r="I329" s="104">
        <f t="shared" si="107"/>
        <v>0</v>
      </c>
      <c r="J329" s="105">
        <f t="shared" si="95"/>
        <v>0</v>
      </c>
      <c r="K329" s="115"/>
      <c r="L329" s="107">
        <v>69208298</v>
      </c>
      <c r="M329" s="103">
        <f t="shared" si="96"/>
        <v>187587.48008020129</v>
      </c>
      <c r="N329" s="104">
        <f t="shared" si="108"/>
        <v>0</v>
      </c>
      <c r="O329" s="105">
        <f t="shared" si="97"/>
        <v>0</v>
      </c>
      <c r="P329" s="114"/>
      <c r="Q329" s="115"/>
      <c r="R329" s="103">
        <f t="shared" si="98"/>
        <v>0</v>
      </c>
      <c r="S329" s="104">
        <f t="shared" si="109"/>
        <v>0</v>
      </c>
      <c r="T329" s="105">
        <f t="shared" si="99"/>
        <v>0</v>
      </c>
      <c r="U329" s="104">
        <f t="shared" si="100"/>
        <v>0</v>
      </c>
      <c r="V329" s="103">
        <f t="shared" si="101"/>
        <v>0</v>
      </c>
      <c r="W329" s="112"/>
      <c r="X329" s="101">
        <v>3973</v>
      </c>
      <c r="Y329" s="114"/>
      <c r="Z329" s="107">
        <v>88140830</v>
      </c>
      <c r="AA329" s="103">
        <v>199312.37411092999</v>
      </c>
      <c r="AB329" s="104">
        <f t="shared" si="110"/>
        <v>0</v>
      </c>
      <c r="AC329" s="105">
        <f t="shared" si="102"/>
        <v>0</v>
      </c>
      <c r="AD329" s="114"/>
      <c r="AE329" s="103">
        <v>73585374</v>
      </c>
      <c r="AF329" s="103">
        <v>118292.19145099001</v>
      </c>
      <c r="AG329" s="104">
        <f t="shared" si="111"/>
        <v>0</v>
      </c>
      <c r="AH329" s="105">
        <f t="shared" si="103"/>
        <v>0</v>
      </c>
      <c r="AI329" s="115"/>
      <c r="AJ329" s="115"/>
      <c r="AK329" s="115"/>
      <c r="AL329" s="104">
        <f t="shared" si="112"/>
        <v>0</v>
      </c>
      <c r="AM329" s="104">
        <f t="shared" si="104"/>
        <v>0</v>
      </c>
      <c r="AN329" s="108">
        <f t="shared" si="105"/>
        <v>0</v>
      </c>
      <c r="AO329" s="101">
        <f t="shared" si="106"/>
        <v>0</v>
      </c>
    </row>
    <row r="330" spans="1:41" ht="15.75" customHeight="1" x14ac:dyDescent="0.3">
      <c r="A330" s="99">
        <v>90101</v>
      </c>
      <c r="B330" s="62" t="s">
        <v>284</v>
      </c>
      <c r="C330" s="62" t="s">
        <v>285</v>
      </c>
      <c r="D330" s="100">
        <v>3243</v>
      </c>
      <c r="E330" s="101">
        <v>48478.75</v>
      </c>
      <c r="F330" s="102">
        <v>2813</v>
      </c>
      <c r="G330" s="103">
        <v>16774220</v>
      </c>
      <c r="H330" s="103">
        <f t="shared" si="94"/>
        <v>37931.375943799998</v>
      </c>
      <c r="I330" s="104">
        <f t="shared" ref="I330:I344" si="113">F330/SUM($F$330:$F$344)</f>
        <v>1</v>
      </c>
      <c r="J330" s="105">
        <f t="shared" si="95"/>
        <v>0.78243304424722171</v>
      </c>
      <c r="K330" s="106">
        <v>376.99999999999977</v>
      </c>
      <c r="L330" s="107">
        <v>11355840</v>
      </c>
      <c r="M330" s="103">
        <f t="shared" si="96"/>
        <v>30779.739877347554</v>
      </c>
      <c r="N330" s="104">
        <f t="shared" ref="N330:N344" si="114">K330/SUM($K$330:$K$344)</f>
        <v>1</v>
      </c>
      <c r="O330" s="105">
        <f t="shared" si="97"/>
        <v>0.63491199499466378</v>
      </c>
      <c r="P330" s="102">
        <v>53.000000000000107</v>
      </c>
      <c r="Q330" s="106"/>
      <c r="R330" s="103">
        <f t="shared" si="98"/>
        <v>0</v>
      </c>
      <c r="S330" s="104">
        <f t="shared" ref="S330:S344" si="115">P330/SUM($P$330:$P$344)</f>
        <v>1</v>
      </c>
      <c r="T330" s="105">
        <f t="shared" si="99"/>
        <v>0</v>
      </c>
      <c r="U330" s="104">
        <f t="shared" si="100"/>
        <v>1.4173450392418854</v>
      </c>
      <c r="V330" s="103">
        <f t="shared" si="101"/>
        <v>68711.115821147556</v>
      </c>
      <c r="W330" s="100">
        <v>10071</v>
      </c>
      <c r="X330" s="101">
        <v>55114</v>
      </c>
      <c r="Y330" s="102">
        <v>9501.3994456785094</v>
      </c>
      <c r="Z330" s="107">
        <v>21919820</v>
      </c>
      <c r="AA330" s="103">
        <v>49567.168408605001</v>
      </c>
      <c r="AB330" s="104">
        <f t="shared" ref="AB330:AB344" si="116">Y330/SUM($Y$330:$Y$344)</f>
        <v>0.98047356872128355</v>
      </c>
      <c r="AC330" s="105">
        <f t="shared" si="102"/>
        <v>0.88179588672558362</v>
      </c>
      <c r="AD330" s="102">
        <v>484.16703388049621</v>
      </c>
      <c r="AE330" s="103">
        <v>16485919</v>
      </c>
      <c r="AF330" s="103">
        <v>27250.503958400001</v>
      </c>
      <c r="AG330" s="104">
        <f t="shared" ref="AG330:AG344" si="117">AD330/SUM($AD$330:$AD$344)</f>
        <v>0.98141052025857722</v>
      </c>
      <c r="AH330" s="105">
        <f t="shared" si="103"/>
        <v>0.4852475100178133</v>
      </c>
      <c r="AI330" s="106">
        <v>85.433520440993647</v>
      </c>
      <c r="AJ330" s="106"/>
      <c r="AK330" s="106"/>
      <c r="AL330" s="104">
        <f t="shared" ref="AL330:AL344" si="118">AI330/SUM($AI$330:$AI$344)</f>
        <v>0.98155057511403632</v>
      </c>
      <c r="AM330" s="104">
        <f t="shared" si="104"/>
        <v>0</v>
      </c>
      <c r="AN330" s="108">
        <f t="shared" si="105"/>
        <v>1.367043396743397</v>
      </c>
      <c r="AO330" s="101">
        <f t="shared" si="106"/>
        <v>75343.229768115576</v>
      </c>
    </row>
    <row r="331" spans="1:41" ht="15.75" customHeight="1" x14ac:dyDescent="0.3">
      <c r="A331" s="99">
        <v>90102</v>
      </c>
      <c r="B331" s="62" t="s">
        <v>284</v>
      </c>
      <c r="C331" s="62" t="s">
        <v>702</v>
      </c>
      <c r="D331" s="112"/>
      <c r="E331" s="113">
        <v>8299.25</v>
      </c>
      <c r="F331" s="114"/>
      <c r="G331" s="103">
        <v>16774220</v>
      </c>
      <c r="H331" s="103">
        <f t="shared" si="94"/>
        <v>37931.375943799998</v>
      </c>
      <c r="I331" s="104">
        <f t="shared" si="113"/>
        <v>0</v>
      </c>
      <c r="J331" s="105">
        <f t="shared" si="95"/>
        <v>0</v>
      </c>
      <c r="K331" s="115"/>
      <c r="L331" s="107">
        <v>11355840</v>
      </c>
      <c r="M331" s="103">
        <f t="shared" si="96"/>
        <v>30779.739877347554</v>
      </c>
      <c r="N331" s="104">
        <f t="shared" si="114"/>
        <v>0</v>
      </c>
      <c r="O331" s="105">
        <f t="shared" si="97"/>
        <v>0</v>
      </c>
      <c r="P331" s="114"/>
      <c r="Q331" s="115"/>
      <c r="R331" s="103">
        <f t="shared" si="98"/>
        <v>0</v>
      </c>
      <c r="S331" s="104">
        <f t="shared" si="115"/>
        <v>0</v>
      </c>
      <c r="T331" s="105">
        <f t="shared" si="99"/>
        <v>0</v>
      </c>
      <c r="U331" s="104">
        <f t="shared" si="100"/>
        <v>0</v>
      </c>
      <c r="V331" s="103">
        <f t="shared" si="101"/>
        <v>0</v>
      </c>
      <c r="W331" s="100">
        <v>200</v>
      </c>
      <c r="X331" s="101">
        <v>9353</v>
      </c>
      <c r="Y331" s="102">
        <v>189.223278675057</v>
      </c>
      <c r="Z331" s="107">
        <v>21919820</v>
      </c>
      <c r="AA331" s="103">
        <v>49567.168408605001</v>
      </c>
      <c r="AB331" s="104">
        <f t="shared" si="116"/>
        <v>1.9526431278716356E-2</v>
      </c>
      <c r="AC331" s="105">
        <f t="shared" si="102"/>
        <v>0.10348229526474777</v>
      </c>
      <c r="AD331" s="102">
        <v>9.1708954428314478</v>
      </c>
      <c r="AE331" s="103">
        <v>16485919</v>
      </c>
      <c r="AF331" s="103">
        <v>27250.503958400001</v>
      </c>
      <c r="AG331" s="104">
        <f t="shared" si="117"/>
        <v>1.8589479741422749E-2</v>
      </c>
      <c r="AH331" s="105">
        <f t="shared" si="103"/>
        <v>5.4161519435286777E-2</v>
      </c>
      <c r="AI331" s="106">
        <v>1.605825882111509</v>
      </c>
      <c r="AJ331" s="106"/>
      <c r="AK331" s="106"/>
      <c r="AL331" s="104">
        <f t="shared" si="118"/>
        <v>1.8449424885963697E-2</v>
      </c>
      <c r="AM331" s="104">
        <f t="shared" si="104"/>
        <v>0</v>
      </c>
      <c r="AN331" s="108">
        <f t="shared" si="105"/>
        <v>0.15764381470003455</v>
      </c>
      <c r="AO331" s="101">
        <f t="shared" si="106"/>
        <v>1474.4425988894232</v>
      </c>
    </row>
    <row r="332" spans="1:41" ht="15.75" customHeight="1" x14ac:dyDescent="0.3">
      <c r="A332" s="99">
        <v>90103</v>
      </c>
      <c r="B332" s="62" t="s">
        <v>284</v>
      </c>
      <c r="C332" s="62" t="s">
        <v>847</v>
      </c>
      <c r="D332" s="112"/>
      <c r="E332" s="113">
        <v>2239</v>
      </c>
      <c r="F332" s="114"/>
      <c r="G332" s="103">
        <v>16774220</v>
      </c>
      <c r="H332" s="103">
        <f t="shared" si="94"/>
        <v>37931.375943799998</v>
      </c>
      <c r="I332" s="104">
        <f t="shared" si="113"/>
        <v>0</v>
      </c>
      <c r="J332" s="105">
        <f t="shared" si="95"/>
        <v>0</v>
      </c>
      <c r="K332" s="115"/>
      <c r="L332" s="107">
        <v>11355840</v>
      </c>
      <c r="M332" s="103">
        <f t="shared" si="96"/>
        <v>30779.739877347554</v>
      </c>
      <c r="N332" s="104">
        <f t="shared" si="114"/>
        <v>0</v>
      </c>
      <c r="O332" s="105">
        <f t="shared" si="97"/>
        <v>0</v>
      </c>
      <c r="P332" s="114"/>
      <c r="Q332" s="115"/>
      <c r="R332" s="103">
        <f t="shared" si="98"/>
        <v>0</v>
      </c>
      <c r="S332" s="104">
        <f t="shared" si="115"/>
        <v>0</v>
      </c>
      <c r="T332" s="105">
        <f t="shared" si="99"/>
        <v>0</v>
      </c>
      <c r="U332" s="104">
        <f t="shared" si="100"/>
        <v>0</v>
      </c>
      <c r="V332" s="103">
        <f t="shared" si="101"/>
        <v>0</v>
      </c>
      <c r="W332" s="112"/>
      <c r="X332" s="101">
        <v>2437</v>
      </c>
      <c r="Y332" s="114"/>
      <c r="Z332" s="107">
        <v>21919820</v>
      </c>
      <c r="AA332" s="103">
        <v>49567.168408605001</v>
      </c>
      <c r="AB332" s="104">
        <f t="shared" si="116"/>
        <v>0</v>
      </c>
      <c r="AC332" s="105">
        <f t="shared" si="102"/>
        <v>0</v>
      </c>
      <c r="AD332" s="114"/>
      <c r="AE332" s="103">
        <v>16485919</v>
      </c>
      <c r="AF332" s="103">
        <v>27250.503958400001</v>
      </c>
      <c r="AG332" s="104">
        <f t="shared" si="117"/>
        <v>0</v>
      </c>
      <c r="AH332" s="105">
        <f t="shared" si="103"/>
        <v>0</v>
      </c>
      <c r="AI332" s="115"/>
      <c r="AJ332" s="115"/>
      <c r="AK332" s="115"/>
      <c r="AL332" s="104">
        <f t="shared" si="118"/>
        <v>0</v>
      </c>
      <c r="AM332" s="104">
        <f t="shared" si="104"/>
        <v>0</v>
      </c>
      <c r="AN332" s="108">
        <f t="shared" si="105"/>
        <v>0</v>
      </c>
      <c r="AO332" s="101">
        <f t="shared" si="106"/>
        <v>0</v>
      </c>
    </row>
    <row r="333" spans="1:41" ht="15.75" customHeight="1" x14ac:dyDescent="0.3">
      <c r="A333" s="99">
        <v>90104</v>
      </c>
      <c r="B333" s="62" t="s">
        <v>284</v>
      </c>
      <c r="C333" s="62" t="s">
        <v>848</v>
      </c>
      <c r="D333" s="112"/>
      <c r="E333" s="113">
        <v>3839.25</v>
      </c>
      <c r="F333" s="114"/>
      <c r="G333" s="103">
        <v>16774220</v>
      </c>
      <c r="H333" s="103">
        <f t="shared" si="94"/>
        <v>37931.375943799998</v>
      </c>
      <c r="I333" s="104">
        <f t="shared" si="113"/>
        <v>0</v>
      </c>
      <c r="J333" s="105">
        <f t="shared" si="95"/>
        <v>0</v>
      </c>
      <c r="K333" s="115"/>
      <c r="L333" s="107">
        <v>11355840</v>
      </c>
      <c r="M333" s="103">
        <f t="shared" si="96"/>
        <v>30779.739877347554</v>
      </c>
      <c r="N333" s="104">
        <f t="shared" si="114"/>
        <v>0</v>
      </c>
      <c r="O333" s="105">
        <f t="shared" si="97"/>
        <v>0</v>
      </c>
      <c r="P333" s="114"/>
      <c r="Q333" s="115"/>
      <c r="R333" s="103">
        <f t="shared" si="98"/>
        <v>0</v>
      </c>
      <c r="S333" s="104">
        <f t="shared" si="115"/>
        <v>0</v>
      </c>
      <c r="T333" s="105">
        <f t="shared" si="99"/>
        <v>0</v>
      </c>
      <c r="U333" s="104">
        <f t="shared" si="100"/>
        <v>0</v>
      </c>
      <c r="V333" s="103">
        <f t="shared" si="101"/>
        <v>0</v>
      </c>
      <c r="W333" s="112"/>
      <c r="X333" s="101">
        <v>3630</v>
      </c>
      <c r="Y333" s="114"/>
      <c r="Z333" s="107">
        <v>21919820</v>
      </c>
      <c r="AA333" s="103">
        <v>49567.168408605001</v>
      </c>
      <c r="AB333" s="104">
        <f t="shared" si="116"/>
        <v>0</v>
      </c>
      <c r="AC333" s="105">
        <f t="shared" si="102"/>
        <v>0</v>
      </c>
      <c r="AD333" s="114"/>
      <c r="AE333" s="103">
        <v>16485919</v>
      </c>
      <c r="AF333" s="103">
        <v>27250.503958400001</v>
      </c>
      <c r="AG333" s="104">
        <f t="shared" si="117"/>
        <v>0</v>
      </c>
      <c r="AH333" s="105">
        <f t="shared" si="103"/>
        <v>0</v>
      </c>
      <c r="AI333" s="115"/>
      <c r="AJ333" s="115"/>
      <c r="AK333" s="115"/>
      <c r="AL333" s="104">
        <f t="shared" si="118"/>
        <v>0</v>
      </c>
      <c r="AM333" s="104">
        <f t="shared" si="104"/>
        <v>0</v>
      </c>
      <c r="AN333" s="108">
        <f t="shared" si="105"/>
        <v>0</v>
      </c>
      <c r="AO333" s="101">
        <f t="shared" si="106"/>
        <v>0</v>
      </c>
    </row>
    <row r="334" spans="1:41" ht="15.75" customHeight="1" x14ac:dyDescent="0.3">
      <c r="A334" s="99">
        <v>90201</v>
      </c>
      <c r="B334" s="62" t="s">
        <v>284</v>
      </c>
      <c r="C334" s="62" t="s">
        <v>849</v>
      </c>
      <c r="D334" s="112"/>
      <c r="E334" s="113">
        <v>6521</v>
      </c>
      <c r="F334" s="114"/>
      <c r="G334" s="103">
        <v>16774220</v>
      </c>
      <c r="H334" s="103">
        <f t="shared" si="94"/>
        <v>37931.375943799998</v>
      </c>
      <c r="I334" s="104">
        <f t="shared" si="113"/>
        <v>0</v>
      </c>
      <c r="J334" s="105">
        <f t="shared" si="95"/>
        <v>0</v>
      </c>
      <c r="K334" s="115"/>
      <c r="L334" s="107">
        <v>11355840</v>
      </c>
      <c r="M334" s="103">
        <f t="shared" si="96"/>
        <v>30779.739877347554</v>
      </c>
      <c r="N334" s="104">
        <f t="shared" si="114"/>
        <v>0</v>
      </c>
      <c r="O334" s="105">
        <f t="shared" si="97"/>
        <v>0</v>
      </c>
      <c r="P334" s="114"/>
      <c r="Q334" s="115"/>
      <c r="R334" s="103">
        <f t="shared" si="98"/>
        <v>0</v>
      </c>
      <c r="S334" s="104">
        <f t="shared" si="115"/>
        <v>0</v>
      </c>
      <c r="T334" s="105">
        <f t="shared" si="99"/>
        <v>0</v>
      </c>
      <c r="U334" s="104">
        <f t="shared" si="100"/>
        <v>0</v>
      </c>
      <c r="V334" s="103">
        <f t="shared" si="101"/>
        <v>0</v>
      </c>
      <c r="W334" s="112"/>
      <c r="X334" s="101">
        <v>7367</v>
      </c>
      <c r="Y334" s="114"/>
      <c r="Z334" s="107">
        <v>21919820</v>
      </c>
      <c r="AA334" s="103">
        <v>49567.168408605001</v>
      </c>
      <c r="AB334" s="104">
        <f t="shared" si="116"/>
        <v>0</v>
      </c>
      <c r="AC334" s="105">
        <f t="shared" si="102"/>
        <v>0</v>
      </c>
      <c r="AD334" s="114"/>
      <c r="AE334" s="103">
        <v>16485919</v>
      </c>
      <c r="AF334" s="103">
        <v>27250.503958400001</v>
      </c>
      <c r="AG334" s="104">
        <f t="shared" si="117"/>
        <v>0</v>
      </c>
      <c r="AH334" s="105">
        <f t="shared" si="103"/>
        <v>0</v>
      </c>
      <c r="AI334" s="115"/>
      <c r="AJ334" s="115"/>
      <c r="AK334" s="115"/>
      <c r="AL334" s="104">
        <f t="shared" si="118"/>
        <v>0</v>
      </c>
      <c r="AM334" s="104">
        <f t="shared" si="104"/>
        <v>0</v>
      </c>
      <c r="AN334" s="108">
        <f t="shared" si="105"/>
        <v>0</v>
      </c>
      <c r="AO334" s="101">
        <f t="shared" si="106"/>
        <v>0</v>
      </c>
    </row>
    <row r="335" spans="1:41" ht="15.75" customHeight="1" x14ac:dyDescent="0.3">
      <c r="A335" s="99">
        <v>90202</v>
      </c>
      <c r="B335" s="62" t="s">
        <v>284</v>
      </c>
      <c r="C335" s="62" t="s">
        <v>265</v>
      </c>
      <c r="D335" s="112"/>
      <c r="E335" s="113">
        <v>3122.75</v>
      </c>
      <c r="F335" s="114"/>
      <c r="G335" s="103">
        <v>16774220</v>
      </c>
      <c r="H335" s="103">
        <f t="shared" si="94"/>
        <v>37931.375943799998</v>
      </c>
      <c r="I335" s="104">
        <f t="shared" si="113"/>
        <v>0</v>
      </c>
      <c r="J335" s="105">
        <f t="shared" si="95"/>
        <v>0</v>
      </c>
      <c r="K335" s="115"/>
      <c r="L335" s="107">
        <v>11355840</v>
      </c>
      <c r="M335" s="103">
        <f t="shared" si="96"/>
        <v>30779.739877347554</v>
      </c>
      <c r="N335" s="104">
        <f t="shared" si="114"/>
        <v>0</v>
      </c>
      <c r="O335" s="105">
        <f t="shared" si="97"/>
        <v>0</v>
      </c>
      <c r="P335" s="114"/>
      <c r="Q335" s="115"/>
      <c r="R335" s="103">
        <f t="shared" si="98"/>
        <v>0</v>
      </c>
      <c r="S335" s="104">
        <f t="shared" si="115"/>
        <v>0</v>
      </c>
      <c r="T335" s="105">
        <f t="shared" si="99"/>
        <v>0</v>
      </c>
      <c r="U335" s="104">
        <f t="shared" si="100"/>
        <v>0</v>
      </c>
      <c r="V335" s="103">
        <f t="shared" si="101"/>
        <v>0</v>
      </c>
      <c r="W335" s="112"/>
      <c r="X335" s="101">
        <v>3518</v>
      </c>
      <c r="Y335" s="114"/>
      <c r="Z335" s="107">
        <v>21919820</v>
      </c>
      <c r="AA335" s="103">
        <v>49567.168408605001</v>
      </c>
      <c r="AB335" s="104">
        <f t="shared" si="116"/>
        <v>0</v>
      </c>
      <c r="AC335" s="105">
        <f t="shared" si="102"/>
        <v>0</v>
      </c>
      <c r="AD335" s="114"/>
      <c r="AE335" s="103">
        <v>16485919</v>
      </c>
      <c r="AF335" s="103">
        <v>27250.503958400001</v>
      </c>
      <c r="AG335" s="104">
        <f t="shared" si="117"/>
        <v>0</v>
      </c>
      <c r="AH335" s="105">
        <f t="shared" si="103"/>
        <v>0</v>
      </c>
      <c r="AI335" s="115"/>
      <c r="AJ335" s="115"/>
      <c r="AK335" s="115"/>
      <c r="AL335" s="104">
        <f t="shared" si="118"/>
        <v>0</v>
      </c>
      <c r="AM335" s="104">
        <f t="shared" si="104"/>
        <v>0</v>
      </c>
      <c r="AN335" s="108">
        <f t="shared" si="105"/>
        <v>0</v>
      </c>
      <c r="AO335" s="101">
        <f t="shared" si="106"/>
        <v>0</v>
      </c>
    </row>
    <row r="336" spans="1:41" ht="15.75" customHeight="1" x14ac:dyDescent="0.3">
      <c r="A336" s="99">
        <v>90203</v>
      </c>
      <c r="B336" s="62" t="s">
        <v>284</v>
      </c>
      <c r="C336" s="62" t="s">
        <v>850</v>
      </c>
      <c r="D336" s="112"/>
      <c r="E336" s="113">
        <v>6328.25</v>
      </c>
      <c r="F336" s="114"/>
      <c r="G336" s="103">
        <v>16774220</v>
      </c>
      <c r="H336" s="103">
        <f t="shared" si="94"/>
        <v>37931.375943799998</v>
      </c>
      <c r="I336" s="104">
        <f t="shared" si="113"/>
        <v>0</v>
      </c>
      <c r="J336" s="105">
        <f t="shared" si="95"/>
        <v>0</v>
      </c>
      <c r="K336" s="115"/>
      <c r="L336" s="107">
        <v>11355840</v>
      </c>
      <c r="M336" s="103">
        <f t="shared" si="96"/>
        <v>30779.739877347554</v>
      </c>
      <c r="N336" s="104">
        <f t="shared" si="114"/>
        <v>0</v>
      </c>
      <c r="O336" s="105">
        <f t="shared" si="97"/>
        <v>0</v>
      </c>
      <c r="P336" s="114"/>
      <c r="Q336" s="115"/>
      <c r="R336" s="103">
        <f t="shared" si="98"/>
        <v>0</v>
      </c>
      <c r="S336" s="104">
        <f t="shared" si="115"/>
        <v>0</v>
      </c>
      <c r="T336" s="105">
        <f t="shared" si="99"/>
        <v>0</v>
      </c>
      <c r="U336" s="104">
        <f t="shared" si="100"/>
        <v>0</v>
      </c>
      <c r="V336" s="103">
        <f t="shared" si="101"/>
        <v>0</v>
      </c>
      <c r="W336" s="112"/>
      <c r="X336" s="101">
        <v>8045</v>
      </c>
      <c r="Y336" s="114"/>
      <c r="Z336" s="107">
        <v>21919820</v>
      </c>
      <c r="AA336" s="103">
        <v>49567.168408605001</v>
      </c>
      <c r="AB336" s="104">
        <f t="shared" si="116"/>
        <v>0</v>
      </c>
      <c r="AC336" s="105">
        <f t="shared" si="102"/>
        <v>0</v>
      </c>
      <c r="AD336" s="114"/>
      <c r="AE336" s="103">
        <v>16485919</v>
      </c>
      <c r="AF336" s="103">
        <v>27250.503958400001</v>
      </c>
      <c r="AG336" s="104">
        <f t="shared" si="117"/>
        <v>0</v>
      </c>
      <c r="AH336" s="105">
        <f t="shared" si="103"/>
        <v>0</v>
      </c>
      <c r="AI336" s="115"/>
      <c r="AJ336" s="115"/>
      <c r="AK336" s="115"/>
      <c r="AL336" s="104">
        <f t="shared" si="118"/>
        <v>0</v>
      </c>
      <c r="AM336" s="104">
        <f t="shared" si="104"/>
        <v>0</v>
      </c>
      <c r="AN336" s="108">
        <f t="shared" si="105"/>
        <v>0</v>
      </c>
      <c r="AO336" s="101">
        <f t="shared" si="106"/>
        <v>0</v>
      </c>
    </row>
    <row r="337" spans="1:41" ht="15.75" customHeight="1" x14ac:dyDescent="0.3">
      <c r="A337" s="99">
        <v>90301</v>
      </c>
      <c r="B337" s="62" t="s">
        <v>284</v>
      </c>
      <c r="C337" s="62" t="s">
        <v>851</v>
      </c>
      <c r="D337" s="112"/>
      <c r="E337" s="113">
        <v>9227.75</v>
      </c>
      <c r="F337" s="114"/>
      <c r="G337" s="103">
        <v>16774220</v>
      </c>
      <c r="H337" s="103">
        <f t="shared" si="94"/>
        <v>37931.375943799998</v>
      </c>
      <c r="I337" s="104">
        <f t="shared" si="113"/>
        <v>0</v>
      </c>
      <c r="J337" s="105">
        <f t="shared" si="95"/>
        <v>0</v>
      </c>
      <c r="K337" s="115"/>
      <c r="L337" s="107">
        <v>11355840</v>
      </c>
      <c r="M337" s="103">
        <f t="shared" si="96"/>
        <v>30779.739877347554</v>
      </c>
      <c r="N337" s="104">
        <f t="shared" si="114"/>
        <v>0</v>
      </c>
      <c r="O337" s="105">
        <f t="shared" si="97"/>
        <v>0</v>
      </c>
      <c r="P337" s="114"/>
      <c r="Q337" s="115"/>
      <c r="R337" s="103">
        <f t="shared" si="98"/>
        <v>0</v>
      </c>
      <c r="S337" s="104">
        <f t="shared" si="115"/>
        <v>0</v>
      </c>
      <c r="T337" s="105">
        <f t="shared" si="99"/>
        <v>0</v>
      </c>
      <c r="U337" s="104">
        <f t="shared" si="100"/>
        <v>0</v>
      </c>
      <c r="V337" s="103">
        <f t="shared" si="101"/>
        <v>0</v>
      </c>
      <c r="W337" s="112"/>
      <c r="X337" s="101">
        <v>12431</v>
      </c>
      <c r="Y337" s="114"/>
      <c r="Z337" s="107">
        <v>21919820</v>
      </c>
      <c r="AA337" s="103">
        <v>49567.168408605001</v>
      </c>
      <c r="AB337" s="104">
        <f t="shared" si="116"/>
        <v>0</v>
      </c>
      <c r="AC337" s="105">
        <f t="shared" si="102"/>
        <v>0</v>
      </c>
      <c r="AD337" s="114"/>
      <c r="AE337" s="103">
        <v>16485919</v>
      </c>
      <c r="AF337" s="103">
        <v>27250.503958400001</v>
      </c>
      <c r="AG337" s="104">
        <f t="shared" si="117"/>
        <v>0</v>
      </c>
      <c r="AH337" s="105">
        <f t="shared" si="103"/>
        <v>0</v>
      </c>
      <c r="AI337" s="115"/>
      <c r="AJ337" s="115"/>
      <c r="AK337" s="115"/>
      <c r="AL337" s="104">
        <f t="shared" si="118"/>
        <v>0</v>
      </c>
      <c r="AM337" s="104">
        <f t="shared" si="104"/>
        <v>0</v>
      </c>
      <c r="AN337" s="108">
        <f t="shared" si="105"/>
        <v>0</v>
      </c>
      <c r="AO337" s="101">
        <f t="shared" si="106"/>
        <v>0</v>
      </c>
    </row>
    <row r="338" spans="1:41" ht="15.75" customHeight="1" x14ac:dyDescent="0.3">
      <c r="A338" s="99">
        <v>90302</v>
      </c>
      <c r="B338" s="62" t="s">
        <v>284</v>
      </c>
      <c r="C338" s="62" t="s">
        <v>219</v>
      </c>
      <c r="D338" s="112"/>
      <c r="E338" s="113">
        <v>8197</v>
      </c>
      <c r="F338" s="114"/>
      <c r="G338" s="103">
        <v>16774220</v>
      </c>
      <c r="H338" s="103">
        <f t="shared" si="94"/>
        <v>37931.375943799998</v>
      </c>
      <c r="I338" s="104">
        <f t="shared" si="113"/>
        <v>0</v>
      </c>
      <c r="J338" s="105">
        <f t="shared" si="95"/>
        <v>0</v>
      </c>
      <c r="K338" s="115"/>
      <c r="L338" s="107">
        <v>11355840</v>
      </c>
      <c r="M338" s="103">
        <f t="shared" si="96"/>
        <v>30779.739877347554</v>
      </c>
      <c r="N338" s="104">
        <f t="shared" si="114"/>
        <v>0</v>
      </c>
      <c r="O338" s="105">
        <f t="shared" si="97"/>
        <v>0</v>
      </c>
      <c r="P338" s="114"/>
      <c r="Q338" s="115"/>
      <c r="R338" s="103">
        <f t="shared" si="98"/>
        <v>0</v>
      </c>
      <c r="S338" s="104">
        <f t="shared" si="115"/>
        <v>0</v>
      </c>
      <c r="T338" s="105">
        <f t="shared" si="99"/>
        <v>0</v>
      </c>
      <c r="U338" s="104">
        <f t="shared" si="100"/>
        <v>0</v>
      </c>
      <c r="V338" s="103">
        <f t="shared" si="101"/>
        <v>0</v>
      </c>
      <c r="W338" s="112"/>
      <c r="X338" s="101">
        <v>9832</v>
      </c>
      <c r="Y338" s="114"/>
      <c r="Z338" s="107">
        <v>21919820</v>
      </c>
      <c r="AA338" s="103">
        <v>49567.168408605001</v>
      </c>
      <c r="AB338" s="104">
        <f t="shared" si="116"/>
        <v>0</v>
      </c>
      <c r="AC338" s="105">
        <f t="shared" si="102"/>
        <v>0</v>
      </c>
      <c r="AD338" s="114"/>
      <c r="AE338" s="103">
        <v>16485919</v>
      </c>
      <c r="AF338" s="103">
        <v>27250.503958400001</v>
      </c>
      <c r="AG338" s="104">
        <f t="shared" si="117"/>
        <v>0</v>
      </c>
      <c r="AH338" s="105">
        <f t="shared" si="103"/>
        <v>0</v>
      </c>
      <c r="AI338" s="115"/>
      <c r="AJ338" s="115"/>
      <c r="AK338" s="115"/>
      <c r="AL338" s="104">
        <f t="shared" si="118"/>
        <v>0</v>
      </c>
      <c r="AM338" s="104">
        <f t="shared" si="104"/>
        <v>0</v>
      </c>
      <c r="AN338" s="108">
        <f t="shared" si="105"/>
        <v>0</v>
      </c>
      <c r="AO338" s="101">
        <f t="shared" si="106"/>
        <v>0</v>
      </c>
    </row>
    <row r="339" spans="1:41" ht="15.75" customHeight="1" x14ac:dyDescent="0.3">
      <c r="A339" s="99">
        <v>90303</v>
      </c>
      <c r="B339" s="62" t="s">
        <v>284</v>
      </c>
      <c r="C339" s="62" t="s">
        <v>852</v>
      </c>
      <c r="D339" s="112"/>
      <c r="E339" s="113">
        <v>8824</v>
      </c>
      <c r="F339" s="114"/>
      <c r="G339" s="103">
        <v>16774220</v>
      </c>
      <c r="H339" s="103">
        <f t="shared" si="94"/>
        <v>37931.375943799998</v>
      </c>
      <c r="I339" s="104">
        <f t="shared" si="113"/>
        <v>0</v>
      </c>
      <c r="J339" s="105">
        <f t="shared" si="95"/>
        <v>0</v>
      </c>
      <c r="K339" s="115"/>
      <c r="L339" s="107">
        <v>11355840</v>
      </c>
      <c r="M339" s="103">
        <f t="shared" si="96"/>
        <v>30779.739877347554</v>
      </c>
      <c r="N339" s="104">
        <f t="shared" si="114"/>
        <v>0</v>
      </c>
      <c r="O339" s="105">
        <f t="shared" si="97"/>
        <v>0</v>
      </c>
      <c r="P339" s="114"/>
      <c r="Q339" s="115"/>
      <c r="R339" s="103">
        <f t="shared" si="98"/>
        <v>0</v>
      </c>
      <c r="S339" s="104">
        <f t="shared" si="115"/>
        <v>0</v>
      </c>
      <c r="T339" s="105">
        <f t="shared" si="99"/>
        <v>0</v>
      </c>
      <c r="U339" s="104">
        <f t="shared" si="100"/>
        <v>0</v>
      </c>
      <c r="V339" s="103">
        <f t="shared" si="101"/>
        <v>0</v>
      </c>
      <c r="W339" s="112"/>
      <c r="X339" s="101">
        <v>10522</v>
      </c>
      <c r="Y339" s="114"/>
      <c r="Z339" s="107">
        <v>21919820</v>
      </c>
      <c r="AA339" s="103">
        <v>49567.168408605001</v>
      </c>
      <c r="AB339" s="104">
        <f t="shared" si="116"/>
        <v>0</v>
      </c>
      <c r="AC339" s="105">
        <f t="shared" si="102"/>
        <v>0</v>
      </c>
      <c r="AD339" s="114"/>
      <c r="AE339" s="103">
        <v>16485919</v>
      </c>
      <c r="AF339" s="103">
        <v>27250.503958400001</v>
      </c>
      <c r="AG339" s="104">
        <f t="shared" si="117"/>
        <v>0</v>
      </c>
      <c r="AH339" s="105">
        <f t="shared" si="103"/>
        <v>0</v>
      </c>
      <c r="AI339" s="115"/>
      <c r="AJ339" s="115"/>
      <c r="AK339" s="115"/>
      <c r="AL339" s="104">
        <f t="shared" si="118"/>
        <v>0</v>
      </c>
      <c r="AM339" s="104">
        <f t="shared" si="104"/>
        <v>0</v>
      </c>
      <c r="AN339" s="108">
        <f t="shared" si="105"/>
        <v>0</v>
      </c>
      <c r="AO339" s="101">
        <f t="shared" si="106"/>
        <v>0</v>
      </c>
    </row>
    <row r="340" spans="1:41" ht="15.75" customHeight="1" x14ac:dyDescent="0.3">
      <c r="A340" s="99">
        <v>90401</v>
      </c>
      <c r="B340" s="62" t="s">
        <v>284</v>
      </c>
      <c r="C340" s="62" t="s">
        <v>824</v>
      </c>
      <c r="D340" s="112"/>
      <c r="E340" s="113">
        <v>2518.5</v>
      </c>
      <c r="F340" s="114"/>
      <c r="G340" s="103">
        <v>16774220</v>
      </c>
      <c r="H340" s="103">
        <f t="shared" si="94"/>
        <v>37931.375943799998</v>
      </c>
      <c r="I340" s="104">
        <f t="shared" si="113"/>
        <v>0</v>
      </c>
      <c r="J340" s="105">
        <f t="shared" si="95"/>
        <v>0</v>
      </c>
      <c r="K340" s="115"/>
      <c r="L340" s="107">
        <v>11355840</v>
      </c>
      <c r="M340" s="103">
        <f t="shared" si="96"/>
        <v>30779.739877347554</v>
      </c>
      <c r="N340" s="104">
        <f t="shared" si="114"/>
        <v>0</v>
      </c>
      <c r="O340" s="105">
        <f t="shared" si="97"/>
        <v>0</v>
      </c>
      <c r="P340" s="114"/>
      <c r="Q340" s="115"/>
      <c r="R340" s="103">
        <f t="shared" si="98"/>
        <v>0</v>
      </c>
      <c r="S340" s="104">
        <f t="shared" si="115"/>
        <v>0</v>
      </c>
      <c r="T340" s="105">
        <f t="shared" si="99"/>
        <v>0</v>
      </c>
      <c r="U340" s="104">
        <f t="shared" si="100"/>
        <v>0</v>
      </c>
      <c r="V340" s="103">
        <f t="shared" si="101"/>
        <v>0</v>
      </c>
      <c r="W340" s="112"/>
      <c r="X340" s="101">
        <v>2889</v>
      </c>
      <c r="Y340" s="114"/>
      <c r="Z340" s="107">
        <v>21919820</v>
      </c>
      <c r="AA340" s="103">
        <v>49567.168408605001</v>
      </c>
      <c r="AB340" s="104">
        <f t="shared" si="116"/>
        <v>0</v>
      </c>
      <c r="AC340" s="105">
        <f t="shared" si="102"/>
        <v>0</v>
      </c>
      <c r="AD340" s="114"/>
      <c r="AE340" s="103">
        <v>16485919</v>
      </c>
      <c r="AF340" s="103">
        <v>27250.503958400001</v>
      </c>
      <c r="AG340" s="104">
        <f t="shared" si="117"/>
        <v>0</v>
      </c>
      <c r="AH340" s="105">
        <f t="shared" si="103"/>
        <v>0</v>
      </c>
      <c r="AI340" s="115"/>
      <c r="AJ340" s="115"/>
      <c r="AK340" s="115"/>
      <c r="AL340" s="104">
        <f t="shared" si="118"/>
        <v>0</v>
      </c>
      <c r="AM340" s="104">
        <f t="shared" si="104"/>
        <v>0</v>
      </c>
      <c r="AN340" s="108">
        <f t="shared" si="105"/>
        <v>0</v>
      </c>
      <c r="AO340" s="101">
        <f t="shared" si="106"/>
        <v>0</v>
      </c>
    </row>
    <row r="341" spans="1:41" ht="15.75" customHeight="1" x14ac:dyDescent="0.3">
      <c r="A341" s="99">
        <v>90402</v>
      </c>
      <c r="B341" s="62" t="s">
        <v>284</v>
      </c>
      <c r="C341" s="62" t="s">
        <v>853</v>
      </c>
      <c r="D341" s="112"/>
      <c r="E341" s="113">
        <v>1890.5</v>
      </c>
      <c r="F341" s="114"/>
      <c r="G341" s="103">
        <v>16774220</v>
      </c>
      <c r="H341" s="103">
        <f t="shared" si="94"/>
        <v>37931.375943799998</v>
      </c>
      <c r="I341" s="104">
        <f t="shared" si="113"/>
        <v>0</v>
      </c>
      <c r="J341" s="105">
        <f t="shared" si="95"/>
        <v>0</v>
      </c>
      <c r="K341" s="115"/>
      <c r="L341" s="107">
        <v>11355840</v>
      </c>
      <c r="M341" s="103">
        <f t="shared" si="96"/>
        <v>30779.739877347554</v>
      </c>
      <c r="N341" s="104">
        <f t="shared" si="114"/>
        <v>0</v>
      </c>
      <c r="O341" s="105">
        <f t="shared" si="97"/>
        <v>0</v>
      </c>
      <c r="P341" s="114"/>
      <c r="Q341" s="115"/>
      <c r="R341" s="103">
        <f t="shared" si="98"/>
        <v>0</v>
      </c>
      <c r="S341" s="104">
        <f t="shared" si="115"/>
        <v>0</v>
      </c>
      <c r="T341" s="105">
        <f t="shared" si="99"/>
        <v>0</v>
      </c>
      <c r="U341" s="104">
        <f t="shared" si="100"/>
        <v>0</v>
      </c>
      <c r="V341" s="103">
        <f t="shared" si="101"/>
        <v>0</v>
      </c>
      <c r="W341" s="112"/>
      <c r="X341" s="101">
        <v>2600</v>
      </c>
      <c r="Y341" s="114"/>
      <c r="Z341" s="107">
        <v>21919820</v>
      </c>
      <c r="AA341" s="103">
        <v>49567.168408605001</v>
      </c>
      <c r="AB341" s="104">
        <f t="shared" si="116"/>
        <v>0</v>
      </c>
      <c r="AC341" s="105">
        <f t="shared" si="102"/>
        <v>0</v>
      </c>
      <c r="AD341" s="114"/>
      <c r="AE341" s="103">
        <v>16485919</v>
      </c>
      <c r="AF341" s="103">
        <v>27250.503958400001</v>
      </c>
      <c r="AG341" s="104">
        <f t="shared" si="117"/>
        <v>0</v>
      </c>
      <c r="AH341" s="105">
        <f t="shared" si="103"/>
        <v>0</v>
      </c>
      <c r="AI341" s="115"/>
      <c r="AJ341" s="115"/>
      <c r="AK341" s="115"/>
      <c r="AL341" s="104">
        <f t="shared" si="118"/>
        <v>0</v>
      </c>
      <c r="AM341" s="104">
        <f t="shared" si="104"/>
        <v>0</v>
      </c>
      <c r="AN341" s="108">
        <f t="shared" si="105"/>
        <v>0</v>
      </c>
      <c r="AO341" s="101">
        <f t="shared" si="106"/>
        <v>0</v>
      </c>
    </row>
    <row r="342" spans="1:41" ht="15.75" customHeight="1" x14ac:dyDescent="0.3">
      <c r="A342" s="99">
        <v>90501</v>
      </c>
      <c r="B342" s="62" t="s">
        <v>284</v>
      </c>
      <c r="C342" s="62" t="s">
        <v>854</v>
      </c>
      <c r="D342" s="112"/>
      <c r="E342" s="113">
        <v>1950.5</v>
      </c>
      <c r="F342" s="114"/>
      <c r="G342" s="103">
        <v>16774220</v>
      </c>
      <c r="H342" s="103">
        <f t="shared" si="94"/>
        <v>37931.375943799998</v>
      </c>
      <c r="I342" s="104">
        <f t="shared" si="113"/>
        <v>0</v>
      </c>
      <c r="J342" s="105">
        <f t="shared" si="95"/>
        <v>0</v>
      </c>
      <c r="K342" s="115"/>
      <c r="L342" s="107">
        <v>11355840</v>
      </c>
      <c r="M342" s="103">
        <f t="shared" si="96"/>
        <v>30779.739877347554</v>
      </c>
      <c r="N342" s="104">
        <f t="shared" si="114"/>
        <v>0</v>
      </c>
      <c r="O342" s="105">
        <f t="shared" si="97"/>
        <v>0</v>
      </c>
      <c r="P342" s="114"/>
      <c r="Q342" s="115"/>
      <c r="R342" s="103">
        <f t="shared" si="98"/>
        <v>0</v>
      </c>
      <c r="S342" s="104">
        <f t="shared" si="115"/>
        <v>0</v>
      </c>
      <c r="T342" s="105">
        <f t="shared" si="99"/>
        <v>0</v>
      </c>
      <c r="U342" s="104">
        <f t="shared" si="100"/>
        <v>0</v>
      </c>
      <c r="V342" s="103">
        <f t="shared" si="101"/>
        <v>0</v>
      </c>
      <c r="W342" s="112"/>
      <c r="X342" s="101">
        <v>1598</v>
      </c>
      <c r="Y342" s="114"/>
      <c r="Z342" s="107">
        <v>21919820</v>
      </c>
      <c r="AA342" s="103">
        <v>49567.168408605001</v>
      </c>
      <c r="AB342" s="104">
        <f t="shared" si="116"/>
        <v>0</v>
      </c>
      <c r="AC342" s="105">
        <f t="shared" si="102"/>
        <v>0</v>
      </c>
      <c r="AD342" s="114"/>
      <c r="AE342" s="103">
        <v>16485919</v>
      </c>
      <c r="AF342" s="103">
        <v>27250.503958400001</v>
      </c>
      <c r="AG342" s="104">
        <f t="shared" si="117"/>
        <v>0</v>
      </c>
      <c r="AH342" s="105">
        <f t="shared" si="103"/>
        <v>0</v>
      </c>
      <c r="AI342" s="115"/>
      <c r="AJ342" s="115"/>
      <c r="AK342" s="115"/>
      <c r="AL342" s="104">
        <f t="shared" si="118"/>
        <v>0</v>
      </c>
      <c r="AM342" s="104">
        <f t="shared" si="104"/>
        <v>0</v>
      </c>
      <c r="AN342" s="108">
        <f t="shared" si="105"/>
        <v>0</v>
      </c>
      <c r="AO342" s="101">
        <f t="shared" si="106"/>
        <v>0</v>
      </c>
    </row>
    <row r="343" spans="1:41" ht="15.75" customHeight="1" x14ac:dyDescent="0.3">
      <c r="A343" s="99">
        <v>90502</v>
      </c>
      <c r="B343" s="62" t="s">
        <v>284</v>
      </c>
      <c r="C343" s="62" t="s">
        <v>855</v>
      </c>
      <c r="D343" s="112"/>
      <c r="E343" s="113">
        <v>2728.5</v>
      </c>
      <c r="F343" s="114"/>
      <c r="G343" s="103">
        <v>16774220</v>
      </c>
      <c r="H343" s="103">
        <f t="shared" si="94"/>
        <v>37931.375943799998</v>
      </c>
      <c r="I343" s="104">
        <f t="shared" si="113"/>
        <v>0</v>
      </c>
      <c r="J343" s="105">
        <f t="shared" si="95"/>
        <v>0</v>
      </c>
      <c r="K343" s="115"/>
      <c r="L343" s="107">
        <v>11355840</v>
      </c>
      <c r="M343" s="103">
        <f t="shared" si="96"/>
        <v>30779.739877347554</v>
      </c>
      <c r="N343" s="104">
        <f t="shared" si="114"/>
        <v>0</v>
      </c>
      <c r="O343" s="105">
        <f t="shared" si="97"/>
        <v>0</v>
      </c>
      <c r="P343" s="114"/>
      <c r="Q343" s="115"/>
      <c r="R343" s="103">
        <f t="shared" si="98"/>
        <v>0</v>
      </c>
      <c r="S343" s="104">
        <f t="shared" si="115"/>
        <v>0</v>
      </c>
      <c r="T343" s="105">
        <f t="shared" si="99"/>
        <v>0</v>
      </c>
      <c r="U343" s="104">
        <f t="shared" si="100"/>
        <v>0</v>
      </c>
      <c r="V343" s="103">
        <f t="shared" si="101"/>
        <v>0</v>
      </c>
      <c r="W343" s="112"/>
      <c r="X343" s="101">
        <v>2511</v>
      </c>
      <c r="Y343" s="114"/>
      <c r="Z343" s="107">
        <v>21919820</v>
      </c>
      <c r="AA343" s="103">
        <v>49567.168408605001</v>
      </c>
      <c r="AB343" s="104">
        <f t="shared" si="116"/>
        <v>0</v>
      </c>
      <c r="AC343" s="105">
        <f t="shared" si="102"/>
        <v>0</v>
      </c>
      <c r="AD343" s="114"/>
      <c r="AE343" s="103">
        <v>16485919</v>
      </c>
      <c r="AF343" s="103">
        <v>27250.503958400001</v>
      </c>
      <c r="AG343" s="104">
        <f t="shared" si="117"/>
        <v>0</v>
      </c>
      <c r="AH343" s="105">
        <f t="shared" si="103"/>
        <v>0</v>
      </c>
      <c r="AI343" s="115"/>
      <c r="AJ343" s="115"/>
      <c r="AK343" s="115"/>
      <c r="AL343" s="104">
        <f t="shared" si="118"/>
        <v>0</v>
      </c>
      <c r="AM343" s="104">
        <f t="shared" si="104"/>
        <v>0</v>
      </c>
      <c r="AN343" s="108">
        <f t="shared" si="105"/>
        <v>0</v>
      </c>
      <c r="AO343" s="101">
        <f t="shared" si="106"/>
        <v>0</v>
      </c>
    </row>
    <row r="344" spans="1:41" ht="15.75" customHeight="1" x14ac:dyDescent="0.3">
      <c r="A344" s="99">
        <v>90503</v>
      </c>
      <c r="B344" s="62" t="s">
        <v>284</v>
      </c>
      <c r="C344" s="62" t="s">
        <v>856</v>
      </c>
      <c r="D344" s="125"/>
      <c r="E344" s="126">
        <v>2210.5</v>
      </c>
      <c r="F344" s="127"/>
      <c r="G344" s="128">
        <v>16774220</v>
      </c>
      <c r="H344" s="128">
        <f t="shared" si="94"/>
        <v>37931.375943799998</v>
      </c>
      <c r="I344" s="129">
        <f t="shared" si="113"/>
        <v>0</v>
      </c>
      <c r="J344" s="130">
        <f t="shared" si="95"/>
        <v>0</v>
      </c>
      <c r="K344" s="115"/>
      <c r="L344" s="107">
        <v>11355840</v>
      </c>
      <c r="M344" s="103">
        <f t="shared" si="96"/>
        <v>30779.739877347554</v>
      </c>
      <c r="N344" s="129">
        <f t="shared" si="114"/>
        <v>0</v>
      </c>
      <c r="O344" s="105">
        <f t="shared" si="97"/>
        <v>0</v>
      </c>
      <c r="P344" s="127"/>
      <c r="Q344" s="131"/>
      <c r="R344" s="128">
        <f t="shared" si="98"/>
        <v>0</v>
      </c>
      <c r="S344" s="129">
        <f t="shared" si="115"/>
        <v>0</v>
      </c>
      <c r="T344" s="130">
        <f t="shared" si="99"/>
        <v>0</v>
      </c>
      <c r="U344" s="104">
        <f t="shared" si="100"/>
        <v>0</v>
      </c>
      <c r="V344" s="103">
        <f t="shared" si="101"/>
        <v>0</v>
      </c>
      <c r="W344" s="125"/>
      <c r="X344" s="132">
        <v>2347</v>
      </c>
      <c r="Y344" s="127"/>
      <c r="Z344" s="133">
        <v>21919820</v>
      </c>
      <c r="AA344" s="103">
        <v>49567.168408605001</v>
      </c>
      <c r="AB344" s="129">
        <f t="shared" si="116"/>
        <v>0</v>
      </c>
      <c r="AC344" s="130">
        <f t="shared" si="102"/>
        <v>0</v>
      </c>
      <c r="AD344" s="127"/>
      <c r="AE344" s="103">
        <v>16485919</v>
      </c>
      <c r="AF344" s="103">
        <v>27250.503958400001</v>
      </c>
      <c r="AG344" s="129">
        <f t="shared" si="117"/>
        <v>0</v>
      </c>
      <c r="AH344" s="130">
        <f t="shared" si="103"/>
        <v>0</v>
      </c>
      <c r="AI344" s="115"/>
      <c r="AJ344" s="115"/>
      <c r="AK344" s="115"/>
      <c r="AL344" s="129">
        <f t="shared" si="118"/>
        <v>0</v>
      </c>
      <c r="AM344" s="104">
        <f t="shared" si="104"/>
        <v>0</v>
      </c>
      <c r="AN344" s="134">
        <f t="shared" si="105"/>
        <v>0</v>
      </c>
      <c r="AO344" s="132">
        <f t="shared" si="106"/>
        <v>0</v>
      </c>
    </row>
    <row r="345" spans="1:41" ht="15.75" customHeight="1" x14ac:dyDescent="0.3">
      <c r="A345" s="62"/>
      <c r="B345" s="62"/>
      <c r="C345" s="62"/>
      <c r="D345" s="62"/>
      <c r="E345" s="62"/>
      <c r="F345" s="115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</row>
    <row r="346" spans="1:41" ht="15.75" customHeight="1" x14ac:dyDescent="0.3">
      <c r="A346" s="62"/>
      <c r="B346" s="62"/>
      <c r="C346" s="62"/>
      <c r="D346" s="62"/>
      <c r="E346" s="62"/>
      <c r="F346" s="115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</row>
    <row r="347" spans="1:41" ht="15.75" customHeight="1" x14ac:dyDescent="0.3">
      <c r="A347" s="62"/>
      <c r="B347" s="62"/>
      <c r="C347" s="62"/>
      <c r="D347" s="62"/>
      <c r="E347" s="62"/>
      <c r="F347" s="115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 t="s">
        <v>857</v>
      </c>
      <c r="U347" s="135">
        <f>AVERAGE(U2:U344)</f>
        <v>0.17628526674013448</v>
      </c>
      <c r="V347" s="135">
        <f>U347+U348</f>
        <v>0.6562402766232095</v>
      </c>
      <c r="W347" s="62"/>
      <c r="X347" s="62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</row>
    <row r="348" spans="1:41" ht="15.75" customHeight="1" x14ac:dyDescent="0.3">
      <c r="A348" s="62"/>
      <c r="B348" s="62"/>
      <c r="C348" s="62"/>
      <c r="D348" s="62"/>
      <c r="E348" s="62"/>
      <c r="F348" s="115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 t="s">
        <v>858</v>
      </c>
      <c r="U348" s="62">
        <f>STDEVA(U2:U344)</f>
        <v>0.47995500988307499</v>
      </c>
      <c r="V348" s="135">
        <f>U347-U348</f>
        <v>-0.30366974314294048</v>
      </c>
      <c r="W348" s="62"/>
      <c r="X348" s="62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</row>
    <row r="349" spans="1:41" ht="15.75" customHeight="1" x14ac:dyDescent="0.3">
      <c r="A349" s="62"/>
      <c r="B349" s="62"/>
      <c r="C349" s="62"/>
      <c r="D349" s="62"/>
      <c r="E349" s="62"/>
      <c r="F349" s="115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 t="s">
        <v>859</v>
      </c>
      <c r="U349" s="135">
        <f>MAX(U2:U344)</f>
        <v>4.0938472309447524</v>
      </c>
      <c r="V349" s="62"/>
      <c r="W349" s="62"/>
      <c r="X349" s="62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</row>
    <row r="350" spans="1:41" ht="15.75" customHeight="1" x14ac:dyDescent="0.3">
      <c r="A350" s="62"/>
      <c r="B350" s="62"/>
      <c r="C350" s="62"/>
      <c r="D350" s="62"/>
      <c r="E350" s="62"/>
      <c r="F350" s="115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 t="s">
        <v>860</v>
      </c>
      <c r="U350" s="135">
        <f>MIN(U2:U344)</f>
        <v>0</v>
      </c>
      <c r="V350" s="62"/>
      <c r="W350" s="62"/>
      <c r="X350" s="62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</row>
    <row r="351" spans="1:41" ht="15.75" customHeight="1" x14ac:dyDescent="0.3">
      <c r="A351" s="62"/>
      <c r="B351" s="62"/>
      <c r="C351" s="62"/>
      <c r="D351" s="62"/>
      <c r="E351" s="62"/>
      <c r="F351" s="115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</row>
    <row r="352" spans="1:41" ht="15.75" customHeight="1" x14ac:dyDescent="0.3">
      <c r="A352" s="62"/>
      <c r="B352" s="62"/>
      <c r="C352" s="62"/>
      <c r="D352" s="62"/>
      <c r="E352" s="62"/>
      <c r="F352" s="115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</row>
    <row r="353" spans="1:76" ht="15.75" customHeight="1" x14ac:dyDescent="0.25">
      <c r="A353" s="81" t="s">
        <v>714</v>
      </c>
      <c r="B353" s="81" t="s">
        <v>0</v>
      </c>
      <c r="C353" s="82" t="s">
        <v>1</v>
      </c>
      <c r="D353" s="83" t="s">
        <v>715</v>
      </c>
      <c r="E353" s="84" t="s">
        <v>716</v>
      </c>
      <c r="F353" s="83" t="s">
        <v>717</v>
      </c>
      <c r="G353" s="85" t="s">
        <v>718</v>
      </c>
      <c r="H353" s="85" t="s">
        <v>719</v>
      </c>
      <c r="I353" s="85" t="s">
        <v>720</v>
      </c>
      <c r="J353" s="84" t="s">
        <v>721</v>
      </c>
      <c r="K353" s="86" t="s">
        <v>722</v>
      </c>
      <c r="L353" s="87" t="s">
        <v>723</v>
      </c>
      <c r="M353" s="87" t="s">
        <v>719</v>
      </c>
      <c r="N353" s="87" t="s">
        <v>720</v>
      </c>
      <c r="O353" s="88" t="s">
        <v>721</v>
      </c>
      <c r="P353" s="83" t="s">
        <v>724</v>
      </c>
      <c r="Q353" s="85" t="s">
        <v>725</v>
      </c>
      <c r="R353" s="85" t="s">
        <v>719</v>
      </c>
      <c r="S353" s="85" t="s">
        <v>720</v>
      </c>
      <c r="T353" s="84" t="s">
        <v>721</v>
      </c>
      <c r="U353" s="89" t="s">
        <v>726</v>
      </c>
      <c r="V353" s="89" t="s">
        <v>727</v>
      </c>
      <c r="W353" s="90" t="s">
        <v>728</v>
      </c>
      <c r="X353" s="91" t="s">
        <v>729</v>
      </c>
      <c r="Y353" s="90" t="s">
        <v>730</v>
      </c>
      <c r="Z353" s="92" t="s">
        <v>731</v>
      </c>
      <c r="AA353" s="92" t="s">
        <v>719</v>
      </c>
      <c r="AB353" s="92" t="s">
        <v>720</v>
      </c>
      <c r="AC353" s="91" t="s">
        <v>721</v>
      </c>
      <c r="AD353" s="90" t="s">
        <v>732</v>
      </c>
      <c r="AE353" s="92" t="s">
        <v>733</v>
      </c>
      <c r="AF353" s="92" t="s">
        <v>719</v>
      </c>
      <c r="AG353" s="92" t="s">
        <v>720</v>
      </c>
      <c r="AH353" s="91" t="s">
        <v>721</v>
      </c>
      <c r="AI353" s="93" t="s">
        <v>734</v>
      </c>
      <c r="AJ353" s="94" t="s">
        <v>735</v>
      </c>
      <c r="AK353" s="94" t="s">
        <v>719</v>
      </c>
      <c r="AL353" s="94" t="s">
        <v>720</v>
      </c>
      <c r="AM353" s="94" t="s">
        <v>721</v>
      </c>
      <c r="AN353" s="95" t="s">
        <v>726</v>
      </c>
      <c r="AO353" s="89" t="s">
        <v>727</v>
      </c>
      <c r="AP353" s="96"/>
      <c r="AQ353" s="97"/>
      <c r="AR353" s="98"/>
      <c r="AS353" s="96"/>
      <c r="AT353" s="96"/>
      <c r="AU353" s="96"/>
      <c r="AV353" s="96"/>
      <c r="AW353" s="96"/>
      <c r="AX353" s="96"/>
      <c r="AY353" s="96"/>
      <c r="AZ353" s="96"/>
      <c r="BA353" s="96"/>
      <c r="BB353" s="96"/>
      <c r="BC353" s="96"/>
      <c r="BD353" s="96"/>
      <c r="BE353" s="96"/>
      <c r="BF353" s="96"/>
      <c r="BG353" s="96"/>
      <c r="BH353" s="96"/>
      <c r="BI353" s="96"/>
      <c r="BJ353" s="96"/>
      <c r="BK353" s="96"/>
      <c r="BL353" s="96"/>
      <c r="BM353" s="96"/>
      <c r="BN353" s="96"/>
      <c r="BO353" s="96"/>
      <c r="BP353" s="96"/>
      <c r="BQ353" s="96"/>
      <c r="BR353" s="96"/>
      <c r="BS353" s="96"/>
      <c r="BT353" s="96"/>
      <c r="BU353" s="96"/>
      <c r="BV353" s="96"/>
      <c r="BW353" s="96"/>
      <c r="BX353" s="96"/>
    </row>
    <row r="354" spans="1:76" ht="15.75" customHeight="1" x14ac:dyDescent="0.3">
      <c r="A354" s="62">
        <v>60301</v>
      </c>
      <c r="B354" s="62" t="s">
        <v>213</v>
      </c>
      <c r="C354" s="62" t="s">
        <v>222</v>
      </c>
      <c r="D354" s="62">
        <v>14438</v>
      </c>
      <c r="E354" s="123">
        <v>93592.25</v>
      </c>
      <c r="F354" s="115">
        <v>11688.14211928881</v>
      </c>
      <c r="G354" s="123">
        <v>73166581</v>
      </c>
      <c r="H354" s="123">
        <v>165450.85794948999</v>
      </c>
      <c r="I354" s="136">
        <v>0.16700447396357632</v>
      </c>
      <c r="J354" s="136">
        <v>0.2952277939538473</v>
      </c>
      <c r="K354" s="115">
        <v>2393.0144840823041</v>
      </c>
      <c r="L354" s="124">
        <v>109525629</v>
      </c>
      <c r="M354" s="123">
        <v>296866.666888832</v>
      </c>
      <c r="N354" s="136">
        <v>0.15574451572289641</v>
      </c>
      <c r="O354" s="136">
        <v>0.49400837429243921</v>
      </c>
      <c r="P354" s="115">
        <v>355.91926209401799</v>
      </c>
      <c r="Q354" s="123">
        <v>43388942926</v>
      </c>
      <c r="R354" s="123">
        <v>84530.627318459432</v>
      </c>
      <c r="S354" s="136">
        <v>0.18327459428116277</v>
      </c>
      <c r="T354" s="136">
        <v>0.16552990686860106</v>
      </c>
      <c r="U354" s="136">
        <v>0.95476607511488754</v>
      </c>
      <c r="V354" s="123">
        <v>89358.705193671325</v>
      </c>
      <c r="W354" s="62">
        <v>18762</v>
      </c>
      <c r="X354" s="123">
        <v>97634</v>
      </c>
      <c r="Y354" s="115">
        <v>15715.27724179518</v>
      </c>
      <c r="Z354" s="124">
        <v>97868000</v>
      </c>
      <c r="AA354" s="123">
        <v>223054.08948726588</v>
      </c>
      <c r="AB354" s="136">
        <v>0.1246153191384354</v>
      </c>
      <c r="AC354" s="136">
        <v>0.28469546005068691</v>
      </c>
      <c r="AD354" s="115">
        <v>2626.2453659608791</v>
      </c>
      <c r="AE354" s="123">
        <v>119919247</v>
      </c>
      <c r="AF354" s="123">
        <v>289671.03710113</v>
      </c>
      <c r="AG354" s="136">
        <v>0.13582370561141127</v>
      </c>
      <c r="AH354" s="136">
        <v>0.40297635728717529</v>
      </c>
      <c r="AI354" s="115">
        <v>419.38254246507239</v>
      </c>
      <c r="AJ354" s="123">
        <v>13268452106</v>
      </c>
      <c r="AK354" s="123">
        <v>126477.65809489001</v>
      </c>
      <c r="AL354" s="136">
        <v>0.15222287741799245</v>
      </c>
      <c r="AM354" s="136">
        <v>0.19719352934728887</v>
      </c>
      <c r="AN354" s="119">
        <v>0.88486534668515104</v>
      </c>
      <c r="AO354" s="73">
        <v>86392.943258258034</v>
      </c>
    </row>
    <row r="355" spans="1:76" ht="15.75" customHeight="1" x14ac:dyDescent="0.3">
      <c r="A355" s="62">
        <v>60302</v>
      </c>
      <c r="B355" s="62" t="s">
        <v>213</v>
      </c>
      <c r="C355" s="62" t="s">
        <v>215</v>
      </c>
      <c r="D355" s="62">
        <v>650</v>
      </c>
      <c r="E355" s="123">
        <v>15414.25</v>
      </c>
      <c r="F355" s="115">
        <v>480.51072970509261</v>
      </c>
      <c r="G355" s="123">
        <v>73166581</v>
      </c>
      <c r="H355" s="123">
        <v>165450.85794948999</v>
      </c>
      <c r="I355" s="136">
        <v>6.8657140569690486E-3</v>
      </c>
      <c r="J355" s="136">
        <v>7.3694035140302178E-2</v>
      </c>
      <c r="K355" s="115">
        <v>149.72155604270301</v>
      </c>
      <c r="L355" s="124">
        <v>109525629</v>
      </c>
      <c r="M355" s="123">
        <v>296866.666888832</v>
      </c>
      <c r="N355" s="136">
        <v>9.7443251573513159E-3</v>
      </c>
      <c r="O355" s="136">
        <v>0.18766825051779221</v>
      </c>
      <c r="P355" s="115">
        <v>19.711512489317101</v>
      </c>
      <c r="Q355" s="123">
        <v>43388942926</v>
      </c>
      <c r="R355" s="123">
        <v>84530.627318459432</v>
      </c>
      <c r="S355" s="136">
        <v>1.0150109417774E-2</v>
      </c>
      <c r="T355" s="136">
        <v>5.5662462749432456E-2</v>
      </c>
      <c r="U355" s="136">
        <v>0.31702474840752681</v>
      </c>
      <c r="V355" s="123">
        <v>4886.69872814072</v>
      </c>
      <c r="W355" s="62">
        <v>1099</v>
      </c>
      <c r="X355" s="123">
        <v>15559</v>
      </c>
      <c r="Y355" s="115">
        <v>860.79327932849446</v>
      </c>
      <c r="Z355" s="124">
        <v>97868000</v>
      </c>
      <c r="AA355" s="123">
        <v>223054.08948726588</v>
      </c>
      <c r="AB355" s="136">
        <v>6.8257166300864647E-3</v>
      </c>
      <c r="AC355" s="136">
        <v>9.785359007789865E-2</v>
      </c>
      <c r="AD355" s="115">
        <v>208.5235144669999</v>
      </c>
      <c r="AE355" s="123">
        <v>119919247</v>
      </c>
      <c r="AF355" s="123">
        <v>289671.03710113</v>
      </c>
      <c r="AG355" s="136">
        <v>1.0784383214574533E-2</v>
      </c>
      <c r="AH355" s="136">
        <v>0.20077919340971934</v>
      </c>
      <c r="AI355" s="115">
        <v>29.605130679031831</v>
      </c>
      <c r="AJ355" s="123">
        <v>13268452106</v>
      </c>
      <c r="AK355" s="123">
        <v>126477.65809489001</v>
      </c>
      <c r="AL355" s="136">
        <v>1.0745745761873798E-2</v>
      </c>
      <c r="AM355" s="136">
        <v>8.735116385660309E-2</v>
      </c>
      <c r="AN355" s="119">
        <v>0.38598394734422109</v>
      </c>
      <c r="AO355" s="73">
        <v>6005.5242367287356</v>
      </c>
    </row>
    <row r="356" spans="1:76" ht="15.75" customHeight="1" x14ac:dyDescent="0.3">
      <c r="A356" s="62">
        <v>60303</v>
      </c>
      <c r="B356" s="62" t="s">
        <v>213</v>
      </c>
      <c r="C356" s="62" t="s">
        <v>817</v>
      </c>
      <c r="D356" s="123">
        <v>4718</v>
      </c>
      <c r="E356" s="123">
        <v>41418</v>
      </c>
      <c r="F356" s="115">
        <v>3770.0315541875325</v>
      </c>
      <c r="G356" s="123">
        <v>73166581</v>
      </c>
      <c r="H356" s="123">
        <v>165450.85794948999</v>
      </c>
      <c r="I356" s="136">
        <v>5.3867597613664456E-2</v>
      </c>
      <c r="J356" s="136">
        <v>0.2151827765913053</v>
      </c>
      <c r="K356" s="115">
        <v>837.79834838322108</v>
      </c>
      <c r="L356" s="124">
        <v>109525629</v>
      </c>
      <c r="M356" s="123">
        <v>296866.666888832</v>
      </c>
      <c r="N356" s="136">
        <v>5.4526413822533086E-2</v>
      </c>
      <c r="O356" s="136">
        <v>0.39082222050549359</v>
      </c>
      <c r="P356" s="115">
        <v>109.79026887400173</v>
      </c>
      <c r="Q356" s="123">
        <v>43388942926</v>
      </c>
      <c r="R356" s="123">
        <v>84530.627318459432</v>
      </c>
      <c r="S356" s="136">
        <v>5.6534638967045192E-2</v>
      </c>
      <c r="T356" s="136">
        <v>0.11538240613035278</v>
      </c>
      <c r="U356" s="136">
        <v>0.72138740322715167</v>
      </c>
      <c r="V356" s="123">
        <v>29878.423466862172</v>
      </c>
      <c r="W356" s="123">
        <v>8252</v>
      </c>
      <c r="X356" s="123">
        <v>46071</v>
      </c>
      <c r="Y356" s="115">
        <v>7107.2193886776986</v>
      </c>
      <c r="Z356" s="124">
        <v>97868000</v>
      </c>
      <c r="AA356" s="123">
        <v>223054.08948726588</v>
      </c>
      <c r="AB356" s="136">
        <v>5.6357161167445997E-2</v>
      </c>
      <c r="AC356" s="136">
        <v>0.27285483862498677</v>
      </c>
      <c r="AD356" s="115">
        <v>994.19522638786441</v>
      </c>
      <c r="AE356" s="123">
        <v>119919247</v>
      </c>
      <c r="AF356" s="123">
        <v>289671.03710113</v>
      </c>
      <c r="AG356" s="136">
        <v>5.1417617523246757E-2</v>
      </c>
      <c r="AH356" s="136">
        <v>0.32328785121286979</v>
      </c>
      <c r="AI356" s="115">
        <v>150.12789256896801</v>
      </c>
      <c r="AJ356" s="123">
        <v>13268452106</v>
      </c>
      <c r="AK356" s="123">
        <v>126477.65809489001</v>
      </c>
      <c r="AL356" s="136">
        <v>5.4491776537052262E-2</v>
      </c>
      <c r="AM356" s="136">
        <v>0.14959502250518647</v>
      </c>
      <c r="AN356" s="119">
        <v>0.74573771234304309</v>
      </c>
      <c r="AO356" s="73">
        <v>34356.882145356336</v>
      </c>
    </row>
    <row r="357" spans="1:76" ht="15.75" customHeight="1" x14ac:dyDescent="0.3">
      <c r="A357" s="62"/>
      <c r="B357" s="62"/>
      <c r="C357" s="62"/>
      <c r="D357" s="62"/>
      <c r="E357" s="62"/>
      <c r="F357" s="115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</row>
    <row r="358" spans="1:76" ht="15.75" customHeight="1" x14ac:dyDescent="0.3">
      <c r="A358" s="62"/>
      <c r="B358" s="62"/>
      <c r="C358" s="62"/>
      <c r="D358" s="62"/>
      <c r="E358" s="62"/>
      <c r="F358" s="62"/>
      <c r="G358" s="62"/>
      <c r="H358" s="62"/>
      <c r="I358" s="148" t="s">
        <v>861</v>
      </c>
      <c r="J358" s="115">
        <f t="shared" ref="J358:J360" si="119">H354*I354</f>
        <v>27631.033498676963</v>
      </c>
      <c r="K358" s="62"/>
      <c r="L358" s="62"/>
      <c r="M358" s="62"/>
      <c r="N358" s="148" t="s">
        <v>861</v>
      </c>
      <c r="O358" s="115">
        <f t="shared" ref="O358:O360" si="120">M354*N354</f>
        <v>46235.355268871543</v>
      </c>
      <c r="P358" s="62"/>
      <c r="Q358" s="62"/>
      <c r="R358" s="62"/>
      <c r="S358" s="148" t="s">
        <v>861</v>
      </c>
      <c r="T358" s="115">
        <f t="shared" ref="T358:T360" si="121">R354*S354</f>
        <v>15492.316426122827</v>
      </c>
      <c r="U358" s="62"/>
      <c r="V358" s="62"/>
      <c r="W358" s="62"/>
      <c r="X358" s="62"/>
      <c r="Y358" s="115"/>
      <c r="Z358" s="115"/>
      <c r="AA358" s="115"/>
      <c r="AB358" s="148" t="s">
        <v>861</v>
      </c>
      <c r="AC358" s="115">
        <f t="shared" ref="AC358:AC360" si="122">AA354*AB354</f>
        <v>27795.956546588768</v>
      </c>
      <c r="AD358" s="115"/>
      <c r="AE358" s="115"/>
      <c r="AF358" s="115"/>
      <c r="AG358" s="148" t="s">
        <v>861</v>
      </c>
      <c r="AH358" s="115">
        <f t="shared" ref="AH358:AH360" si="123">AF354*AG354</f>
        <v>39344.193667376072</v>
      </c>
      <c r="AI358" s="115"/>
      <c r="AJ358" s="115"/>
      <c r="AK358" s="115"/>
      <c r="AL358" s="148" t="s">
        <v>861</v>
      </c>
      <c r="AM358" s="115">
        <f t="shared" ref="AM358:AM360" si="124">AK354*AL354</f>
        <v>19252.793044293201</v>
      </c>
    </row>
    <row r="359" spans="1:76" ht="15.75" customHeight="1" x14ac:dyDescent="0.3">
      <c r="A359" s="62"/>
      <c r="B359" s="62"/>
      <c r="C359" s="62"/>
      <c r="D359" s="62"/>
      <c r="E359" s="62"/>
      <c r="F359" s="62"/>
      <c r="G359" s="62"/>
      <c r="H359" s="62"/>
      <c r="I359" s="149"/>
      <c r="J359" s="115">
        <f t="shared" si="119"/>
        <v>1135.9382811614028</v>
      </c>
      <c r="K359" s="62"/>
      <c r="L359" s="62"/>
      <c r="M359" s="62"/>
      <c r="N359" s="149"/>
      <c r="O359" s="115">
        <f t="shared" si="120"/>
        <v>2892.7653305438785</v>
      </c>
      <c r="P359" s="62"/>
      <c r="Q359" s="62"/>
      <c r="R359" s="62"/>
      <c r="S359" s="149"/>
      <c r="T359" s="115">
        <f t="shared" si="121"/>
        <v>857.99511643543929</v>
      </c>
      <c r="U359" s="62"/>
      <c r="V359" s="62"/>
      <c r="W359" s="62"/>
      <c r="X359" s="62"/>
      <c r="Y359" s="115"/>
      <c r="Z359" s="115"/>
      <c r="AA359" s="115"/>
      <c r="AB359" s="149"/>
      <c r="AC359" s="115">
        <f t="shared" si="122"/>
        <v>1522.5040080220251</v>
      </c>
      <c r="AD359" s="115"/>
      <c r="AE359" s="115"/>
      <c r="AF359" s="115"/>
      <c r="AG359" s="149"/>
      <c r="AH359" s="115">
        <f t="shared" si="123"/>
        <v>3123.9234702618232</v>
      </c>
      <c r="AI359" s="115"/>
      <c r="AJ359" s="115"/>
      <c r="AK359" s="115"/>
      <c r="AL359" s="149"/>
      <c r="AM359" s="115">
        <f t="shared" si="124"/>
        <v>1359.0967584448874</v>
      </c>
    </row>
    <row r="360" spans="1:76" ht="15.75" customHeight="1" x14ac:dyDescent="0.3">
      <c r="A360" s="62"/>
      <c r="B360" s="62"/>
      <c r="C360" s="62"/>
      <c r="D360" s="62"/>
      <c r="E360" s="62"/>
      <c r="F360" s="62"/>
      <c r="G360" s="62"/>
      <c r="H360" s="62"/>
      <c r="I360" s="149"/>
      <c r="J360" s="115">
        <f t="shared" si="119"/>
        <v>8912.440240858683</v>
      </c>
      <c r="K360" s="62"/>
      <c r="L360" s="62"/>
      <c r="M360" s="62"/>
      <c r="N360" s="149"/>
      <c r="O360" s="115">
        <f t="shared" si="120"/>
        <v>16187.074728896534</v>
      </c>
      <c r="P360" s="62"/>
      <c r="Q360" s="62"/>
      <c r="R360" s="62"/>
      <c r="S360" s="149"/>
      <c r="T360" s="115">
        <f t="shared" si="121"/>
        <v>4778.9084971069515</v>
      </c>
      <c r="U360" s="62"/>
      <c r="V360" s="62"/>
      <c r="W360" s="62"/>
      <c r="X360" s="62"/>
      <c r="Y360" s="115"/>
      <c r="Z360" s="115"/>
      <c r="AA360" s="115"/>
      <c r="AB360" s="149"/>
      <c r="AC360" s="115">
        <f t="shared" si="122"/>
        <v>12570.695270291766</v>
      </c>
      <c r="AD360" s="115"/>
      <c r="AE360" s="115"/>
      <c r="AF360" s="115"/>
      <c r="AG360" s="149"/>
      <c r="AH360" s="115">
        <f t="shared" si="123"/>
        <v>14894.194593228123</v>
      </c>
      <c r="AI360" s="115"/>
      <c r="AJ360" s="115"/>
      <c r="AK360" s="115"/>
      <c r="AL360" s="149"/>
      <c r="AM360" s="115">
        <f t="shared" si="124"/>
        <v>6891.9922818364457</v>
      </c>
    </row>
    <row r="361" spans="1:76" ht="15.75" customHeight="1" x14ac:dyDescent="0.3">
      <c r="A361" s="62"/>
      <c r="B361" s="62"/>
      <c r="C361" s="62"/>
      <c r="D361" s="62"/>
      <c r="E361" s="62"/>
      <c r="F361" s="62"/>
      <c r="G361" s="62"/>
      <c r="H361" s="62"/>
      <c r="I361" s="62"/>
      <c r="J361" s="115">
        <f>SUM(J358:J360)</f>
        <v>37679.412020697047</v>
      </c>
      <c r="K361" s="62"/>
      <c r="L361" s="62"/>
      <c r="M361" s="62"/>
      <c r="N361" s="62"/>
      <c r="O361" s="115">
        <f>SUM(O358:O360)</f>
        <v>65315.195328311958</v>
      </c>
      <c r="P361" s="62"/>
      <c r="Q361" s="62"/>
      <c r="R361" s="62"/>
      <c r="S361" s="62"/>
      <c r="T361" s="115">
        <f>SUM(T358:T360)</f>
        <v>21129.220039665219</v>
      </c>
      <c r="U361" s="62"/>
      <c r="V361" s="62"/>
      <c r="W361" s="62"/>
      <c r="X361" s="62"/>
      <c r="Y361" s="115"/>
      <c r="Z361" s="115"/>
      <c r="AA361" s="115"/>
      <c r="AB361" s="115"/>
      <c r="AC361" s="115">
        <f>SUM(AC358:AC360)</f>
        <v>41889.155824902555</v>
      </c>
      <c r="AD361" s="115"/>
      <c r="AE361" s="115"/>
      <c r="AF361" s="115"/>
      <c r="AG361" s="115"/>
      <c r="AH361" s="115">
        <f>SUM(AH358:AH360)</f>
        <v>57362.311730866015</v>
      </c>
      <c r="AI361" s="115"/>
      <c r="AJ361" s="115"/>
      <c r="AK361" s="115"/>
      <c r="AL361" s="115"/>
      <c r="AM361" s="115">
        <f>SUM(AM358:AM360)</f>
        <v>27503.882084574536</v>
      </c>
    </row>
    <row r="362" spans="1:76" ht="15.75" customHeight="1" x14ac:dyDescent="0.3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</row>
    <row r="363" spans="1:76" ht="15.75" customHeight="1" x14ac:dyDescent="0.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</row>
    <row r="364" spans="1:76" ht="15.75" customHeight="1" x14ac:dyDescent="0.3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</row>
    <row r="365" spans="1:76" ht="15.75" customHeight="1" x14ac:dyDescent="0.3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</row>
    <row r="366" spans="1:76" ht="15.75" customHeight="1" x14ac:dyDescent="0.3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</row>
    <row r="367" spans="1:76" ht="15.75" customHeight="1" x14ac:dyDescent="0.3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</row>
    <row r="368" spans="1:76" ht="15.75" customHeight="1" x14ac:dyDescent="0.3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</row>
    <row r="369" spans="1:39" ht="15.75" customHeight="1" x14ac:dyDescent="0.3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</row>
    <row r="370" spans="1:39" ht="15.75" customHeight="1" x14ac:dyDescent="0.3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</row>
    <row r="371" spans="1:39" ht="15.75" customHeight="1" x14ac:dyDescent="0.3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</row>
    <row r="372" spans="1:39" ht="15.75" customHeight="1" x14ac:dyDescent="0.3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</row>
    <row r="373" spans="1:39" ht="15.75" customHeight="1" x14ac:dyDescent="0.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</row>
    <row r="374" spans="1:39" ht="15.75" customHeight="1" x14ac:dyDescent="0.3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</row>
    <row r="375" spans="1:39" ht="15.75" customHeight="1" x14ac:dyDescent="0.3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</row>
    <row r="376" spans="1:39" ht="15.75" customHeight="1" x14ac:dyDescent="0.3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</row>
    <row r="377" spans="1:39" ht="15.75" customHeight="1" x14ac:dyDescent="0.3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</row>
    <row r="378" spans="1:39" ht="15.75" customHeight="1" x14ac:dyDescent="0.3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</row>
    <row r="379" spans="1:39" ht="15.75" customHeight="1" x14ac:dyDescent="0.3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</row>
    <row r="380" spans="1:39" ht="15.75" customHeight="1" x14ac:dyDescent="0.3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</row>
    <row r="381" spans="1:39" ht="15.75" customHeight="1" x14ac:dyDescent="0.3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</row>
    <row r="382" spans="1:39" ht="15.75" customHeight="1" x14ac:dyDescent="0.3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</row>
    <row r="383" spans="1:39" ht="15.75" customHeight="1" x14ac:dyDescent="0.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</row>
    <row r="384" spans="1:39" ht="15.75" customHeight="1" x14ac:dyDescent="0.3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</row>
    <row r="385" spans="1:39" ht="15.75" customHeight="1" x14ac:dyDescent="0.3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</row>
    <row r="386" spans="1:39" ht="15.75" customHeight="1" x14ac:dyDescent="0.3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</row>
    <row r="387" spans="1:39" ht="15.75" customHeight="1" x14ac:dyDescent="0.3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</row>
    <row r="388" spans="1:39" ht="15.75" customHeight="1" x14ac:dyDescent="0.3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</row>
    <row r="389" spans="1:39" ht="15.75" customHeight="1" x14ac:dyDescent="0.3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</row>
    <row r="390" spans="1:39" ht="15.75" customHeight="1" x14ac:dyDescent="0.3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</row>
    <row r="391" spans="1:39" ht="15.75" customHeight="1" x14ac:dyDescent="0.3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</row>
    <row r="392" spans="1:39" ht="15.75" customHeight="1" x14ac:dyDescent="0.3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</row>
    <row r="393" spans="1:39" ht="15.75" customHeight="1" x14ac:dyDescent="0.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</row>
    <row r="394" spans="1:39" ht="15.75" customHeight="1" x14ac:dyDescent="0.3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</row>
    <row r="395" spans="1:39" ht="15.75" customHeight="1" x14ac:dyDescent="0.3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</row>
    <row r="396" spans="1:39" ht="15.75" customHeight="1" x14ac:dyDescent="0.3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</row>
    <row r="397" spans="1:39" ht="15.75" customHeight="1" x14ac:dyDescent="0.3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</row>
    <row r="398" spans="1:39" ht="15.75" customHeight="1" x14ac:dyDescent="0.3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</row>
    <row r="399" spans="1:39" ht="15.75" customHeight="1" x14ac:dyDescent="0.3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</row>
    <row r="400" spans="1:39" ht="15.75" customHeight="1" x14ac:dyDescent="0.3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</row>
    <row r="401" spans="1:39" ht="15.75" customHeight="1" x14ac:dyDescent="0.3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</row>
    <row r="402" spans="1:39" ht="15.75" customHeight="1" x14ac:dyDescent="0.3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</row>
    <row r="403" spans="1:39" ht="15.75" customHeight="1" x14ac:dyDescent="0.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</row>
    <row r="404" spans="1:39" ht="15.75" customHeight="1" x14ac:dyDescent="0.3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</row>
    <row r="405" spans="1:39" ht="15.75" customHeight="1" x14ac:dyDescent="0.3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</row>
    <row r="406" spans="1:39" ht="15.75" customHeight="1" x14ac:dyDescent="0.3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</row>
    <row r="407" spans="1:39" ht="15.75" customHeight="1" x14ac:dyDescent="0.3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</row>
    <row r="408" spans="1:39" ht="15.75" customHeight="1" x14ac:dyDescent="0.3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</row>
    <row r="409" spans="1:39" ht="15.75" customHeight="1" x14ac:dyDescent="0.3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</row>
    <row r="410" spans="1:39" ht="15.75" customHeight="1" x14ac:dyDescent="0.3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</row>
    <row r="411" spans="1:39" ht="15.75" customHeight="1" x14ac:dyDescent="0.3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</row>
    <row r="412" spans="1:39" ht="15.75" customHeight="1" x14ac:dyDescent="0.3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</row>
    <row r="413" spans="1:39" ht="15.75" customHeight="1" x14ac:dyDescent="0.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</row>
    <row r="414" spans="1:39" ht="15.75" customHeight="1" x14ac:dyDescent="0.3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</row>
    <row r="415" spans="1:39" ht="15.75" customHeight="1" x14ac:dyDescent="0.3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</row>
    <row r="416" spans="1:39" ht="15.75" customHeight="1" x14ac:dyDescent="0.3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</row>
    <row r="417" spans="1:39" ht="15.75" customHeight="1" x14ac:dyDescent="0.3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</row>
    <row r="418" spans="1:39" ht="15.75" customHeight="1" x14ac:dyDescent="0.3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</row>
    <row r="419" spans="1:39" ht="15.75" customHeight="1" x14ac:dyDescent="0.3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</row>
    <row r="420" spans="1:39" ht="15.75" customHeight="1" x14ac:dyDescent="0.3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</row>
    <row r="421" spans="1:39" ht="15.75" customHeight="1" x14ac:dyDescent="0.3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</row>
    <row r="422" spans="1:39" ht="15.75" customHeight="1" x14ac:dyDescent="0.3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</row>
    <row r="423" spans="1:39" ht="15.75" customHeight="1" x14ac:dyDescent="0.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</row>
    <row r="424" spans="1:39" ht="15.75" customHeight="1" x14ac:dyDescent="0.3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</row>
    <row r="425" spans="1:39" ht="15.75" customHeight="1" x14ac:dyDescent="0.3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</row>
    <row r="426" spans="1:39" ht="15.75" customHeight="1" x14ac:dyDescent="0.3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</row>
    <row r="427" spans="1:39" ht="15.75" customHeight="1" x14ac:dyDescent="0.3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</row>
    <row r="428" spans="1:39" ht="15.75" customHeight="1" x14ac:dyDescent="0.3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</row>
    <row r="429" spans="1:39" ht="15.75" customHeight="1" x14ac:dyDescent="0.3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</row>
    <row r="430" spans="1:39" ht="15.75" customHeight="1" x14ac:dyDescent="0.3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</row>
    <row r="431" spans="1:39" ht="15.75" customHeight="1" x14ac:dyDescent="0.3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</row>
    <row r="432" spans="1:39" ht="15.75" customHeight="1" x14ac:dyDescent="0.3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</row>
    <row r="433" spans="1:39" ht="15.75" customHeight="1" x14ac:dyDescent="0.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</row>
    <row r="434" spans="1:39" ht="15.75" customHeight="1" x14ac:dyDescent="0.3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</row>
    <row r="435" spans="1:39" ht="15.75" customHeight="1" x14ac:dyDescent="0.3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</row>
    <row r="436" spans="1:39" ht="15.75" customHeight="1" x14ac:dyDescent="0.3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</row>
    <row r="437" spans="1:39" ht="15.75" customHeight="1" x14ac:dyDescent="0.3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</row>
    <row r="438" spans="1:39" ht="15.75" customHeight="1" x14ac:dyDescent="0.3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</row>
    <row r="439" spans="1:39" ht="15.75" customHeight="1" x14ac:dyDescent="0.3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</row>
    <row r="440" spans="1:39" ht="15.75" customHeight="1" x14ac:dyDescent="0.3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</row>
    <row r="441" spans="1:39" ht="15.75" customHeight="1" x14ac:dyDescent="0.3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</row>
    <row r="442" spans="1:39" ht="15.75" customHeight="1" x14ac:dyDescent="0.3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</row>
    <row r="443" spans="1:39" ht="15.75" customHeight="1" x14ac:dyDescent="0.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</row>
    <row r="444" spans="1:39" ht="15.75" customHeight="1" x14ac:dyDescent="0.3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</row>
    <row r="445" spans="1:39" ht="15.75" customHeight="1" x14ac:dyDescent="0.3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</row>
    <row r="446" spans="1:39" ht="15.75" customHeight="1" x14ac:dyDescent="0.3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</row>
    <row r="447" spans="1:39" ht="15.75" customHeight="1" x14ac:dyDescent="0.3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</row>
    <row r="448" spans="1:39" ht="15.75" customHeight="1" x14ac:dyDescent="0.3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</row>
    <row r="449" spans="1:39" ht="15.75" customHeight="1" x14ac:dyDescent="0.3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</row>
    <row r="450" spans="1:39" ht="15.75" customHeight="1" x14ac:dyDescent="0.3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</row>
    <row r="451" spans="1:39" ht="15.75" customHeight="1" x14ac:dyDescent="0.3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</row>
    <row r="452" spans="1:39" ht="15.75" customHeight="1" x14ac:dyDescent="0.3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</row>
    <row r="453" spans="1:39" ht="15.75" customHeight="1" x14ac:dyDescent="0.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</row>
    <row r="454" spans="1:39" ht="15.75" customHeight="1" x14ac:dyDescent="0.3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</row>
    <row r="455" spans="1:39" ht="15.75" customHeight="1" x14ac:dyDescent="0.3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</row>
    <row r="456" spans="1:39" ht="15.75" customHeight="1" x14ac:dyDescent="0.3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</row>
    <row r="457" spans="1:39" ht="15.75" customHeight="1" x14ac:dyDescent="0.3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</row>
    <row r="458" spans="1:39" ht="15.75" customHeight="1" x14ac:dyDescent="0.3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</row>
    <row r="459" spans="1:39" ht="15.75" customHeight="1" x14ac:dyDescent="0.3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</row>
    <row r="460" spans="1:39" ht="15.75" customHeight="1" x14ac:dyDescent="0.3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</row>
    <row r="461" spans="1:39" ht="15.75" customHeight="1" x14ac:dyDescent="0.3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</row>
    <row r="462" spans="1:39" ht="15.75" customHeight="1" x14ac:dyDescent="0.3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</row>
    <row r="463" spans="1:39" ht="15.75" customHeight="1" x14ac:dyDescent="0.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</row>
    <row r="464" spans="1:39" ht="15.75" customHeight="1" x14ac:dyDescent="0.3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</row>
    <row r="465" spans="1:39" ht="15.75" customHeight="1" x14ac:dyDescent="0.3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</row>
    <row r="466" spans="1:39" ht="15.75" customHeight="1" x14ac:dyDescent="0.3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</row>
    <row r="467" spans="1:39" ht="15.75" customHeight="1" x14ac:dyDescent="0.3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</row>
    <row r="468" spans="1:39" ht="15.75" customHeight="1" x14ac:dyDescent="0.3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</row>
    <row r="469" spans="1:39" ht="15.75" customHeight="1" x14ac:dyDescent="0.3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</row>
    <row r="470" spans="1:39" ht="15.75" customHeight="1" x14ac:dyDescent="0.3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</row>
    <row r="471" spans="1:39" ht="15.75" customHeight="1" x14ac:dyDescent="0.3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</row>
    <row r="472" spans="1:39" ht="15.75" customHeight="1" x14ac:dyDescent="0.3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</row>
    <row r="473" spans="1:39" ht="15.75" customHeight="1" x14ac:dyDescent="0.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</row>
    <row r="474" spans="1:39" ht="15.75" customHeight="1" x14ac:dyDescent="0.3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</row>
    <row r="475" spans="1:39" ht="15.75" customHeight="1" x14ac:dyDescent="0.3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</row>
    <row r="476" spans="1:39" ht="15.75" customHeight="1" x14ac:dyDescent="0.3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</row>
    <row r="477" spans="1:39" ht="15.75" customHeight="1" x14ac:dyDescent="0.3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</row>
    <row r="478" spans="1:39" ht="15.75" customHeight="1" x14ac:dyDescent="0.3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</row>
    <row r="479" spans="1:39" ht="15.75" customHeight="1" x14ac:dyDescent="0.3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</row>
    <row r="480" spans="1:39" ht="15.75" customHeight="1" x14ac:dyDescent="0.3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</row>
    <row r="481" spans="1:39" ht="15.75" customHeight="1" x14ac:dyDescent="0.3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</row>
    <row r="482" spans="1:39" ht="15.75" customHeight="1" x14ac:dyDescent="0.3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</row>
    <row r="483" spans="1:39" ht="15.75" customHeight="1" x14ac:dyDescent="0.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</row>
    <row r="484" spans="1:39" ht="15.75" customHeight="1" x14ac:dyDescent="0.3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</row>
    <row r="485" spans="1:39" ht="15.75" customHeight="1" x14ac:dyDescent="0.3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</row>
    <row r="486" spans="1:39" ht="15.75" customHeight="1" x14ac:dyDescent="0.3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</row>
    <row r="487" spans="1:39" ht="15.75" customHeight="1" x14ac:dyDescent="0.3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</row>
    <row r="488" spans="1:39" ht="15.75" customHeight="1" x14ac:dyDescent="0.3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</row>
    <row r="489" spans="1:39" ht="15.75" customHeight="1" x14ac:dyDescent="0.3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</row>
    <row r="490" spans="1:39" ht="15.75" customHeight="1" x14ac:dyDescent="0.3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</row>
    <row r="491" spans="1:39" ht="15.75" customHeight="1" x14ac:dyDescent="0.3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</row>
    <row r="492" spans="1:39" ht="15.75" customHeight="1" x14ac:dyDescent="0.3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</row>
    <row r="493" spans="1:39" ht="15.75" customHeight="1" x14ac:dyDescent="0.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</row>
    <row r="494" spans="1:39" ht="15.75" customHeight="1" x14ac:dyDescent="0.3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</row>
    <row r="495" spans="1:39" ht="15.75" customHeight="1" x14ac:dyDescent="0.3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</row>
    <row r="496" spans="1:39" ht="15.75" customHeight="1" x14ac:dyDescent="0.3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</row>
    <row r="497" spans="1:39" ht="15.75" customHeight="1" x14ac:dyDescent="0.3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</row>
    <row r="498" spans="1:39" ht="15.75" customHeight="1" x14ac:dyDescent="0.3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</row>
    <row r="499" spans="1:39" ht="15.75" customHeight="1" x14ac:dyDescent="0.3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</row>
    <row r="500" spans="1:39" ht="15.75" customHeight="1" x14ac:dyDescent="0.3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</row>
    <row r="501" spans="1:39" ht="15.75" customHeight="1" x14ac:dyDescent="0.3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</row>
    <row r="502" spans="1:39" ht="15.75" customHeight="1" x14ac:dyDescent="0.3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</row>
    <row r="503" spans="1:39" ht="15.75" customHeight="1" x14ac:dyDescent="0.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</row>
    <row r="504" spans="1:39" ht="15.75" customHeight="1" x14ac:dyDescent="0.3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</row>
    <row r="505" spans="1:39" ht="15.75" customHeight="1" x14ac:dyDescent="0.3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</row>
    <row r="506" spans="1:39" ht="15.75" customHeight="1" x14ac:dyDescent="0.3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</row>
    <row r="507" spans="1:39" ht="15.75" customHeight="1" x14ac:dyDescent="0.3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</row>
    <row r="508" spans="1:39" ht="15.75" customHeight="1" x14ac:dyDescent="0.3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</row>
    <row r="509" spans="1:39" ht="15.75" customHeight="1" x14ac:dyDescent="0.3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</row>
    <row r="510" spans="1:39" ht="15.75" customHeight="1" x14ac:dyDescent="0.3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</row>
    <row r="511" spans="1:39" ht="15.75" customHeight="1" x14ac:dyDescent="0.3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</row>
    <row r="512" spans="1:39" ht="15.75" customHeight="1" x14ac:dyDescent="0.3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</row>
    <row r="513" spans="1:39" ht="15.75" customHeight="1" x14ac:dyDescent="0.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</row>
    <row r="514" spans="1:39" ht="15.75" customHeight="1" x14ac:dyDescent="0.3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</row>
    <row r="515" spans="1:39" ht="15.75" customHeight="1" x14ac:dyDescent="0.3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</row>
    <row r="516" spans="1:39" ht="15.75" customHeight="1" x14ac:dyDescent="0.3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</row>
    <row r="517" spans="1:39" ht="15.75" customHeight="1" x14ac:dyDescent="0.3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</row>
    <row r="518" spans="1:39" ht="15.75" customHeight="1" x14ac:dyDescent="0.3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</row>
    <row r="519" spans="1:39" ht="15.75" customHeight="1" x14ac:dyDescent="0.3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</row>
    <row r="520" spans="1:39" ht="15.75" customHeight="1" x14ac:dyDescent="0.3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</row>
    <row r="521" spans="1:39" ht="15.75" customHeight="1" x14ac:dyDescent="0.3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</row>
    <row r="522" spans="1:39" ht="15.75" customHeight="1" x14ac:dyDescent="0.3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</row>
    <row r="523" spans="1:39" ht="15.75" customHeight="1" x14ac:dyDescent="0.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</row>
    <row r="524" spans="1:39" ht="15.75" customHeight="1" x14ac:dyDescent="0.3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</row>
    <row r="525" spans="1:39" ht="15.75" customHeight="1" x14ac:dyDescent="0.3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</row>
    <row r="526" spans="1:39" ht="15.75" customHeight="1" x14ac:dyDescent="0.3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</row>
    <row r="527" spans="1:39" ht="15.75" customHeight="1" x14ac:dyDescent="0.3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</row>
    <row r="528" spans="1:39" ht="15.75" customHeight="1" x14ac:dyDescent="0.3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</row>
    <row r="529" spans="1:39" ht="15.75" customHeight="1" x14ac:dyDescent="0.3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</row>
    <row r="530" spans="1:39" ht="15.75" customHeight="1" x14ac:dyDescent="0.3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</row>
    <row r="531" spans="1:39" ht="15.75" customHeight="1" x14ac:dyDescent="0.3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</row>
    <row r="532" spans="1:39" ht="15.75" customHeight="1" x14ac:dyDescent="0.3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</row>
    <row r="533" spans="1:39" ht="15.75" customHeight="1" x14ac:dyDescent="0.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</row>
    <row r="534" spans="1:39" ht="15.75" customHeight="1" x14ac:dyDescent="0.3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</row>
    <row r="535" spans="1:39" ht="15.75" customHeight="1" x14ac:dyDescent="0.3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</row>
    <row r="536" spans="1:39" ht="15.75" customHeight="1" x14ac:dyDescent="0.3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</row>
    <row r="537" spans="1:39" ht="15.75" customHeight="1" x14ac:dyDescent="0.3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</row>
    <row r="538" spans="1:39" ht="15.75" customHeight="1" x14ac:dyDescent="0.3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</row>
    <row r="539" spans="1:39" ht="15.75" customHeight="1" x14ac:dyDescent="0.3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</row>
    <row r="540" spans="1:39" ht="15.75" customHeight="1" x14ac:dyDescent="0.3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</row>
    <row r="541" spans="1:39" ht="15.75" customHeight="1" x14ac:dyDescent="0.3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</row>
    <row r="542" spans="1:39" ht="15.75" customHeight="1" x14ac:dyDescent="0.3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</row>
    <row r="543" spans="1:39" ht="15.75" customHeight="1" x14ac:dyDescent="0.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</row>
    <row r="544" spans="1:39" ht="15.75" customHeight="1" x14ac:dyDescent="0.3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</row>
    <row r="545" spans="1:39" ht="15.75" customHeight="1" x14ac:dyDescent="0.3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</row>
    <row r="546" spans="1:39" ht="15.75" customHeight="1" x14ac:dyDescent="0.3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</row>
    <row r="547" spans="1:39" ht="15.75" customHeight="1" x14ac:dyDescent="0.3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</row>
    <row r="548" spans="1:39" ht="15.75" customHeight="1" x14ac:dyDescent="0.3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</row>
    <row r="549" spans="1:39" ht="15.75" customHeight="1" x14ac:dyDescent="0.3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</row>
    <row r="550" spans="1:39" ht="15.75" customHeight="1" x14ac:dyDescent="0.3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</row>
    <row r="551" spans="1:39" ht="15.75" customHeight="1" x14ac:dyDescent="0.3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</row>
    <row r="552" spans="1:39" ht="15.75" customHeight="1" x14ac:dyDescent="0.3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</row>
    <row r="553" spans="1:39" ht="15.75" customHeight="1" x14ac:dyDescent="0.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</row>
    <row r="554" spans="1:39" ht="15.75" customHeight="1" x14ac:dyDescent="0.3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</row>
    <row r="555" spans="1:39" ht="15.75" customHeight="1" x14ac:dyDescent="0.3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</row>
    <row r="556" spans="1:39" ht="15.75" customHeight="1" x14ac:dyDescent="0.3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</row>
    <row r="557" spans="1:39" ht="15.75" customHeight="1" x14ac:dyDescent="0.3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</row>
    <row r="558" spans="1:39" ht="15.75" customHeight="1" x14ac:dyDescent="0.3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</row>
    <row r="559" spans="1:39" ht="15.75" customHeight="1" x14ac:dyDescent="0.3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</row>
    <row r="560" spans="1:39" ht="15.75" customHeight="1" x14ac:dyDescent="0.3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</row>
    <row r="561" spans="1:39" ht="15.75" customHeight="1" x14ac:dyDescent="0.3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</row>
    <row r="562" spans="1:39" ht="15.75" customHeight="1" x14ac:dyDescent="0.3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</row>
    <row r="563" spans="1:39" ht="15.75" customHeight="1" x14ac:dyDescent="0.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</row>
    <row r="564" spans="1:39" ht="15.75" customHeight="1" x14ac:dyDescent="0.3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</row>
    <row r="565" spans="1:39" ht="15.75" customHeight="1" x14ac:dyDescent="0.3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</row>
    <row r="566" spans="1:39" ht="15.75" customHeight="1" x14ac:dyDescent="0.3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</row>
    <row r="567" spans="1:39" ht="15.75" customHeight="1" x14ac:dyDescent="0.3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</row>
    <row r="568" spans="1:39" ht="15.75" customHeight="1" x14ac:dyDescent="0.3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</row>
    <row r="569" spans="1:39" ht="15.75" customHeight="1" x14ac:dyDescent="0.3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</row>
    <row r="570" spans="1:39" ht="15.75" customHeight="1" x14ac:dyDescent="0.3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</row>
    <row r="571" spans="1:39" ht="15.75" customHeight="1" x14ac:dyDescent="0.3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</row>
    <row r="572" spans="1:39" ht="15.75" customHeight="1" x14ac:dyDescent="0.3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</row>
    <row r="573" spans="1:39" ht="15.75" customHeight="1" x14ac:dyDescent="0.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</row>
    <row r="574" spans="1:39" ht="15.75" customHeight="1" x14ac:dyDescent="0.3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</row>
    <row r="575" spans="1:39" ht="15.75" customHeight="1" x14ac:dyDescent="0.3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</row>
    <row r="576" spans="1:39" ht="15.75" customHeight="1" x14ac:dyDescent="0.3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</row>
    <row r="577" spans="1:39" ht="15.75" customHeight="1" x14ac:dyDescent="0.3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</row>
    <row r="578" spans="1:39" ht="15.75" customHeight="1" x14ac:dyDescent="0.3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</row>
    <row r="579" spans="1:39" ht="15.75" customHeight="1" x14ac:dyDescent="0.3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</row>
    <row r="580" spans="1:39" ht="15.75" customHeight="1" x14ac:dyDescent="0.3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</row>
    <row r="581" spans="1:39" ht="15.75" customHeight="1" x14ac:dyDescent="0.3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</row>
    <row r="582" spans="1:39" ht="15.75" customHeight="1" x14ac:dyDescent="0.3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</row>
    <row r="583" spans="1:39" ht="15.75" customHeight="1" x14ac:dyDescent="0.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</row>
    <row r="584" spans="1:39" ht="15.75" customHeight="1" x14ac:dyDescent="0.3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</row>
    <row r="585" spans="1:39" ht="15.75" customHeight="1" x14ac:dyDescent="0.3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</row>
    <row r="586" spans="1:39" ht="15.75" customHeight="1" x14ac:dyDescent="0.3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</row>
    <row r="587" spans="1:39" ht="15.75" customHeight="1" x14ac:dyDescent="0.3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</row>
    <row r="588" spans="1:39" ht="15.75" customHeight="1" x14ac:dyDescent="0.3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</row>
    <row r="589" spans="1:39" ht="15.75" customHeight="1" x14ac:dyDescent="0.3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</row>
    <row r="590" spans="1:39" ht="15.75" customHeight="1" x14ac:dyDescent="0.3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</row>
    <row r="591" spans="1:39" ht="15.75" customHeight="1" x14ac:dyDescent="0.3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</row>
    <row r="592" spans="1:39" ht="15.75" customHeight="1" x14ac:dyDescent="0.3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</row>
    <row r="593" spans="1:39" ht="15.75" customHeight="1" x14ac:dyDescent="0.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</row>
    <row r="594" spans="1:39" ht="15.75" customHeight="1" x14ac:dyDescent="0.3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</row>
    <row r="595" spans="1:39" ht="15.75" customHeight="1" x14ac:dyDescent="0.3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</row>
    <row r="596" spans="1:39" ht="15.75" customHeight="1" x14ac:dyDescent="0.3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</row>
    <row r="597" spans="1:39" ht="15.75" customHeight="1" x14ac:dyDescent="0.3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</row>
    <row r="598" spans="1:39" ht="15.75" customHeight="1" x14ac:dyDescent="0.3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</row>
    <row r="599" spans="1:39" ht="15.75" customHeight="1" x14ac:dyDescent="0.3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</row>
    <row r="600" spans="1:39" ht="15.75" customHeight="1" x14ac:dyDescent="0.3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</row>
    <row r="601" spans="1:39" ht="15.75" customHeight="1" x14ac:dyDescent="0.3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</row>
    <row r="602" spans="1:39" ht="15.75" customHeight="1" x14ac:dyDescent="0.3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</row>
    <row r="603" spans="1:39" ht="15.75" customHeight="1" x14ac:dyDescent="0.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</row>
    <row r="604" spans="1:39" ht="15.75" customHeight="1" x14ac:dyDescent="0.3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</row>
    <row r="605" spans="1:39" ht="15.75" customHeight="1" x14ac:dyDescent="0.3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</row>
    <row r="606" spans="1:39" ht="15.75" customHeight="1" x14ac:dyDescent="0.3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</row>
    <row r="607" spans="1:39" ht="15.75" customHeight="1" x14ac:dyDescent="0.3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</row>
    <row r="608" spans="1:39" ht="15.75" customHeight="1" x14ac:dyDescent="0.3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</row>
    <row r="609" spans="1:39" ht="15.75" customHeight="1" x14ac:dyDescent="0.3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</row>
    <row r="610" spans="1:39" ht="15.75" customHeight="1" x14ac:dyDescent="0.3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</row>
    <row r="611" spans="1:39" ht="15.75" customHeight="1" x14ac:dyDescent="0.3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</row>
    <row r="612" spans="1:39" ht="15.75" customHeight="1" x14ac:dyDescent="0.3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</row>
    <row r="613" spans="1:39" ht="15.75" customHeight="1" x14ac:dyDescent="0.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</row>
    <row r="614" spans="1:39" ht="15.75" customHeight="1" x14ac:dyDescent="0.3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</row>
    <row r="615" spans="1:39" ht="15.75" customHeight="1" x14ac:dyDescent="0.3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</row>
    <row r="616" spans="1:39" ht="15.75" customHeight="1" x14ac:dyDescent="0.3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</row>
    <row r="617" spans="1:39" ht="15.75" customHeight="1" x14ac:dyDescent="0.3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</row>
    <row r="618" spans="1:39" ht="15.75" customHeight="1" x14ac:dyDescent="0.3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</row>
    <row r="619" spans="1:39" ht="15.75" customHeight="1" x14ac:dyDescent="0.3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</row>
    <row r="620" spans="1:39" ht="15.75" customHeight="1" x14ac:dyDescent="0.3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</row>
    <row r="621" spans="1:39" ht="15.75" customHeight="1" x14ac:dyDescent="0.3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</row>
    <row r="622" spans="1:39" ht="15.75" customHeight="1" x14ac:dyDescent="0.3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</row>
    <row r="623" spans="1:39" ht="15.75" customHeight="1" x14ac:dyDescent="0.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</row>
    <row r="624" spans="1:39" ht="15.75" customHeight="1" x14ac:dyDescent="0.3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</row>
    <row r="625" spans="1:39" ht="15.75" customHeight="1" x14ac:dyDescent="0.3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</row>
    <row r="626" spans="1:39" ht="15.75" customHeight="1" x14ac:dyDescent="0.3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</row>
    <row r="627" spans="1:39" ht="15.75" customHeight="1" x14ac:dyDescent="0.3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</row>
    <row r="628" spans="1:39" ht="15.75" customHeight="1" x14ac:dyDescent="0.3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</row>
    <row r="629" spans="1:39" ht="15.75" customHeight="1" x14ac:dyDescent="0.3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</row>
    <row r="630" spans="1:39" ht="15.75" customHeight="1" x14ac:dyDescent="0.3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</row>
    <row r="631" spans="1:39" ht="15.75" customHeight="1" x14ac:dyDescent="0.3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</row>
    <row r="632" spans="1:39" ht="15.75" customHeight="1" x14ac:dyDescent="0.3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</row>
    <row r="633" spans="1:39" ht="15.75" customHeight="1" x14ac:dyDescent="0.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</row>
    <row r="634" spans="1:39" ht="15.75" customHeight="1" x14ac:dyDescent="0.3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</row>
    <row r="635" spans="1:39" ht="15.75" customHeight="1" x14ac:dyDescent="0.3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</row>
    <row r="636" spans="1:39" ht="15.75" customHeight="1" x14ac:dyDescent="0.3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</row>
    <row r="637" spans="1:39" ht="15.75" customHeight="1" x14ac:dyDescent="0.3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</row>
    <row r="638" spans="1:39" ht="15.75" customHeight="1" x14ac:dyDescent="0.3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</row>
    <row r="639" spans="1:39" ht="15.75" customHeight="1" x14ac:dyDescent="0.3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</row>
    <row r="640" spans="1:39" ht="15.75" customHeight="1" x14ac:dyDescent="0.3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</row>
    <row r="641" spans="1:39" ht="15.75" customHeight="1" x14ac:dyDescent="0.3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</row>
    <row r="642" spans="1:39" ht="15.75" customHeight="1" x14ac:dyDescent="0.3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</row>
    <row r="643" spans="1:39" ht="15.75" customHeight="1" x14ac:dyDescent="0.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</row>
    <row r="644" spans="1:39" ht="15.75" customHeight="1" x14ac:dyDescent="0.3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</row>
    <row r="645" spans="1:39" ht="15.75" customHeight="1" x14ac:dyDescent="0.3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</row>
    <row r="646" spans="1:39" ht="15.75" customHeight="1" x14ac:dyDescent="0.3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</row>
    <row r="647" spans="1:39" ht="15.75" customHeight="1" x14ac:dyDescent="0.3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</row>
    <row r="648" spans="1:39" ht="15.75" customHeight="1" x14ac:dyDescent="0.3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</row>
    <row r="649" spans="1:39" ht="15.75" customHeight="1" x14ac:dyDescent="0.3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</row>
    <row r="650" spans="1:39" ht="15.75" customHeight="1" x14ac:dyDescent="0.3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</row>
    <row r="651" spans="1:39" ht="15.75" customHeight="1" x14ac:dyDescent="0.3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</row>
    <row r="652" spans="1:39" ht="15.75" customHeight="1" x14ac:dyDescent="0.3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</row>
    <row r="653" spans="1:39" ht="15.75" customHeight="1" x14ac:dyDescent="0.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</row>
    <row r="654" spans="1:39" ht="15.75" customHeight="1" x14ac:dyDescent="0.3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</row>
    <row r="655" spans="1:39" ht="15.75" customHeight="1" x14ac:dyDescent="0.3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</row>
    <row r="656" spans="1:39" ht="15.75" customHeight="1" x14ac:dyDescent="0.3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</row>
    <row r="657" spans="1:39" ht="15.75" customHeight="1" x14ac:dyDescent="0.3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</row>
    <row r="658" spans="1:39" ht="15.75" customHeight="1" x14ac:dyDescent="0.3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</row>
    <row r="659" spans="1:39" ht="15.75" customHeight="1" x14ac:dyDescent="0.3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</row>
    <row r="660" spans="1:39" ht="15.75" customHeight="1" x14ac:dyDescent="0.3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</row>
    <row r="661" spans="1:39" ht="15.75" customHeight="1" x14ac:dyDescent="0.3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</row>
    <row r="662" spans="1:39" ht="15.75" customHeight="1" x14ac:dyDescent="0.3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</row>
    <row r="663" spans="1:39" ht="15.75" customHeight="1" x14ac:dyDescent="0.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</row>
    <row r="664" spans="1:39" ht="15.75" customHeight="1" x14ac:dyDescent="0.3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</row>
    <row r="665" spans="1:39" ht="15.75" customHeight="1" x14ac:dyDescent="0.3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</row>
    <row r="666" spans="1:39" ht="15.75" customHeight="1" x14ac:dyDescent="0.3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</row>
    <row r="667" spans="1:39" ht="15.75" customHeight="1" x14ac:dyDescent="0.3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</row>
    <row r="668" spans="1:39" ht="15.75" customHeight="1" x14ac:dyDescent="0.3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</row>
    <row r="669" spans="1:39" ht="15.75" customHeight="1" x14ac:dyDescent="0.3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</row>
    <row r="670" spans="1:39" ht="15.75" customHeight="1" x14ac:dyDescent="0.3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</row>
    <row r="671" spans="1:39" ht="15.75" customHeight="1" x14ac:dyDescent="0.3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</row>
    <row r="672" spans="1:39" ht="15.75" customHeight="1" x14ac:dyDescent="0.3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</row>
    <row r="673" spans="1:39" ht="15.75" customHeight="1" x14ac:dyDescent="0.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</row>
    <row r="674" spans="1:39" ht="15.75" customHeight="1" x14ac:dyDescent="0.3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</row>
    <row r="675" spans="1:39" ht="15.75" customHeight="1" x14ac:dyDescent="0.3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</row>
    <row r="676" spans="1:39" ht="15.75" customHeight="1" x14ac:dyDescent="0.3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</row>
    <row r="677" spans="1:39" ht="15.75" customHeight="1" x14ac:dyDescent="0.3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</row>
    <row r="678" spans="1:39" ht="15.75" customHeight="1" x14ac:dyDescent="0.3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</row>
    <row r="679" spans="1:39" ht="15.75" customHeight="1" x14ac:dyDescent="0.3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</row>
    <row r="680" spans="1:39" ht="15.75" customHeight="1" x14ac:dyDescent="0.3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</row>
    <row r="681" spans="1:39" ht="15.75" customHeight="1" x14ac:dyDescent="0.3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</row>
    <row r="682" spans="1:39" ht="15.75" customHeight="1" x14ac:dyDescent="0.3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</row>
    <row r="683" spans="1:39" ht="15.75" customHeight="1" x14ac:dyDescent="0.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</row>
    <row r="684" spans="1:39" ht="15.75" customHeight="1" x14ac:dyDescent="0.3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</row>
    <row r="685" spans="1:39" ht="15.75" customHeight="1" x14ac:dyDescent="0.3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</row>
    <row r="686" spans="1:39" ht="15.75" customHeight="1" x14ac:dyDescent="0.3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</row>
    <row r="687" spans="1:39" ht="15.75" customHeight="1" x14ac:dyDescent="0.3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</row>
    <row r="688" spans="1:39" ht="15.75" customHeight="1" x14ac:dyDescent="0.3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</row>
    <row r="689" spans="1:39" ht="15.75" customHeight="1" x14ac:dyDescent="0.3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</row>
    <row r="690" spans="1:39" ht="15.75" customHeight="1" x14ac:dyDescent="0.3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</row>
    <row r="691" spans="1:39" ht="15.75" customHeight="1" x14ac:dyDescent="0.3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</row>
    <row r="692" spans="1:39" ht="15.75" customHeight="1" x14ac:dyDescent="0.3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</row>
    <row r="693" spans="1:39" ht="15.75" customHeight="1" x14ac:dyDescent="0.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</row>
    <row r="694" spans="1:39" ht="15.75" customHeight="1" x14ac:dyDescent="0.3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</row>
    <row r="695" spans="1:39" ht="15.75" customHeight="1" x14ac:dyDescent="0.3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</row>
    <row r="696" spans="1:39" ht="15.75" customHeight="1" x14ac:dyDescent="0.3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</row>
    <row r="697" spans="1:39" ht="15.75" customHeight="1" x14ac:dyDescent="0.3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</row>
    <row r="698" spans="1:39" ht="15.75" customHeight="1" x14ac:dyDescent="0.3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</row>
    <row r="699" spans="1:39" ht="15.75" customHeight="1" x14ac:dyDescent="0.3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</row>
    <row r="700" spans="1:39" ht="15.75" customHeight="1" x14ac:dyDescent="0.3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</row>
    <row r="701" spans="1:39" ht="15.75" customHeight="1" x14ac:dyDescent="0.3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</row>
    <row r="702" spans="1:39" ht="15.75" customHeight="1" x14ac:dyDescent="0.3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</row>
    <row r="703" spans="1:39" ht="15.75" customHeight="1" x14ac:dyDescent="0.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</row>
    <row r="704" spans="1:39" ht="15.75" customHeight="1" x14ac:dyDescent="0.3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</row>
    <row r="705" spans="1:39" ht="15.75" customHeight="1" x14ac:dyDescent="0.3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</row>
    <row r="706" spans="1:39" ht="15.75" customHeight="1" x14ac:dyDescent="0.3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</row>
    <row r="707" spans="1:39" ht="15.75" customHeight="1" x14ac:dyDescent="0.3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</row>
    <row r="708" spans="1:39" ht="15.75" customHeight="1" x14ac:dyDescent="0.3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</row>
    <row r="709" spans="1:39" ht="15.75" customHeight="1" x14ac:dyDescent="0.3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</row>
    <row r="710" spans="1:39" ht="15.75" customHeight="1" x14ac:dyDescent="0.3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</row>
    <row r="711" spans="1:39" ht="15.75" customHeight="1" x14ac:dyDescent="0.3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</row>
    <row r="712" spans="1:39" ht="15.75" customHeight="1" x14ac:dyDescent="0.3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</row>
    <row r="713" spans="1:39" ht="15.75" customHeight="1" x14ac:dyDescent="0.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</row>
    <row r="714" spans="1:39" ht="15.75" customHeight="1" x14ac:dyDescent="0.3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</row>
    <row r="715" spans="1:39" ht="15.75" customHeight="1" x14ac:dyDescent="0.3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</row>
    <row r="716" spans="1:39" ht="15.75" customHeight="1" x14ac:dyDescent="0.3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</row>
    <row r="717" spans="1:39" ht="15.75" customHeight="1" x14ac:dyDescent="0.3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</row>
    <row r="718" spans="1:39" ht="15.75" customHeight="1" x14ac:dyDescent="0.3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</row>
    <row r="719" spans="1:39" ht="15.75" customHeight="1" x14ac:dyDescent="0.3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</row>
    <row r="720" spans="1:39" ht="15.75" customHeight="1" x14ac:dyDescent="0.3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</row>
    <row r="721" spans="1:39" ht="15.75" customHeight="1" x14ac:dyDescent="0.3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</row>
    <row r="722" spans="1:39" ht="15.75" customHeight="1" x14ac:dyDescent="0.3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</row>
    <row r="723" spans="1:39" ht="15.75" customHeight="1" x14ac:dyDescent="0.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</row>
    <row r="724" spans="1:39" ht="15.75" customHeight="1" x14ac:dyDescent="0.3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</row>
    <row r="725" spans="1:39" ht="15.75" customHeight="1" x14ac:dyDescent="0.3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</row>
    <row r="726" spans="1:39" ht="15.75" customHeight="1" x14ac:dyDescent="0.3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</row>
    <row r="727" spans="1:39" ht="15.75" customHeight="1" x14ac:dyDescent="0.3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</row>
    <row r="728" spans="1:39" ht="15.75" customHeight="1" x14ac:dyDescent="0.3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</row>
    <row r="729" spans="1:39" ht="15.75" customHeight="1" x14ac:dyDescent="0.3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</row>
    <row r="730" spans="1:39" ht="15.75" customHeight="1" x14ac:dyDescent="0.3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</row>
    <row r="731" spans="1:39" ht="15.75" customHeight="1" x14ac:dyDescent="0.3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</row>
    <row r="732" spans="1:39" ht="15.75" customHeight="1" x14ac:dyDescent="0.3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</row>
    <row r="733" spans="1:39" ht="15.75" customHeight="1" x14ac:dyDescent="0.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</row>
    <row r="734" spans="1:39" ht="15.75" customHeight="1" x14ac:dyDescent="0.3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</row>
    <row r="735" spans="1:39" ht="15.75" customHeight="1" x14ac:dyDescent="0.3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</row>
    <row r="736" spans="1:39" ht="15.75" customHeight="1" x14ac:dyDescent="0.3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</row>
    <row r="737" spans="1:39" ht="15.75" customHeight="1" x14ac:dyDescent="0.3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</row>
    <row r="738" spans="1:39" ht="15.75" customHeight="1" x14ac:dyDescent="0.3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</row>
    <row r="739" spans="1:39" ht="15.75" customHeight="1" x14ac:dyDescent="0.3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</row>
    <row r="740" spans="1:39" ht="15.75" customHeight="1" x14ac:dyDescent="0.3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</row>
    <row r="741" spans="1:39" ht="15.75" customHeight="1" x14ac:dyDescent="0.3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</row>
    <row r="742" spans="1:39" ht="15.75" customHeight="1" x14ac:dyDescent="0.3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</row>
    <row r="743" spans="1:39" ht="15.75" customHeight="1" x14ac:dyDescent="0.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</row>
    <row r="744" spans="1:39" ht="15.75" customHeight="1" x14ac:dyDescent="0.3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</row>
    <row r="745" spans="1:39" ht="15.75" customHeight="1" x14ac:dyDescent="0.3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</row>
    <row r="746" spans="1:39" ht="15.75" customHeight="1" x14ac:dyDescent="0.3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</row>
    <row r="747" spans="1:39" ht="15.75" customHeight="1" x14ac:dyDescent="0.3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</row>
    <row r="748" spans="1:39" ht="15.75" customHeight="1" x14ac:dyDescent="0.3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</row>
    <row r="749" spans="1:39" ht="15.75" customHeight="1" x14ac:dyDescent="0.3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</row>
    <row r="750" spans="1:39" ht="15.75" customHeight="1" x14ac:dyDescent="0.3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</row>
    <row r="751" spans="1:39" ht="15.75" customHeight="1" x14ac:dyDescent="0.3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</row>
    <row r="752" spans="1:39" ht="15.75" customHeight="1" x14ac:dyDescent="0.3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</row>
    <row r="753" spans="1:39" ht="15.75" customHeight="1" x14ac:dyDescent="0.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</row>
    <row r="754" spans="1:39" ht="15.75" customHeight="1" x14ac:dyDescent="0.3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</row>
    <row r="755" spans="1:39" ht="15.75" customHeight="1" x14ac:dyDescent="0.3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</row>
    <row r="756" spans="1:39" ht="15.75" customHeight="1" x14ac:dyDescent="0.3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</row>
    <row r="757" spans="1:39" ht="15.75" customHeight="1" x14ac:dyDescent="0.3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</row>
    <row r="758" spans="1:39" ht="15.75" customHeight="1" x14ac:dyDescent="0.3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</row>
    <row r="759" spans="1:39" ht="15.75" customHeight="1" x14ac:dyDescent="0.3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</row>
    <row r="760" spans="1:39" ht="15.75" customHeight="1" x14ac:dyDescent="0.3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</row>
    <row r="761" spans="1:39" ht="15.75" customHeight="1" x14ac:dyDescent="0.3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</row>
    <row r="762" spans="1:39" ht="15.75" customHeight="1" x14ac:dyDescent="0.3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</row>
    <row r="763" spans="1:39" ht="15.75" customHeight="1" x14ac:dyDescent="0.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</row>
    <row r="764" spans="1:39" ht="15.75" customHeight="1" x14ac:dyDescent="0.3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</row>
    <row r="765" spans="1:39" ht="15.75" customHeight="1" x14ac:dyDescent="0.3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</row>
    <row r="766" spans="1:39" ht="15.75" customHeight="1" x14ac:dyDescent="0.3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</row>
    <row r="767" spans="1:39" ht="15.75" customHeight="1" x14ac:dyDescent="0.3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</row>
    <row r="768" spans="1:39" ht="15.75" customHeight="1" x14ac:dyDescent="0.3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</row>
    <row r="769" spans="1:39" ht="15.75" customHeight="1" x14ac:dyDescent="0.3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</row>
    <row r="770" spans="1:39" ht="15.75" customHeight="1" x14ac:dyDescent="0.3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</row>
    <row r="771" spans="1:39" ht="15.75" customHeight="1" x14ac:dyDescent="0.3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</row>
    <row r="772" spans="1:39" ht="15.75" customHeight="1" x14ac:dyDescent="0.3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</row>
    <row r="773" spans="1:39" ht="15.75" customHeight="1" x14ac:dyDescent="0.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</row>
    <row r="774" spans="1:39" ht="15.75" customHeight="1" x14ac:dyDescent="0.3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</row>
    <row r="775" spans="1:39" ht="15.75" customHeight="1" x14ac:dyDescent="0.3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</row>
    <row r="776" spans="1:39" ht="15.75" customHeight="1" x14ac:dyDescent="0.3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</row>
    <row r="777" spans="1:39" ht="15.75" customHeight="1" x14ac:dyDescent="0.3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</row>
    <row r="778" spans="1:39" ht="15.75" customHeight="1" x14ac:dyDescent="0.3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</row>
    <row r="779" spans="1:39" ht="15.75" customHeight="1" x14ac:dyDescent="0.3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</row>
    <row r="780" spans="1:39" ht="15.75" customHeight="1" x14ac:dyDescent="0.3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</row>
    <row r="781" spans="1:39" ht="15.75" customHeight="1" x14ac:dyDescent="0.3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</row>
    <row r="782" spans="1:39" ht="15.75" customHeight="1" x14ac:dyDescent="0.3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</row>
    <row r="783" spans="1:39" ht="15.75" customHeight="1" x14ac:dyDescent="0.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</row>
    <row r="784" spans="1:39" ht="15.75" customHeight="1" x14ac:dyDescent="0.3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</row>
    <row r="785" spans="1:39" ht="15.75" customHeight="1" x14ac:dyDescent="0.3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</row>
    <row r="786" spans="1:39" ht="15.75" customHeight="1" x14ac:dyDescent="0.3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</row>
    <row r="787" spans="1:39" ht="15.75" customHeight="1" x14ac:dyDescent="0.3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</row>
    <row r="788" spans="1:39" ht="15.75" customHeight="1" x14ac:dyDescent="0.3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</row>
    <row r="789" spans="1:39" ht="15.75" customHeight="1" x14ac:dyDescent="0.3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</row>
    <row r="790" spans="1:39" ht="15.75" customHeight="1" x14ac:dyDescent="0.3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</row>
    <row r="791" spans="1:39" ht="15.75" customHeight="1" x14ac:dyDescent="0.3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</row>
    <row r="792" spans="1:39" ht="15.75" customHeight="1" x14ac:dyDescent="0.3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</row>
    <row r="793" spans="1:39" ht="15.75" customHeight="1" x14ac:dyDescent="0.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</row>
    <row r="794" spans="1:39" ht="15.75" customHeight="1" x14ac:dyDescent="0.3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</row>
    <row r="795" spans="1:39" ht="15.75" customHeight="1" x14ac:dyDescent="0.3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</row>
    <row r="796" spans="1:39" ht="15.75" customHeight="1" x14ac:dyDescent="0.3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</row>
    <row r="797" spans="1:39" ht="15.75" customHeight="1" x14ac:dyDescent="0.3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</row>
    <row r="798" spans="1:39" ht="15.75" customHeight="1" x14ac:dyDescent="0.3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</row>
    <row r="799" spans="1:39" ht="15.75" customHeight="1" x14ac:dyDescent="0.3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</row>
    <row r="800" spans="1:39" ht="15.75" customHeight="1" x14ac:dyDescent="0.3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</row>
    <row r="801" spans="1:39" ht="15.75" customHeight="1" x14ac:dyDescent="0.3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</row>
    <row r="802" spans="1:39" ht="15.75" customHeight="1" x14ac:dyDescent="0.3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</row>
    <row r="803" spans="1:39" ht="15.75" customHeight="1" x14ac:dyDescent="0.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</row>
    <row r="804" spans="1:39" ht="15.75" customHeight="1" x14ac:dyDescent="0.3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</row>
    <row r="805" spans="1:39" ht="15.75" customHeight="1" x14ac:dyDescent="0.3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</row>
    <row r="806" spans="1:39" ht="15.75" customHeight="1" x14ac:dyDescent="0.3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</row>
    <row r="807" spans="1:39" ht="15.75" customHeight="1" x14ac:dyDescent="0.3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</row>
    <row r="808" spans="1:39" ht="15.75" customHeight="1" x14ac:dyDescent="0.3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</row>
    <row r="809" spans="1:39" ht="15.75" customHeight="1" x14ac:dyDescent="0.3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</row>
    <row r="810" spans="1:39" ht="15.75" customHeight="1" x14ac:dyDescent="0.3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</row>
    <row r="811" spans="1:39" ht="15.75" customHeight="1" x14ac:dyDescent="0.3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</row>
    <row r="812" spans="1:39" ht="15.75" customHeight="1" x14ac:dyDescent="0.3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</row>
    <row r="813" spans="1:39" ht="15.75" customHeight="1" x14ac:dyDescent="0.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</row>
    <row r="814" spans="1:39" ht="15.75" customHeight="1" x14ac:dyDescent="0.3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</row>
    <row r="815" spans="1:39" ht="15.75" customHeight="1" x14ac:dyDescent="0.3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</row>
    <row r="816" spans="1:39" ht="15.75" customHeight="1" x14ac:dyDescent="0.3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</row>
    <row r="817" spans="1:39" ht="15.75" customHeight="1" x14ac:dyDescent="0.3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</row>
    <row r="818" spans="1:39" ht="15.75" customHeight="1" x14ac:dyDescent="0.3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</row>
    <row r="819" spans="1:39" ht="15.75" customHeight="1" x14ac:dyDescent="0.3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</row>
    <row r="820" spans="1:39" ht="15.75" customHeight="1" x14ac:dyDescent="0.3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</row>
    <row r="821" spans="1:39" ht="15.75" customHeight="1" x14ac:dyDescent="0.3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</row>
    <row r="822" spans="1:39" ht="15.75" customHeight="1" x14ac:dyDescent="0.3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</row>
    <row r="823" spans="1:39" ht="15.75" customHeight="1" x14ac:dyDescent="0.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</row>
    <row r="824" spans="1:39" ht="15.75" customHeight="1" x14ac:dyDescent="0.3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</row>
    <row r="825" spans="1:39" ht="15.75" customHeight="1" x14ac:dyDescent="0.3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</row>
    <row r="826" spans="1:39" ht="15.75" customHeight="1" x14ac:dyDescent="0.3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</row>
    <row r="827" spans="1:39" ht="15.75" customHeight="1" x14ac:dyDescent="0.3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</row>
    <row r="828" spans="1:39" ht="15.75" customHeight="1" x14ac:dyDescent="0.3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</row>
    <row r="829" spans="1:39" ht="15.75" customHeight="1" x14ac:dyDescent="0.3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</row>
    <row r="830" spans="1:39" ht="15.75" customHeight="1" x14ac:dyDescent="0.3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</row>
    <row r="831" spans="1:39" ht="15.75" customHeight="1" x14ac:dyDescent="0.3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</row>
    <row r="832" spans="1:39" ht="15.75" customHeight="1" x14ac:dyDescent="0.3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</row>
    <row r="833" spans="1:39" ht="15.75" customHeight="1" x14ac:dyDescent="0.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</row>
    <row r="834" spans="1:39" ht="15.75" customHeight="1" x14ac:dyDescent="0.3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</row>
    <row r="835" spans="1:39" ht="15.75" customHeight="1" x14ac:dyDescent="0.3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</row>
    <row r="836" spans="1:39" ht="15.75" customHeight="1" x14ac:dyDescent="0.3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</row>
    <row r="837" spans="1:39" ht="15.75" customHeight="1" x14ac:dyDescent="0.3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</row>
    <row r="838" spans="1:39" ht="15.75" customHeight="1" x14ac:dyDescent="0.3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</row>
    <row r="839" spans="1:39" ht="15.75" customHeight="1" x14ac:dyDescent="0.3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</row>
    <row r="840" spans="1:39" ht="15.75" customHeight="1" x14ac:dyDescent="0.3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</row>
    <row r="841" spans="1:39" ht="15.75" customHeight="1" x14ac:dyDescent="0.3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</row>
    <row r="842" spans="1:39" ht="15.75" customHeight="1" x14ac:dyDescent="0.3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</row>
    <row r="843" spans="1:39" ht="15.75" customHeight="1" x14ac:dyDescent="0.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</row>
    <row r="844" spans="1:39" ht="15.75" customHeight="1" x14ac:dyDescent="0.3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</row>
    <row r="845" spans="1:39" ht="15.75" customHeight="1" x14ac:dyDescent="0.3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</row>
    <row r="846" spans="1:39" ht="15.75" customHeight="1" x14ac:dyDescent="0.3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</row>
    <row r="847" spans="1:39" ht="15.75" customHeight="1" x14ac:dyDescent="0.3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</row>
    <row r="848" spans="1:39" ht="15.75" customHeight="1" x14ac:dyDescent="0.3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</row>
    <row r="849" spans="1:39" ht="15.75" customHeight="1" x14ac:dyDescent="0.3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</row>
    <row r="850" spans="1:39" ht="15.75" customHeight="1" x14ac:dyDescent="0.3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</row>
    <row r="851" spans="1:39" ht="15.75" customHeight="1" x14ac:dyDescent="0.3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</row>
    <row r="852" spans="1:39" ht="15.75" customHeight="1" x14ac:dyDescent="0.3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</row>
    <row r="853" spans="1:39" ht="15.75" customHeight="1" x14ac:dyDescent="0.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</row>
    <row r="854" spans="1:39" ht="15.75" customHeight="1" x14ac:dyDescent="0.3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</row>
    <row r="855" spans="1:39" ht="15.75" customHeight="1" x14ac:dyDescent="0.3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</row>
    <row r="856" spans="1:39" ht="15.75" customHeight="1" x14ac:dyDescent="0.3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</row>
    <row r="857" spans="1:39" ht="15.75" customHeight="1" x14ac:dyDescent="0.3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</row>
    <row r="858" spans="1:39" ht="15.75" customHeight="1" x14ac:dyDescent="0.3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</row>
    <row r="859" spans="1:39" ht="15.75" customHeight="1" x14ac:dyDescent="0.3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</row>
    <row r="860" spans="1:39" ht="15.75" customHeight="1" x14ac:dyDescent="0.3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</row>
    <row r="861" spans="1:39" ht="15.75" customHeight="1" x14ac:dyDescent="0.3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</row>
    <row r="862" spans="1:39" ht="15.75" customHeight="1" x14ac:dyDescent="0.3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</row>
    <row r="863" spans="1:39" ht="15.75" customHeight="1" x14ac:dyDescent="0.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</row>
    <row r="864" spans="1:39" ht="15.75" customHeight="1" x14ac:dyDescent="0.3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</row>
    <row r="865" spans="1:39" ht="15.75" customHeight="1" x14ac:dyDescent="0.3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</row>
    <row r="866" spans="1:39" ht="15.75" customHeight="1" x14ac:dyDescent="0.3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</row>
    <row r="867" spans="1:39" ht="15.75" customHeight="1" x14ac:dyDescent="0.3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</row>
    <row r="868" spans="1:39" ht="15.75" customHeight="1" x14ac:dyDescent="0.3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</row>
    <row r="869" spans="1:39" ht="15.75" customHeight="1" x14ac:dyDescent="0.3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</row>
    <row r="870" spans="1:39" ht="15.75" customHeight="1" x14ac:dyDescent="0.3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</row>
    <row r="871" spans="1:39" ht="15.75" customHeight="1" x14ac:dyDescent="0.3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</row>
    <row r="872" spans="1:39" ht="15.75" customHeight="1" x14ac:dyDescent="0.3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</row>
    <row r="873" spans="1:39" ht="15.75" customHeight="1" x14ac:dyDescent="0.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</row>
    <row r="874" spans="1:39" ht="15.75" customHeight="1" x14ac:dyDescent="0.3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</row>
    <row r="875" spans="1:39" ht="15.75" customHeight="1" x14ac:dyDescent="0.3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</row>
    <row r="876" spans="1:39" ht="15.75" customHeight="1" x14ac:dyDescent="0.3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</row>
    <row r="877" spans="1:39" ht="15.75" customHeight="1" x14ac:dyDescent="0.3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</row>
    <row r="878" spans="1:39" ht="15.75" customHeight="1" x14ac:dyDescent="0.3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</row>
    <row r="879" spans="1:39" ht="15.75" customHeight="1" x14ac:dyDescent="0.3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</row>
    <row r="880" spans="1:39" ht="15.75" customHeight="1" x14ac:dyDescent="0.3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</row>
    <row r="881" spans="1:39" ht="15.75" customHeight="1" x14ac:dyDescent="0.3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</row>
    <row r="882" spans="1:39" ht="15.75" customHeight="1" x14ac:dyDescent="0.3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</row>
    <row r="883" spans="1:39" ht="15.75" customHeight="1" x14ac:dyDescent="0.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</row>
    <row r="884" spans="1:39" ht="15.75" customHeight="1" x14ac:dyDescent="0.3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</row>
    <row r="885" spans="1:39" ht="15.75" customHeight="1" x14ac:dyDescent="0.3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</row>
    <row r="886" spans="1:39" ht="15.75" customHeight="1" x14ac:dyDescent="0.3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</row>
    <row r="887" spans="1:39" ht="15.75" customHeight="1" x14ac:dyDescent="0.3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</row>
    <row r="888" spans="1:39" ht="15.75" customHeight="1" x14ac:dyDescent="0.3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</row>
    <row r="889" spans="1:39" ht="15.75" customHeight="1" x14ac:dyDescent="0.3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</row>
    <row r="890" spans="1:39" ht="15.75" customHeight="1" x14ac:dyDescent="0.3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</row>
    <row r="891" spans="1:39" ht="15.75" customHeight="1" x14ac:dyDescent="0.3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</row>
    <row r="892" spans="1:39" ht="15.75" customHeight="1" x14ac:dyDescent="0.3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</row>
    <row r="893" spans="1:39" ht="15.75" customHeight="1" x14ac:dyDescent="0.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</row>
    <row r="894" spans="1:39" ht="15.75" customHeight="1" x14ac:dyDescent="0.3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</row>
    <row r="895" spans="1:39" ht="15.75" customHeight="1" x14ac:dyDescent="0.3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</row>
    <row r="896" spans="1:39" ht="15.75" customHeight="1" x14ac:dyDescent="0.3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</row>
    <row r="897" spans="1:39" ht="15.75" customHeight="1" x14ac:dyDescent="0.3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</row>
    <row r="898" spans="1:39" ht="15.75" customHeight="1" x14ac:dyDescent="0.3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</row>
    <row r="899" spans="1:39" ht="15.75" customHeight="1" x14ac:dyDescent="0.3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</row>
    <row r="900" spans="1:39" ht="15.75" customHeight="1" x14ac:dyDescent="0.3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</row>
    <row r="901" spans="1:39" ht="15.75" customHeight="1" x14ac:dyDescent="0.3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</row>
    <row r="902" spans="1:39" ht="15.75" customHeight="1" x14ac:dyDescent="0.3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</row>
    <row r="903" spans="1:39" ht="15.75" customHeight="1" x14ac:dyDescent="0.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</row>
    <row r="904" spans="1:39" ht="15.75" customHeight="1" x14ac:dyDescent="0.3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</row>
    <row r="905" spans="1:39" ht="15.75" customHeight="1" x14ac:dyDescent="0.3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</row>
    <row r="906" spans="1:39" ht="15.75" customHeight="1" x14ac:dyDescent="0.3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</row>
    <row r="907" spans="1:39" ht="15.75" customHeight="1" x14ac:dyDescent="0.3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</row>
    <row r="908" spans="1:39" ht="15.75" customHeight="1" x14ac:dyDescent="0.3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</row>
    <row r="909" spans="1:39" ht="15.75" customHeight="1" x14ac:dyDescent="0.3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</row>
    <row r="910" spans="1:39" ht="15.75" customHeight="1" x14ac:dyDescent="0.3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</row>
    <row r="911" spans="1:39" ht="15.75" customHeight="1" x14ac:dyDescent="0.3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</row>
    <row r="912" spans="1:39" ht="15.75" customHeight="1" x14ac:dyDescent="0.3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</row>
    <row r="913" spans="1:39" ht="15.75" customHeight="1" x14ac:dyDescent="0.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</row>
    <row r="914" spans="1:39" ht="15.75" customHeight="1" x14ac:dyDescent="0.3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</row>
    <row r="915" spans="1:39" ht="15.75" customHeight="1" x14ac:dyDescent="0.3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</row>
    <row r="916" spans="1:39" ht="15.75" customHeight="1" x14ac:dyDescent="0.3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</row>
    <row r="917" spans="1:39" ht="15.75" customHeight="1" x14ac:dyDescent="0.3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</row>
    <row r="918" spans="1:39" ht="15.75" customHeight="1" x14ac:dyDescent="0.3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</row>
    <row r="919" spans="1:39" ht="15.75" customHeight="1" x14ac:dyDescent="0.3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</row>
    <row r="920" spans="1:39" ht="15.75" customHeight="1" x14ac:dyDescent="0.3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</row>
    <row r="921" spans="1:39" ht="15.75" customHeight="1" x14ac:dyDescent="0.3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</row>
    <row r="922" spans="1:39" ht="15.75" customHeight="1" x14ac:dyDescent="0.3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</row>
    <row r="923" spans="1:39" ht="15.75" customHeight="1" x14ac:dyDescent="0.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</row>
    <row r="924" spans="1:39" ht="15.75" customHeight="1" x14ac:dyDescent="0.3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</row>
    <row r="925" spans="1:39" ht="15.75" customHeight="1" x14ac:dyDescent="0.3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</row>
    <row r="926" spans="1:39" ht="15.75" customHeight="1" x14ac:dyDescent="0.3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</row>
    <row r="927" spans="1:39" ht="15.75" customHeight="1" x14ac:dyDescent="0.3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</row>
    <row r="928" spans="1:39" ht="15.75" customHeight="1" x14ac:dyDescent="0.3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</row>
    <row r="929" spans="1:39" ht="15.75" customHeight="1" x14ac:dyDescent="0.3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</row>
    <row r="930" spans="1:39" ht="15.75" customHeight="1" x14ac:dyDescent="0.3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</row>
    <row r="931" spans="1:39" ht="15.75" customHeight="1" x14ac:dyDescent="0.3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</row>
    <row r="932" spans="1:39" ht="15.75" customHeight="1" x14ac:dyDescent="0.3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</row>
    <row r="933" spans="1:39" ht="15.75" customHeight="1" x14ac:dyDescent="0.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</row>
    <row r="934" spans="1:39" ht="15.75" customHeight="1" x14ac:dyDescent="0.3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</row>
    <row r="935" spans="1:39" ht="15.75" customHeight="1" x14ac:dyDescent="0.3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</row>
    <row r="936" spans="1:39" ht="15.75" customHeight="1" x14ac:dyDescent="0.3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</row>
    <row r="937" spans="1:39" ht="15.75" customHeight="1" x14ac:dyDescent="0.3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</row>
    <row r="938" spans="1:39" ht="15.75" customHeight="1" x14ac:dyDescent="0.3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</row>
    <row r="939" spans="1:39" ht="15.75" customHeight="1" x14ac:dyDescent="0.3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</row>
    <row r="940" spans="1:39" ht="15.75" customHeight="1" x14ac:dyDescent="0.3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</row>
    <row r="941" spans="1:39" ht="15.75" customHeight="1" x14ac:dyDescent="0.3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</row>
    <row r="942" spans="1:39" ht="15.75" customHeight="1" x14ac:dyDescent="0.3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</row>
    <row r="943" spans="1:39" ht="15.75" customHeight="1" x14ac:dyDescent="0.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</row>
    <row r="944" spans="1:39" ht="15.75" customHeight="1" x14ac:dyDescent="0.3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</row>
    <row r="945" spans="1:39" ht="15.75" customHeight="1" x14ac:dyDescent="0.3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</row>
    <row r="946" spans="1:39" ht="15.75" customHeight="1" x14ac:dyDescent="0.3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</row>
    <row r="947" spans="1:39" ht="15.75" customHeight="1" x14ac:dyDescent="0.3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</row>
    <row r="948" spans="1:39" ht="15.75" customHeight="1" x14ac:dyDescent="0.3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</row>
    <row r="949" spans="1:39" ht="15.75" customHeight="1" x14ac:dyDescent="0.3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</row>
    <row r="950" spans="1:39" ht="15.75" customHeight="1" x14ac:dyDescent="0.3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</row>
    <row r="951" spans="1:39" ht="15.75" customHeight="1" x14ac:dyDescent="0.3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</row>
    <row r="952" spans="1:39" ht="15.75" customHeight="1" x14ac:dyDescent="0.3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</row>
    <row r="953" spans="1:39" ht="15.75" customHeight="1" x14ac:dyDescent="0.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</row>
    <row r="954" spans="1:39" ht="15.75" customHeight="1" x14ac:dyDescent="0.3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</row>
    <row r="955" spans="1:39" ht="15.75" customHeight="1" x14ac:dyDescent="0.3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</row>
    <row r="956" spans="1:39" ht="15.75" customHeight="1" x14ac:dyDescent="0.3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</row>
    <row r="957" spans="1:39" ht="15.75" customHeight="1" x14ac:dyDescent="0.3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</row>
    <row r="958" spans="1:39" ht="15.75" customHeight="1" x14ac:dyDescent="0.3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</row>
    <row r="959" spans="1:39" ht="15.75" customHeight="1" x14ac:dyDescent="0.3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</row>
    <row r="960" spans="1:39" ht="15.75" customHeight="1" x14ac:dyDescent="0.3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</row>
    <row r="961" spans="1:39" ht="15.75" customHeight="1" x14ac:dyDescent="0.3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</row>
    <row r="962" spans="1:39" ht="15.75" customHeight="1" x14ac:dyDescent="0.3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</row>
    <row r="963" spans="1:39" ht="15.75" customHeight="1" x14ac:dyDescent="0.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</row>
    <row r="964" spans="1:39" ht="15.75" customHeight="1" x14ac:dyDescent="0.3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</row>
    <row r="965" spans="1:39" ht="15.75" customHeight="1" x14ac:dyDescent="0.3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</row>
    <row r="966" spans="1:39" ht="15.75" customHeight="1" x14ac:dyDescent="0.3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</row>
    <row r="967" spans="1:39" ht="15.75" customHeight="1" x14ac:dyDescent="0.3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</row>
    <row r="968" spans="1:39" ht="15.75" customHeight="1" x14ac:dyDescent="0.3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</row>
    <row r="969" spans="1:39" ht="15.75" customHeight="1" x14ac:dyDescent="0.3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</row>
    <row r="970" spans="1:39" ht="15.75" customHeight="1" x14ac:dyDescent="0.3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</row>
    <row r="971" spans="1:39" ht="15.75" customHeight="1" x14ac:dyDescent="0.3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</row>
    <row r="972" spans="1:39" ht="15.75" customHeight="1" x14ac:dyDescent="0.3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</row>
    <row r="973" spans="1:39" ht="15.75" customHeight="1" x14ac:dyDescent="0.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</row>
    <row r="974" spans="1:39" ht="15.75" customHeight="1" x14ac:dyDescent="0.3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</row>
    <row r="975" spans="1:39" ht="15.75" customHeight="1" x14ac:dyDescent="0.3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</row>
    <row r="976" spans="1:39" ht="15.75" customHeight="1" x14ac:dyDescent="0.3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</row>
    <row r="977" spans="1:39" ht="15.75" customHeight="1" x14ac:dyDescent="0.3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</row>
    <row r="978" spans="1:39" ht="15.75" customHeight="1" x14ac:dyDescent="0.3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</row>
    <row r="979" spans="1:39" ht="15.75" customHeight="1" x14ac:dyDescent="0.3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</row>
    <row r="980" spans="1:39" ht="15.75" customHeight="1" x14ac:dyDescent="0.3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</row>
    <row r="981" spans="1:39" ht="15.75" customHeight="1" x14ac:dyDescent="0.3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</row>
    <row r="982" spans="1:39" ht="15.75" customHeight="1" x14ac:dyDescent="0.3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</row>
    <row r="983" spans="1:39" ht="15.75" customHeight="1" x14ac:dyDescent="0.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</row>
    <row r="984" spans="1:39" ht="15.75" customHeight="1" x14ac:dyDescent="0.3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</row>
    <row r="985" spans="1:39" ht="15.75" customHeight="1" x14ac:dyDescent="0.3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</row>
    <row r="986" spans="1:39" ht="15.75" customHeight="1" x14ac:dyDescent="0.3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</row>
    <row r="987" spans="1:39" ht="15.75" customHeight="1" x14ac:dyDescent="0.3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</row>
    <row r="988" spans="1:39" ht="15.75" customHeight="1" x14ac:dyDescent="0.3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</row>
    <row r="989" spans="1:39" ht="15.75" customHeight="1" x14ac:dyDescent="0.3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</row>
    <row r="990" spans="1:39" ht="15.75" customHeight="1" x14ac:dyDescent="0.3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</row>
    <row r="991" spans="1:39" ht="15.75" customHeight="1" x14ac:dyDescent="0.3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</row>
    <row r="992" spans="1:39" ht="15.75" customHeight="1" x14ac:dyDescent="0.3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</row>
    <row r="993" spans="1:39" ht="15.75" customHeight="1" x14ac:dyDescent="0.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</row>
    <row r="994" spans="1:39" ht="15.75" customHeight="1" x14ac:dyDescent="0.3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</row>
    <row r="995" spans="1:39" ht="15.75" customHeight="1" x14ac:dyDescent="0.3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</row>
    <row r="996" spans="1:39" ht="15.75" customHeight="1" x14ac:dyDescent="0.3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</row>
    <row r="997" spans="1:39" ht="15.75" customHeight="1" x14ac:dyDescent="0.3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</row>
    <row r="998" spans="1:39" ht="15.75" customHeight="1" x14ac:dyDescent="0.3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</row>
    <row r="999" spans="1:39" ht="15.75" customHeight="1" x14ac:dyDescent="0.3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</row>
    <row r="1000" spans="1:39" ht="15.75" customHeight="1" x14ac:dyDescent="0.3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</row>
  </sheetData>
  <autoFilter ref="A1:AI345" xr:uid="{00000000-0009-0000-0000-000003000000}"/>
  <mergeCells count="6">
    <mergeCell ref="AL358:AL360"/>
    <mergeCell ref="I358:I360"/>
    <mergeCell ref="N358:N360"/>
    <mergeCell ref="S358:S360"/>
    <mergeCell ref="AB358:AB360"/>
    <mergeCell ref="AG358:AG3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Z1000"/>
  <sheetViews>
    <sheetView topLeftCell="A318" workbookViewId="0">
      <selection activeCell="D2" sqref="C2:D344"/>
    </sheetView>
  </sheetViews>
  <sheetFormatPr baseColWidth="10" defaultColWidth="12.6640625" defaultRowHeight="15" customHeight="1" x14ac:dyDescent="0.25"/>
  <cols>
    <col min="1" max="1" width="10.44140625" customWidth="1"/>
  </cols>
  <sheetData>
    <row r="1" spans="1:26" x14ac:dyDescent="0.25">
      <c r="A1" s="81" t="s">
        <v>714</v>
      </c>
      <c r="B1" s="81" t="s">
        <v>1</v>
      </c>
      <c r="C1" s="109" t="s">
        <v>862</v>
      </c>
      <c r="D1" s="109" t="s">
        <v>863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5" customHeight="1" x14ac:dyDescent="0.3">
      <c r="A2" s="137">
        <v>10101</v>
      </c>
      <c r="B2" s="138" t="s">
        <v>34</v>
      </c>
      <c r="C2" s="139">
        <v>1.1563353177451203</v>
      </c>
      <c r="D2" s="139">
        <v>1.2542869464402275</v>
      </c>
    </row>
    <row r="3" spans="1:26" ht="15" customHeight="1" x14ac:dyDescent="0.3">
      <c r="A3" s="137">
        <v>10102</v>
      </c>
      <c r="B3" s="138" t="s">
        <v>50</v>
      </c>
      <c r="C3" s="139">
        <v>1.2328500929179432E-2</v>
      </c>
      <c r="D3" s="139">
        <v>7.3760052603470946E-2</v>
      </c>
    </row>
    <row r="4" spans="1:26" ht="15" customHeight="1" x14ac:dyDescent="0.3">
      <c r="A4" s="137">
        <v>10103</v>
      </c>
      <c r="B4" s="138" t="s">
        <v>29</v>
      </c>
      <c r="C4" s="139">
        <v>1.259736454228146E-3</v>
      </c>
      <c r="D4" s="139">
        <v>1.1158464515869293E-3</v>
      </c>
    </row>
    <row r="5" spans="1:26" ht="15" customHeight="1" x14ac:dyDescent="0.3">
      <c r="A5" s="137">
        <v>10201</v>
      </c>
      <c r="B5" s="138" t="s">
        <v>739</v>
      </c>
      <c r="C5" s="139">
        <v>5.4781243283452503E-3</v>
      </c>
      <c r="D5" s="139">
        <v>5.1275614179709696E-3</v>
      </c>
    </row>
    <row r="6" spans="1:26" ht="15" customHeight="1" x14ac:dyDescent="0.3">
      <c r="A6" s="137">
        <v>10202</v>
      </c>
      <c r="B6" s="138" t="s">
        <v>743</v>
      </c>
      <c r="C6" s="139">
        <v>2.7382924516876014E-4</v>
      </c>
      <c r="D6" s="139">
        <v>2.7470320180589432E-4</v>
      </c>
    </row>
    <row r="7" spans="1:26" ht="15" customHeight="1" x14ac:dyDescent="0.3">
      <c r="A7" s="137">
        <v>10301</v>
      </c>
      <c r="B7" s="138" t="s">
        <v>744</v>
      </c>
      <c r="C7" s="139">
        <v>1.5802426715252509E-3</v>
      </c>
      <c r="D7" s="139">
        <v>0.2355671199359603</v>
      </c>
    </row>
    <row r="8" spans="1:26" ht="15" customHeight="1" x14ac:dyDescent="0.3">
      <c r="A8" s="137">
        <v>10302</v>
      </c>
      <c r="B8" s="138" t="s">
        <v>745</v>
      </c>
      <c r="C8" s="139">
        <v>0</v>
      </c>
      <c r="D8" s="139">
        <v>0</v>
      </c>
    </row>
    <row r="9" spans="1:26" ht="15" customHeight="1" x14ac:dyDescent="0.3">
      <c r="A9" s="137">
        <v>10303</v>
      </c>
      <c r="B9" s="138" t="s">
        <v>746</v>
      </c>
      <c r="C9" s="139">
        <v>5.0310244913191991E-3</v>
      </c>
      <c r="D9" s="139">
        <v>2.853980835856432E-2</v>
      </c>
    </row>
    <row r="10" spans="1:26" ht="15" customHeight="1" x14ac:dyDescent="0.3">
      <c r="A10" s="137">
        <v>10304</v>
      </c>
      <c r="B10" s="138" t="s">
        <v>747</v>
      </c>
      <c r="C10" s="139">
        <v>2.5760822052034553E-3</v>
      </c>
      <c r="D10" s="139">
        <v>5.0445769839002673E-4</v>
      </c>
    </row>
    <row r="11" spans="1:26" ht="15" customHeight="1" x14ac:dyDescent="0.3">
      <c r="A11" s="137">
        <v>10401</v>
      </c>
      <c r="B11" s="138" t="s">
        <v>27</v>
      </c>
      <c r="C11" s="139">
        <v>5.0976600047686555E-3</v>
      </c>
      <c r="D11" s="139">
        <v>0.13258227318384386</v>
      </c>
    </row>
    <row r="12" spans="1:26" ht="15" customHeight="1" x14ac:dyDescent="0.3">
      <c r="A12" s="137">
        <v>10402</v>
      </c>
      <c r="B12" s="138" t="s">
        <v>748</v>
      </c>
      <c r="C12" s="139">
        <v>6.9039278476463071E-3</v>
      </c>
      <c r="D12" s="139">
        <v>0.14446913073069548</v>
      </c>
    </row>
    <row r="13" spans="1:26" ht="15" customHeight="1" x14ac:dyDescent="0.3">
      <c r="A13" s="137">
        <v>10403</v>
      </c>
      <c r="B13" s="138" t="s">
        <v>33</v>
      </c>
      <c r="C13" s="139">
        <v>2.1656603801368216E-3</v>
      </c>
      <c r="D13" s="139">
        <v>6.1757601272825563E-2</v>
      </c>
    </row>
    <row r="14" spans="1:26" ht="15" customHeight="1" x14ac:dyDescent="0.3">
      <c r="A14" s="137">
        <v>10404</v>
      </c>
      <c r="B14" s="138" t="s">
        <v>10</v>
      </c>
      <c r="C14" s="139">
        <v>0</v>
      </c>
      <c r="D14" s="139">
        <v>0</v>
      </c>
    </row>
    <row r="15" spans="1:26" ht="15" customHeight="1" x14ac:dyDescent="0.3">
      <c r="A15" s="137">
        <v>10405</v>
      </c>
      <c r="B15" s="138" t="s">
        <v>23</v>
      </c>
      <c r="C15" s="139">
        <v>9.5104138662153157E-4</v>
      </c>
      <c r="D15" s="139">
        <v>7.4777237125427066E-4</v>
      </c>
    </row>
    <row r="16" spans="1:26" ht="15" customHeight="1" x14ac:dyDescent="0.3">
      <c r="A16" s="137">
        <v>10501</v>
      </c>
      <c r="B16" s="138" t="s">
        <v>750</v>
      </c>
      <c r="C16" s="139">
        <v>0.2842966510495526</v>
      </c>
      <c r="D16" s="139">
        <v>0.41259417670772081</v>
      </c>
    </row>
    <row r="17" spans="1:4" ht="15" customHeight="1" x14ac:dyDescent="0.3">
      <c r="A17" s="137">
        <v>10502</v>
      </c>
      <c r="B17" s="138" t="s">
        <v>751</v>
      </c>
      <c r="C17" s="139">
        <v>1.0121160955023575E-3</v>
      </c>
      <c r="D17" s="139">
        <v>1.2828639524335263E-3</v>
      </c>
    </row>
    <row r="18" spans="1:4" ht="15" customHeight="1" x14ac:dyDescent="0.3">
      <c r="A18" s="137">
        <v>10601</v>
      </c>
      <c r="B18" s="138" t="s">
        <v>38</v>
      </c>
      <c r="C18" s="139">
        <v>1.0334909252931672E-2</v>
      </c>
      <c r="D18" s="139">
        <v>8.0588355752853925E-3</v>
      </c>
    </row>
    <row r="19" spans="1:4" ht="15" customHeight="1" x14ac:dyDescent="0.3">
      <c r="A19" s="137">
        <v>10602</v>
      </c>
      <c r="B19" s="138" t="s">
        <v>49</v>
      </c>
      <c r="C19" s="139">
        <v>3.9511342418569781E-2</v>
      </c>
      <c r="D19" s="139">
        <v>0.14167454309713368</v>
      </c>
    </row>
    <row r="20" spans="1:4" ht="15" customHeight="1" x14ac:dyDescent="0.3">
      <c r="A20" s="137">
        <v>10701</v>
      </c>
      <c r="B20" s="138" t="s">
        <v>13</v>
      </c>
      <c r="C20" s="139">
        <v>4.3775320118879989E-2</v>
      </c>
      <c r="D20" s="139">
        <v>8.3183927356628037E-2</v>
      </c>
    </row>
    <row r="21" spans="1:4" ht="15" customHeight="1" x14ac:dyDescent="0.3">
      <c r="A21" s="137">
        <v>10702</v>
      </c>
      <c r="B21" s="138" t="s">
        <v>30</v>
      </c>
      <c r="C21" s="139">
        <v>7.9026906626821769E-3</v>
      </c>
      <c r="D21" s="139">
        <v>2.3404476288809411E-2</v>
      </c>
    </row>
    <row r="22" spans="1:4" ht="15" customHeight="1" x14ac:dyDescent="0.3">
      <c r="A22" s="137">
        <v>10703</v>
      </c>
      <c r="B22" s="138" t="s">
        <v>24</v>
      </c>
      <c r="C22" s="139">
        <v>1.4654314653322897E-2</v>
      </c>
      <c r="D22" s="139">
        <v>9.0211568653170721E-3</v>
      </c>
    </row>
    <row r="23" spans="1:4" ht="15" customHeight="1" x14ac:dyDescent="0.3">
      <c r="A23" s="137">
        <v>10704</v>
      </c>
      <c r="B23" s="138" t="s">
        <v>752</v>
      </c>
      <c r="C23" s="139">
        <v>0</v>
      </c>
      <c r="D23" s="139">
        <v>0</v>
      </c>
    </row>
    <row r="24" spans="1:4" ht="15" customHeight="1" x14ac:dyDescent="0.3">
      <c r="A24" s="137">
        <v>10801</v>
      </c>
      <c r="B24" s="138" t="s">
        <v>45</v>
      </c>
      <c r="C24" s="139">
        <v>2.2674617400818393E-2</v>
      </c>
      <c r="D24" s="139">
        <v>0.10469546628283506</v>
      </c>
    </row>
    <row r="25" spans="1:4" ht="15" customHeight="1" x14ac:dyDescent="0.3">
      <c r="A25" s="137">
        <v>10901</v>
      </c>
      <c r="B25" s="138" t="s">
        <v>753</v>
      </c>
      <c r="C25" s="139">
        <v>4.7436071398804106E-3</v>
      </c>
      <c r="D25" s="139">
        <v>2.6562649922855764E-3</v>
      </c>
    </row>
    <row r="26" spans="1:4" ht="15" customHeight="1" x14ac:dyDescent="0.3">
      <c r="A26" s="137">
        <v>10902</v>
      </c>
      <c r="B26" s="138" t="s">
        <v>22</v>
      </c>
      <c r="C26" s="139">
        <v>3.3485601136072574E-2</v>
      </c>
      <c r="D26" s="139">
        <v>3.4372592910694631E-2</v>
      </c>
    </row>
    <row r="27" spans="1:4" ht="15" customHeight="1" x14ac:dyDescent="0.3">
      <c r="A27" s="137">
        <v>10903</v>
      </c>
      <c r="B27" s="138" t="s">
        <v>25</v>
      </c>
      <c r="C27" s="139">
        <v>2.0451181914532268E-2</v>
      </c>
      <c r="D27" s="139">
        <v>1.298469719768537E-2</v>
      </c>
    </row>
    <row r="28" spans="1:4" ht="14.4" x14ac:dyDescent="0.3">
      <c r="A28" s="137">
        <v>11001</v>
      </c>
      <c r="B28" s="138" t="s">
        <v>754</v>
      </c>
      <c r="C28" s="139">
        <v>4.3269802889264759E-3</v>
      </c>
      <c r="D28" s="139">
        <v>2.8453146457304117E-3</v>
      </c>
    </row>
    <row r="29" spans="1:4" ht="14.4" x14ac:dyDescent="0.3">
      <c r="A29" s="137">
        <v>11002</v>
      </c>
      <c r="B29" s="138" t="s">
        <v>755</v>
      </c>
      <c r="C29" s="139">
        <v>0</v>
      </c>
      <c r="D29" s="139">
        <v>0</v>
      </c>
    </row>
    <row r="30" spans="1:4" ht="14.4" x14ac:dyDescent="0.3">
      <c r="A30" s="137">
        <v>11003</v>
      </c>
      <c r="B30" s="138" t="s">
        <v>26</v>
      </c>
      <c r="C30" s="139">
        <v>8.0774400140806012E-3</v>
      </c>
      <c r="D30" s="139">
        <v>5.6298166434620919E-3</v>
      </c>
    </row>
    <row r="31" spans="1:4" ht="14.4" x14ac:dyDescent="0.3">
      <c r="A31" s="137">
        <v>20101</v>
      </c>
      <c r="B31" s="138" t="s">
        <v>756</v>
      </c>
      <c r="C31" s="139">
        <v>1.6583171138277601</v>
      </c>
      <c r="D31" s="139">
        <v>1.7660391227508461</v>
      </c>
    </row>
    <row r="32" spans="1:4" ht="14.4" x14ac:dyDescent="0.3">
      <c r="A32" s="137">
        <v>20102</v>
      </c>
      <c r="B32" s="138" t="s">
        <v>89</v>
      </c>
      <c r="C32" s="139">
        <v>1.3447563942177446E-2</v>
      </c>
      <c r="D32" s="139">
        <v>0.61837443780837043</v>
      </c>
    </row>
    <row r="33" spans="1:4" ht="14.4" x14ac:dyDescent="0.3">
      <c r="A33" s="137">
        <v>20103</v>
      </c>
      <c r="B33" s="138" t="s">
        <v>87</v>
      </c>
      <c r="C33" s="139">
        <v>3.411673721282444E-2</v>
      </c>
      <c r="D33" s="139">
        <v>0.26468328939779073</v>
      </c>
    </row>
    <row r="34" spans="1:4" ht="14.4" x14ac:dyDescent="0.3">
      <c r="A34" s="137">
        <v>20104</v>
      </c>
      <c r="B34" s="138" t="s">
        <v>54</v>
      </c>
      <c r="C34" s="139">
        <v>0.48269013659228255</v>
      </c>
      <c r="D34" s="139">
        <v>5.3008192759637982</v>
      </c>
    </row>
    <row r="35" spans="1:4" ht="14.4" x14ac:dyDescent="0.3">
      <c r="A35" s="137">
        <v>20105</v>
      </c>
      <c r="B35" s="138" t="s">
        <v>74</v>
      </c>
      <c r="C35" s="139">
        <v>0.79438527648568469</v>
      </c>
      <c r="D35" s="139">
        <v>0.86709018001288096</v>
      </c>
    </row>
    <row r="36" spans="1:4" ht="14.4" x14ac:dyDescent="0.3">
      <c r="A36" s="137">
        <v>20201</v>
      </c>
      <c r="B36" s="138" t="s">
        <v>52</v>
      </c>
      <c r="C36" s="139">
        <v>2.075718216912377E-2</v>
      </c>
      <c r="D36" s="139">
        <v>0.29542960863951812</v>
      </c>
    </row>
    <row r="37" spans="1:4" ht="14.4" x14ac:dyDescent="0.3">
      <c r="A37" s="137">
        <v>20202</v>
      </c>
      <c r="B37" s="138" t="s">
        <v>757</v>
      </c>
      <c r="C37" s="139">
        <v>0</v>
      </c>
      <c r="D37" s="139">
        <v>0.51546401133295716</v>
      </c>
    </row>
    <row r="38" spans="1:4" ht="14.4" x14ac:dyDescent="0.3">
      <c r="A38" s="137">
        <v>20203</v>
      </c>
      <c r="B38" s="138" t="s">
        <v>319</v>
      </c>
      <c r="C38" s="139">
        <v>0</v>
      </c>
      <c r="D38" s="139">
        <v>0.54496732522560554</v>
      </c>
    </row>
    <row r="39" spans="1:4" ht="14.4" x14ac:dyDescent="0.3">
      <c r="A39" s="137">
        <v>20204</v>
      </c>
      <c r="B39" s="138" t="s">
        <v>79</v>
      </c>
      <c r="C39" s="139">
        <v>0</v>
      </c>
      <c r="D39" s="139">
        <v>2.2962358750578673</v>
      </c>
    </row>
    <row r="40" spans="1:4" ht="14.4" x14ac:dyDescent="0.3">
      <c r="A40" s="137">
        <v>20205</v>
      </c>
      <c r="B40" s="138" t="s">
        <v>96</v>
      </c>
      <c r="C40" s="139">
        <v>0</v>
      </c>
      <c r="D40" s="139">
        <v>2.3773608166529527</v>
      </c>
    </row>
    <row r="41" spans="1:4" ht="14.4" x14ac:dyDescent="0.3">
      <c r="A41" s="137">
        <v>20206</v>
      </c>
      <c r="B41" s="138" t="s">
        <v>80</v>
      </c>
      <c r="C41" s="139">
        <v>0</v>
      </c>
      <c r="D41" s="139">
        <v>3.2126254715775402</v>
      </c>
    </row>
    <row r="42" spans="1:4" ht="14.4" x14ac:dyDescent="0.3">
      <c r="A42" s="137">
        <v>20301</v>
      </c>
      <c r="B42" s="138" t="s">
        <v>758</v>
      </c>
      <c r="C42" s="139">
        <v>1.8168105836186372E-3</v>
      </c>
      <c r="D42" s="139">
        <v>0.11707239910155331</v>
      </c>
    </row>
    <row r="43" spans="1:4" ht="14.4" x14ac:dyDescent="0.3">
      <c r="A43" s="137">
        <v>20302</v>
      </c>
      <c r="B43" s="138" t="s">
        <v>62</v>
      </c>
      <c r="C43" s="139">
        <v>2.3455255533000488E-3</v>
      </c>
      <c r="D43" s="139">
        <v>2.3140997548949972E-3</v>
      </c>
    </row>
    <row r="44" spans="1:4" ht="14.4" x14ac:dyDescent="0.3">
      <c r="A44" s="137">
        <v>20303</v>
      </c>
      <c r="B44" s="138" t="s">
        <v>60</v>
      </c>
      <c r="C44" s="139">
        <v>5.2939731364683171E-3</v>
      </c>
      <c r="D44" s="139">
        <v>7.7316368856006873E-2</v>
      </c>
    </row>
    <row r="45" spans="1:4" ht="14.4" x14ac:dyDescent="0.3">
      <c r="A45" s="137">
        <v>20304</v>
      </c>
      <c r="B45" s="138" t="s">
        <v>759</v>
      </c>
      <c r="C45" s="139">
        <v>0</v>
      </c>
      <c r="D45" s="139">
        <v>0</v>
      </c>
    </row>
    <row r="46" spans="1:4" ht="14.4" x14ac:dyDescent="0.3">
      <c r="A46" s="137">
        <v>20305</v>
      </c>
      <c r="B46" s="138" t="s">
        <v>64</v>
      </c>
      <c r="C46" s="139">
        <v>5.1884664193098994E-3</v>
      </c>
      <c r="D46" s="139">
        <v>0.35507676482302486</v>
      </c>
    </row>
    <row r="47" spans="1:4" ht="14.4" x14ac:dyDescent="0.3">
      <c r="A47" s="137">
        <v>20306</v>
      </c>
      <c r="B47" s="138" t="s">
        <v>760</v>
      </c>
      <c r="C47" s="139">
        <v>0</v>
      </c>
      <c r="D47" s="139">
        <v>0.16198148836493392</v>
      </c>
    </row>
    <row r="48" spans="1:4" ht="14.4" x14ac:dyDescent="0.3">
      <c r="A48" s="137">
        <v>20307</v>
      </c>
      <c r="B48" s="138" t="s">
        <v>761</v>
      </c>
      <c r="C48" s="139">
        <v>0</v>
      </c>
      <c r="D48" s="139">
        <v>0</v>
      </c>
    </row>
    <row r="49" spans="1:4" ht="14.4" x14ac:dyDescent="0.3">
      <c r="A49" s="137">
        <v>20308</v>
      </c>
      <c r="B49" s="138" t="s">
        <v>388</v>
      </c>
      <c r="C49" s="139">
        <v>0</v>
      </c>
      <c r="D49" s="139">
        <v>1.5679347946647156E-2</v>
      </c>
    </row>
    <row r="50" spans="1:4" ht="14.4" x14ac:dyDescent="0.3">
      <c r="A50" s="137">
        <v>20401</v>
      </c>
      <c r="B50" s="138" t="s">
        <v>93</v>
      </c>
      <c r="C50" s="139">
        <v>6.5547469307023426E-3</v>
      </c>
      <c r="D50" s="139">
        <v>1.082777114496221</v>
      </c>
    </row>
    <row r="51" spans="1:4" ht="14.4" x14ac:dyDescent="0.3">
      <c r="A51" s="137">
        <v>20402</v>
      </c>
      <c r="B51" s="138" t="s">
        <v>762</v>
      </c>
      <c r="C51" s="139">
        <v>1.4569873440181422E-3</v>
      </c>
      <c r="D51" s="139">
        <v>2.5017488638519512E-2</v>
      </c>
    </row>
    <row r="52" spans="1:4" ht="14.4" x14ac:dyDescent="0.3">
      <c r="A52" s="137">
        <v>20403</v>
      </c>
      <c r="B52" s="138" t="s">
        <v>763</v>
      </c>
      <c r="C52" s="139">
        <v>0</v>
      </c>
      <c r="D52" s="139">
        <v>0.36980887828122522</v>
      </c>
    </row>
    <row r="53" spans="1:4" ht="14.4" x14ac:dyDescent="0.3">
      <c r="A53" s="137">
        <v>20404</v>
      </c>
      <c r="B53" s="138" t="s">
        <v>346</v>
      </c>
      <c r="C53" s="139">
        <v>0</v>
      </c>
      <c r="D53" s="139">
        <v>0.39190100775979564</v>
      </c>
    </row>
    <row r="54" spans="1:4" ht="14.4" x14ac:dyDescent="0.3">
      <c r="A54" s="137">
        <v>20405</v>
      </c>
      <c r="B54" s="138" t="s">
        <v>339</v>
      </c>
      <c r="C54" s="139">
        <v>0</v>
      </c>
      <c r="D54" s="139">
        <v>0.12399257005700311</v>
      </c>
    </row>
    <row r="55" spans="1:4" ht="14.4" x14ac:dyDescent="0.3">
      <c r="A55" s="137">
        <v>20501</v>
      </c>
      <c r="B55" s="138" t="s">
        <v>66</v>
      </c>
      <c r="C55" s="139">
        <v>6.2453205031063296E-4</v>
      </c>
      <c r="D55" s="139">
        <v>4.3771700999832314E-4</v>
      </c>
    </row>
    <row r="56" spans="1:4" ht="14.4" x14ac:dyDescent="0.3">
      <c r="A56" s="137">
        <v>20502</v>
      </c>
      <c r="B56" s="138" t="s">
        <v>57</v>
      </c>
      <c r="C56" s="139">
        <v>0</v>
      </c>
      <c r="D56" s="139">
        <v>0</v>
      </c>
    </row>
    <row r="57" spans="1:4" ht="14.4" x14ac:dyDescent="0.3">
      <c r="A57" s="137">
        <v>20503</v>
      </c>
      <c r="B57" s="138" t="s">
        <v>764</v>
      </c>
      <c r="C57" s="139">
        <v>0</v>
      </c>
      <c r="D57" s="139">
        <v>0</v>
      </c>
    </row>
    <row r="58" spans="1:4" ht="14.4" x14ac:dyDescent="0.3">
      <c r="A58" s="137">
        <v>20601</v>
      </c>
      <c r="B58" s="138" t="s">
        <v>99</v>
      </c>
      <c r="C58" s="139">
        <v>3.6265429687112089E-3</v>
      </c>
      <c r="D58" s="139">
        <v>9.7708124020478682E-2</v>
      </c>
    </row>
    <row r="59" spans="1:4" ht="14.4" x14ac:dyDescent="0.3">
      <c r="A59" s="137">
        <v>20602</v>
      </c>
      <c r="B59" s="138" t="s">
        <v>77</v>
      </c>
      <c r="C59" s="139">
        <v>4.4725454929497354E-3</v>
      </c>
      <c r="D59" s="139">
        <v>0.20845819545186028</v>
      </c>
    </row>
    <row r="60" spans="1:4" ht="14.4" x14ac:dyDescent="0.3">
      <c r="A60" s="137">
        <v>20603</v>
      </c>
      <c r="B60" s="138" t="s">
        <v>100</v>
      </c>
      <c r="C60" s="139">
        <v>0</v>
      </c>
      <c r="D60" s="139">
        <v>0</v>
      </c>
    </row>
    <row r="61" spans="1:4" ht="14.4" x14ac:dyDescent="0.3">
      <c r="A61" s="137">
        <v>20604</v>
      </c>
      <c r="B61" s="138" t="s">
        <v>765</v>
      </c>
      <c r="C61" s="139">
        <v>0</v>
      </c>
      <c r="D61" s="139">
        <v>0</v>
      </c>
    </row>
    <row r="62" spans="1:4" ht="14.4" x14ac:dyDescent="0.3">
      <c r="A62" s="137">
        <v>20605</v>
      </c>
      <c r="B62" s="138" t="s">
        <v>328</v>
      </c>
      <c r="C62" s="139">
        <v>0</v>
      </c>
      <c r="D62" s="139">
        <v>0.29910855744829457</v>
      </c>
    </row>
    <row r="63" spans="1:4" ht="14.4" x14ac:dyDescent="0.3">
      <c r="A63" s="137">
        <v>20606</v>
      </c>
      <c r="B63" s="138" t="s">
        <v>766</v>
      </c>
      <c r="C63" s="139">
        <v>0</v>
      </c>
      <c r="D63" s="139">
        <v>0</v>
      </c>
    </row>
    <row r="64" spans="1:4" ht="14.4" x14ac:dyDescent="0.3">
      <c r="A64" s="137">
        <v>20607</v>
      </c>
      <c r="B64" s="138" t="s">
        <v>767</v>
      </c>
      <c r="C64" s="139">
        <v>0</v>
      </c>
      <c r="D64" s="139">
        <v>0</v>
      </c>
    </row>
    <row r="65" spans="1:4" ht="14.4" x14ac:dyDescent="0.3">
      <c r="A65" s="137">
        <v>20608</v>
      </c>
      <c r="B65" s="138" t="s">
        <v>768</v>
      </c>
      <c r="C65" s="139">
        <v>0</v>
      </c>
      <c r="D65" s="139">
        <v>0</v>
      </c>
    </row>
    <row r="66" spans="1:4" ht="14.4" x14ac:dyDescent="0.3">
      <c r="A66" s="137">
        <v>20701</v>
      </c>
      <c r="B66" s="138" t="s">
        <v>299</v>
      </c>
      <c r="C66" s="139">
        <v>0</v>
      </c>
      <c r="D66" s="139">
        <v>7.5753281069066833E-3</v>
      </c>
    </row>
    <row r="67" spans="1:4" ht="14.4" x14ac:dyDescent="0.3">
      <c r="A67" s="137">
        <v>20702</v>
      </c>
      <c r="B67" s="138" t="s">
        <v>373</v>
      </c>
      <c r="C67" s="139">
        <v>0</v>
      </c>
      <c r="D67" s="139">
        <v>0.12150504788742671</v>
      </c>
    </row>
    <row r="68" spans="1:4" ht="14.4" x14ac:dyDescent="0.3">
      <c r="A68" s="137">
        <v>20801</v>
      </c>
      <c r="B68" s="138" t="s">
        <v>104</v>
      </c>
      <c r="C68" s="139">
        <v>0.5624315207969991</v>
      </c>
      <c r="D68" s="139">
        <v>0.81527544123112872</v>
      </c>
    </row>
    <row r="69" spans="1:4" ht="14.4" x14ac:dyDescent="0.3">
      <c r="A69" s="137">
        <v>20802</v>
      </c>
      <c r="B69" s="138" t="s">
        <v>769</v>
      </c>
      <c r="C69" s="139">
        <v>5.8197551070275017E-3</v>
      </c>
      <c r="D69" s="139">
        <v>0.87277840520650374</v>
      </c>
    </row>
    <row r="70" spans="1:4" ht="14.4" x14ac:dyDescent="0.3">
      <c r="A70" s="137">
        <v>20803</v>
      </c>
      <c r="B70" s="138" t="s">
        <v>770</v>
      </c>
      <c r="C70" s="139">
        <v>2.3441550824376535E-4</v>
      </c>
      <c r="D70" s="139">
        <v>0.16994505077808955</v>
      </c>
    </row>
    <row r="71" spans="1:4" ht="14.4" x14ac:dyDescent="0.3">
      <c r="A71" s="137">
        <v>20804</v>
      </c>
      <c r="B71" s="138" t="s">
        <v>73</v>
      </c>
      <c r="C71" s="139">
        <v>6.44586173231504E-3</v>
      </c>
      <c r="D71" s="139">
        <v>3.6338002557011095</v>
      </c>
    </row>
    <row r="72" spans="1:4" ht="14.4" x14ac:dyDescent="0.3">
      <c r="A72" s="137">
        <v>20805</v>
      </c>
      <c r="B72" s="138" t="s">
        <v>771</v>
      </c>
      <c r="C72" s="139">
        <v>0</v>
      </c>
      <c r="D72" s="139">
        <v>8.7223781959989116E-2</v>
      </c>
    </row>
    <row r="73" spans="1:4" ht="14.4" x14ac:dyDescent="0.3">
      <c r="A73" s="137">
        <v>20806</v>
      </c>
      <c r="B73" s="138" t="s">
        <v>772</v>
      </c>
      <c r="C73" s="139">
        <v>1.7351654883794997E-2</v>
      </c>
      <c r="D73" s="139">
        <v>1.7660800930324728E-2</v>
      </c>
    </row>
    <row r="74" spans="1:4" ht="14.4" x14ac:dyDescent="0.3">
      <c r="A74" s="137">
        <v>20807</v>
      </c>
      <c r="B74" s="138" t="s">
        <v>101</v>
      </c>
      <c r="C74" s="139">
        <v>0</v>
      </c>
      <c r="D74" s="139">
        <v>1.9082907564183604</v>
      </c>
    </row>
    <row r="75" spans="1:4" ht="14.4" x14ac:dyDescent="0.3">
      <c r="A75" s="137">
        <v>20901</v>
      </c>
      <c r="B75" s="138" t="s">
        <v>86</v>
      </c>
      <c r="C75" s="139">
        <v>3.1847841290122442E-2</v>
      </c>
      <c r="D75" s="139">
        <v>2.4425081439695597E-2</v>
      </c>
    </row>
    <row r="76" spans="1:4" ht="14.4" x14ac:dyDescent="0.3">
      <c r="A76" s="137">
        <v>20902</v>
      </c>
      <c r="B76" s="138" t="s">
        <v>97</v>
      </c>
      <c r="C76" s="139">
        <v>1.5796023461429243E-3</v>
      </c>
      <c r="D76" s="139">
        <v>0.47056952498487048</v>
      </c>
    </row>
    <row r="77" spans="1:4" ht="14.4" x14ac:dyDescent="0.3">
      <c r="A77" s="137">
        <v>20903</v>
      </c>
      <c r="B77" s="138" t="s">
        <v>407</v>
      </c>
      <c r="C77" s="139">
        <v>0</v>
      </c>
      <c r="D77" s="139">
        <v>9.9896774734018791E-3</v>
      </c>
    </row>
    <row r="78" spans="1:4" ht="14.4" x14ac:dyDescent="0.3">
      <c r="A78" s="137">
        <v>20904</v>
      </c>
      <c r="B78" s="138" t="s">
        <v>773</v>
      </c>
      <c r="C78" s="139">
        <v>0</v>
      </c>
      <c r="D78" s="139">
        <v>0</v>
      </c>
    </row>
    <row r="79" spans="1:4" ht="14.4" x14ac:dyDescent="0.3">
      <c r="A79" s="137">
        <v>20905</v>
      </c>
      <c r="B79" s="138" t="s">
        <v>304</v>
      </c>
      <c r="C79" s="139">
        <v>0</v>
      </c>
      <c r="D79" s="139">
        <v>1.3165572622272515E-2</v>
      </c>
    </row>
    <row r="80" spans="1:4" ht="14.4" x14ac:dyDescent="0.3">
      <c r="A80" s="137">
        <v>21001</v>
      </c>
      <c r="B80" s="138" t="s">
        <v>81</v>
      </c>
      <c r="C80" s="139">
        <v>0</v>
      </c>
      <c r="D80" s="139">
        <v>1.1916377206626985</v>
      </c>
    </row>
    <row r="81" spans="1:4" ht="14.4" x14ac:dyDescent="0.3">
      <c r="A81" s="137">
        <v>21002</v>
      </c>
      <c r="B81" s="138" t="s">
        <v>95</v>
      </c>
      <c r="C81" s="139">
        <v>2.847751419892906E-3</v>
      </c>
      <c r="D81" s="139">
        <v>0.54983699104343375</v>
      </c>
    </row>
    <row r="82" spans="1:4" ht="14.4" x14ac:dyDescent="0.3">
      <c r="A82" s="137">
        <v>21003</v>
      </c>
      <c r="B82" s="138" t="s">
        <v>307</v>
      </c>
      <c r="C82" s="139">
        <v>0</v>
      </c>
      <c r="D82" s="139">
        <v>9.9803579415942197E-3</v>
      </c>
    </row>
    <row r="83" spans="1:4" ht="14.4" x14ac:dyDescent="0.3">
      <c r="A83" s="137">
        <v>21004</v>
      </c>
      <c r="B83" s="138" t="s">
        <v>69</v>
      </c>
      <c r="C83" s="139">
        <v>1.8552965094324496E-3</v>
      </c>
      <c r="D83" s="139">
        <v>6.7901741919179984E-2</v>
      </c>
    </row>
    <row r="84" spans="1:4" ht="14.4" x14ac:dyDescent="0.3">
      <c r="A84" s="137">
        <v>21005</v>
      </c>
      <c r="B84" s="138" t="s">
        <v>774</v>
      </c>
      <c r="C84" s="139">
        <v>0</v>
      </c>
      <c r="D84" s="139">
        <v>0</v>
      </c>
    </row>
    <row r="85" spans="1:4" ht="14.4" x14ac:dyDescent="0.3">
      <c r="A85" s="137">
        <v>21006</v>
      </c>
      <c r="B85" s="138" t="s">
        <v>775</v>
      </c>
      <c r="C85" s="139">
        <v>0</v>
      </c>
      <c r="D85" s="139">
        <v>0</v>
      </c>
    </row>
    <row r="86" spans="1:4" ht="14.4" x14ac:dyDescent="0.3">
      <c r="A86" s="137">
        <v>21101</v>
      </c>
      <c r="B86" s="138" t="s">
        <v>65</v>
      </c>
      <c r="C86" s="139">
        <v>9.9536681067249385E-3</v>
      </c>
      <c r="D86" s="139">
        <v>0.13628794094205457</v>
      </c>
    </row>
    <row r="87" spans="1:4" ht="14.4" x14ac:dyDescent="0.3">
      <c r="A87" s="137">
        <v>21102</v>
      </c>
      <c r="B87" s="138" t="s">
        <v>82</v>
      </c>
      <c r="C87" s="139">
        <v>0.10486288439542681</v>
      </c>
      <c r="D87" s="139">
        <v>7.161954414092303E-2</v>
      </c>
    </row>
    <row r="88" spans="1:4" ht="14.4" x14ac:dyDescent="0.3">
      <c r="A88" s="137">
        <v>21103</v>
      </c>
      <c r="B88" s="138" t="s">
        <v>776</v>
      </c>
      <c r="C88" s="139">
        <v>0</v>
      </c>
      <c r="D88" s="139">
        <v>0</v>
      </c>
    </row>
    <row r="89" spans="1:4" ht="14.4" x14ac:dyDescent="0.3">
      <c r="A89" s="137">
        <v>21104</v>
      </c>
      <c r="B89" s="138" t="s">
        <v>90</v>
      </c>
      <c r="C89" s="139">
        <v>5.2765604930266566E-2</v>
      </c>
      <c r="D89" s="139">
        <v>3.9200802659188634E-2</v>
      </c>
    </row>
    <row r="90" spans="1:4" ht="14.4" x14ac:dyDescent="0.3">
      <c r="A90" s="137">
        <v>21105</v>
      </c>
      <c r="B90" s="138" t="s">
        <v>354</v>
      </c>
      <c r="C90" s="139">
        <v>0</v>
      </c>
      <c r="D90" s="139">
        <v>6.782292397534897E-3</v>
      </c>
    </row>
    <row r="91" spans="1:4" ht="14.4" x14ac:dyDescent="0.3">
      <c r="A91" s="137">
        <v>21201</v>
      </c>
      <c r="B91" s="138" t="s">
        <v>92</v>
      </c>
      <c r="C91" s="139">
        <v>1.1677974936057697E-2</v>
      </c>
      <c r="D91" s="139">
        <v>0.25362498031818742</v>
      </c>
    </row>
    <row r="92" spans="1:4" ht="14.4" x14ac:dyDescent="0.3">
      <c r="A92" s="137">
        <v>21202</v>
      </c>
      <c r="B92" s="138" t="s">
        <v>85</v>
      </c>
      <c r="C92" s="139">
        <v>4.1963744080856591E-3</v>
      </c>
      <c r="D92" s="139">
        <v>1.1363426864307664</v>
      </c>
    </row>
    <row r="93" spans="1:4" ht="14.4" x14ac:dyDescent="0.3">
      <c r="A93" s="137">
        <v>21203</v>
      </c>
      <c r="B93" s="138" t="s">
        <v>59</v>
      </c>
      <c r="C93" s="139">
        <v>2.4897864846294302E-3</v>
      </c>
      <c r="D93" s="139">
        <v>0.23886049110199772</v>
      </c>
    </row>
    <row r="94" spans="1:4" ht="14.4" x14ac:dyDescent="0.3">
      <c r="A94" s="137">
        <v>21204</v>
      </c>
      <c r="B94" s="138" t="s">
        <v>777</v>
      </c>
      <c r="C94" s="139">
        <v>0</v>
      </c>
      <c r="D94" s="139">
        <v>0.28355723601027422</v>
      </c>
    </row>
    <row r="95" spans="1:4" ht="14.4" x14ac:dyDescent="0.3">
      <c r="A95" s="137">
        <v>21301</v>
      </c>
      <c r="B95" s="138" t="s">
        <v>778</v>
      </c>
      <c r="C95" s="139">
        <v>6.370064764505216E-3</v>
      </c>
      <c r="D95" s="139">
        <v>0.82711423241677218</v>
      </c>
    </row>
    <row r="96" spans="1:4" ht="14.4" x14ac:dyDescent="0.3">
      <c r="A96" s="137">
        <v>21302</v>
      </c>
      <c r="B96" s="138" t="s">
        <v>103</v>
      </c>
      <c r="C96" s="139">
        <v>4.8955664602794123E-3</v>
      </c>
      <c r="D96" s="139">
        <v>0.14849333831218664</v>
      </c>
    </row>
    <row r="97" spans="1:4" ht="14.4" x14ac:dyDescent="0.3">
      <c r="A97" s="137">
        <v>21303</v>
      </c>
      <c r="B97" s="138" t="s">
        <v>58</v>
      </c>
      <c r="C97" s="139">
        <v>2.0181524048948863E-3</v>
      </c>
      <c r="D97" s="139">
        <v>1.6345706233241435</v>
      </c>
    </row>
    <row r="98" spans="1:4" ht="14.4" x14ac:dyDescent="0.3">
      <c r="A98" s="137">
        <v>21304</v>
      </c>
      <c r="B98" s="138" t="s">
        <v>61</v>
      </c>
      <c r="C98" s="139">
        <v>0.95797441138069339</v>
      </c>
      <c r="D98" s="139">
        <v>5.9190699300020988</v>
      </c>
    </row>
    <row r="99" spans="1:4" ht="14.4" x14ac:dyDescent="0.3">
      <c r="A99" s="137">
        <v>21305</v>
      </c>
      <c r="B99" s="138" t="s">
        <v>91</v>
      </c>
      <c r="C99" s="139">
        <v>0.12760305399004807</v>
      </c>
      <c r="D99" s="139">
        <v>1.2337905906643922</v>
      </c>
    </row>
    <row r="100" spans="1:4" ht="14.4" x14ac:dyDescent="0.3">
      <c r="A100" s="137">
        <v>21306</v>
      </c>
      <c r="B100" s="138" t="s">
        <v>68</v>
      </c>
      <c r="C100" s="139">
        <v>5.0393295752363589E-3</v>
      </c>
      <c r="D100" s="139">
        <v>0.29856650953194991</v>
      </c>
    </row>
    <row r="101" spans="1:4" ht="14.4" x14ac:dyDescent="0.3">
      <c r="A101" s="137">
        <v>21307</v>
      </c>
      <c r="B101" s="138" t="s">
        <v>67</v>
      </c>
      <c r="C101" s="139">
        <v>0.28318645176524404</v>
      </c>
      <c r="D101" s="139">
        <v>0.86735359100794418</v>
      </c>
    </row>
    <row r="102" spans="1:4" ht="14.4" x14ac:dyDescent="0.3">
      <c r="A102" s="137">
        <v>21401</v>
      </c>
      <c r="B102" s="138" t="s">
        <v>72</v>
      </c>
      <c r="C102" s="139">
        <v>1.4600308513347917E-2</v>
      </c>
      <c r="D102" s="139">
        <v>8.7869267514590448E-3</v>
      </c>
    </row>
    <row r="103" spans="1:4" ht="14.4" x14ac:dyDescent="0.3">
      <c r="A103" s="137">
        <v>21402</v>
      </c>
      <c r="B103" s="138" t="s">
        <v>334</v>
      </c>
      <c r="C103" s="139">
        <v>0</v>
      </c>
      <c r="D103" s="139">
        <v>8.6035940917712633E-3</v>
      </c>
    </row>
    <row r="104" spans="1:4" ht="14.4" x14ac:dyDescent="0.3">
      <c r="A104" s="137">
        <v>21501</v>
      </c>
      <c r="B104" s="138" t="s">
        <v>353</v>
      </c>
      <c r="C104" s="139">
        <v>0</v>
      </c>
      <c r="D104" s="139">
        <v>2.7021608598761352E-2</v>
      </c>
    </row>
    <row r="105" spans="1:4" ht="14.4" x14ac:dyDescent="0.3">
      <c r="A105" s="137">
        <v>21502</v>
      </c>
      <c r="B105" s="138" t="s">
        <v>384</v>
      </c>
      <c r="C105" s="139">
        <v>0</v>
      </c>
      <c r="D105" s="139">
        <v>9.4377765568285213E-2</v>
      </c>
    </row>
    <row r="106" spans="1:4" ht="14.4" x14ac:dyDescent="0.3">
      <c r="A106" s="137">
        <v>21601</v>
      </c>
      <c r="B106" s="138" t="s">
        <v>779</v>
      </c>
      <c r="C106" s="139">
        <v>0</v>
      </c>
      <c r="D106" s="139">
        <v>1.9921271731825757E-2</v>
      </c>
    </row>
    <row r="107" spans="1:4" ht="14.4" x14ac:dyDescent="0.3">
      <c r="A107" s="137">
        <v>21602</v>
      </c>
      <c r="B107" s="138" t="s">
        <v>780</v>
      </c>
      <c r="C107" s="139">
        <v>0</v>
      </c>
      <c r="D107" s="139">
        <v>0</v>
      </c>
    </row>
    <row r="108" spans="1:4" ht="14.4" x14ac:dyDescent="0.3">
      <c r="A108" s="137">
        <v>21701</v>
      </c>
      <c r="B108" s="138" t="s">
        <v>70</v>
      </c>
      <c r="C108" s="139">
        <v>5.2414506387625721E-4</v>
      </c>
      <c r="D108" s="139">
        <v>8.1562617789009528E-2</v>
      </c>
    </row>
    <row r="109" spans="1:4" ht="14.4" x14ac:dyDescent="0.3">
      <c r="A109" s="137">
        <v>21702</v>
      </c>
      <c r="B109" s="138" t="s">
        <v>386</v>
      </c>
      <c r="C109" s="139">
        <v>0</v>
      </c>
      <c r="D109" s="139">
        <v>0.44548535439868114</v>
      </c>
    </row>
    <row r="110" spans="1:4" ht="14.4" x14ac:dyDescent="0.3">
      <c r="A110" s="137">
        <v>21703</v>
      </c>
      <c r="B110" s="138" t="s">
        <v>400</v>
      </c>
      <c r="C110" s="139">
        <v>0</v>
      </c>
      <c r="D110" s="139">
        <v>5.1689812672685381E-2</v>
      </c>
    </row>
    <row r="111" spans="1:4" ht="14.4" x14ac:dyDescent="0.3">
      <c r="A111" s="137">
        <v>21801</v>
      </c>
      <c r="B111" s="138" t="s">
        <v>781</v>
      </c>
      <c r="C111" s="139">
        <v>0</v>
      </c>
      <c r="D111" s="139">
        <v>0</v>
      </c>
    </row>
    <row r="112" spans="1:4" ht="14.4" x14ac:dyDescent="0.3">
      <c r="A112" s="137">
        <v>21802</v>
      </c>
      <c r="B112" s="138" t="s">
        <v>369</v>
      </c>
      <c r="C112" s="139">
        <v>0</v>
      </c>
      <c r="D112" s="139">
        <v>5.4685199339708515</v>
      </c>
    </row>
    <row r="113" spans="1:4" ht="14.4" x14ac:dyDescent="0.3">
      <c r="A113" s="137">
        <v>21803</v>
      </c>
      <c r="B113" s="138" t="s">
        <v>782</v>
      </c>
      <c r="C113" s="139">
        <v>0</v>
      </c>
      <c r="D113" s="139">
        <v>0</v>
      </c>
    </row>
    <row r="114" spans="1:4" ht="14.4" x14ac:dyDescent="0.3">
      <c r="A114" s="137">
        <v>21901</v>
      </c>
      <c r="B114" s="138" t="s">
        <v>783</v>
      </c>
      <c r="C114" s="139">
        <v>0</v>
      </c>
      <c r="D114" s="139">
        <v>0</v>
      </c>
    </row>
    <row r="115" spans="1:4" ht="14.4" x14ac:dyDescent="0.3">
      <c r="A115" s="137">
        <v>21902</v>
      </c>
      <c r="B115" s="138" t="s">
        <v>784</v>
      </c>
      <c r="C115" s="139">
        <v>0</v>
      </c>
      <c r="D115" s="139">
        <v>0</v>
      </c>
    </row>
    <row r="116" spans="1:4" ht="14.4" x14ac:dyDescent="0.3">
      <c r="A116" s="137">
        <v>22001</v>
      </c>
      <c r="B116" s="138" t="s">
        <v>63</v>
      </c>
      <c r="C116" s="139">
        <v>0.22481024469884886</v>
      </c>
      <c r="D116" s="139">
        <v>0.26265212113068981</v>
      </c>
    </row>
    <row r="117" spans="1:4" ht="14.4" x14ac:dyDescent="0.3">
      <c r="A117" s="137">
        <v>22002</v>
      </c>
      <c r="B117" s="138" t="s">
        <v>56</v>
      </c>
      <c r="C117" s="139">
        <v>0.11635715505005237</v>
      </c>
      <c r="D117" s="139">
        <v>0.18393739255394895</v>
      </c>
    </row>
    <row r="118" spans="1:4" ht="14.4" x14ac:dyDescent="0.3">
      <c r="A118" s="137">
        <v>30101</v>
      </c>
      <c r="B118" s="138" t="s">
        <v>105</v>
      </c>
      <c r="C118" s="139">
        <v>1.3758250399595362</v>
      </c>
      <c r="D118" s="139">
        <v>1.5808076459101135</v>
      </c>
    </row>
    <row r="119" spans="1:4" ht="14.4" x14ac:dyDescent="0.3">
      <c r="A119" s="137">
        <v>30201</v>
      </c>
      <c r="B119" s="138" t="s">
        <v>106</v>
      </c>
      <c r="C119" s="139">
        <v>1.2156947612286927E-2</v>
      </c>
      <c r="D119" s="139">
        <v>1.2712595195544556E-2</v>
      </c>
    </row>
    <row r="120" spans="1:4" ht="14.4" x14ac:dyDescent="0.3">
      <c r="A120" s="137">
        <v>30202</v>
      </c>
      <c r="B120" s="138" t="s">
        <v>125</v>
      </c>
      <c r="C120" s="139">
        <v>7.3563895983490128E-4</v>
      </c>
      <c r="D120" s="139">
        <v>7.1403734035279678E-4</v>
      </c>
    </row>
    <row r="121" spans="1:4" ht="14.4" x14ac:dyDescent="0.3">
      <c r="A121" s="137">
        <v>30203</v>
      </c>
      <c r="B121" s="138" t="s">
        <v>124</v>
      </c>
      <c r="C121" s="139">
        <v>8.9539036385269249E-3</v>
      </c>
      <c r="D121" s="139">
        <v>8.4236513209334701E-2</v>
      </c>
    </row>
    <row r="122" spans="1:4" ht="14.4" x14ac:dyDescent="0.3">
      <c r="A122" s="137">
        <v>30301</v>
      </c>
      <c r="B122" s="138" t="s">
        <v>785</v>
      </c>
      <c r="C122" s="139">
        <v>0</v>
      </c>
      <c r="D122" s="139">
        <v>0</v>
      </c>
    </row>
    <row r="123" spans="1:4" ht="14.4" x14ac:dyDescent="0.3">
      <c r="A123" s="137">
        <v>30302</v>
      </c>
      <c r="B123" s="138" t="s">
        <v>123</v>
      </c>
      <c r="C123" s="139">
        <v>8.2276007912337138E-3</v>
      </c>
      <c r="D123" s="139">
        <v>3.1263622936904656E-2</v>
      </c>
    </row>
    <row r="124" spans="1:4" ht="14.4" x14ac:dyDescent="0.3">
      <c r="A124" s="137">
        <v>30303</v>
      </c>
      <c r="B124" s="138" t="s">
        <v>117</v>
      </c>
      <c r="C124" s="139">
        <v>8.3030767596082286E-2</v>
      </c>
      <c r="D124" s="139">
        <v>0.18424558924916518</v>
      </c>
    </row>
    <row r="125" spans="1:4" ht="14.4" x14ac:dyDescent="0.3">
      <c r="A125" s="137">
        <v>30401</v>
      </c>
      <c r="B125" s="138" t="s">
        <v>139</v>
      </c>
      <c r="C125" s="139">
        <v>0.24571810016242157</v>
      </c>
      <c r="D125" s="139">
        <v>0.27999155679247989</v>
      </c>
    </row>
    <row r="126" spans="1:4" ht="14.4" x14ac:dyDescent="0.3">
      <c r="A126" s="137">
        <v>30402</v>
      </c>
      <c r="B126" s="138" t="s">
        <v>108</v>
      </c>
      <c r="C126" s="139">
        <v>2.495913508652924E-4</v>
      </c>
      <c r="D126" s="139">
        <v>0.10590457930226413</v>
      </c>
    </row>
    <row r="127" spans="1:4" ht="14.4" x14ac:dyDescent="0.3">
      <c r="A127" s="137">
        <v>30403</v>
      </c>
      <c r="B127" s="138" t="s">
        <v>110</v>
      </c>
      <c r="C127" s="139">
        <v>5.275406712406832E-2</v>
      </c>
      <c r="D127" s="139">
        <v>0.43683676972591579</v>
      </c>
    </row>
    <row r="128" spans="1:4" ht="14.4" x14ac:dyDescent="0.3">
      <c r="A128" s="137">
        <v>30404</v>
      </c>
      <c r="B128" s="138" t="s">
        <v>132</v>
      </c>
      <c r="C128" s="139">
        <v>8.1131572590663094E-3</v>
      </c>
      <c r="D128" s="139">
        <v>6.865028411753662E-3</v>
      </c>
    </row>
    <row r="129" spans="1:4" ht="14.4" x14ac:dyDescent="0.3">
      <c r="A129" s="137">
        <v>30501</v>
      </c>
      <c r="B129" s="138" t="s">
        <v>109</v>
      </c>
      <c r="C129" s="139">
        <v>3.9572653653487347E-2</v>
      </c>
      <c r="D129" s="139">
        <v>0.19400824415902035</v>
      </c>
    </row>
    <row r="130" spans="1:4" ht="14.4" x14ac:dyDescent="0.3">
      <c r="A130" s="137">
        <v>30502</v>
      </c>
      <c r="B130" s="138" t="s">
        <v>145</v>
      </c>
      <c r="C130" s="139">
        <v>2.4193350096973466E-2</v>
      </c>
      <c r="D130" s="139">
        <v>9.4796706906452616E-2</v>
      </c>
    </row>
    <row r="131" spans="1:4" ht="14.4" x14ac:dyDescent="0.3">
      <c r="A131" s="137">
        <v>30601</v>
      </c>
      <c r="B131" s="138" t="s">
        <v>111</v>
      </c>
      <c r="C131" s="139">
        <v>2.2314000899147498E-3</v>
      </c>
      <c r="D131" s="139">
        <v>7.9818184318640961E-2</v>
      </c>
    </row>
    <row r="132" spans="1:4" ht="14.4" x14ac:dyDescent="0.3">
      <c r="A132" s="137">
        <v>30602</v>
      </c>
      <c r="B132" s="138" t="s">
        <v>137</v>
      </c>
      <c r="C132" s="139">
        <v>3.1448947816588618E-3</v>
      </c>
      <c r="D132" s="139">
        <v>0.12649798304542267</v>
      </c>
    </row>
    <row r="133" spans="1:4" ht="14.4" x14ac:dyDescent="0.3">
      <c r="A133" s="137">
        <v>30701</v>
      </c>
      <c r="B133" s="138" t="s">
        <v>113</v>
      </c>
      <c r="C133" s="139">
        <v>0.33348290549637349</v>
      </c>
      <c r="D133" s="139">
        <v>0.73139891732589046</v>
      </c>
    </row>
    <row r="134" spans="1:4" ht="14.4" x14ac:dyDescent="0.3">
      <c r="A134" s="137">
        <v>30702</v>
      </c>
      <c r="B134" s="138" t="s">
        <v>134</v>
      </c>
      <c r="C134" s="139">
        <v>4.5551558850649085E-2</v>
      </c>
      <c r="D134" s="139">
        <v>0.22302435731589712</v>
      </c>
    </row>
    <row r="135" spans="1:4" ht="14.4" x14ac:dyDescent="0.3">
      <c r="A135" s="137">
        <v>30703</v>
      </c>
      <c r="B135" s="138" t="s">
        <v>786</v>
      </c>
      <c r="C135" s="139">
        <v>0</v>
      </c>
      <c r="D135" s="139">
        <v>0</v>
      </c>
    </row>
    <row r="136" spans="1:4" ht="14.4" x14ac:dyDescent="0.3">
      <c r="A136" s="137">
        <v>30801</v>
      </c>
      <c r="B136" s="138" t="s">
        <v>116</v>
      </c>
      <c r="C136" s="139">
        <v>0.55451067351845973</v>
      </c>
      <c r="D136" s="139">
        <v>1.0271983600001531</v>
      </c>
    </row>
    <row r="137" spans="1:4" ht="14.4" x14ac:dyDescent="0.3">
      <c r="A137" s="137">
        <v>30802</v>
      </c>
      <c r="B137" s="138" t="s">
        <v>142</v>
      </c>
      <c r="C137" s="139">
        <v>1.471320969518247E-2</v>
      </c>
      <c r="D137" s="139">
        <v>6.9014317553856036E-2</v>
      </c>
    </row>
    <row r="138" spans="1:4" ht="14.4" x14ac:dyDescent="0.3">
      <c r="A138" s="137">
        <v>30803</v>
      </c>
      <c r="B138" s="138" t="s">
        <v>143</v>
      </c>
      <c r="C138" s="139">
        <v>3.3230234728299203E-2</v>
      </c>
      <c r="D138" s="139">
        <v>0.17336246881801959</v>
      </c>
    </row>
    <row r="139" spans="1:4" ht="14.4" x14ac:dyDescent="0.3">
      <c r="A139" s="137">
        <v>30901</v>
      </c>
      <c r="B139" s="138" t="s">
        <v>130</v>
      </c>
      <c r="C139" s="139">
        <v>2.8868875620637393</v>
      </c>
      <c r="D139" s="139">
        <v>2.2297763498659311</v>
      </c>
    </row>
    <row r="140" spans="1:4" ht="14.4" x14ac:dyDescent="0.3">
      <c r="A140" s="137">
        <v>30902</v>
      </c>
      <c r="B140" s="138" t="s">
        <v>787</v>
      </c>
      <c r="C140" s="139">
        <v>0</v>
      </c>
      <c r="D140" s="139">
        <v>0</v>
      </c>
    </row>
    <row r="141" spans="1:4" ht="14.4" x14ac:dyDescent="0.3">
      <c r="A141" s="137">
        <v>30903</v>
      </c>
      <c r="B141" s="138" t="s">
        <v>140</v>
      </c>
      <c r="C141" s="139">
        <v>0.34169506498243496</v>
      </c>
      <c r="D141" s="139">
        <v>1.1949667718389727</v>
      </c>
    </row>
    <row r="142" spans="1:4" ht="14.4" x14ac:dyDescent="0.3">
      <c r="A142" s="137">
        <v>30904</v>
      </c>
      <c r="B142" s="138" t="s">
        <v>150</v>
      </c>
      <c r="C142" s="139">
        <v>0.49253973451133426</v>
      </c>
      <c r="D142" s="139">
        <v>1.8505914519139237</v>
      </c>
    </row>
    <row r="143" spans="1:4" ht="14.4" x14ac:dyDescent="0.3">
      <c r="A143" s="137">
        <v>30905</v>
      </c>
      <c r="B143" s="138" t="s">
        <v>118</v>
      </c>
      <c r="C143" s="139">
        <v>0.88320353054290246</v>
      </c>
      <c r="D143" s="139">
        <v>1.0387890059479714</v>
      </c>
    </row>
    <row r="144" spans="1:4" ht="14.4" x14ac:dyDescent="0.3">
      <c r="A144" s="137">
        <v>31001</v>
      </c>
      <c r="B144" s="138" t="s">
        <v>131</v>
      </c>
      <c r="C144" s="139">
        <v>1.2202263805477584</v>
      </c>
      <c r="D144" s="139">
        <v>1.2313019360313846</v>
      </c>
    </row>
    <row r="145" spans="1:4" ht="14.4" x14ac:dyDescent="0.3">
      <c r="A145" s="137">
        <v>31002</v>
      </c>
      <c r="B145" s="138" t="s">
        <v>119</v>
      </c>
      <c r="C145" s="139">
        <v>0.22188727021064014</v>
      </c>
      <c r="D145" s="139">
        <v>0.27877294152097976</v>
      </c>
    </row>
    <row r="146" spans="1:4" ht="14.4" x14ac:dyDescent="0.3">
      <c r="A146" s="137">
        <v>31003</v>
      </c>
      <c r="B146" s="138" t="s">
        <v>149</v>
      </c>
      <c r="C146" s="139">
        <v>0.26767542727644</v>
      </c>
      <c r="D146" s="139">
        <v>0.23297961005087692</v>
      </c>
    </row>
    <row r="147" spans="1:4" ht="14.4" x14ac:dyDescent="0.3">
      <c r="A147" s="137">
        <v>31101</v>
      </c>
      <c r="B147" s="138" t="s">
        <v>138</v>
      </c>
      <c r="C147" s="139">
        <v>2.4119353909005732E-3</v>
      </c>
      <c r="D147" s="139">
        <v>5.8152979655087554E-2</v>
      </c>
    </row>
    <row r="148" spans="1:4" ht="14.4" x14ac:dyDescent="0.3">
      <c r="A148" s="137">
        <v>31201</v>
      </c>
      <c r="B148" s="138" t="s">
        <v>144</v>
      </c>
      <c r="C148" s="139">
        <v>4.1675244287453429E-2</v>
      </c>
      <c r="D148" s="139">
        <v>8.5655276469303335E-2</v>
      </c>
    </row>
    <row r="149" spans="1:4" ht="14.4" x14ac:dyDescent="0.3">
      <c r="A149" s="137">
        <v>31202</v>
      </c>
      <c r="B149" s="138" t="s">
        <v>127</v>
      </c>
      <c r="C149" s="139">
        <v>2.3171400332469637E-2</v>
      </c>
      <c r="D149" s="139">
        <v>2.9051740664561704E-2</v>
      </c>
    </row>
    <row r="150" spans="1:4" ht="14.4" x14ac:dyDescent="0.3">
      <c r="A150" s="137">
        <v>31203</v>
      </c>
      <c r="B150" s="138" t="s">
        <v>126</v>
      </c>
      <c r="C150" s="139">
        <v>8.0595836814968042E-2</v>
      </c>
      <c r="D150" s="139">
        <v>5.0616172533309876E-2</v>
      </c>
    </row>
    <row r="151" spans="1:4" ht="14.4" x14ac:dyDescent="0.3">
      <c r="A151" s="137">
        <v>31204</v>
      </c>
      <c r="B151" s="138" t="s">
        <v>114</v>
      </c>
      <c r="C151" s="139">
        <v>0.21193368720549829</v>
      </c>
      <c r="D151" s="139">
        <v>0.34173183843139826</v>
      </c>
    </row>
    <row r="152" spans="1:4" ht="14.4" x14ac:dyDescent="0.3">
      <c r="A152" s="137">
        <v>31205</v>
      </c>
      <c r="B152" s="138" t="s">
        <v>128</v>
      </c>
      <c r="C152" s="139">
        <v>0.25097695263999636</v>
      </c>
      <c r="D152" s="139">
        <v>0.62226659648540861</v>
      </c>
    </row>
    <row r="153" spans="1:4" ht="14.4" x14ac:dyDescent="0.3">
      <c r="A153" s="137">
        <v>31206</v>
      </c>
      <c r="B153" s="138" t="s">
        <v>120</v>
      </c>
      <c r="C153" s="139">
        <v>0.23311964556262549</v>
      </c>
      <c r="D153" s="139">
        <v>0.30289583221097571</v>
      </c>
    </row>
    <row r="154" spans="1:4" ht="14.4" x14ac:dyDescent="0.3">
      <c r="A154" s="137">
        <v>31301</v>
      </c>
      <c r="B154" s="138" t="s">
        <v>122</v>
      </c>
      <c r="C154" s="139">
        <v>4.3709830109138995E-2</v>
      </c>
      <c r="D154" s="139">
        <v>6.971811383213794E-2</v>
      </c>
    </row>
    <row r="155" spans="1:4" ht="14.4" x14ac:dyDescent="0.3">
      <c r="A155" s="137">
        <v>31302</v>
      </c>
      <c r="B155" s="138" t="s">
        <v>146</v>
      </c>
      <c r="C155" s="139">
        <v>3.3374661416523137E-4</v>
      </c>
      <c r="D155" s="139">
        <v>3.6340845232008326E-4</v>
      </c>
    </row>
    <row r="156" spans="1:4" ht="14.4" x14ac:dyDescent="0.3">
      <c r="A156" s="137">
        <v>31303</v>
      </c>
      <c r="B156" s="138" t="s">
        <v>107</v>
      </c>
      <c r="C156" s="139">
        <v>1.0417866952813785E-3</v>
      </c>
      <c r="D156" s="139">
        <v>1.0852584988419798E-3</v>
      </c>
    </row>
    <row r="157" spans="1:4" ht="14.4" x14ac:dyDescent="0.3">
      <c r="A157" s="137">
        <v>31304</v>
      </c>
      <c r="B157" s="138" t="s">
        <v>788</v>
      </c>
      <c r="C157" s="139">
        <v>0</v>
      </c>
      <c r="D157" s="139">
        <v>0</v>
      </c>
    </row>
    <row r="158" spans="1:4" ht="14.4" x14ac:dyDescent="0.3">
      <c r="A158" s="137">
        <v>31401</v>
      </c>
      <c r="B158" s="138" t="s">
        <v>129</v>
      </c>
      <c r="C158" s="139">
        <v>0.90470603320983767</v>
      </c>
      <c r="D158" s="139">
        <v>0.99780201238612021</v>
      </c>
    </row>
    <row r="159" spans="1:4" ht="14.4" x14ac:dyDescent="0.3">
      <c r="A159" s="137">
        <v>31402</v>
      </c>
      <c r="B159" s="138" t="s">
        <v>147</v>
      </c>
      <c r="C159" s="139">
        <v>0.11192407936898696</v>
      </c>
      <c r="D159" s="139">
        <v>0.20488033323149393</v>
      </c>
    </row>
    <row r="160" spans="1:4" ht="14.4" x14ac:dyDescent="0.3">
      <c r="A160" s="137">
        <v>31403</v>
      </c>
      <c r="B160" s="138" t="s">
        <v>133</v>
      </c>
      <c r="C160" s="139">
        <v>4.7100105845011869E-2</v>
      </c>
      <c r="D160" s="139">
        <v>0.58220259896670667</v>
      </c>
    </row>
    <row r="161" spans="1:4" ht="14.4" x14ac:dyDescent="0.3">
      <c r="A161" s="137">
        <v>31404</v>
      </c>
      <c r="B161" s="138" t="s">
        <v>789</v>
      </c>
      <c r="C161" s="139">
        <v>0</v>
      </c>
      <c r="D161" s="139">
        <v>0</v>
      </c>
    </row>
    <row r="162" spans="1:4" ht="14.4" x14ac:dyDescent="0.3">
      <c r="A162" s="137">
        <v>31405</v>
      </c>
      <c r="B162" s="138" t="s">
        <v>790</v>
      </c>
      <c r="C162" s="139">
        <v>0</v>
      </c>
      <c r="D162" s="139">
        <v>0</v>
      </c>
    </row>
    <row r="163" spans="1:4" ht="14.4" x14ac:dyDescent="0.3">
      <c r="A163" s="137">
        <v>31501</v>
      </c>
      <c r="B163" s="138" t="s">
        <v>112</v>
      </c>
      <c r="C163" s="139">
        <v>5.1105387715371384E-3</v>
      </c>
      <c r="D163" s="139">
        <v>2.3227223430558686E-3</v>
      </c>
    </row>
    <row r="164" spans="1:4" ht="14.4" x14ac:dyDescent="0.3">
      <c r="A164" s="137">
        <v>31601</v>
      </c>
      <c r="B164" s="138" t="s">
        <v>141</v>
      </c>
      <c r="C164" s="139">
        <v>0.14321234703906771</v>
      </c>
      <c r="D164" s="139">
        <v>0.94888762297014373</v>
      </c>
    </row>
    <row r="165" spans="1:4" ht="14.4" x14ac:dyDescent="0.3">
      <c r="A165" s="137">
        <v>31602</v>
      </c>
      <c r="B165" s="138" t="s">
        <v>135</v>
      </c>
      <c r="C165" s="139">
        <v>0.11414349073067978</v>
      </c>
      <c r="D165" s="139">
        <v>0.32967847801066469</v>
      </c>
    </row>
    <row r="166" spans="1:4" ht="14.4" x14ac:dyDescent="0.3">
      <c r="A166" s="137">
        <v>40101</v>
      </c>
      <c r="B166" s="138" t="s">
        <v>151</v>
      </c>
      <c r="C166" s="139">
        <v>1.9294159334675134</v>
      </c>
      <c r="D166" s="139">
        <v>1.9019405081228304</v>
      </c>
    </row>
    <row r="167" spans="1:4" ht="14.4" x14ac:dyDescent="0.3">
      <c r="A167" s="137">
        <v>40102</v>
      </c>
      <c r="B167" s="138" t="s">
        <v>154</v>
      </c>
      <c r="C167" s="139">
        <v>1.2214773877526794E-2</v>
      </c>
      <c r="D167" s="139">
        <v>0.30977370438976076</v>
      </c>
    </row>
    <row r="168" spans="1:4" ht="14.4" x14ac:dyDescent="0.3">
      <c r="A168" s="137">
        <v>40103</v>
      </c>
      <c r="B168" s="138" t="s">
        <v>499</v>
      </c>
      <c r="C168" s="139">
        <v>0</v>
      </c>
      <c r="D168" s="139">
        <v>0.75441809562252704</v>
      </c>
    </row>
    <row r="169" spans="1:4" ht="14.4" x14ac:dyDescent="0.3">
      <c r="A169" s="137">
        <v>40104</v>
      </c>
      <c r="B169" s="138" t="s">
        <v>791</v>
      </c>
      <c r="C169" s="139">
        <v>4.9097872004679787E-3</v>
      </c>
      <c r="D169" s="139">
        <v>0.92343539395284258</v>
      </c>
    </row>
    <row r="170" spans="1:4" ht="14.4" x14ac:dyDescent="0.3">
      <c r="A170" s="137">
        <v>40201</v>
      </c>
      <c r="B170" s="138" t="s">
        <v>156</v>
      </c>
      <c r="C170" s="139">
        <v>0.56477006935964091</v>
      </c>
      <c r="D170" s="139">
        <v>0.51493117906520069</v>
      </c>
    </row>
    <row r="171" spans="1:4" ht="14.4" x14ac:dyDescent="0.3">
      <c r="A171" s="137">
        <v>40202</v>
      </c>
      <c r="B171" s="138" t="s">
        <v>792</v>
      </c>
      <c r="C171" s="139">
        <v>0</v>
      </c>
      <c r="D171" s="139">
        <v>0.17722642266289657</v>
      </c>
    </row>
    <row r="172" spans="1:4" ht="14.4" x14ac:dyDescent="0.3">
      <c r="A172" s="137">
        <v>40301</v>
      </c>
      <c r="B172" s="138" t="s">
        <v>159</v>
      </c>
      <c r="C172" s="139">
        <v>4.0703765249017394E-4</v>
      </c>
      <c r="D172" s="139">
        <v>0.16120470865825531</v>
      </c>
    </row>
    <row r="173" spans="1:4" ht="14.4" x14ac:dyDescent="0.3">
      <c r="A173" s="137">
        <v>40302</v>
      </c>
      <c r="B173" s="138" t="s">
        <v>793</v>
      </c>
      <c r="C173" s="139">
        <v>0</v>
      </c>
      <c r="D173" s="139">
        <v>0.52711641648704655</v>
      </c>
    </row>
    <row r="174" spans="1:4" ht="14.4" x14ac:dyDescent="0.3">
      <c r="A174" s="137">
        <v>40401</v>
      </c>
      <c r="B174" s="138" t="s">
        <v>161</v>
      </c>
      <c r="C174" s="139">
        <v>4.0659984101516188E-3</v>
      </c>
      <c r="D174" s="139">
        <v>3.2842141336953429E-2</v>
      </c>
    </row>
    <row r="175" spans="1:4" ht="14.4" x14ac:dyDescent="0.3">
      <c r="A175" s="137">
        <v>40402</v>
      </c>
      <c r="B175" s="138" t="s">
        <v>181</v>
      </c>
      <c r="C175" s="139">
        <v>0</v>
      </c>
      <c r="D175" s="139">
        <v>0.50355501386523949</v>
      </c>
    </row>
    <row r="176" spans="1:4" ht="14.4" x14ac:dyDescent="0.3">
      <c r="A176" s="137">
        <v>40501</v>
      </c>
      <c r="B176" s="138" t="s">
        <v>166</v>
      </c>
      <c r="C176" s="139">
        <v>0.17076470943934777</v>
      </c>
      <c r="D176" s="139">
        <v>0.80291614204262596</v>
      </c>
    </row>
    <row r="177" spans="1:4" ht="14.4" x14ac:dyDescent="0.3">
      <c r="A177" s="137">
        <v>40502</v>
      </c>
      <c r="B177" s="138" t="s">
        <v>162</v>
      </c>
      <c r="C177" s="139">
        <v>2.8442014079315629E-3</v>
      </c>
      <c r="D177" s="139">
        <v>4.5665303121322447</v>
      </c>
    </row>
    <row r="178" spans="1:4" ht="14.4" x14ac:dyDescent="0.3">
      <c r="A178" s="137">
        <v>40503</v>
      </c>
      <c r="B178" s="138" t="s">
        <v>794</v>
      </c>
      <c r="C178" s="139">
        <v>0</v>
      </c>
      <c r="D178" s="139">
        <v>5.9017459660865921</v>
      </c>
    </row>
    <row r="179" spans="1:4" ht="14.4" x14ac:dyDescent="0.3">
      <c r="A179" s="137">
        <v>40504</v>
      </c>
      <c r="B179" s="138" t="s">
        <v>795</v>
      </c>
      <c r="C179" s="139">
        <v>0</v>
      </c>
      <c r="D179" s="139">
        <v>2.4352439310061724</v>
      </c>
    </row>
    <row r="180" spans="1:4" ht="14.4" x14ac:dyDescent="0.3">
      <c r="A180" s="137">
        <v>40505</v>
      </c>
      <c r="B180" s="138" t="s">
        <v>163</v>
      </c>
      <c r="C180" s="139">
        <v>1.9048088438218882</v>
      </c>
      <c r="D180" s="139">
        <v>2.6673758163562997</v>
      </c>
    </row>
    <row r="181" spans="1:4" ht="14.4" x14ac:dyDescent="0.3">
      <c r="A181" s="137">
        <v>40601</v>
      </c>
      <c r="B181" s="138" t="s">
        <v>796</v>
      </c>
      <c r="C181" s="139">
        <v>5.6551080406486874E-3</v>
      </c>
      <c r="D181" s="139">
        <v>0.52562161055981516</v>
      </c>
    </row>
    <row r="182" spans="1:4" ht="14.4" x14ac:dyDescent="0.3">
      <c r="A182" s="137">
        <v>40602</v>
      </c>
      <c r="B182" s="138" t="s">
        <v>170</v>
      </c>
      <c r="C182" s="139">
        <v>3.2469282374328564E-3</v>
      </c>
      <c r="D182" s="139">
        <v>9.9675405252442992E-2</v>
      </c>
    </row>
    <row r="183" spans="1:4" ht="14.4" x14ac:dyDescent="0.3">
      <c r="A183" s="137">
        <v>40603</v>
      </c>
      <c r="B183" s="138" t="s">
        <v>480</v>
      </c>
      <c r="C183" s="139">
        <v>0</v>
      </c>
      <c r="D183" s="139">
        <v>1.0467528648334365</v>
      </c>
    </row>
    <row r="184" spans="1:4" ht="14.4" x14ac:dyDescent="0.3">
      <c r="A184" s="137">
        <v>40701</v>
      </c>
      <c r="B184" s="138" t="s">
        <v>797</v>
      </c>
      <c r="C184" s="139">
        <v>2.1328991902676921E-2</v>
      </c>
      <c r="D184" s="139">
        <v>0.34857908224825596</v>
      </c>
    </row>
    <row r="185" spans="1:4" ht="14.4" x14ac:dyDescent="0.3">
      <c r="A185" s="137">
        <v>40702</v>
      </c>
      <c r="B185" s="138" t="s">
        <v>168</v>
      </c>
      <c r="C185" s="139">
        <v>2.0450088152638362E-2</v>
      </c>
      <c r="D185" s="139">
        <v>0.11664566913658242</v>
      </c>
    </row>
    <row r="186" spans="1:4" ht="14.4" x14ac:dyDescent="0.3">
      <c r="A186" s="137">
        <v>40801</v>
      </c>
      <c r="B186" s="138" t="s">
        <v>798</v>
      </c>
      <c r="C186" s="139">
        <v>7.0074737006952208E-3</v>
      </c>
      <c r="D186" s="139">
        <v>0.26957603910781186</v>
      </c>
    </row>
    <row r="187" spans="1:4" ht="14.4" x14ac:dyDescent="0.3">
      <c r="A187" s="137">
        <v>40802</v>
      </c>
      <c r="B187" s="138" t="s">
        <v>169</v>
      </c>
      <c r="C187" s="139">
        <v>6.4550577269120507E-3</v>
      </c>
      <c r="D187" s="139">
        <v>0.18722975996800828</v>
      </c>
    </row>
    <row r="188" spans="1:4" ht="14.4" x14ac:dyDescent="0.3">
      <c r="A188" s="137">
        <v>40901</v>
      </c>
      <c r="B188" s="138" t="s">
        <v>173</v>
      </c>
      <c r="C188" s="139">
        <v>0.12635068603527425</v>
      </c>
      <c r="D188" s="139">
        <v>0.42833654256931741</v>
      </c>
    </row>
    <row r="189" spans="1:4" ht="14.4" x14ac:dyDescent="0.3">
      <c r="A189" s="137">
        <v>40902</v>
      </c>
      <c r="B189" s="138" t="s">
        <v>158</v>
      </c>
      <c r="C189" s="139">
        <v>0</v>
      </c>
      <c r="D189" s="139">
        <v>11.672236149559268</v>
      </c>
    </row>
    <row r="190" spans="1:4" ht="14.4" x14ac:dyDescent="0.3">
      <c r="A190" s="137">
        <v>40903</v>
      </c>
      <c r="B190" s="138" t="s">
        <v>799</v>
      </c>
      <c r="C190" s="139">
        <v>1.0057934975371743E-2</v>
      </c>
      <c r="D190" s="139">
        <v>7.8450552326531607E-3</v>
      </c>
    </row>
    <row r="191" spans="1:4" ht="14.4" x14ac:dyDescent="0.3">
      <c r="A191" s="137">
        <v>41001</v>
      </c>
      <c r="B191" s="138" t="s">
        <v>180</v>
      </c>
      <c r="C191" s="139">
        <v>1.0991678206365983E-2</v>
      </c>
      <c r="D191" s="139">
        <v>4.2104977855316972E-2</v>
      </c>
    </row>
    <row r="192" spans="1:4" ht="14.4" x14ac:dyDescent="0.3">
      <c r="A192" s="137">
        <v>41101</v>
      </c>
      <c r="B192" s="138" t="s">
        <v>164</v>
      </c>
      <c r="C192" s="139">
        <v>1.6096546977328194E-2</v>
      </c>
      <c r="D192" s="139">
        <v>0.19530490908386952</v>
      </c>
    </row>
    <row r="193" spans="1:4" ht="14.4" x14ac:dyDescent="0.3">
      <c r="A193" s="137">
        <v>41201</v>
      </c>
      <c r="B193" s="138" t="s">
        <v>152</v>
      </c>
      <c r="C193" s="139">
        <v>8.2385065922640187E-4</v>
      </c>
      <c r="D193" s="139">
        <v>0.95462387741427768</v>
      </c>
    </row>
    <row r="194" spans="1:4" ht="14.4" x14ac:dyDescent="0.3">
      <c r="A194" s="137">
        <v>41202</v>
      </c>
      <c r="B194" s="138" t="s">
        <v>153</v>
      </c>
      <c r="C194" s="139">
        <v>0</v>
      </c>
      <c r="D194" s="139">
        <v>8.7150054800889692E-2</v>
      </c>
    </row>
    <row r="195" spans="1:4" ht="14.4" x14ac:dyDescent="0.3">
      <c r="A195" s="137">
        <v>41301</v>
      </c>
      <c r="B195" s="138" t="s">
        <v>144</v>
      </c>
      <c r="C195" s="139">
        <v>4.1565274974049212E-3</v>
      </c>
      <c r="D195" s="139">
        <v>3.3220321363179863E-3</v>
      </c>
    </row>
    <row r="196" spans="1:4" ht="14.4" x14ac:dyDescent="0.3">
      <c r="A196" s="137">
        <v>41401</v>
      </c>
      <c r="B196" s="138" t="s">
        <v>178</v>
      </c>
      <c r="C196" s="139">
        <v>1.0887286613534653E-2</v>
      </c>
      <c r="D196" s="139">
        <v>6.5514143818788895E-2</v>
      </c>
    </row>
    <row r="197" spans="1:4" ht="14.4" x14ac:dyDescent="0.3">
      <c r="A197" s="137">
        <v>41501</v>
      </c>
      <c r="B197" s="138" t="s">
        <v>800</v>
      </c>
      <c r="C197" s="139">
        <v>0</v>
      </c>
      <c r="D197" s="139">
        <v>10.793307006611746</v>
      </c>
    </row>
    <row r="198" spans="1:4" ht="14.4" x14ac:dyDescent="0.3">
      <c r="A198" s="137">
        <v>41502</v>
      </c>
      <c r="B198" s="138" t="s">
        <v>530</v>
      </c>
      <c r="C198" s="139">
        <v>0</v>
      </c>
      <c r="D198" s="139">
        <v>2.183222476197221</v>
      </c>
    </row>
    <row r="199" spans="1:4" ht="14.4" x14ac:dyDescent="0.3">
      <c r="A199" s="137">
        <v>41503</v>
      </c>
      <c r="B199" s="138" t="s">
        <v>155</v>
      </c>
      <c r="C199" s="139">
        <v>0.80293959511195412</v>
      </c>
      <c r="D199" s="139">
        <v>11.982107910993633</v>
      </c>
    </row>
    <row r="200" spans="1:4" ht="14.4" x14ac:dyDescent="0.3">
      <c r="A200" s="137">
        <v>41601</v>
      </c>
      <c r="B200" s="138" t="s">
        <v>801</v>
      </c>
      <c r="C200" s="139">
        <v>5.5246492003853311E-4</v>
      </c>
      <c r="D200" s="139">
        <v>5.959343255243964E-4</v>
      </c>
    </row>
    <row r="201" spans="1:4" ht="14.4" x14ac:dyDescent="0.3">
      <c r="A201" s="137">
        <v>50101</v>
      </c>
      <c r="B201" s="138" t="s">
        <v>183</v>
      </c>
      <c r="C201" s="139">
        <v>1.8599480613158288</v>
      </c>
      <c r="D201" s="139">
        <v>1.9788938428775189</v>
      </c>
    </row>
    <row r="202" spans="1:4" ht="14.4" x14ac:dyDescent="0.3">
      <c r="A202" s="137">
        <v>50102</v>
      </c>
      <c r="B202" s="138" t="s">
        <v>802</v>
      </c>
      <c r="C202" s="139">
        <v>0</v>
      </c>
      <c r="D202" s="139">
        <v>0</v>
      </c>
    </row>
    <row r="203" spans="1:4" ht="14.4" x14ac:dyDescent="0.3">
      <c r="A203" s="137">
        <v>50103</v>
      </c>
      <c r="B203" s="138" t="s">
        <v>212</v>
      </c>
      <c r="C203" s="139">
        <v>1.2802598255581013E-2</v>
      </c>
      <c r="D203" s="139">
        <v>3.489654273054181E-2</v>
      </c>
    </row>
    <row r="204" spans="1:4" ht="14.4" x14ac:dyDescent="0.3">
      <c r="A204" s="137">
        <v>50104</v>
      </c>
      <c r="B204" s="138" t="s">
        <v>803</v>
      </c>
      <c r="C204" s="139">
        <v>0</v>
      </c>
      <c r="D204" s="139">
        <v>0</v>
      </c>
    </row>
    <row r="205" spans="1:4" ht="14.4" x14ac:dyDescent="0.3">
      <c r="A205" s="137">
        <v>50201</v>
      </c>
      <c r="B205" s="138" t="s">
        <v>208</v>
      </c>
      <c r="C205" s="139">
        <v>0.15336994308774923</v>
      </c>
      <c r="D205" s="139">
        <v>0.14179594796145037</v>
      </c>
    </row>
    <row r="206" spans="1:4" ht="14.4" x14ac:dyDescent="0.3">
      <c r="A206" s="137">
        <v>50202</v>
      </c>
      <c r="B206" s="138" t="s">
        <v>191</v>
      </c>
      <c r="C206" s="139">
        <v>1.3849289818056141E-2</v>
      </c>
      <c r="D206" s="139">
        <v>1.1828057512054889E-2</v>
      </c>
    </row>
    <row r="207" spans="1:4" ht="14.4" x14ac:dyDescent="0.3">
      <c r="A207" s="137">
        <v>50203</v>
      </c>
      <c r="B207" s="138" t="s">
        <v>195</v>
      </c>
      <c r="C207" s="139">
        <v>0.29798107970096821</v>
      </c>
      <c r="D207" s="139">
        <v>0.46051878401303337</v>
      </c>
    </row>
    <row r="208" spans="1:4" ht="14.4" x14ac:dyDescent="0.3">
      <c r="A208" s="137">
        <v>50204</v>
      </c>
      <c r="B208" s="138" t="s">
        <v>804</v>
      </c>
      <c r="C208" s="139">
        <v>0</v>
      </c>
      <c r="D208" s="139">
        <v>0</v>
      </c>
    </row>
    <row r="209" spans="1:4" ht="14.4" x14ac:dyDescent="0.3">
      <c r="A209" s="137">
        <v>50301</v>
      </c>
      <c r="B209" s="138" t="s">
        <v>187</v>
      </c>
      <c r="C209" s="139">
        <v>4.2000324469151584E-2</v>
      </c>
      <c r="D209" s="139">
        <v>7.117963717402917E-2</v>
      </c>
    </row>
    <row r="210" spans="1:4" ht="14.4" x14ac:dyDescent="0.3">
      <c r="A210" s="137">
        <v>50302</v>
      </c>
      <c r="B210" s="138" t="s">
        <v>805</v>
      </c>
      <c r="C210" s="139">
        <v>9.9141884858089998E-3</v>
      </c>
      <c r="D210" s="139">
        <v>2.246202981223314E-2</v>
      </c>
    </row>
    <row r="211" spans="1:4" ht="14.4" x14ac:dyDescent="0.3">
      <c r="A211" s="137">
        <v>50303</v>
      </c>
      <c r="B211" s="138" t="s">
        <v>806</v>
      </c>
      <c r="C211" s="139">
        <v>0</v>
      </c>
      <c r="D211" s="139">
        <v>0</v>
      </c>
    </row>
    <row r="212" spans="1:4" ht="14.4" x14ac:dyDescent="0.3">
      <c r="A212" s="137">
        <v>50401</v>
      </c>
      <c r="B212" s="138" t="s">
        <v>193</v>
      </c>
      <c r="C212" s="139">
        <v>2.8551615032521988E-3</v>
      </c>
      <c r="D212" s="139">
        <v>2.24896309270055E-3</v>
      </c>
    </row>
    <row r="213" spans="1:4" ht="14.4" x14ac:dyDescent="0.3">
      <c r="A213" s="137">
        <v>50402</v>
      </c>
      <c r="B213" s="138" t="s">
        <v>201</v>
      </c>
      <c r="C213" s="139">
        <v>1.3602333265080075E-3</v>
      </c>
      <c r="D213" s="139">
        <v>1.3668033056328131E-3</v>
      </c>
    </row>
    <row r="214" spans="1:4" ht="14.4" x14ac:dyDescent="0.3">
      <c r="A214" s="137">
        <v>50403</v>
      </c>
      <c r="B214" s="138" t="s">
        <v>198</v>
      </c>
      <c r="C214" s="139">
        <v>4.1943092988132868E-3</v>
      </c>
      <c r="D214" s="139">
        <v>1.7601743345073539E-3</v>
      </c>
    </row>
    <row r="215" spans="1:4" ht="14.4" x14ac:dyDescent="0.3">
      <c r="A215" s="137">
        <v>50404</v>
      </c>
      <c r="B215" s="138" t="s">
        <v>807</v>
      </c>
      <c r="C215" s="139">
        <v>2.5777385939490744E-4</v>
      </c>
      <c r="D215" s="139">
        <v>7.7986638458942058E-4</v>
      </c>
    </row>
    <row r="216" spans="1:4" ht="14.4" x14ac:dyDescent="0.3">
      <c r="A216" s="137">
        <v>50405</v>
      </c>
      <c r="B216" s="138" t="s">
        <v>563</v>
      </c>
      <c r="C216" s="139">
        <v>0</v>
      </c>
      <c r="D216" s="139">
        <v>4.0352843926438229E-3</v>
      </c>
    </row>
    <row r="217" spans="1:4" ht="14.4" x14ac:dyDescent="0.3">
      <c r="A217" s="137">
        <v>50501</v>
      </c>
      <c r="B217" s="138" t="s">
        <v>265</v>
      </c>
      <c r="C217" s="139">
        <v>8.8005279620795133E-4</v>
      </c>
      <c r="D217" s="139">
        <v>4.7680755492829879E-2</v>
      </c>
    </row>
    <row r="218" spans="1:4" ht="14.4" x14ac:dyDescent="0.3">
      <c r="A218" s="137">
        <v>50502</v>
      </c>
      <c r="B218" s="138" t="s">
        <v>564</v>
      </c>
      <c r="C218" s="139">
        <v>0</v>
      </c>
      <c r="D218" s="139">
        <v>2.845198269797385E-2</v>
      </c>
    </row>
    <row r="219" spans="1:4" ht="14.4" x14ac:dyDescent="0.3">
      <c r="A219" s="137">
        <v>50601</v>
      </c>
      <c r="B219" s="138" t="s">
        <v>194</v>
      </c>
      <c r="C219" s="139">
        <v>2.9886886661780548E-2</v>
      </c>
      <c r="D219" s="139">
        <v>9.5487036319402571E-2</v>
      </c>
    </row>
    <row r="220" spans="1:4" ht="14.4" x14ac:dyDescent="0.3">
      <c r="A220" s="137">
        <v>50602</v>
      </c>
      <c r="B220" s="138" t="s">
        <v>211</v>
      </c>
      <c r="C220" s="139">
        <v>1.5331862938490237E-2</v>
      </c>
      <c r="D220" s="139">
        <v>9.5151817007956049E-3</v>
      </c>
    </row>
    <row r="221" spans="1:4" ht="14.4" x14ac:dyDescent="0.3">
      <c r="A221" s="137">
        <v>50701</v>
      </c>
      <c r="B221" s="138" t="s">
        <v>808</v>
      </c>
      <c r="C221" s="139">
        <v>0</v>
      </c>
      <c r="D221" s="139">
        <v>0</v>
      </c>
    </row>
    <row r="222" spans="1:4" ht="14.4" x14ac:dyDescent="0.3">
      <c r="A222" s="137">
        <v>50702</v>
      </c>
      <c r="B222" s="138" t="s">
        <v>189</v>
      </c>
      <c r="C222" s="139">
        <v>1.0993605296224652E-3</v>
      </c>
      <c r="D222" s="139">
        <v>1.0237710181233096E-3</v>
      </c>
    </row>
    <row r="223" spans="1:4" ht="14.4" x14ac:dyDescent="0.3">
      <c r="A223" s="137">
        <v>50801</v>
      </c>
      <c r="B223" s="138" t="s">
        <v>207</v>
      </c>
      <c r="C223" s="139">
        <v>0.55522973981984314</v>
      </c>
      <c r="D223" s="139">
        <v>0.74805084345927242</v>
      </c>
    </row>
    <row r="224" spans="1:4" ht="14.4" x14ac:dyDescent="0.3">
      <c r="A224" s="137">
        <v>50802</v>
      </c>
      <c r="B224" s="138" t="s">
        <v>185</v>
      </c>
      <c r="C224" s="139">
        <v>5.5908040634692145E-2</v>
      </c>
      <c r="D224" s="139">
        <v>0.14420269526215029</v>
      </c>
    </row>
    <row r="225" spans="1:4" ht="14.4" x14ac:dyDescent="0.3">
      <c r="A225" s="137">
        <v>50901</v>
      </c>
      <c r="B225" s="138" t="s">
        <v>809</v>
      </c>
      <c r="C225" s="139">
        <v>0.1679128605824983</v>
      </c>
      <c r="D225" s="139">
        <v>0.93260318681552634</v>
      </c>
    </row>
    <row r="226" spans="1:4" ht="14.4" x14ac:dyDescent="0.3">
      <c r="A226" s="137">
        <v>50902</v>
      </c>
      <c r="B226" s="138" t="s">
        <v>810</v>
      </c>
      <c r="C226" s="139">
        <v>0</v>
      </c>
      <c r="D226" s="139">
        <v>0</v>
      </c>
    </row>
    <row r="227" spans="1:4" ht="14.4" x14ac:dyDescent="0.3">
      <c r="A227" s="137">
        <v>51001</v>
      </c>
      <c r="B227" s="138" t="s">
        <v>811</v>
      </c>
      <c r="C227" s="139">
        <v>0</v>
      </c>
      <c r="D227" s="139">
        <v>0</v>
      </c>
    </row>
    <row r="228" spans="1:4" ht="14.4" x14ac:dyDescent="0.3">
      <c r="A228" s="137">
        <v>51002</v>
      </c>
      <c r="B228" s="138" t="s">
        <v>812</v>
      </c>
      <c r="C228" s="139">
        <v>0</v>
      </c>
      <c r="D228" s="139">
        <v>0</v>
      </c>
    </row>
    <row r="229" spans="1:4" ht="14.4" x14ac:dyDescent="0.3">
      <c r="A229" s="137">
        <v>51003</v>
      </c>
      <c r="B229" s="138" t="s">
        <v>202</v>
      </c>
      <c r="C229" s="139">
        <v>1.2571940712315483E-2</v>
      </c>
      <c r="D229" s="139">
        <v>1.202275865002485E-2</v>
      </c>
    </row>
    <row r="230" spans="1:4" ht="14.4" x14ac:dyDescent="0.3">
      <c r="A230" s="137">
        <v>51101</v>
      </c>
      <c r="B230" s="138" t="s">
        <v>200</v>
      </c>
      <c r="C230" s="139">
        <v>4.3903783048747147E-2</v>
      </c>
      <c r="D230" s="139">
        <v>5.5351533050203551E-2</v>
      </c>
    </row>
    <row r="231" spans="1:4" ht="14.4" x14ac:dyDescent="0.3">
      <c r="A231" s="137">
        <v>51102</v>
      </c>
      <c r="B231" s="138" t="s">
        <v>813</v>
      </c>
      <c r="C231" s="139">
        <v>7.344779313312952E-3</v>
      </c>
      <c r="D231" s="139">
        <v>8.5756085046483008E-3</v>
      </c>
    </row>
    <row r="232" spans="1:4" ht="14.4" x14ac:dyDescent="0.3">
      <c r="A232" s="137">
        <v>51103</v>
      </c>
      <c r="B232" s="138" t="s">
        <v>544</v>
      </c>
      <c r="C232" s="139">
        <v>0</v>
      </c>
      <c r="D232" s="139">
        <v>2.7097819743585982E-3</v>
      </c>
    </row>
    <row r="233" spans="1:4" ht="14.4" x14ac:dyDescent="0.3">
      <c r="A233" s="137">
        <v>51201</v>
      </c>
      <c r="B233" s="138" t="s">
        <v>209</v>
      </c>
      <c r="C233" s="139">
        <v>0.7435084253124733</v>
      </c>
      <c r="D233" s="139">
        <v>0.83839668490677999</v>
      </c>
    </row>
    <row r="234" spans="1:4" ht="14.4" x14ac:dyDescent="0.3">
      <c r="A234" s="137">
        <v>51202</v>
      </c>
      <c r="B234" s="138" t="s">
        <v>206</v>
      </c>
      <c r="C234" s="139">
        <v>2.5783750588049144E-3</v>
      </c>
      <c r="D234" s="139">
        <v>2.3454291323045952E-3</v>
      </c>
    </row>
    <row r="235" spans="1:4" ht="14.4" x14ac:dyDescent="0.3">
      <c r="A235" s="137">
        <v>51203</v>
      </c>
      <c r="B235" s="138" t="s">
        <v>199</v>
      </c>
      <c r="C235" s="139">
        <v>0.22887038158775105</v>
      </c>
      <c r="D235" s="139">
        <v>0.47359955249574859</v>
      </c>
    </row>
    <row r="236" spans="1:4" ht="14.4" x14ac:dyDescent="0.3">
      <c r="A236" s="137">
        <v>51204</v>
      </c>
      <c r="B236" s="138" t="s">
        <v>814</v>
      </c>
      <c r="C236" s="139">
        <v>0</v>
      </c>
      <c r="D236" s="139">
        <v>0</v>
      </c>
    </row>
    <row r="237" spans="1:4" ht="14.4" x14ac:dyDescent="0.3">
      <c r="A237" s="137">
        <v>51301</v>
      </c>
      <c r="B237" s="138" t="s">
        <v>815</v>
      </c>
      <c r="C237" s="139">
        <v>0</v>
      </c>
      <c r="D237" s="139">
        <v>0</v>
      </c>
    </row>
    <row r="238" spans="1:4" ht="14.4" x14ac:dyDescent="0.3">
      <c r="A238" s="137">
        <v>51302</v>
      </c>
      <c r="B238" s="138" t="s">
        <v>184</v>
      </c>
      <c r="C238" s="139">
        <v>0</v>
      </c>
      <c r="D238" s="139">
        <v>0</v>
      </c>
    </row>
    <row r="239" spans="1:4" ht="14.4" x14ac:dyDescent="0.3">
      <c r="A239" s="137">
        <v>51401</v>
      </c>
      <c r="B239" s="138" t="s">
        <v>196</v>
      </c>
      <c r="C239" s="139">
        <v>5.1682788032660125E-2</v>
      </c>
      <c r="D239" s="139">
        <v>3.9529191156484962E-2</v>
      </c>
    </row>
    <row r="240" spans="1:4" ht="14.4" x14ac:dyDescent="0.3">
      <c r="A240" s="137">
        <v>51402</v>
      </c>
      <c r="B240" s="138" t="s">
        <v>204</v>
      </c>
      <c r="C240" s="139">
        <v>0</v>
      </c>
      <c r="D240" s="139">
        <v>0</v>
      </c>
    </row>
    <row r="241" spans="1:4" ht="14.4" x14ac:dyDescent="0.3">
      <c r="A241" s="137">
        <v>51501</v>
      </c>
      <c r="B241" s="138" t="s">
        <v>210</v>
      </c>
      <c r="C241" s="139">
        <v>0.43670258815113894</v>
      </c>
      <c r="D241" s="139">
        <v>0.57529422451797052</v>
      </c>
    </row>
    <row r="242" spans="1:4" ht="14.4" x14ac:dyDescent="0.3">
      <c r="A242" s="137">
        <v>51601</v>
      </c>
      <c r="B242" s="138" t="s">
        <v>816</v>
      </c>
      <c r="C242" s="139">
        <v>0</v>
      </c>
      <c r="D242" s="139">
        <v>0</v>
      </c>
    </row>
    <row r="243" spans="1:4" ht="14.4" x14ac:dyDescent="0.3">
      <c r="A243" s="137">
        <v>60101</v>
      </c>
      <c r="B243" s="138" t="s">
        <v>213</v>
      </c>
      <c r="C243" s="139">
        <v>1.7983367443684486</v>
      </c>
      <c r="D243" s="139">
        <v>1.5766099108489275</v>
      </c>
    </row>
    <row r="244" spans="1:4" ht="14.4" x14ac:dyDescent="0.3">
      <c r="A244" s="137">
        <v>60201</v>
      </c>
      <c r="B244" s="138" t="s">
        <v>218</v>
      </c>
      <c r="C244" s="139">
        <v>7.7180356661793723E-2</v>
      </c>
      <c r="D244" s="139">
        <v>0.16991311158217506</v>
      </c>
    </row>
    <row r="245" spans="1:4" ht="14.4" x14ac:dyDescent="0.3">
      <c r="A245" s="137">
        <v>60202</v>
      </c>
      <c r="B245" s="138" t="s">
        <v>214</v>
      </c>
      <c r="C245" s="139">
        <v>0.86159467954921665</v>
      </c>
      <c r="D245" s="139">
        <v>0.91455696886760274</v>
      </c>
    </row>
    <row r="246" spans="1:4" ht="14.4" x14ac:dyDescent="0.3">
      <c r="A246" s="137">
        <v>60301</v>
      </c>
      <c r="B246" s="138" t="s">
        <v>222</v>
      </c>
      <c r="C246" s="139">
        <v>0.95476607511488754</v>
      </c>
      <c r="D246" s="139">
        <v>0.88486534668515104</v>
      </c>
    </row>
    <row r="247" spans="1:4" ht="14.4" x14ac:dyDescent="0.3">
      <c r="A247" s="137">
        <v>60302</v>
      </c>
      <c r="B247" s="138" t="s">
        <v>215</v>
      </c>
      <c r="C247" s="139">
        <v>0.31702474840752681</v>
      </c>
      <c r="D247" s="139">
        <v>0.38598394734422109</v>
      </c>
    </row>
    <row r="248" spans="1:4" ht="14.4" x14ac:dyDescent="0.3">
      <c r="A248" s="137">
        <v>60303</v>
      </c>
      <c r="B248" s="138" t="s">
        <v>817</v>
      </c>
      <c r="C248" s="139">
        <v>0.72138740322715167</v>
      </c>
      <c r="D248" s="139">
        <v>0.74573771234304309</v>
      </c>
    </row>
    <row r="249" spans="1:4" ht="14.4" x14ac:dyDescent="0.3">
      <c r="A249" s="137">
        <v>60401</v>
      </c>
      <c r="B249" s="138" t="s">
        <v>818</v>
      </c>
      <c r="C249" s="139">
        <v>0.11884478929608355</v>
      </c>
      <c r="D249" s="139">
        <v>3.3666635516388137</v>
      </c>
    </row>
    <row r="250" spans="1:4" ht="14.4" x14ac:dyDescent="0.3">
      <c r="A250" s="137">
        <v>60402</v>
      </c>
      <c r="B250" s="138" t="s">
        <v>223</v>
      </c>
      <c r="C250" s="139">
        <v>1.9676372728265515E-2</v>
      </c>
      <c r="D250" s="139">
        <v>0.18078518669218421</v>
      </c>
    </row>
    <row r="251" spans="1:4" ht="14.4" x14ac:dyDescent="0.3">
      <c r="A251" s="137">
        <v>60501</v>
      </c>
      <c r="B251" s="138" t="s">
        <v>219</v>
      </c>
      <c r="C251" s="139">
        <v>9.2930365680839636E-2</v>
      </c>
      <c r="D251" s="139">
        <v>1.3060612269314931</v>
      </c>
    </row>
    <row r="252" spans="1:4" ht="14.4" x14ac:dyDescent="0.3">
      <c r="A252" s="137">
        <v>60502</v>
      </c>
      <c r="B252" s="138" t="s">
        <v>819</v>
      </c>
      <c r="C252" s="139">
        <v>0.11715269305132413</v>
      </c>
      <c r="D252" s="139">
        <v>0.38336920683861692</v>
      </c>
    </row>
    <row r="253" spans="1:4" ht="14.4" x14ac:dyDescent="0.3">
      <c r="A253" s="137">
        <v>60601</v>
      </c>
      <c r="B253" s="138" t="s">
        <v>120</v>
      </c>
      <c r="C253" s="139">
        <v>5.3496032899144647E-2</v>
      </c>
      <c r="D253" s="139">
        <v>6.918553154287288E-2</v>
      </c>
    </row>
    <row r="254" spans="1:4" ht="14.4" x14ac:dyDescent="0.3">
      <c r="A254" s="137">
        <v>70101</v>
      </c>
      <c r="B254" s="138" t="s">
        <v>267</v>
      </c>
      <c r="C254" s="139">
        <v>1.5782795170493671</v>
      </c>
      <c r="D254" s="139">
        <v>1.3509966119416448</v>
      </c>
    </row>
    <row r="255" spans="1:4" ht="14.4" x14ac:dyDescent="0.3">
      <c r="A255" s="137">
        <v>70102</v>
      </c>
      <c r="B255" s="138" t="s">
        <v>234</v>
      </c>
      <c r="C255" s="139">
        <v>0.69610032249121623</v>
      </c>
      <c r="D255" s="139">
        <v>0.90649112446731106</v>
      </c>
    </row>
    <row r="256" spans="1:4" ht="14.4" x14ac:dyDescent="0.3">
      <c r="A256" s="137">
        <v>70103</v>
      </c>
      <c r="B256" s="138" t="s">
        <v>820</v>
      </c>
      <c r="C256" s="139">
        <v>9.2246482051192305E-2</v>
      </c>
      <c r="D256" s="139">
        <v>11.22564168583774</v>
      </c>
    </row>
    <row r="257" spans="1:4" ht="14.4" x14ac:dyDescent="0.3">
      <c r="A257" s="137">
        <v>70104</v>
      </c>
      <c r="B257" s="138" t="s">
        <v>241</v>
      </c>
      <c r="C257" s="139">
        <v>0.67876857761761511</v>
      </c>
      <c r="D257" s="139">
        <v>1.5068771741860452</v>
      </c>
    </row>
    <row r="258" spans="1:4" ht="14.4" x14ac:dyDescent="0.3">
      <c r="A258" s="137">
        <v>70105</v>
      </c>
      <c r="B258" s="138" t="s">
        <v>237</v>
      </c>
      <c r="C258" s="139">
        <v>0.67390590217121304</v>
      </c>
      <c r="D258" s="139">
        <v>3.6415414495225922</v>
      </c>
    </row>
    <row r="259" spans="1:4" ht="14.4" x14ac:dyDescent="0.3">
      <c r="A259" s="137">
        <v>70201</v>
      </c>
      <c r="B259" s="138" t="s">
        <v>272</v>
      </c>
      <c r="C259" s="139">
        <v>4.0938472309447524</v>
      </c>
      <c r="D259" s="139">
        <v>2.7203708369260151</v>
      </c>
    </row>
    <row r="260" spans="1:4" ht="14.4" x14ac:dyDescent="0.3">
      <c r="A260" s="137">
        <v>70202</v>
      </c>
      <c r="B260" s="138" t="s">
        <v>821</v>
      </c>
      <c r="C260" s="139">
        <v>0.59009814873592437</v>
      </c>
      <c r="D260" s="139">
        <v>2.7388399852488043</v>
      </c>
    </row>
    <row r="261" spans="1:4" ht="14.4" x14ac:dyDescent="0.3">
      <c r="A261" s="137">
        <v>70301</v>
      </c>
      <c r="B261" s="138" t="s">
        <v>822</v>
      </c>
      <c r="C261" s="139">
        <v>7.466928339042489E-2</v>
      </c>
      <c r="D261" s="139">
        <v>9.9536761562828785E-2</v>
      </c>
    </row>
    <row r="262" spans="1:4" ht="14.4" x14ac:dyDescent="0.3">
      <c r="A262" s="137">
        <v>70302</v>
      </c>
      <c r="B262" s="138" t="s">
        <v>264</v>
      </c>
      <c r="C262" s="139">
        <v>6.5978654253099744E-4</v>
      </c>
      <c r="D262" s="139">
        <v>1.1851886746909544E-2</v>
      </c>
    </row>
    <row r="263" spans="1:4" ht="14.4" x14ac:dyDescent="0.3">
      <c r="A263" s="137">
        <v>70303</v>
      </c>
      <c r="B263" s="138" t="s">
        <v>823</v>
      </c>
      <c r="C263" s="139">
        <v>0</v>
      </c>
      <c r="D263" s="139">
        <v>0</v>
      </c>
    </row>
    <row r="264" spans="1:4" ht="14.4" x14ac:dyDescent="0.3">
      <c r="A264" s="137">
        <v>70401</v>
      </c>
      <c r="B264" s="138" t="s">
        <v>227</v>
      </c>
      <c r="C264" s="139">
        <v>8.4292483619804126E-2</v>
      </c>
      <c r="D264" s="139">
        <v>0.15179882880527104</v>
      </c>
    </row>
    <row r="265" spans="1:4" ht="14.4" x14ac:dyDescent="0.3">
      <c r="A265" s="137">
        <v>70402</v>
      </c>
      <c r="B265" s="138" t="s">
        <v>257</v>
      </c>
      <c r="C265" s="139">
        <v>0.10075224513127409</v>
      </c>
      <c r="D265" s="139">
        <v>0.6757585643632773</v>
      </c>
    </row>
    <row r="266" spans="1:4" ht="14.4" x14ac:dyDescent="0.3">
      <c r="A266" s="137">
        <v>70403</v>
      </c>
      <c r="B266" s="138" t="s">
        <v>273</v>
      </c>
      <c r="C266" s="139">
        <v>0.41289347592525044</v>
      </c>
      <c r="D266" s="139">
        <v>0.6366018581645666</v>
      </c>
    </row>
    <row r="267" spans="1:4" ht="14.4" x14ac:dyDescent="0.3">
      <c r="A267" s="137">
        <v>70404</v>
      </c>
      <c r="B267" s="138" t="s">
        <v>261</v>
      </c>
      <c r="C267" s="139">
        <v>0.6699212834869317</v>
      </c>
      <c r="D267" s="139">
        <v>0.60060954809458011</v>
      </c>
    </row>
    <row r="268" spans="1:4" ht="14.4" x14ac:dyDescent="0.3">
      <c r="A268" s="137">
        <v>70501</v>
      </c>
      <c r="B268" s="138" t="s">
        <v>260</v>
      </c>
      <c r="C268" s="139">
        <v>7.3382331041314364E-2</v>
      </c>
      <c r="D268" s="139">
        <v>0.13189247922315717</v>
      </c>
    </row>
    <row r="269" spans="1:4" ht="14.4" x14ac:dyDescent="0.3">
      <c r="A269" s="137">
        <v>70502</v>
      </c>
      <c r="B269" s="138" t="s">
        <v>248</v>
      </c>
      <c r="C269" s="139">
        <v>0.13614000284231437</v>
      </c>
      <c r="D269" s="139">
        <v>0.26750872317970009</v>
      </c>
    </row>
    <row r="270" spans="1:4" ht="14.4" x14ac:dyDescent="0.3">
      <c r="A270" s="137">
        <v>70503</v>
      </c>
      <c r="B270" s="138" t="s">
        <v>254</v>
      </c>
      <c r="C270" s="139">
        <v>1.6508527598532159E-3</v>
      </c>
      <c r="D270" s="139">
        <v>9.0666109059606972E-4</v>
      </c>
    </row>
    <row r="271" spans="1:4" ht="14.4" x14ac:dyDescent="0.3">
      <c r="A271" s="137">
        <v>70601</v>
      </c>
      <c r="B271" s="138" t="s">
        <v>251</v>
      </c>
      <c r="C271" s="139">
        <v>1.8225646178448551</v>
      </c>
      <c r="D271" s="139">
        <v>2.8222338193811018</v>
      </c>
    </row>
    <row r="272" spans="1:4" ht="14.4" x14ac:dyDescent="0.3">
      <c r="A272" s="137">
        <v>70602</v>
      </c>
      <c r="B272" s="138" t="s">
        <v>824</v>
      </c>
      <c r="C272" s="139">
        <v>7.7409311129049939E-3</v>
      </c>
      <c r="D272" s="139">
        <v>5.0558355861855128E-2</v>
      </c>
    </row>
    <row r="273" spans="1:4" ht="14.4" x14ac:dyDescent="0.3">
      <c r="A273" s="137">
        <v>70603</v>
      </c>
      <c r="B273" s="138" t="s">
        <v>231</v>
      </c>
      <c r="C273" s="139">
        <v>0.18192871539552372</v>
      </c>
      <c r="D273" s="139">
        <v>34.663024872054358</v>
      </c>
    </row>
    <row r="274" spans="1:4" ht="14.4" x14ac:dyDescent="0.3">
      <c r="A274" s="137">
        <v>70701</v>
      </c>
      <c r="B274" s="138" t="s">
        <v>242</v>
      </c>
      <c r="C274" s="139">
        <v>1.4731760852556566E-3</v>
      </c>
      <c r="D274" s="139">
        <v>0.46307849884811514</v>
      </c>
    </row>
    <row r="275" spans="1:4" ht="14.4" x14ac:dyDescent="0.3">
      <c r="A275" s="137">
        <v>70702</v>
      </c>
      <c r="B275" s="138" t="s">
        <v>825</v>
      </c>
      <c r="C275" s="139">
        <v>1.8911750677227276E-2</v>
      </c>
      <c r="D275" s="139">
        <v>7.707858120956379E-2</v>
      </c>
    </row>
    <row r="276" spans="1:4" ht="14.4" x14ac:dyDescent="0.3">
      <c r="A276" s="137">
        <v>70703</v>
      </c>
      <c r="B276" s="138" t="s">
        <v>228</v>
      </c>
      <c r="C276" s="139">
        <v>8.4558009681044169E-2</v>
      </c>
      <c r="D276" s="139">
        <v>0.3974078081347529</v>
      </c>
    </row>
    <row r="277" spans="1:4" ht="14.4" x14ac:dyDescent="0.3">
      <c r="A277" s="137">
        <v>70704</v>
      </c>
      <c r="B277" s="138" t="s">
        <v>236</v>
      </c>
      <c r="C277" s="139">
        <v>1.3825339965356275E-3</v>
      </c>
      <c r="D277" s="139">
        <v>0.27239425780021304</v>
      </c>
    </row>
    <row r="278" spans="1:4" ht="14.4" x14ac:dyDescent="0.3">
      <c r="A278" s="137">
        <v>70705</v>
      </c>
      <c r="B278" s="138" t="s">
        <v>826</v>
      </c>
      <c r="C278" s="139">
        <v>2.1114103380503058E-4</v>
      </c>
      <c r="D278" s="139">
        <v>1.5360233127648023E-4</v>
      </c>
    </row>
    <row r="279" spans="1:4" ht="14.4" x14ac:dyDescent="0.3">
      <c r="A279" s="137">
        <v>70706</v>
      </c>
      <c r="B279" s="138" t="s">
        <v>229</v>
      </c>
      <c r="C279" s="139">
        <v>0.92159363328833976</v>
      </c>
      <c r="D279" s="139">
        <v>0.78430071337949125</v>
      </c>
    </row>
    <row r="280" spans="1:4" ht="14.4" x14ac:dyDescent="0.3">
      <c r="A280" s="137">
        <v>70707</v>
      </c>
      <c r="B280" s="138" t="s">
        <v>226</v>
      </c>
      <c r="C280" s="139">
        <v>0</v>
      </c>
      <c r="D280" s="139">
        <v>3.0975155182148443E-2</v>
      </c>
    </row>
    <row r="281" spans="1:4" ht="14.4" x14ac:dyDescent="0.3">
      <c r="A281" s="137">
        <v>70801</v>
      </c>
      <c r="B281" s="138" t="s">
        <v>271</v>
      </c>
      <c r="C281" s="139">
        <v>1.1548529253678923</v>
      </c>
      <c r="D281" s="139">
        <v>0.80274121075812421</v>
      </c>
    </row>
    <row r="282" spans="1:4" ht="14.4" x14ac:dyDescent="0.3">
      <c r="A282" s="137">
        <v>70802</v>
      </c>
      <c r="B282" s="138" t="s">
        <v>269</v>
      </c>
      <c r="C282" s="139">
        <v>1.2355293553274781E-3</v>
      </c>
      <c r="D282" s="139">
        <v>4.7990839128111605E-2</v>
      </c>
    </row>
    <row r="283" spans="1:4" ht="14.4" x14ac:dyDescent="0.3">
      <c r="A283" s="137">
        <v>70803</v>
      </c>
      <c r="B283" s="138" t="s">
        <v>246</v>
      </c>
      <c r="C283" s="139">
        <v>8.6084187045855076E-2</v>
      </c>
      <c r="D283" s="139">
        <v>0.48339936019733948</v>
      </c>
    </row>
    <row r="284" spans="1:4" ht="14.4" x14ac:dyDescent="0.3">
      <c r="A284" s="137">
        <v>70804</v>
      </c>
      <c r="B284" s="138" t="s">
        <v>827</v>
      </c>
      <c r="C284" s="139">
        <v>0</v>
      </c>
      <c r="D284" s="139">
        <v>0</v>
      </c>
    </row>
    <row r="285" spans="1:4" ht="14.4" x14ac:dyDescent="0.3">
      <c r="A285" s="137">
        <v>70805</v>
      </c>
      <c r="B285" s="138" t="s">
        <v>828</v>
      </c>
      <c r="C285" s="139">
        <v>0</v>
      </c>
      <c r="D285" s="139">
        <v>0</v>
      </c>
    </row>
    <row r="286" spans="1:4" ht="14.4" x14ac:dyDescent="0.3">
      <c r="A286" s="137">
        <v>70901</v>
      </c>
      <c r="B286" s="138" t="s">
        <v>256</v>
      </c>
      <c r="C286" s="139">
        <v>5.2571279242737308E-2</v>
      </c>
      <c r="D286" s="139">
        <v>3.2961324593302949E-2</v>
      </c>
    </row>
    <row r="287" spans="1:4" ht="14.4" x14ac:dyDescent="0.3">
      <c r="A287" s="137">
        <v>70902</v>
      </c>
      <c r="B287" s="138" t="s">
        <v>829</v>
      </c>
      <c r="C287" s="139">
        <v>7.5610812290392163E-3</v>
      </c>
      <c r="D287" s="139">
        <v>9.1399836228673648E-2</v>
      </c>
    </row>
    <row r="288" spans="1:4" ht="14.4" x14ac:dyDescent="0.3">
      <c r="A288" s="137">
        <v>70903</v>
      </c>
      <c r="B288" s="138" t="s">
        <v>243</v>
      </c>
      <c r="C288" s="139">
        <v>7.60895351896268E-2</v>
      </c>
      <c r="D288" s="139">
        <v>0.24485421890111508</v>
      </c>
    </row>
    <row r="289" spans="1:4" ht="14.4" x14ac:dyDescent="0.3">
      <c r="A289" s="137">
        <v>70904</v>
      </c>
      <c r="B289" s="138" t="s">
        <v>830</v>
      </c>
      <c r="C289" s="139">
        <v>0</v>
      </c>
      <c r="D289" s="139">
        <v>0</v>
      </c>
    </row>
    <row r="290" spans="1:4" ht="14.4" x14ac:dyDescent="0.3">
      <c r="A290" s="137">
        <v>71001</v>
      </c>
      <c r="B290" s="138" t="s">
        <v>245</v>
      </c>
      <c r="C290" s="139">
        <v>3.3900099557742109</v>
      </c>
      <c r="D290" s="139">
        <v>3.3368728960148988</v>
      </c>
    </row>
    <row r="291" spans="1:4" ht="14.4" x14ac:dyDescent="0.3">
      <c r="A291" s="137">
        <v>71002</v>
      </c>
      <c r="B291" s="138" t="s">
        <v>831</v>
      </c>
      <c r="C291" s="139">
        <v>0.76620997552649361</v>
      </c>
      <c r="D291" s="139">
        <v>3.372091150212861</v>
      </c>
    </row>
    <row r="292" spans="1:4" ht="14.4" x14ac:dyDescent="0.3">
      <c r="A292" s="137">
        <v>71003</v>
      </c>
      <c r="B292" s="138" t="s">
        <v>244</v>
      </c>
      <c r="C292" s="139">
        <v>0.70230866851974871</v>
      </c>
      <c r="D292" s="139">
        <v>1.0387477806637995</v>
      </c>
    </row>
    <row r="293" spans="1:4" ht="14.4" x14ac:dyDescent="0.3">
      <c r="A293" s="137">
        <v>71004</v>
      </c>
      <c r="B293" s="138" t="s">
        <v>238</v>
      </c>
      <c r="C293" s="139">
        <v>0.3927687718976291</v>
      </c>
      <c r="D293" s="139">
        <v>2.2491440238313887</v>
      </c>
    </row>
    <row r="294" spans="1:4" ht="14.4" x14ac:dyDescent="0.3">
      <c r="A294" s="137">
        <v>71005</v>
      </c>
      <c r="B294" s="138" t="s">
        <v>265</v>
      </c>
      <c r="C294" s="139">
        <v>0.18392266844187335</v>
      </c>
      <c r="D294" s="139">
        <v>0.38479547063193409</v>
      </c>
    </row>
    <row r="295" spans="1:4" ht="14.4" x14ac:dyDescent="0.3">
      <c r="A295" s="137">
        <v>71101</v>
      </c>
      <c r="B295" s="138" t="s">
        <v>233</v>
      </c>
      <c r="C295" s="139">
        <v>3.8833838435463661E-2</v>
      </c>
      <c r="D295" s="139">
        <v>0.11799000913945373</v>
      </c>
    </row>
    <row r="296" spans="1:4" ht="14.4" x14ac:dyDescent="0.3">
      <c r="A296" s="137">
        <v>71102</v>
      </c>
      <c r="B296" s="138" t="s">
        <v>832</v>
      </c>
      <c r="C296" s="139">
        <v>6.2331734898676161E-2</v>
      </c>
      <c r="D296" s="139">
        <v>0.16746614880931462</v>
      </c>
    </row>
    <row r="297" spans="1:4" ht="14.4" x14ac:dyDescent="0.3">
      <c r="A297" s="137">
        <v>71103</v>
      </c>
      <c r="B297" s="138" t="s">
        <v>266</v>
      </c>
      <c r="C297" s="139">
        <v>3.5977219426247653E-2</v>
      </c>
      <c r="D297" s="139">
        <v>0.10341205412454289</v>
      </c>
    </row>
    <row r="298" spans="1:4" ht="14.4" x14ac:dyDescent="0.3">
      <c r="A298" s="137">
        <v>71104</v>
      </c>
      <c r="B298" s="138" t="s">
        <v>262</v>
      </c>
      <c r="C298" s="139">
        <v>0.43781137948793225</v>
      </c>
      <c r="D298" s="139">
        <v>0.63448987986533223</v>
      </c>
    </row>
    <row r="299" spans="1:4" ht="14.4" x14ac:dyDescent="0.3">
      <c r="A299" s="137">
        <v>71105</v>
      </c>
      <c r="B299" s="138" t="s">
        <v>833</v>
      </c>
      <c r="C299" s="139">
        <v>0</v>
      </c>
      <c r="D299" s="139">
        <v>0</v>
      </c>
    </row>
    <row r="300" spans="1:4" ht="14.4" x14ac:dyDescent="0.3">
      <c r="A300" s="137">
        <v>71106</v>
      </c>
      <c r="B300" s="138" t="s">
        <v>235</v>
      </c>
      <c r="C300" s="139">
        <v>0.26311428701081546</v>
      </c>
      <c r="D300" s="139">
        <v>0.65638172013262897</v>
      </c>
    </row>
    <row r="301" spans="1:4" ht="14.4" x14ac:dyDescent="0.3">
      <c r="A301" s="137">
        <v>71201</v>
      </c>
      <c r="B301" s="138" t="s">
        <v>263</v>
      </c>
      <c r="C301" s="139">
        <v>5.5240344327712608E-4</v>
      </c>
      <c r="D301" s="139">
        <v>4.2639166472725244E-4</v>
      </c>
    </row>
    <row r="302" spans="1:4" ht="14.4" x14ac:dyDescent="0.3">
      <c r="A302" s="137">
        <v>71301</v>
      </c>
      <c r="B302" s="138" t="s">
        <v>232</v>
      </c>
      <c r="C302" s="139">
        <v>0.26053506104063207</v>
      </c>
      <c r="D302" s="139">
        <v>0.29119334949674697</v>
      </c>
    </row>
    <row r="303" spans="1:4" ht="14.4" x14ac:dyDescent="0.3">
      <c r="A303" s="137">
        <v>71302</v>
      </c>
      <c r="B303" s="138" t="s">
        <v>255</v>
      </c>
      <c r="C303" s="139">
        <v>0.16349795042850385</v>
      </c>
      <c r="D303" s="139">
        <v>7.6294322124093525E-2</v>
      </c>
    </row>
    <row r="304" spans="1:4" ht="14.4" x14ac:dyDescent="0.3">
      <c r="A304" s="137">
        <v>71401</v>
      </c>
      <c r="B304" s="138" t="s">
        <v>253</v>
      </c>
      <c r="C304" s="139">
        <v>0.1024448689677229</v>
      </c>
      <c r="D304" s="139">
        <v>0.10643764236118491</v>
      </c>
    </row>
    <row r="305" spans="1:4" ht="14.4" x14ac:dyDescent="0.3">
      <c r="A305" s="137">
        <v>71402</v>
      </c>
      <c r="B305" s="138" t="s">
        <v>252</v>
      </c>
      <c r="C305" s="139">
        <v>0.43425401360938343</v>
      </c>
      <c r="D305" s="139">
        <v>0.3867185826672348</v>
      </c>
    </row>
    <row r="306" spans="1:4" ht="14.4" x14ac:dyDescent="0.3">
      <c r="A306" s="137">
        <v>71403</v>
      </c>
      <c r="B306" s="138" t="s">
        <v>834</v>
      </c>
      <c r="C306" s="139">
        <v>0</v>
      </c>
      <c r="D306" s="139">
        <v>0</v>
      </c>
    </row>
    <row r="307" spans="1:4" ht="14.4" x14ac:dyDescent="0.3">
      <c r="A307" s="137">
        <v>71501</v>
      </c>
      <c r="B307" s="138" t="s">
        <v>835</v>
      </c>
      <c r="C307" s="139">
        <v>9.0009475392260549E-2</v>
      </c>
      <c r="D307" s="139">
        <v>0.16185968782947022</v>
      </c>
    </row>
    <row r="308" spans="1:4" ht="14.4" x14ac:dyDescent="0.3">
      <c r="A308" s="137">
        <v>71502</v>
      </c>
      <c r="B308" s="138" t="s">
        <v>270</v>
      </c>
      <c r="C308" s="139">
        <v>3.918568114243846E-4</v>
      </c>
      <c r="D308" s="139">
        <v>3.3771250298639629E-4</v>
      </c>
    </row>
    <row r="309" spans="1:4" ht="14.4" x14ac:dyDescent="0.3">
      <c r="A309" s="137">
        <v>71503</v>
      </c>
      <c r="B309" s="138" t="s">
        <v>819</v>
      </c>
      <c r="C309" s="139">
        <v>0</v>
      </c>
      <c r="D309" s="139">
        <v>0</v>
      </c>
    </row>
    <row r="310" spans="1:4" ht="14.4" x14ac:dyDescent="0.3">
      <c r="A310" s="137">
        <v>80101</v>
      </c>
      <c r="B310" s="138" t="s">
        <v>283</v>
      </c>
      <c r="C310" s="139">
        <v>2.683185993132267</v>
      </c>
      <c r="D310" s="139">
        <v>2.079993774169719</v>
      </c>
    </row>
    <row r="311" spans="1:4" ht="14.4" x14ac:dyDescent="0.3">
      <c r="A311" s="137">
        <v>80102</v>
      </c>
      <c r="B311" s="138" t="s">
        <v>832</v>
      </c>
      <c r="C311" s="139">
        <v>6.8010255241160423E-4</v>
      </c>
      <c r="D311" s="139">
        <v>0.17570126559943999</v>
      </c>
    </row>
    <row r="312" spans="1:4" ht="14.4" x14ac:dyDescent="0.3">
      <c r="A312" s="137">
        <v>80201</v>
      </c>
      <c r="B312" s="138" t="s">
        <v>277</v>
      </c>
      <c r="C312" s="139">
        <v>0.23721432719155036</v>
      </c>
      <c r="D312" s="139">
        <v>0.30342217509236596</v>
      </c>
    </row>
    <row r="313" spans="1:4" ht="14.4" x14ac:dyDescent="0.3">
      <c r="A313" s="137">
        <v>80202</v>
      </c>
      <c r="B313" s="138" t="s">
        <v>836</v>
      </c>
      <c r="C313" s="139">
        <v>1.1370096330400464E-2</v>
      </c>
      <c r="D313" s="139">
        <v>5.7503222560799892E-3</v>
      </c>
    </row>
    <row r="314" spans="1:4" ht="14.4" x14ac:dyDescent="0.3">
      <c r="A314" s="137">
        <v>80301</v>
      </c>
      <c r="B314" s="138" t="s">
        <v>837</v>
      </c>
      <c r="C314" s="139">
        <v>0</v>
      </c>
      <c r="D314" s="139">
        <v>0</v>
      </c>
    </row>
    <row r="315" spans="1:4" ht="14.4" x14ac:dyDescent="0.3">
      <c r="A315" s="137">
        <v>80302</v>
      </c>
      <c r="B315" s="138" t="s">
        <v>278</v>
      </c>
      <c r="C315" s="139">
        <v>5.3935243175394498E-2</v>
      </c>
      <c r="D315" s="139">
        <v>6.7852385945346344E-2</v>
      </c>
    </row>
    <row r="316" spans="1:4" ht="14.4" x14ac:dyDescent="0.3">
      <c r="A316" s="137">
        <v>80303</v>
      </c>
      <c r="B316" s="138" t="s">
        <v>824</v>
      </c>
      <c r="C316" s="139">
        <v>0</v>
      </c>
      <c r="D316" s="139">
        <v>0</v>
      </c>
    </row>
    <row r="317" spans="1:4" ht="14.4" x14ac:dyDescent="0.3">
      <c r="A317" s="137">
        <v>80304</v>
      </c>
      <c r="B317" s="138" t="s">
        <v>838</v>
      </c>
      <c r="C317" s="139">
        <v>0.12630842796867181</v>
      </c>
      <c r="D317" s="139">
        <v>0.23425674547682679</v>
      </c>
    </row>
    <row r="318" spans="1:4" ht="14.4" x14ac:dyDescent="0.3">
      <c r="A318" s="137">
        <v>80401</v>
      </c>
      <c r="B318" s="138" t="s">
        <v>839</v>
      </c>
      <c r="C318" s="139">
        <v>2.1779498073807455E-2</v>
      </c>
      <c r="D318" s="139">
        <v>0.20327226111746111</v>
      </c>
    </row>
    <row r="319" spans="1:4" ht="14.4" x14ac:dyDescent="0.3">
      <c r="A319" s="137">
        <v>80402</v>
      </c>
      <c r="B319" s="138" t="s">
        <v>840</v>
      </c>
      <c r="C319" s="139">
        <v>0</v>
      </c>
      <c r="D319" s="139">
        <v>0</v>
      </c>
    </row>
    <row r="320" spans="1:4" ht="14.4" x14ac:dyDescent="0.3">
      <c r="A320" s="137">
        <v>80501</v>
      </c>
      <c r="B320" s="138" t="s">
        <v>822</v>
      </c>
      <c r="C320" s="139">
        <v>2.0353358967054613E-4</v>
      </c>
      <c r="D320" s="139">
        <v>1.6988194808881862E-4</v>
      </c>
    </row>
    <row r="321" spans="1:4" ht="14.4" x14ac:dyDescent="0.3">
      <c r="A321" s="137">
        <v>80601</v>
      </c>
      <c r="B321" s="138" t="s">
        <v>841</v>
      </c>
      <c r="C321" s="139">
        <v>0</v>
      </c>
      <c r="D321" s="139">
        <v>0</v>
      </c>
    </row>
    <row r="322" spans="1:4" ht="14.4" x14ac:dyDescent="0.3">
      <c r="A322" s="137">
        <v>80602</v>
      </c>
      <c r="B322" s="138" t="s">
        <v>693</v>
      </c>
      <c r="C322" s="139">
        <v>0</v>
      </c>
      <c r="D322" s="139">
        <v>0.20594678018089291</v>
      </c>
    </row>
    <row r="323" spans="1:4" ht="14.4" x14ac:dyDescent="0.3">
      <c r="A323" s="137">
        <v>80701</v>
      </c>
      <c r="B323" s="138" t="s">
        <v>281</v>
      </c>
      <c r="C323" s="139">
        <v>1.5535239861947381E-2</v>
      </c>
      <c r="D323" s="139">
        <v>7.9607278063104532E-3</v>
      </c>
    </row>
    <row r="324" spans="1:4" ht="14.4" x14ac:dyDescent="0.3">
      <c r="A324" s="137">
        <v>80702</v>
      </c>
      <c r="B324" s="138" t="s">
        <v>266</v>
      </c>
      <c r="C324" s="139">
        <v>5.6729634240216976E-3</v>
      </c>
      <c r="D324" s="139">
        <v>2.877979577950926E-3</v>
      </c>
    </row>
    <row r="325" spans="1:4" ht="14.4" x14ac:dyDescent="0.3">
      <c r="A325" s="137">
        <v>80703</v>
      </c>
      <c r="B325" s="138" t="s">
        <v>842</v>
      </c>
      <c r="C325" s="139">
        <v>0</v>
      </c>
      <c r="D325" s="139">
        <v>0</v>
      </c>
    </row>
    <row r="326" spans="1:4" ht="14.4" x14ac:dyDescent="0.3">
      <c r="A326" s="137">
        <v>80801</v>
      </c>
      <c r="B326" s="138" t="s">
        <v>843</v>
      </c>
      <c r="C326" s="139">
        <v>0</v>
      </c>
      <c r="D326" s="139">
        <v>0</v>
      </c>
    </row>
    <row r="327" spans="1:4" ht="14.4" x14ac:dyDescent="0.3">
      <c r="A327" s="137">
        <v>80802</v>
      </c>
      <c r="B327" s="138" t="s">
        <v>844</v>
      </c>
      <c r="C327" s="139">
        <v>0</v>
      </c>
      <c r="D327" s="139">
        <v>0</v>
      </c>
    </row>
    <row r="328" spans="1:4" ht="14.4" x14ac:dyDescent="0.3">
      <c r="A328" s="137">
        <v>80803</v>
      </c>
      <c r="B328" s="138" t="s">
        <v>845</v>
      </c>
      <c r="C328" s="139">
        <v>0</v>
      </c>
      <c r="D328" s="139">
        <v>0</v>
      </c>
    </row>
    <row r="329" spans="1:4" ht="14.4" x14ac:dyDescent="0.3">
      <c r="A329" s="137">
        <v>80901</v>
      </c>
      <c r="B329" s="138" t="s">
        <v>846</v>
      </c>
      <c r="C329" s="139">
        <v>0</v>
      </c>
      <c r="D329" s="139">
        <v>0</v>
      </c>
    </row>
    <row r="330" spans="1:4" ht="14.4" x14ac:dyDescent="0.3">
      <c r="A330" s="137">
        <v>90101</v>
      </c>
      <c r="B330" s="138" t="s">
        <v>285</v>
      </c>
      <c r="C330" s="139">
        <v>1.4173450392418854</v>
      </c>
      <c r="D330" s="139">
        <v>1.367043396743397</v>
      </c>
    </row>
    <row r="331" spans="1:4" ht="14.4" x14ac:dyDescent="0.3">
      <c r="A331" s="137">
        <v>90102</v>
      </c>
      <c r="B331" s="138" t="s">
        <v>702</v>
      </c>
      <c r="C331" s="139">
        <v>0</v>
      </c>
      <c r="D331" s="139">
        <v>0.15764381470003455</v>
      </c>
    </row>
    <row r="332" spans="1:4" ht="14.4" x14ac:dyDescent="0.3">
      <c r="A332" s="137">
        <v>90103</v>
      </c>
      <c r="B332" s="138" t="s">
        <v>847</v>
      </c>
      <c r="C332" s="139">
        <v>0</v>
      </c>
      <c r="D332" s="139">
        <v>0</v>
      </c>
    </row>
    <row r="333" spans="1:4" ht="14.4" x14ac:dyDescent="0.3">
      <c r="A333" s="137">
        <v>90104</v>
      </c>
      <c r="B333" s="138" t="s">
        <v>848</v>
      </c>
      <c r="C333" s="139">
        <v>0</v>
      </c>
      <c r="D333" s="139">
        <v>0</v>
      </c>
    </row>
    <row r="334" spans="1:4" ht="14.4" x14ac:dyDescent="0.3">
      <c r="A334" s="137">
        <v>90201</v>
      </c>
      <c r="B334" s="138" t="s">
        <v>849</v>
      </c>
      <c r="C334" s="139">
        <v>0</v>
      </c>
      <c r="D334" s="139">
        <v>0</v>
      </c>
    </row>
    <row r="335" spans="1:4" ht="14.4" x14ac:dyDescent="0.3">
      <c r="A335" s="137">
        <v>90202</v>
      </c>
      <c r="B335" s="138" t="s">
        <v>265</v>
      </c>
      <c r="C335" s="139">
        <v>0</v>
      </c>
      <c r="D335" s="139">
        <v>0</v>
      </c>
    </row>
    <row r="336" spans="1:4" ht="14.4" x14ac:dyDescent="0.3">
      <c r="A336" s="137">
        <v>90203</v>
      </c>
      <c r="B336" s="138" t="s">
        <v>850</v>
      </c>
      <c r="C336" s="139">
        <v>0</v>
      </c>
      <c r="D336" s="139">
        <v>0</v>
      </c>
    </row>
    <row r="337" spans="1:4" ht="14.4" x14ac:dyDescent="0.3">
      <c r="A337" s="137">
        <v>90301</v>
      </c>
      <c r="B337" s="138" t="s">
        <v>851</v>
      </c>
      <c r="C337" s="139">
        <v>0</v>
      </c>
      <c r="D337" s="139">
        <v>0</v>
      </c>
    </row>
    <row r="338" spans="1:4" ht="14.4" x14ac:dyDescent="0.3">
      <c r="A338" s="137">
        <v>90302</v>
      </c>
      <c r="B338" s="138" t="s">
        <v>219</v>
      </c>
      <c r="C338" s="139">
        <v>0</v>
      </c>
      <c r="D338" s="139">
        <v>0</v>
      </c>
    </row>
    <row r="339" spans="1:4" ht="14.4" x14ac:dyDescent="0.3">
      <c r="A339" s="137">
        <v>90303</v>
      </c>
      <c r="B339" s="138" t="s">
        <v>852</v>
      </c>
      <c r="C339" s="139">
        <v>0</v>
      </c>
      <c r="D339" s="139">
        <v>0</v>
      </c>
    </row>
    <row r="340" spans="1:4" ht="14.4" x14ac:dyDescent="0.3">
      <c r="A340" s="137">
        <v>90401</v>
      </c>
      <c r="B340" s="138" t="s">
        <v>824</v>
      </c>
      <c r="C340" s="139">
        <v>0</v>
      </c>
      <c r="D340" s="139">
        <v>0</v>
      </c>
    </row>
    <row r="341" spans="1:4" ht="14.4" x14ac:dyDescent="0.3">
      <c r="A341" s="137">
        <v>90402</v>
      </c>
      <c r="B341" s="138" t="s">
        <v>853</v>
      </c>
      <c r="C341" s="139">
        <v>0</v>
      </c>
      <c r="D341" s="139">
        <v>0</v>
      </c>
    </row>
    <row r="342" spans="1:4" ht="14.4" x14ac:dyDescent="0.3">
      <c r="A342" s="137">
        <v>90501</v>
      </c>
      <c r="B342" s="138" t="s">
        <v>854</v>
      </c>
      <c r="C342" s="139">
        <v>0</v>
      </c>
      <c r="D342" s="139">
        <v>0</v>
      </c>
    </row>
    <row r="343" spans="1:4" ht="14.4" x14ac:dyDescent="0.3">
      <c r="A343" s="137">
        <v>90502</v>
      </c>
      <c r="B343" s="138" t="s">
        <v>855</v>
      </c>
      <c r="C343" s="139">
        <v>0</v>
      </c>
      <c r="D343" s="139">
        <v>0</v>
      </c>
    </row>
    <row r="344" spans="1:4" ht="14.4" x14ac:dyDescent="0.3">
      <c r="A344" s="137">
        <v>90503</v>
      </c>
      <c r="B344" s="138" t="s">
        <v>856</v>
      </c>
      <c r="C344" s="139">
        <v>0</v>
      </c>
      <c r="D344" s="139">
        <v>0</v>
      </c>
    </row>
    <row r="345" spans="1:4" ht="14.4" x14ac:dyDescent="0.3">
      <c r="A345" s="62"/>
      <c r="B345" s="62"/>
    </row>
    <row r="346" spans="1:4" ht="14.4" x14ac:dyDescent="0.3">
      <c r="A346" s="62"/>
      <c r="B346" s="62"/>
    </row>
    <row r="347" spans="1:4" ht="14.4" x14ac:dyDescent="0.3">
      <c r="A347" s="62"/>
      <c r="B347" s="62"/>
    </row>
    <row r="348" spans="1:4" ht="14.4" x14ac:dyDescent="0.3">
      <c r="A348" s="62"/>
      <c r="B348" s="62"/>
    </row>
    <row r="349" spans="1:4" ht="14.4" x14ac:dyDescent="0.3">
      <c r="A349" s="62"/>
      <c r="B349" s="62"/>
    </row>
    <row r="350" spans="1:4" ht="14.4" x14ac:dyDescent="0.3">
      <c r="A350" s="62"/>
      <c r="B350" s="62"/>
    </row>
    <row r="351" spans="1:4" ht="14.4" x14ac:dyDescent="0.3">
      <c r="A351" s="62"/>
      <c r="B351" s="62"/>
    </row>
    <row r="352" spans="1:4" ht="14.4" x14ac:dyDescent="0.3">
      <c r="A352" s="62"/>
      <c r="B352" s="62"/>
    </row>
    <row r="353" spans="1:2" ht="14.4" x14ac:dyDescent="0.3">
      <c r="A353" s="62"/>
      <c r="B353" s="62"/>
    </row>
    <row r="354" spans="1:2" ht="14.4" x14ac:dyDescent="0.3">
      <c r="A354" s="62"/>
      <c r="B354" s="62"/>
    </row>
    <row r="355" spans="1:2" ht="14.4" x14ac:dyDescent="0.3">
      <c r="A355" s="62"/>
      <c r="B355" s="62"/>
    </row>
    <row r="356" spans="1:2" ht="14.4" x14ac:dyDescent="0.3">
      <c r="A356" s="62"/>
      <c r="B356" s="62"/>
    </row>
    <row r="357" spans="1:2" ht="14.4" x14ac:dyDescent="0.3">
      <c r="A357" s="62"/>
      <c r="B357" s="62"/>
    </row>
    <row r="358" spans="1:2" ht="14.4" x14ac:dyDescent="0.3">
      <c r="A358" s="62"/>
      <c r="B358" s="62"/>
    </row>
    <row r="359" spans="1:2" ht="14.4" x14ac:dyDescent="0.3">
      <c r="A359" s="62"/>
      <c r="B359" s="62"/>
    </row>
    <row r="360" spans="1:2" ht="14.4" x14ac:dyDescent="0.3">
      <c r="A360" s="62"/>
      <c r="B360" s="62"/>
    </row>
    <row r="361" spans="1:2" ht="14.4" x14ac:dyDescent="0.3">
      <c r="A361" s="62"/>
      <c r="B361" s="62"/>
    </row>
    <row r="362" spans="1:2" ht="14.4" x14ac:dyDescent="0.3">
      <c r="A362" s="62"/>
      <c r="B362" s="62"/>
    </row>
    <row r="363" spans="1:2" ht="14.4" x14ac:dyDescent="0.3">
      <c r="A363" s="62"/>
      <c r="B363" s="62"/>
    </row>
    <row r="364" spans="1:2" ht="14.4" x14ac:dyDescent="0.3">
      <c r="A364" s="62"/>
      <c r="B364" s="62"/>
    </row>
    <row r="365" spans="1:2" ht="14.4" x14ac:dyDescent="0.3">
      <c r="A365" s="62"/>
      <c r="B365" s="62"/>
    </row>
    <row r="366" spans="1:2" ht="14.4" x14ac:dyDescent="0.3">
      <c r="A366" s="62"/>
      <c r="B366" s="62"/>
    </row>
    <row r="367" spans="1:2" ht="14.4" x14ac:dyDescent="0.3">
      <c r="A367" s="62"/>
      <c r="B367" s="62"/>
    </row>
    <row r="368" spans="1:2" ht="14.4" x14ac:dyDescent="0.3">
      <c r="A368" s="62"/>
      <c r="B368" s="62"/>
    </row>
    <row r="369" spans="1:2" ht="14.4" x14ac:dyDescent="0.3">
      <c r="A369" s="62"/>
      <c r="B369" s="62"/>
    </row>
    <row r="370" spans="1:2" ht="14.4" x14ac:dyDescent="0.3">
      <c r="A370" s="62"/>
      <c r="B370" s="62"/>
    </row>
    <row r="371" spans="1:2" ht="14.4" x14ac:dyDescent="0.3">
      <c r="A371" s="62"/>
      <c r="B371" s="62"/>
    </row>
    <row r="372" spans="1:2" ht="14.4" x14ac:dyDescent="0.3">
      <c r="A372" s="62"/>
      <c r="B372" s="62"/>
    </row>
    <row r="373" spans="1:2" ht="14.4" x14ac:dyDescent="0.3">
      <c r="A373" s="62"/>
      <c r="B373" s="62"/>
    </row>
    <row r="374" spans="1:2" ht="14.4" x14ac:dyDescent="0.3">
      <c r="A374" s="62"/>
      <c r="B374" s="62"/>
    </row>
    <row r="375" spans="1:2" ht="14.4" x14ac:dyDescent="0.3">
      <c r="A375" s="62"/>
      <c r="B375" s="62"/>
    </row>
    <row r="376" spans="1:2" ht="14.4" x14ac:dyDescent="0.3">
      <c r="A376" s="62"/>
      <c r="B376" s="62"/>
    </row>
    <row r="377" spans="1:2" ht="14.4" x14ac:dyDescent="0.3">
      <c r="A377" s="62"/>
      <c r="B377" s="62"/>
    </row>
    <row r="378" spans="1:2" ht="14.4" x14ac:dyDescent="0.3">
      <c r="A378" s="62"/>
      <c r="B378" s="62"/>
    </row>
    <row r="379" spans="1:2" ht="14.4" x14ac:dyDescent="0.3">
      <c r="A379" s="62"/>
      <c r="B379" s="62"/>
    </row>
    <row r="380" spans="1:2" ht="14.4" x14ac:dyDescent="0.3">
      <c r="A380" s="62"/>
      <c r="B380" s="62"/>
    </row>
    <row r="381" spans="1:2" ht="14.4" x14ac:dyDescent="0.3">
      <c r="A381" s="62"/>
      <c r="B381" s="62"/>
    </row>
    <row r="382" spans="1:2" ht="14.4" x14ac:dyDescent="0.3">
      <c r="A382" s="62"/>
      <c r="B382" s="62"/>
    </row>
    <row r="383" spans="1:2" ht="14.4" x14ac:dyDescent="0.3">
      <c r="A383" s="62"/>
      <c r="B383" s="62"/>
    </row>
    <row r="384" spans="1:2" ht="14.4" x14ac:dyDescent="0.3">
      <c r="A384" s="62"/>
      <c r="B384" s="62"/>
    </row>
    <row r="385" spans="1:2" ht="14.4" x14ac:dyDescent="0.3">
      <c r="A385" s="62"/>
      <c r="B385" s="62"/>
    </row>
    <row r="386" spans="1:2" ht="14.4" x14ac:dyDescent="0.3">
      <c r="A386" s="62"/>
      <c r="B386" s="62"/>
    </row>
    <row r="387" spans="1:2" ht="14.4" x14ac:dyDescent="0.3">
      <c r="A387" s="62"/>
      <c r="B387" s="62"/>
    </row>
    <row r="388" spans="1:2" ht="14.4" x14ac:dyDescent="0.3">
      <c r="A388" s="62"/>
      <c r="B388" s="62"/>
    </row>
    <row r="389" spans="1:2" ht="14.4" x14ac:dyDescent="0.3">
      <c r="A389" s="62"/>
      <c r="B389" s="62"/>
    </row>
    <row r="390" spans="1:2" ht="14.4" x14ac:dyDescent="0.3">
      <c r="A390" s="62"/>
      <c r="B390" s="62"/>
    </row>
    <row r="391" spans="1:2" ht="14.4" x14ac:dyDescent="0.3">
      <c r="A391" s="62"/>
      <c r="B391" s="62"/>
    </row>
    <row r="392" spans="1:2" ht="14.4" x14ac:dyDescent="0.3">
      <c r="A392" s="62"/>
      <c r="B392" s="62"/>
    </row>
    <row r="393" spans="1:2" ht="14.4" x14ac:dyDescent="0.3">
      <c r="A393" s="62"/>
      <c r="B393" s="62"/>
    </row>
    <row r="394" spans="1:2" ht="14.4" x14ac:dyDescent="0.3">
      <c r="A394" s="62"/>
      <c r="B394" s="62"/>
    </row>
    <row r="395" spans="1:2" ht="14.4" x14ac:dyDescent="0.3">
      <c r="A395" s="62"/>
      <c r="B395" s="62"/>
    </row>
    <row r="396" spans="1:2" ht="14.4" x14ac:dyDescent="0.3">
      <c r="A396" s="62"/>
      <c r="B396" s="62"/>
    </row>
    <row r="397" spans="1:2" ht="14.4" x14ac:dyDescent="0.3">
      <c r="A397" s="62"/>
      <c r="B397" s="62"/>
    </row>
    <row r="398" spans="1:2" ht="14.4" x14ac:dyDescent="0.3">
      <c r="A398" s="62"/>
      <c r="B398" s="62"/>
    </row>
    <row r="399" spans="1:2" ht="14.4" x14ac:dyDescent="0.3">
      <c r="A399" s="62"/>
      <c r="B399" s="62"/>
    </row>
    <row r="400" spans="1:2" ht="14.4" x14ac:dyDescent="0.3">
      <c r="A400" s="62"/>
      <c r="B400" s="62"/>
    </row>
    <row r="401" spans="1:2" ht="14.4" x14ac:dyDescent="0.3">
      <c r="A401" s="62"/>
      <c r="B401" s="62"/>
    </row>
    <row r="402" spans="1:2" ht="14.4" x14ac:dyDescent="0.3">
      <c r="A402" s="62"/>
      <c r="B402" s="62"/>
    </row>
    <row r="403" spans="1:2" ht="14.4" x14ac:dyDescent="0.3">
      <c r="A403" s="62"/>
      <c r="B403" s="62"/>
    </row>
    <row r="404" spans="1:2" ht="14.4" x14ac:dyDescent="0.3">
      <c r="A404" s="62"/>
      <c r="B404" s="62"/>
    </row>
    <row r="405" spans="1:2" ht="14.4" x14ac:dyDescent="0.3">
      <c r="A405" s="62"/>
      <c r="B405" s="62"/>
    </row>
    <row r="406" spans="1:2" ht="14.4" x14ac:dyDescent="0.3">
      <c r="A406" s="62"/>
      <c r="B406" s="62"/>
    </row>
    <row r="407" spans="1:2" ht="14.4" x14ac:dyDescent="0.3">
      <c r="A407" s="62"/>
      <c r="B407" s="62"/>
    </row>
    <row r="408" spans="1:2" ht="14.4" x14ac:dyDescent="0.3">
      <c r="A408" s="62"/>
      <c r="B408" s="62"/>
    </row>
    <row r="409" spans="1:2" ht="14.4" x14ac:dyDescent="0.3">
      <c r="A409" s="62"/>
      <c r="B409" s="62"/>
    </row>
    <row r="410" spans="1:2" ht="14.4" x14ac:dyDescent="0.3">
      <c r="A410" s="62"/>
      <c r="B410" s="62"/>
    </row>
    <row r="411" spans="1:2" ht="14.4" x14ac:dyDescent="0.3">
      <c r="A411" s="62"/>
      <c r="B411" s="62"/>
    </row>
    <row r="412" spans="1:2" ht="14.4" x14ac:dyDescent="0.3">
      <c r="A412" s="62"/>
      <c r="B412" s="62"/>
    </row>
    <row r="413" spans="1:2" ht="14.4" x14ac:dyDescent="0.3">
      <c r="A413" s="62"/>
      <c r="B413" s="62"/>
    </row>
    <row r="414" spans="1:2" ht="14.4" x14ac:dyDescent="0.3">
      <c r="A414" s="62"/>
      <c r="B414" s="62"/>
    </row>
    <row r="415" spans="1:2" ht="14.4" x14ac:dyDescent="0.3">
      <c r="A415" s="62"/>
      <c r="B415" s="62"/>
    </row>
    <row r="416" spans="1:2" ht="14.4" x14ac:dyDescent="0.3">
      <c r="A416" s="62"/>
      <c r="B416" s="62"/>
    </row>
    <row r="417" spans="1:2" ht="14.4" x14ac:dyDescent="0.3">
      <c r="A417" s="62"/>
      <c r="B417" s="62"/>
    </row>
    <row r="418" spans="1:2" ht="14.4" x14ac:dyDescent="0.3">
      <c r="A418" s="62"/>
      <c r="B418" s="62"/>
    </row>
    <row r="419" spans="1:2" ht="14.4" x14ac:dyDescent="0.3">
      <c r="A419" s="62"/>
      <c r="B419" s="62"/>
    </row>
    <row r="420" spans="1:2" ht="14.4" x14ac:dyDescent="0.3">
      <c r="A420" s="62"/>
      <c r="B420" s="62"/>
    </row>
    <row r="421" spans="1:2" ht="14.4" x14ac:dyDescent="0.3">
      <c r="A421" s="62"/>
      <c r="B421" s="62"/>
    </row>
    <row r="422" spans="1:2" ht="14.4" x14ac:dyDescent="0.3">
      <c r="A422" s="62"/>
      <c r="B422" s="62"/>
    </row>
    <row r="423" spans="1:2" ht="14.4" x14ac:dyDescent="0.3">
      <c r="A423" s="62"/>
      <c r="B423" s="62"/>
    </row>
    <row r="424" spans="1:2" ht="14.4" x14ac:dyDescent="0.3">
      <c r="A424" s="62"/>
      <c r="B424" s="62"/>
    </row>
    <row r="425" spans="1:2" ht="14.4" x14ac:dyDescent="0.3">
      <c r="A425" s="62"/>
      <c r="B425" s="62"/>
    </row>
    <row r="426" spans="1:2" ht="14.4" x14ac:dyDescent="0.3">
      <c r="A426" s="62"/>
      <c r="B426" s="62"/>
    </row>
    <row r="427" spans="1:2" ht="14.4" x14ac:dyDescent="0.3">
      <c r="A427" s="62"/>
      <c r="B427" s="62"/>
    </row>
    <row r="428" spans="1:2" ht="14.4" x14ac:dyDescent="0.3">
      <c r="A428" s="62"/>
      <c r="B428" s="62"/>
    </row>
    <row r="429" spans="1:2" ht="14.4" x14ac:dyDescent="0.3">
      <c r="A429" s="62"/>
      <c r="B429" s="62"/>
    </row>
    <row r="430" spans="1:2" ht="14.4" x14ac:dyDescent="0.3">
      <c r="A430" s="62"/>
      <c r="B430" s="62"/>
    </row>
    <row r="431" spans="1:2" ht="14.4" x14ac:dyDescent="0.3">
      <c r="A431" s="62"/>
      <c r="B431" s="62"/>
    </row>
    <row r="432" spans="1:2" ht="14.4" x14ac:dyDescent="0.3">
      <c r="A432" s="62"/>
      <c r="B432" s="62"/>
    </row>
    <row r="433" spans="1:2" ht="14.4" x14ac:dyDescent="0.3">
      <c r="A433" s="62"/>
      <c r="B433" s="62"/>
    </row>
    <row r="434" spans="1:2" ht="14.4" x14ac:dyDescent="0.3">
      <c r="A434" s="62"/>
      <c r="B434" s="62"/>
    </row>
    <row r="435" spans="1:2" ht="14.4" x14ac:dyDescent="0.3">
      <c r="A435" s="62"/>
      <c r="B435" s="62"/>
    </row>
    <row r="436" spans="1:2" ht="14.4" x14ac:dyDescent="0.3">
      <c r="A436" s="62"/>
      <c r="B436" s="62"/>
    </row>
    <row r="437" spans="1:2" ht="14.4" x14ac:dyDescent="0.3">
      <c r="A437" s="62"/>
      <c r="B437" s="62"/>
    </row>
    <row r="438" spans="1:2" ht="14.4" x14ac:dyDescent="0.3">
      <c r="A438" s="62"/>
      <c r="B438" s="62"/>
    </row>
    <row r="439" spans="1:2" ht="14.4" x14ac:dyDescent="0.3">
      <c r="A439" s="62"/>
      <c r="B439" s="62"/>
    </row>
    <row r="440" spans="1:2" ht="14.4" x14ac:dyDescent="0.3">
      <c r="A440" s="62"/>
      <c r="B440" s="62"/>
    </row>
    <row r="441" spans="1:2" ht="14.4" x14ac:dyDescent="0.3">
      <c r="A441" s="62"/>
      <c r="B441" s="62"/>
    </row>
    <row r="442" spans="1:2" ht="14.4" x14ac:dyDescent="0.3">
      <c r="A442" s="62"/>
      <c r="B442" s="62"/>
    </row>
    <row r="443" spans="1:2" ht="14.4" x14ac:dyDescent="0.3">
      <c r="A443" s="62"/>
      <c r="B443" s="62"/>
    </row>
    <row r="444" spans="1:2" ht="14.4" x14ac:dyDescent="0.3">
      <c r="A444" s="62"/>
      <c r="B444" s="62"/>
    </row>
    <row r="445" spans="1:2" ht="14.4" x14ac:dyDescent="0.3">
      <c r="A445" s="62"/>
      <c r="B445" s="62"/>
    </row>
    <row r="446" spans="1:2" ht="14.4" x14ac:dyDescent="0.3">
      <c r="A446" s="62"/>
      <c r="B446" s="62"/>
    </row>
    <row r="447" spans="1:2" ht="14.4" x14ac:dyDescent="0.3">
      <c r="A447" s="62"/>
      <c r="B447" s="62"/>
    </row>
    <row r="448" spans="1:2" ht="14.4" x14ac:dyDescent="0.3">
      <c r="A448" s="62"/>
      <c r="B448" s="62"/>
    </row>
    <row r="449" spans="1:2" ht="14.4" x14ac:dyDescent="0.3">
      <c r="A449" s="62"/>
      <c r="B449" s="62"/>
    </row>
    <row r="450" spans="1:2" ht="14.4" x14ac:dyDescent="0.3">
      <c r="A450" s="62"/>
      <c r="B450" s="62"/>
    </row>
    <row r="451" spans="1:2" ht="14.4" x14ac:dyDescent="0.3">
      <c r="A451" s="62"/>
      <c r="B451" s="62"/>
    </row>
    <row r="452" spans="1:2" ht="14.4" x14ac:dyDescent="0.3">
      <c r="A452" s="62"/>
      <c r="B452" s="62"/>
    </row>
    <row r="453" spans="1:2" ht="14.4" x14ac:dyDescent="0.3">
      <c r="A453" s="62"/>
      <c r="B453" s="62"/>
    </row>
    <row r="454" spans="1:2" ht="14.4" x14ac:dyDescent="0.3">
      <c r="A454" s="62"/>
      <c r="B454" s="62"/>
    </row>
    <row r="455" spans="1:2" ht="14.4" x14ac:dyDescent="0.3">
      <c r="A455" s="62"/>
      <c r="B455" s="62"/>
    </row>
    <row r="456" spans="1:2" ht="14.4" x14ac:dyDescent="0.3">
      <c r="A456" s="62"/>
      <c r="B456" s="62"/>
    </row>
    <row r="457" spans="1:2" ht="14.4" x14ac:dyDescent="0.3">
      <c r="A457" s="62"/>
      <c r="B457" s="62"/>
    </row>
    <row r="458" spans="1:2" ht="14.4" x14ac:dyDescent="0.3">
      <c r="A458" s="62"/>
      <c r="B458" s="62"/>
    </row>
    <row r="459" spans="1:2" ht="14.4" x14ac:dyDescent="0.3">
      <c r="A459" s="62"/>
      <c r="B459" s="62"/>
    </row>
    <row r="460" spans="1:2" ht="14.4" x14ac:dyDescent="0.3">
      <c r="A460" s="62"/>
      <c r="B460" s="62"/>
    </row>
    <row r="461" spans="1:2" ht="14.4" x14ac:dyDescent="0.3">
      <c r="A461" s="62"/>
      <c r="B461" s="62"/>
    </row>
    <row r="462" spans="1:2" ht="14.4" x14ac:dyDescent="0.3">
      <c r="A462" s="62"/>
      <c r="B462" s="62"/>
    </row>
    <row r="463" spans="1:2" ht="14.4" x14ac:dyDescent="0.3">
      <c r="A463" s="62"/>
      <c r="B463" s="62"/>
    </row>
    <row r="464" spans="1:2" ht="14.4" x14ac:dyDescent="0.3">
      <c r="A464" s="62"/>
      <c r="B464" s="62"/>
    </row>
    <row r="465" spans="1:2" ht="14.4" x14ac:dyDescent="0.3">
      <c r="A465" s="62"/>
      <c r="B465" s="62"/>
    </row>
    <row r="466" spans="1:2" ht="14.4" x14ac:dyDescent="0.3">
      <c r="A466" s="62"/>
      <c r="B466" s="62"/>
    </row>
    <row r="467" spans="1:2" ht="14.4" x14ac:dyDescent="0.3">
      <c r="A467" s="62"/>
      <c r="B467" s="62"/>
    </row>
    <row r="468" spans="1:2" ht="14.4" x14ac:dyDescent="0.3">
      <c r="A468" s="62"/>
      <c r="B468" s="62"/>
    </row>
    <row r="469" spans="1:2" ht="14.4" x14ac:dyDescent="0.3">
      <c r="A469" s="62"/>
      <c r="B469" s="62"/>
    </row>
    <row r="470" spans="1:2" ht="14.4" x14ac:dyDescent="0.3">
      <c r="A470" s="62"/>
      <c r="B470" s="62"/>
    </row>
    <row r="471" spans="1:2" ht="14.4" x14ac:dyDescent="0.3">
      <c r="A471" s="62"/>
      <c r="B471" s="62"/>
    </row>
    <row r="472" spans="1:2" ht="14.4" x14ac:dyDescent="0.3">
      <c r="A472" s="62"/>
      <c r="B472" s="62"/>
    </row>
    <row r="473" spans="1:2" ht="14.4" x14ac:dyDescent="0.3">
      <c r="A473" s="62"/>
      <c r="B473" s="62"/>
    </row>
    <row r="474" spans="1:2" ht="14.4" x14ac:dyDescent="0.3">
      <c r="A474" s="62"/>
      <c r="B474" s="62"/>
    </row>
    <row r="475" spans="1:2" ht="14.4" x14ac:dyDescent="0.3">
      <c r="A475" s="62"/>
      <c r="B475" s="62"/>
    </row>
    <row r="476" spans="1:2" ht="14.4" x14ac:dyDescent="0.3">
      <c r="A476" s="62"/>
      <c r="B476" s="62"/>
    </row>
    <row r="477" spans="1:2" ht="14.4" x14ac:dyDescent="0.3">
      <c r="A477" s="62"/>
      <c r="B477" s="62"/>
    </row>
    <row r="478" spans="1:2" ht="14.4" x14ac:dyDescent="0.3">
      <c r="A478" s="62"/>
      <c r="B478" s="62"/>
    </row>
    <row r="479" spans="1:2" ht="14.4" x14ac:dyDescent="0.3">
      <c r="A479" s="62"/>
      <c r="B479" s="62"/>
    </row>
    <row r="480" spans="1:2" ht="14.4" x14ac:dyDescent="0.3">
      <c r="A480" s="62"/>
      <c r="B480" s="62"/>
    </row>
    <row r="481" spans="1:2" ht="14.4" x14ac:dyDescent="0.3">
      <c r="A481" s="62"/>
      <c r="B481" s="62"/>
    </row>
    <row r="482" spans="1:2" ht="14.4" x14ac:dyDescent="0.3">
      <c r="A482" s="62"/>
      <c r="B482" s="62"/>
    </row>
    <row r="483" spans="1:2" ht="14.4" x14ac:dyDescent="0.3">
      <c r="A483" s="62"/>
      <c r="B483" s="62"/>
    </row>
    <row r="484" spans="1:2" ht="14.4" x14ac:dyDescent="0.3">
      <c r="A484" s="62"/>
      <c r="B484" s="62"/>
    </row>
    <row r="485" spans="1:2" ht="14.4" x14ac:dyDescent="0.3">
      <c r="A485" s="62"/>
      <c r="B485" s="62"/>
    </row>
    <row r="486" spans="1:2" ht="14.4" x14ac:dyDescent="0.3">
      <c r="A486" s="62"/>
      <c r="B486" s="62"/>
    </row>
    <row r="487" spans="1:2" ht="14.4" x14ac:dyDescent="0.3">
      <c r="A487" s="62"/>
      <c r="B487" s="62"/>
    </row>
    <row r="488" spans="1:2" ht="14.4" x14ac:dyDescent="0.3">
      <c r="A488" s="62"/>
      <c r="B488" s="62"/>
    </row>
    <row r="489" spans="1:2" ht="14.4" x14ac:dyDescent="0.3">
      <c r="A489" s="62"/>
      <c r="B489" s="62"/>
    </row>
    <row r="490" spans="1:2" ht="14.4" x14ac:dyDescent="0.3">
      <c r="A490" s="62"/>
      <c r="B490" s="62"/>
    </row>
    <row r="491" spans="1:2" ht="14.4" x14ac:dyDescent="0.3">
      <c r="A491" s="62"/>
      <c r="B491" s="62"/>
    </row>
    <row r="492" spans="1:2" ht="14.4" x14ac:dyDescent="0.3">
      <c r="A492" s="62"/>
      <c r="B492" s="62"/>
    </row>
    <row r="493" spans="1:2" ht="14.4" x14ac:dyDescent="0.3">
      <c r="A493" s="62"/>
      <c r="B493" s="62"/>
    </row>
    <row r="494" spans="1:2" ht="14.4" x14ac:dyDescent="0.3">
      <c r="A494" s="62"/>
      <c r="B494" s="62"/>
    </row>
    <row r="495" spans="1:2" ht="14.4" x14ac:dyDescent="0.3">
      <c r="A495" s="62"/>
      <c r="B495" s="62"/>
    </row>
    <row r="496" spans="1:2" ht="14.4" x14ac:dyDescent="0.3">
      <c r="A496" s="62"/>
      <c r="B496" s="62"/>
    </row>
    <row r="497" spans="1:2" ht="14.4" x14ac:dyDescent="0.3">
      <c r="A497" s="62"/>
      <c r="B497" s="62"/>
    </row>
    <row r="498" spans="1:2" ht="14.4" x14ac:dyDescent="0.3">
      <c r="A498" s="62"/>
      <c r="B498" s="62"/>
    </row>
    <row r="499" spans="1:2" ht="14.4" x14ac:dyDescent="0.3">
      <c r="A499" s="62"/>
      <c r="B499" s="62"/>
    </row>
    <row r="500" spans="1:2" ht="14.4" x14ac:dyDescent="0.3">
      <c r="A500" s="62"/>
      <c r="B500" s="62"/>
    </row>
    <row r="501" spans="1:2" ht="14.4" x14ac:dyDescent="0.3">
      <c r="A501" s="62"/>
      <c r="B501" s="62"/>
    </row>
    <row r="502" spans="1:2" ht="14.4" x14ac:dyDescent="0.3">
      <c r="A502" s="62"/>
      <c r="B502" s="62"/>
    </row>
    <row r="503" spans="1:2" ht="14.4" x14ac:dyDescent="0.3">
      <c r="A503" s="62"/>
      <c r="B503" s="62"/>
    </row>
    <row r="504" spans="1:2" ht="14.4" x14ac:dyDescent="0.3">
      <c r="A504" s="62"/>
      <c r="B504" s="62"/>
    </row>
    <row r="505" spans="1:2" ht="14.4" x14ac:dyDescent="0.3">
      <c r="A505" s="62"/>
      <c r="B505" s="62"/>
    </row>
    <row r="506" spans="1:2" ht="14.4" x14ac:dyDescent="0.3">
      <c r="A506" s="62"/>
      <c r="B506" s="62"/>
    </row>
    <row r="507" spans="1:2" ht="14.4" x14ac:dyDescent="0.3">
      <c r="A507" s="62"/>
      <c r="B507" s="62"/>
    </row>
    <row r="508" spans="1:2" ht="14.4" x14ac:dyDescent="0.3">
      <c r="A508" s="62"/>
      <c r="B508" s="62"/>
    </row>
    <row r="509" spans="1:2" ht="14.4" x14ac:dyDescent="0.3">
      <c r="A509" s="62"/>
      <c r="B509" s="62"/>
    </row>
    <row r="510" spans="1:2" ht="14.4" x14ac:dyDescent="0.3">
      <c r="A510" s="62"/>
      <c r="B510" s="62"/>
    </row>
    <row r="511" spans="1:2" ht="14.4" x14ac:dyDescent="0.3">
      <c r="A511" s="62"/>
      <c r="B511" s="62"/>
    </row>
    <row r="512" spans="1:2" ht="14.4" x14ac:dyDescent="0.3">
      <c r="A512" s="62"/>
      <c r="B512" s="62"/>
    </row>
    <row r="513" spans="1:2" ht="14.4" x14ac:dyDescent="0.3">
      <c r="A513" s="62"/>
      <c r="B513" s="62"/>
    </row>
    <row r="514" spans="1:2" ht="14.4" x14ac:dyDescent="0.3">
      <c r="A514" s="62"/>
      <c r="B514" s="62"/>
    </row>
    <row r="515" spans="1:2" ht="14.4" x14ac:dyDescent="0.3">
      <c r="A515" s="62"/>
      <c r="B515" s="62"/>
    </row>
    <row r="516" spans="1:2" ht="14.4" x14ac:dyDescent="0.3">
      <c r="A516" s="62"/>
      <c r="B516" s="62"/>
    </row>
    <row r="517" spans="1:2" ht="14.4" x14ac:dyDescent="0.3">
      <c r="A517" s="62"/>
      <c r="B517" s="62"/>
    </row>
    <row r="518" spans="1:2" ht="14.4" x14ac:dyDescent="0.3">
      <c r="A518" s="62"/>
      <c r="B518" s="62"/>
    </row>
    <row r="519" spans="1:2" ht="14.4" x14ac:dyDescent="0.3">
      <c r="A519" s="62"/>
      <c r="B519" s="62"/>
    </row>
    <row r="520" spans="1:2" ht="14.4" x14ac:dyDescent="0.3">
      <c r="A520" s="62"/>
      <c r="B520" s="62"/>
    </row>
    <row r="521" spans="1:2" ht="14.4" x14ac:dyDescent="0.3">
      <c r="A521" s="62"/>
      <c r="B521" s="62"/>
    </row>
    <row r="522" spans="1:2" ht="14.4" x14ac:dyDescent="0.3">
      <c r="A522" s="62"/>
      <c r="B522" s="62"/>
    </row>
    <row r="523" spans="1:2" ht="14.4" x14ac:dyDescent="0.3">
      <c r="A523" s="62"/>
      <c r="B523" s="62"/>
    </row>
    <row r="524" spans="1:2" ht="14.4" x14ac:dyDescent="0.3">
      <c r="A524" s="62"/>
      <c r="B524" s="62"/>
    </row>
    <row r="525" spans="1:2" ht="14.4" x14ac:dyDescent="0.3">
      <c r="A525" s="62"/>
      <c r="B525" s="62"/>
    </row>
    <row r="526" spans="1:2" ht="14.4" x14ac:dyDescent="0.3">
      <c r="A526" s="62"/>
      <c r="B526" s="62"/>
    </row>
    <row r="527" spans="1:2" ht="14.4" x14ac:dyDescent="0.3">
      <c r="A527" s="62"/>
      <c r="B527" s="62"/>
    </row>
    <row r="528" spans="1:2" ht="14.4" x14ac:dyDescent="0.3">
      <c r="A528" s="62"/>
      <c r="B528" s="62"/>
    </row>
    <row r="529" spans="1:2" ht="14.4" x14ac:dyDescent="0.3">
      <c r="A529" s="62"/>
      <c r="B529" s="62"/>
    </row>
    <row r="530" spans="1:2" ht="14.4" x14ac:dyDescent="0.3">
      <c r="A530" s="62"/>
      <c r="B530" s="62"/>
    </row>
    <row r="531" spans="1:2" ht="14.4" x14ac:dyDescent="0.3">
      <c r="A531" s="62"/>
      <c r="B531" s="62"/>
    </row>
    <row r="532" spans="1:2" ht="14.4" x14ac:dyDescent="0.3">
      <c r="A532" s="62"/>
      <c r="B532" s="62"/>
    </row>
    <row r="533" spans="1:2" ht="14.4" x14ac:dyDescent="0.3">
      <c r="A533" s="62"/>
      <c r="B533" s="62"/>
    </row>
    <row r="534" spans="1:2" ht="14.4" x14ac:dyDescent="0.3">
      <c r="A534" s="62"/>
      <c r="B534" s="62"/>
    </row>
    <row r="535" spans="1:2" ht="14.4" x14ac:dyDescent="0.3">
      <c r="A535" s="62"/>
      <c r="B535" s="62"/>
    </row>
    <row r="536" spans="1:2" ht="14.4" x14ac:dyDescent="0.3">
      <c r="A536" s="62"/>
      <c r="B536" s="62"/>
    </row>
    <row r="537" spans="1:2" ht="14.4" x14ac:dyDescent="0.3">
      <c r="A537" s="62"/>
      <c r="B537" s="62"/>
    </row>
    <row r="538" spans="1:2" ht="14.4" x14ac:dyDescent="0.3">
      <c r="A538" s="62"/>
      <c r="B538" s="62"/>
    </row>
    <row r="539" spans="1:2" ht="14.4" x14ac:dyDescent="0.3">
      <c r="A539" s="62"/>
      <c r="B539" s="62"/>
    </row>
    <row r="540" spans="1:2" ht="14.4" x14ac:dyDescent="0.3">
      <c r="A540" s="62"/>
      <c r="B540" s="62"/>
    </row>
    <row r="541" spans="1:2" ht="14.4" x14ac:dyDescent="0.3">
      <c r="A541" s="62"/>
      <c r="B541" s="62"/>
    </row>
    <row r="542" spans="1:2" ht="14.4" x14ac:dyDescent="0.3">
      <c r="A542" s="62"/>
      <c r="B542" s="62"/>
    </row>
    <row r="543" spans="1:2" ht="14.4" x14ac:dyDescent="0.3">
      <c r="A543" s="62"/>
      <c r="B543" s="62"/>
    </row>
    <row r="544" spans="1:2" ht="14.4" x14ac:dyDescent="0.3">
      <c r="A544" s="62"/>
      <c r="B544" s="62"/>
    </row>
    <row r="545" spans="1:2" ht="14.4" x14ac:dyDescent="0.3">
      <c r="A545" s="62"/>
      <c r="B545" s="62"/>
    </row>
    <row r="546" spans="1:2" ht="14.4" x14ac:dyDescent="0.3">
      <c r="A546" s="62"/>
      <c r="B546" s="62"/>
    </row>
    <row r="547" spans="1:2" ht="14.4" x14ac:dyDescent="0.3">
      <c r="A547" s="62"/>
      <c r="B547" s="62"/>
    </row>
    <row r="548" spans="1:2" ht="14.4" x14ac:dyDescent="0.3">
      <c r="A548" s="62"/>
      <c r="B548" s="62"/>
    </row>
    <row r="549" spans="1:2" ht="14.4" x14ac:dyDescent="0.3">
      <c r="A549" s="62"/>
      <c r="B549" s="62"/>
    </row>
    <row r="550" spans="1:2" ht="14.4" x14ac:dyDescent="0.3">
      <c r="A550" s="62"/>
      <c r="B550" s="62"/>
    </row>
    <row r="551" spans="1:2" ht="14.4" x14ac:dyDescent="0.3">
      <c r="A551" s="62"/>
      <c r="B551" s="62"/>
    </row>
    <row r="552" spans="1:2" ht="14.4" x14ac:dyDescent="0.3">
      <c r="A552" s="62"/>
      <c r="B552" s="62"/>
    </row>
    <row r="553" spans="1:2" ht="14.4" x14ac:dyDescent="0.3">
      <c r="A553" s="62"/>
      <c r="B553" s="62"/>
    </row>
    <row r="554" spans="1:2" ht="14.4" x14ac:dyDescent="0.3">
      <c r="A554" s="62"/>
      <c r="B554" s="62"/>
    </row>
    <row r="555" spans="1:2" ht="14.4" x14ac:dyDescent="0.3">
      <c r="A555" s="62"/>
      <c r="B555" s="62"/>
    </row>
    <row r="556" spans="1:2" ht="14.4" x14ac:dyDescent="0.3">
      <c r="A556" s="62"/>
      <c r="B556" s="62"/>
    </row>
    <row r="557" spans="1:2" ht="14.4" x14ac:dyDescent="0.3">
      <c r="A557" s="62"/>
      <c r="B557" s="62"/>
    </row>
    <row r="558" spans="1:2" ht="14.4" x14ac:dyDescent="0.3">
      <c r="A558" s="62"/>
      <c r="B558" s="62"/>
    </row>
    <row r="559" spans="1:2" ht="14.4" x14ac:dyDescent="0.3">
      <c r="A559" s="62"/>
      <c r="B559" s="62"/>
    </row>
    <row r="560" spans="1:2" ht="14.4" x14ac:dyDescent="0.3">
      <c r="A560" s="62"/>
      <c r="B560" s="62"/>
    </row>
    <row r="561" spans="1:2" ht="14.4" x14ac:dyDescent="0.3">
      <c r="A561" s="62"/>
      <c r="B561" s="62"/>
    </row>
    <row r="562" spans="1:2" ht="14.4" x14ac:dyDescent="0.3">
      <c r="A562" s="62"/>
      <c r="B562" s="62"/>
    </row>
    <row r="563" spans="1:2" ht="14.4" x14ac:dyDescent="0.3">
      <c r="A563" s="62"/>
      <c r="B563" s="62"/>
    </row>
    <row r="564" spans="1:2" ht="14.4" x14ac:dyDescent="0.3">
      <c r="A564" s="62"/>
      <c r="B564" s="62"/>
    </row>
    <row r="565" spans="1:2" ht="14.4" x14ac:dyDescent="0.3">
      <c r="A565" s="62"/>
      <c r="B565" s="62"/>
    </row>
    <row r="566" spans="1:2" ht="14.4" x14ac:dyDescent="0.3">
      <c r="A566" s="62"/>
      <c r="B566" s="62"/>
    </row>
    <row r="567" spans="1:2" ht="14.4" x14ac:dyDescent="0.3">
      <c r="A567" s="62"/>
      <c r="B567" s="62"/>
    </row>
    <row r="568" spans="1:2" ht="14.4" x14ac:dyDescent="0.3">
      <c r="A568" s="62"/>
      <c r="B568" s="62"/>
    </row>
    <row r="569" spans="1:2" ht="14.4" x14ac:dyDescent="0.3">
      <c r="A569" s="62"/>
      <c r="B569" s="62"/>
    </row>
    <row r="570" spans="1:2" ht="14.4" x14ac:dyDescent="0.3">
      <c r="A570" s="62"/>
      <c r="B570" s="62"/>
    </row>
    <row r="571" spans="1:2" ht="14.4" x14ac:dyDescent="0.3">
      <c r="A571" s="62"/>
      <c r="B571" s="62"/>
    </row>
    <row r="572" spans="1:2" ht="14.4" x14ac:dyDescent="0.3">
      <c r="A572" s="62"/>
      <c r="B572" s="62"/>
    </row>
    <row r="573" spans="1:2" ht="14.4" x14ac:dyDescent="0.3">
      <c r="A573" s="62"/>
      <c r="B573" s="62"/>
    </row>
    <row r="574" spans="1:2" ht="14.4" x14ac:dyDescent="0.3">
      <c r="A574" s="62"/>
      <c r="B574" s="62"/>
    </row>
    <row r="575" spans="1:2" ht="14.4" x14ac:dyDescent="0.3">
      <c r="A575" s="62"/>
      <c r="B575" s="62"/>
    </row>
    <row r="576" spans="1:2" ht="14.4" x14ac:dyDescent="0.3">
      <c r="A576" s="62"/>
      <c r="B576" s="62"/>
    </row>
    <row r="577" spans="1:2" ht="14.4" x14ac:dyDescent="0.3">
      <c r="A577" s="62"/>
      <c r="B577" s="62"/>
    </row>
    <row r="578" spans="1:2" ht="14.4" x14ac:dyDescent="0.3">
      <c r="A578" s="62"/>
      <c r="B578" s="62"/>
    </row>
    <row r="579" spans="1:2" ht="14.4" x14ac:dyDescent="0.3">
      <c r="A579" s="62"/>
      <c r="B579" s="62"/>
    </row>
    <row r="580" spans="1:2" ht="14.4" x14ac:dyDescent="0.3">
      <c r="A580" s="62"/>
      <c r="B580" s="62"/>
    </row>
    <row r="581" spans="1:2" ht="14.4" x14ac:dyDescent="0.3">
      <c r="A581" s="62"/>
      <c r="B581" s="62"/>
    </row>
    <row r="582" spans="1:2" ht="14.4" x14ac:dyDescent="0.3">
      <c r="A582" s="62"/>
      <c r="B582" s="62"/>
    </row>
    <row r="583" spans="1:2" ht="14.4" x14ac:dyDescent="0.3">
      <c r="A583" s="62"/>
      <c r="B583" s="62"/>
    </row>
    <row r="584" spans="1:2" ht="14.4" x14ac:dyDescent="0.3">
      <c r="A584" s="62"/>
      <c r="B584" s="62"/>
    </row>
    <row r="585" spans="1:2" ht="14.4" x14ac:dyDescent="0.3">
      <c r="A585" s="62"/>
      <c r="B585" s="62"/>
    </row>
    <row r="586" spans="1:2" ht="14.4" x14ac:dyDescent="0.3">
      <c r="A586" s="62"/>
      <c r="B586" s="62"/>
    </row>
    <row r="587" spans="1:2" ht="14.4" x14ac:dyDescent="0.3">
      <c r="A587" s="62"/>
      <c r="B587" s="62"/>
    </row>
    <row r="588" spans="1:2" ht="14.4" x14ac:dyDescent="0.3">
      <c r="A588" s="62"/>
      <c r="B588" s="62"/>
    </row>
    <row r="589" spans="1:2" ht="14.4" x14ac:dyDescent="0.3">
      <c r="A589" s="62"/>
      <c r="B589" s="62"/>
    </row>
    <row r="590" spans="1:2" ht="14.4" x14ac:dyDescent="0.3">
      <c r="A590" s="62"/>
      <c r="B590" s="62"/>
    </row>
    <row r="591" spans="1:2" ht="14.4" x14ac:dyDescent="0.3">
      <c r="A591" s="62"/>
      <c r="B591" s="62"/>
    </row>
    <row r="592" spans="1:2" ht="14.4" x14ac:dyDescent="0.3">
      <c r="A592" s="62"/>
      <c r="B592" s="62"/>
    </row>
    <row r="593" spans="1:2" ht="14.4" x14ac:dyDescent="0.3">
      <c r="A593" s="62"/>
      <c r="B593" s="62"/>
    </row>
    <row r="594" spans="1:2" ht="14.4" x14ac:dyDescent="0.3">
      <c r="A594" s="62"/>
      <c r="B594" s="62"/>
    </row>
    <row r="595" spans="1:2" ht="14.4" x14ac:dyDescent="0.3">
      <c r="A595" s="62"/>
      <c r="B595" s="62"/>
    </row>
    <row r="596" spans="1:2" ht="14.4" x14ac:dyDescent="0.3">
      <c r="A596" s="62"/>
      <c r="B596" s="62"/>
    </row>
    <row r="597" spans="1:2" ht="14.4" x14ac:dyDescent="0.3">
      <c r="A597" s="62"/>
      <c r="B597" s="62"/>
    </row>
    <row r="598" spans="1:2" ht="14.4" x14ac:dyDescent="0.3">
      <c r="A598" s="62"/>
      <c r="B598" s="62"/>
    </row>
    <row r="599" spans="1:2" ht="14.4" x14ac:dyDescent="0.3">
      <c r="A599" s="62"/>
      <c r="B599" s="62"/>
    </row>
    <row r="600" spans="1:2" ht="14.4" x14ac:dyDescent="0.3">
      <c r="A600" s="62"/>
      <c r="B600" s="62"/>
    </row>
    <row r="601" spans="1:2" ht="14.4" x14ac:dyDescent="0.3">
      <c r="A601" s="62"/>
      <c r="B601" s="62"/>
    </row>
    <row r="602" spans="1:2" ht="14.4" x14ac:dyDescent="0.3">
      <c r="A602" s="62"/>
      <c r="B602" s="62"/>
    </row>
    <row r="603" spans="1:2" ht="14.4" x14ac:dyDescent="0.3">
      <c r="A603" s="62"/>
      <c r="B603" s="62"/>
    </row>
    <row r="604" spans="1:2" ht="14.4" x14ac:dyDescent="0.3">
      <c r="A604" s="62"/>
      <c r="B604" s="62"/>
    </row>
    <row r="605" spans="1:2" ht="14.4" x14ac:dyDescent="0.3">
      <c r="A605" s="62"/>
      <c r="B605" s="62"/>
    </row>
    <row r="606" spans="1:2" ht="14.4" x14ac:dyDescent="0.3">
      <c r="A606" s="62"/>
      <c r="B606" s="62"/>
    </row>
    <row r="607" spans="1:2" ht="14.4" x14ac:dyDescent="0.3">
      <c r="A607" s="62"/>
      <c r="B607" s="62"/>
    </row>
    <row r="608" spans="1:2" ht="14.4" x14ac:dyDescent="0.3">
      <c r="A608" s="62"/>
      <c r="B608" s="62"/>
    </row>
    <row r="609" spans="1:2" ht="14.4" x14ac:dyDescent="0.3">
      <c r="A609" s="62"/>
      <c r="B609" s="62"/>
    </row>
    <row r="610" spans="1:2" ht="14.4" x14ac:dyDescent="0.3">
      <c r="A610" s="62"/>
      <c r="B610" s="62"/>
    </row>
    <row r="611" spans="1:2" ht="14.4" x14ac:dyDescent="0.3">
      <c r="A611" s="62"/>
      <c r="B611" s="62"/>
    </row>
    <row r="612" spans="1:2" ht="14.4" x14ac:dyDescent="0.3">
      <c r="A612" s="62"/>
      <c r="B612" s="62"/>
    </row>
    <row r="613" spans="1:2" ht="14.4" x14ac:dyDescent="0.3">
      <c r="A613" s="62"/>
      <c r="B613" s="62"/>
    </row>
    <row r="614" spans="1:2" ht="14.4" x14ac:dyDescent="0.3">
      <c r="A614" s="62"/>
      <c r="B614" s="62"/>
    </row>
    <row r="615" spans="1:2" ht="14.4" x14ac:dyDescent="0.3">
      <c r="A615" s="62"/>
      <c r="B615" s="62"/>
    </row>
    <row r="616" spans="1:2" ht="14.4" x14ac:dyDescent="0.3">
      <c r="A616" s="62"/>
      <c r="B616" s="62"/>
    </row>
    <row r="617" spans="1:2" ht="14.4" x14ac:dyDescent="0.3">
      <c r="A617" s="62"/>
      <c r="B617" s="62"/>
    </row>
    <row r="618" spans="1:2" ht="14.4" x14ac:dyDescent="0.3">
      <c r="A618" s="62"/>
      <c r="B618" s="62"/>
    </row>
    <row r="619" spans="1:2" ht="14.4" x14ac:dyDescent="0.3">
      <c r="A619" s="62"/>
      <c r="B619" s="62"/>
    </row>
    <row r="620" spans="1:2" ht="14.4" x14ac:dyDescent="0.3">
      <c r="A620" s="62"/>
      <c r="B620" s="62"/>
    </row>
    <row r="621" spans="1:2" ht="14.4" x14ac:dyDescent="0.3">
      <c r="A621" s="62"/>
      <c r="B621" s="62"/>
    </row>
    <row r="622" spans="1:2" ht="14.4" x14ac:dyDescent="0.3">
      <c r="A622" s="62"/>
      <c r="B622" s="62"/>
    </row>
    <row r="623" spans="1:2" ht="14.4" x14ac:dyDescent="0.3">
      <c r="A623" s="62"/>
      <c r="B623" s="62"/>
    </row>
    <row r="624" spans="1:2" ht="14.4" x14ac:dyDescent="0.3">
      <c r="A624" s="62"/>
      <c r="B624" s="62"/>
    </row>
    <row r="625" spans="1:2" ht="14.4" x14ac:dyDescent="0.3">
      <c r="A625" s="62"/>
      <c r="B625" s="62"/>
    </row>
    <row r="626" spans="1:2" ht="14.4" x14ac:dyDescent="0.3">
      <c r="A626" s="62"/>
      <c r="B626" s="62"/>
    </row>
    <row r="627" spans="1:2" ht="14.4" x14ac:dyDescent="0.3">
      <c r="A627" s="62"/>
      <c r="B627" s="62"/>
    </row>
    <row r="628" spans="1:2" ht="14.4" x14ac:dyDescent="0.3">
      <c r="A628" s="62"/>
      <c r="B628" s="62"/>
    </row>
    <row r="629" spans="1:2" ht="14.4" x14ac:dyDescent="0.3">
      <c r="A629" s="62"/>
      <c r="B629" s="62"/>
    </row>
    <row r="630" spans="1:2" ht="14.4" x14ac:dyDescent="0.3">
      <c r="A630" s="62"/>
      <c r="B630" s="62"/>
    </row>
    <row r="631" spans="1:2" ht="14.4" x14ac:dyDescent="0.3">
      <c r="A631" s="62"/>
      <c r="B631" s="62"/>
    </row>
    <row r="632" spans="1:2" ht="14.4" x14ac:dyDescent="0.3">
      <c r="A632" s="62"/>
      <c r="B632" s="62"/>
    </row>
    <row r="633" spans="1:2" ht="14.4" x14ac:dyDescent="0.3">
      <c r="A633" s="62"/>
      <c r="B633" s="62"/>
    </row>
    <row r="634" spans="1:2" ht="14.4" x14ac:dyDescent="0.3">
      <c r="A634" s="62"/>
      <c r="B634" s="62"/>
    </row>
    <row r="635" spans="1:2" ht="14.4" x14ac:dyDescent="0.3">
      <c r="A635" s="62"/>
      <c r="B635" s="62"/>
    </row>
    <row r="636" spans="1:2" ht="14.4" x14ac:dyDescent="0.3">
      <c r="A636" s="62"/>
      <c r="B636" s="62"/>
    </row>
    <row r="637" spans="1:2" ht="14.4" x14ac:dyDescent="0.3">
      <c r="A637" s="62"/>
      <c r="B637" s="62"/>
    </row>
    <row r="638" spans="1:2" ht="14.4" x14ac:dyDescent="0.3">
      <c r="A638" s="62"/>
      <c r="B638" s="62"/>
    </row>
    <row r="639" spans="1:2" ht="14.4" x14ac:dyDescent="0.3">
      <c r="A639" s="62"/>
      <c r="B639" s="62"/>
    </row>
    <row r="640" spans="1:2" ht="14.4" x14ac:dyDescent="0.3">
      <c r="A640" s="62"/>
      <c r="B640" s="62"/>
    </row>
    <row r="641" spans="1:2" ht="14.4" x14ac:dyDescent="0.3">
      <c r="A641" s="62"/>
      <c r="B641" s="62"/>
    </row>
    <row r="642" spans="1:2" ht="14.4" x14ac:dyDescent="0.3">
      <c r="A642" s="62"/>
      <c r="B642" s="62"/>
    </row>
    <row r="643" spans="1:2" ht="14.4" x14ac:dyDescent="0.3">
      <c r="A643" s="62"/>
      <c r="B643" s="62"/>
    </row>
    <row r="644" spans="1:2" ht="14.4" x14ac:dyDescent="0.3">
      <c r="A644" s="62"/>
      <c r="B644" s="62"/>
    </row>
    <row r="645" spans="1:2" ht="14.4" x14ac:dyDescent="0.3">
      <c r="A645" s="62"/>
      <c r="B645" s="62"/>
    </row>
    <row r="646" spans="1:2" ht="14.4" x14ac:dyDescent="0.3">
      <c r="A646" s="62"/>
      <c r="B646" s="62"/>
    </row>
    <row r="647" spans="1:2" ht="14.4" x14ac:dyDescent="0.3">
      <c r="A647" s="62"/>
      <c r="B647" s="62"/>
    </row>
    <row r="648" spans="1:2" ht="14.4" x14ac:dyDescent="0.3">
      <c r="A648" s="62"/>
      <c r="B648" s="62"/>
    </row>
    <row r="649" spans="1:2" ht="14.4" x14ac:dyDescent="0.3">
      <c r="A649" s="62"/>
      <c r="B649" s="62"/>
    </row>
    <row r="650" spans="1:2" ht="14.4" x14ac:dyDescent="0.3">
      <c r="A650" s="62"/>
      <c r="B650" s="62"/>
    </row>
    <row r="651" spans="1:2" ht="14.4" x14ac:dyDescent="0.3">
      <c r="A651" s="62"/>
      <c r="B651" s="62"/>
    </row>
    <row r="652" spans="1:2" ht="14.4" x14ac:dyDescent="0.3">
      <c r="A652" s="62"/>
      <c r="B652" s="62"/>
    </row>
    <row r="653" spans="1:2" ht="14.4" x14ac:dyDescent="0.3">
      <c r="A653" s="62"/>
      <c r="B653" s="62"/>
    </row>
    <row r="654" spans="1:2" ht="14.4" x14ac:dyDescent="0.3">
      <c r="A654" s="62"/>
      <c r="B654" s="62"/>
    </row>
    <row r="655" spans="1:2" ht="14.4" x14ac:dyDescent="0.3">
      <c r="A655" s="62"/>
      <c r="B655" s="62"/>
    </row>
    <row r="656" spans="1:2" ht="14.4" x14ac:dyDescent="0.3">
      <c r="A656" s="62"/>
      <c r="B656" s="62"/>
    </row>
    <row r="657" spans="1:2" ht="14.4" x14ac:dyDescent="0.3">
      <c r="A657" s="62"/>
      <c r="B657" s="62"/>
    </row>
    <row r="658" spans="1:2" ht="14.4" x14ac:dyDescent="0.3">
      <c r="A658" s="62"/>
      <c r="B658" s="62"/>
    </row>
    <row r="659" spans="1:2" ht="14.4" x14ac:dyDescent="0.3">
      <c r="A659" s="62"/>
      <c r="B659" s="62"/>
    </row>
    <row r="660" spans="1:2" ht="14.4" x14ac:dyDescent="0.3">
      <c r="A660" s="62"/>
      <c r="B660" s="62"/>
    </row>
    <row r="661" spans="1:2" ht="14.4" x14ac:dyDescent="0.3">
      <c r="A661" s="62"/>
      <c r="B661" s="62"/>
    </row>
    <row r="662" spans="1:2" ht="14.4" x14ac:dyDescent="0.3">
      <c r="A662" s="62"/>
      <c r="B662" s="62"/>
    </row>
    <row r="663" spans="1:2" ht="14.4" x14ac:dyDescent="0.3">
      <c r="A663" s="62"/>
      <c r="B663" s="62"/>
    </row>
    <row r="664" spans="1:2" ht="14.4" x14ac:dyDescent="0.3">
      <c r="A664" s="62"/>
      <c r="B664" s="62"/>
    </row>
    <row r="665" spans="1:2" ht="14.4" x14ac:dyDescent="0.3">
      <c r="A665" s="62"/>
      <c r="B665" s="62"/>
    </row>
    <row r="666" spans="1:2" ht="14.4" x14ac:dyDescent="0.3">
      <c r="A666" s="62"/>
      <c r="B666" s="62"/>
    </row>
    <row r="667" spans="1:2" ht="14.4" x14ac:dyDescent="0.3">
      <c r="A667" s="62"/>
      <c r="B667" s="62"/>
    </row>
    <row r="668" spans="1:2" ht="14.4" x14ac:dyDescent="0.3">
      <c r="A668" s="62"/>
      <c r="B668" s="62"/>
    </row>
    <row r="669" spans="1:2" ht="14.4" x14ac:dyDescent="0.3">
      <c r="A669" s="62"/>
      <c r="B669" s="62"/>
    </row>
    <row r="670" spans="1:2" ht="14.4" x14ac:dyDescent="0.3">
      <c r="A670" s="62"/>
      <c r="B670" s="62"/>
    </row>
    <row r="671" spans="1:2" ht="14.4" x14ac:dyDescent="0.3">
      <c r="A671" s="62"/>
      <c r="B671" s="62"/>
    </row>
    <row r="672" spans="1:2" ht="14.4" x14ac:dyDescent="0.3">
      <c r="A672" s="62"/>
      <c r="B672" s="62"/>
    </row>
    <row r="673" spans="1:2" ht="14.4" x14ac:dyDescent="0.3">
      <c r="A673" s="62"/>
      <c r="B673" s="62"/>
    </row>
    <row r="674" spans="1:2" ht="14.4" x14ac:dyDescent="0.3">
      <c r="A674" s="62"/>
      <c r="B674" s="62"/>
    </row>
    <row r="675" spans="1:2" ht="14.4" x14ac:dyDescent="0.3">
      <c r="A675" s="62"/>
      <c r="B675" s="62"/>
    </row>
    <row r="676" spans="1:2" ht="14.4" x14ac:dyDescent="0.3">
      <c r="A676" s="62"/>
      <c r="B676" s="62"/>
    </row>
    <row r="677" spans="1:2" ht="14.4" x14ac:dyDescent="0.3">
      <c r="A677" s="62"/>
      <c r="B677" s="62"/>
    </row>
    <row r="678" spans="1:2" ht="14.4" x14ac:dyDescent="0.3">
      <c r="A678" s="62"/>
      <c r="B678" s="62"/>
    </row>
    <row r="679" spans="1:2" ht="14.4" x14ac:dyDescent="0.3">
      <c r="A679" s="62"/>
      <c r="B679" s="62"/>
    </row>
    <row r="680" spans="1:2" ht="14.4" x14ac:dyDescent="0.3">
      <c r="A680" s="62"/>
      <c r="B680" s="62"/>
    </row>
    <row r="681" spans="1:2" ht="14.4" x14ac:dyDescent="0.3">
      <c r="A681" s="62"/>
      <c r="B681" s="62"/>
    </row>
    <row r="682" spans="1:2" ht="14.4" x14ac:dyDescent="0.3">
      <c r="A682" s="62"/>
      <c r="B682" s="62"/>
    </row>
    <row r="683" spans="1:2" ht="14.4" x14ac:dyDescent="0.3">
      <c r="A683" s="62"/>
      <c r="B683" s="62"/>
    </row>
    <row r="684" spans="1:2" ht="14.4" x14ac:dyDescent="0.3">
      <c r="A684" s="62"/>
      <c r="B684" s="62"/>
    </row>
    <row r="685" spans="1:2" ht="14.4" x14ac:dyDescent="0.3">
      <c r="A685" s="62"/>
      <c r="B685" s="62"/>
    </row>
    <row r="686" spans="1:2" ht="14.4" x14ac:dyDescent="0.3">
      <c r="A686" s="62"/>
      <c r="B686" s="62"/>
    </row>
    <row r="687" spans="1:2" ht="14.4" x14ac:dyDescent="0.3">
      <c r="A687" s="62"/>
      <c r="B687" s="62"/>
    </row>
    <row r="688" spans="1:2" ht="14.4" x14ac:dyDescent="0.3">
      <c r="A688" s="62"/>
      <c r="B688" s="62"/>
    </row>
    <row r="689" spans="1:2" ht="14.4" x14ac:dyDescent="0.3">
      <c r="A689" s="62"/>
      <c r="B689" s="62"/>
    </row>
    <row r="690" spans="1:2" ht="14.4" x14ac:dyDescent="0.3">
      <c r="A690" s="62"/>
      <c r="B690" s="62"/>
    </row>
    <row r="691" spans="1:2" ht="14.4" x14ac:dyDescent="0.3">
      <c r="A691" s="62"/>
      <c r="B691" s="62"/>
    </row>
    <row r="692" spans="1:2" ht="14.4" x14ac:dyDescent="0.3">
      <c r="A692" s="62"/>
      <c r="B692" s="62"/>
    </row>
    <row r="693" spans="1:2" ht="14.4" x14ac:dyDescent="0.3">
      <c r="A693" s="62"/>
      <c r="B693" s="62"/>
    </row>
    <row r="694" spans="1:2" ht="14.4" x14ac:dyDescent="0.3">
      <c r="A694" s="62"/>
      <c r="B694" s="62"/>
    </row>
    <row r="695" spans="1:2" ht="14.4" x14ac:dyDescent="0.3">
      <c r="A695" s="62"/>
      <c r="B695" s="62"/>
    </row>
    <row r="696" spans="1:2" ht="14.4" x14ac:dyDescent="0.3">
      <c r="A696" s="62"/>
      <c r="B696" s="62"/>
    </row>
    <row r="697" spans="1:2" ht="14.4" x14ac:dyDescent="0.3">
      <c r="A697" s="62"/>
      <c r="B697" s="62"/>
    </row>
    <row r="698" spans="1:2" ht="14.4" x14ac:dyDescent="0.3">
      <c r="A698" s="62"/>
      <c r="B698" s="62"/>
    </row>
    <row r="699" spans="1:2" ht="14.4" x14ac:dyDescent="0.3">
      <c r="A699" s="62"/>
      <c r="B699" s="62"/>
    </row>
    <row r="700" spans="1:2" ht="14.4" x14ac:dyDescent="0.3">
      <c r="A700" s="62"/>
      <c r="B700" s="62"/>
    </row>
    <row r="701" spans="1:2" ht="14.4" x14ac:dyDescent="0.3">
      <c r="A701" s="62"/>
      <c r="B701" s="62"/>
    </row>
    <row r="702" spans="1:2" ht="14.4" x14ac:dyDescent="0.3">
      <c r="A702" s="62"/>
      <c r="B702" s="62"/>
    </row>
    <row r="703" spans="1:2" ht="14.4" x14ac:dyDescent="0.3">
      <c r="A703" s="62"/>
      <c r="B703" s="62"/>
    </row>
    <row r="704" spans="1:2" ht="14.4" x14ac:dyDescent="0.3">
      <c r="A704" s="62"/>
      <c r="B704" s="62"/>
    </row>
    <row r="705" spans="1:2" ht="14.4" x14ac:dyDescent="0.3">
      <c r="A705" s="62"/>
      <c r="B705" s="62"/>
    </row>
    <row r="706" spans="1:2" ht="14.4" x14ac:dyDescent="0.3">
      <c r="A706" s="62"/>
      <c r="B706" s="62"/>
    </row>
    <row r="707" spans="1:2" ht="14.4" x14ac:dyDescent="0.3">
      <c r="A707" s="62"/>
      <c r="B707" s="62"/>
    </row>
    <row r="708" spans="1:2" ht="14.4" x14ac:dyDescent="0.3">
      <c r="A708" s="62"/>
      <c r="B708" s="62"/>
    </row>
    <row r="709" spans="1:2" ht="14.4" x14ac:dyDescent="0.3">
      <c r="A709" s="62"/>
      <c r="B709" s="62"/>
    </row>
    <row r="710" spans="1:2" ht="14.4" x14ac:dyDescent="0.3">
      <c r="A710" s="62"/>
      <c r="B710" s="62"/>
    </row>
    <row r="711" spans="1:2" ht="14.4" x14ac:dyDescent="0.3">
      <c r="A711" s="62"/>
      <c r="B711" s="62"/>
    </row>
    <row r="712" spans="1:2" ht="14.4" x14ac:dyDescent="0.3">
      <c r="A712" s="62"/>
      <c r="B712" s="62"/>
    </row>
    <row r="713" spans="1:2" ht="14.4" x14ac:dyDescent="0.3">
      <c r="A713" s="62"/>
      <c r="B713" s="62"/>
    </row>
    <row r="714" spans="1:2" ht="14.4" x14ac:dyDescent="0.3">
      <c r="A714" s="62"/>
      <c r="B714" s="62"/>
    </row>
    <row r="715" spans="1:2" ht="14.4" x14ac:dyDescent="0.3">
      <c r="A715" s="62"/>
      <c r="B715" s="62"/>
    </row>
    <row r="716" spans="1:2" ht="14.4" x14ac:dyDescent="0.3">
      <c r="A716" s="62"/>
      <c r="B716" s="62"/>
    </row>
    <row r="717" spans="1:2" ht="14.4" x14ac:dyDescent="0.3">
      <c r="A717" s="62"/>
      <c r="B717" s="62"/>
    </row>
    <row r="718" spans="1:2" ht="14.4" x14ac:dyDescent="0.3">
      <c r="A718" s="62"/>
      <c r="B718" s="62"/>
    </row>
    <row r="719" spans="1:2" ht="14.4" x14ac:dyDescent="0.3">
      <c r="A719" s="62"/>
      <c r="B719" s="62"/>
    </row>
    <row r="720" spans="1:2" ht="14.4" x14ac:dyDescent="0.3">
      <c r="A720" s="62"/>
      <c r="B720" s="62"/>
    </row>
    <row r="721" spans="1:2" ht="14.4" x14ac:dyDescent="0.3">
      <c r="A721" s="62"/>
      <c r="B721" s="62"/>
    </row>
    <row r="722" spans="1:2" ht="14.4" x14ac:dyDescent="0.3">
      <c r="A722" s="62"/>
      <c r="B722" s="62"/>
    </row>
    <row r="723" spans="1:2" ht="14.4" x14ac:dyDescent="0.3">
      <c r="A723" s="62"/>
      <c r="B723" s="62"/>
    </row>
    <row r="724" spans="1:2" ht="14.4" x14ac:dyDescent="0.3">
      <c r="A724" s="62"/>
      <c r="B724" s="62"/>
    </row>
    <row r="725" spans="1:2" ht="14.4" x14ac:dyDescent="0.3">
      <c r="A725" s="62"/>
      <c r="B725" s="62"/>
    </row>
    <row r="726" spans="1:2" ht="14.4" x14ac:dyDescent="0.3">
      <c r="A726" s="62"/>
      <c r="B726" s="62"/>
    </row>
    <row r="727" spans="1:2" ht="14.4" x14ac:dyDescent="0.3">
      <c r="A727" s="62"/>
      <c r="B727" s="62"/>
    </row>
    <row r="728" spans="1:2" ht="14.4" x14ac:dyDescent="0.3">
      <c r="A728" s="62"/>
      <c r="B728" s="62"/>
    </row>
    <row r="729" spans="1:2" ht="14.4" x14ac:dyDescent="0.3">
      <c r="A729" s="62"/>
      <c r="B729" s="62"/>
    </row>
    <row r="730" spans="1:2" ht="14.4" x14ac:dyDescent="0.3">
      <c r="A730" s="62"/>
      <c r="B730" s="62"/>
    </row>
    <row r="731" spans="1:2" ht="14.4" x14ac:dyDescent="0.3">
      <c r="A731" s="62"/>
      <c r="B731" s="62"/>
    </row>
    <row r="732" spans="1:2" ht="14.4" x14ac:dyDescent="0.3">
      <c r="A732" s="62"/>
      <c r="B732" s="62"/>
    </row>
    <row r="733" spans="1:2" ht="14.4" x14ac:dyDescent="0.3">
      <c r="A733" s="62"/>
      <c r="B733" s="62"/>
    </row>
    <row r="734" spans="1:2" ht="14.4" x14ac:dyDescent="0.3">
      <c r="A734" s="62"/>
      <c r="B734" s="62"/>
    </row>
    <row r="735" spans="1:2" ht="14.4" x14ac:dyDescent="0.3">
      <c r="A735" s="62"/>
      <c r="B735" s="62"/>
    </row>
    <row r="736" spans="1:2" ht="14.4" x14ac:dyDescent="0.3">
      <c r="A736" s="62"/>
      <c r="B736" s="62"/>
    </row>
    <row r="737" spans="1:2" ht="14.4" x14ac:dyDescent="0.3">
      <c r="A737" s="62"/>
      <c r="B737" s="62"/>
    </row>
    <row r="738" spans="1:2" ht="14.4" x14ac:dyDescent="0.3">
      <c r="A738" s="62"/>
      <c r="B738" s="62"/>
    </row>
    <row r="739" spans="1:2" ht="14.4" x14ac:dyDescent="0.3">
      <c r="A739" s="62"/>
      <c r="B739" s="62"/>
    </row>
    <row r="740" spans="1:2" ht="14.4" x14ac:dyDescent="0.3">
      <c r="A740" s="62"/>
      <c r="B740" s="62"/>
    </row>
    <row r="741" spans="1:2" ht="14.4" x14ac:dyDescent="0.3">
      <c r="A741" s="62"/>
      <c r="B741" s="62"/>
    </row>
    <row r="742" spans="1:2" ht="14.4" x14ac:dyDescent="0.3">
      <c r="A742" s="62"/>
      <c r="B742" s="62"/>
    </row>
    <row r="743" spans="1:2" ht="14.4" x14ac:dyDescent="0.3">
      <c r="A743" s="62"/>
      <c r="B743" s="62"/>
    </row>
    <row r="744" spans="1:2" ht="14.4" x14ac:dyDescent="0.3">
      <c r="A744" s="62"/>
      <c r="B744" s="62"/>
    </row>
    <row r="745" spans="1:2" ht="14.4" x14ac:dyDescent="0.3">
      <c r="A745" s="62"/>
      <c r="B745" s="62"/>
    </row>
    <row r="746" spans="1:2" ht="14.4" x14ac:dyDescent="0.3">
      <c r="A746" s="62"/>
      <c r="B746" s="62"/>
    </row>
    <row r="747" spans="1:2" ht="14.4" x14ac:dyDescent="0.3">
      <c r="A747" s="62"/>
      <c r="B747" s="62"/>
    </row>
    <row r="748" spans="1:2" ht="14.4" x14ac:dyDescent="0.3">
      <c r="A748" s="62"/>
      <c r="B748" s="62"/>
    </row>
    <row r="749" spans="1:2" ht="14.4" x14ac:dyDescent="0.3">
      <c r="A749" s="62"/>
      <c r="B749" s="62"/>
    </row>
    <row r="750" spans="1:2" ht="14.4" x14ac:dyDescent="0.3">
      <c r="A750" s="62"/>
      <c r="B750" s="62"/>
    </row>
    <row r="751" spans="1:2" ht="14.4" x14ac:dyDescent="0.3">
      <c r="A751" s="62"/>
      <c r="B751" s="62"/>
    </row>
    <row r="752" spans="1:2" ht="14.4" x14ac:dyDescent="0.3">
      <c r="A752" s="62"/>
      <c r="B752" s="62"/>
    </row>
    <row r="753" spans="1:2" ht="14.4" x14ac:dyDescent="0.3">
      <c r="A753" s="62"/>
      <c r="B753" s="62"/>
    </row>
    <row r="754" spans="1:2" ht="14.4" x14ac:dyDescent="0.3">
      <c r="A754" s="62"/>
      <c r="B754" s="62"/>
    </row>
    <row r="755" spans="1:2" ht="14.4" x14ac:dyDescent="0.3">
      <c r="A755" s="62"/>
      <c r="B755" s="62"/>
    </row>
    <row r="756" spans="1:2" ht="14.4" x14ac:dyDescent="0.3">
      <c r="A756" s="62"/>
      <c r="B756" s="62"/>
    </row>
    <row r="757" spans="1:2" ht="14.4" x14ac:dyDescent="0.3">
      <c r="A757" s="62"/>
      <c r="B757" s="62"/>
    </row>
    <row r="758" spans="1:2" ht="14.4" x14ac:dyDescent="0.3">
      <c r="A758" s="62"/>
      <c r="B758" s="62"/>
    </row>
    <row r="759" spans="1:2" ht="14.4" x14ac:dyDescent="0.3">
      <c r="A759" s="62"/>
      <c r="B759" s="62"/>
    </row>
    <row r="760" spans="1:2" ht="14.4" x14ac:dyDescent="0.3">
      <c r="A760" s="62"/>
      <c r="B760" s="62"/>
    </row>
    <row r="761" spans="1:2" ht="14.4" x14ac:dyDescent="0.3">
      <c r="A761" s="62"/>
      <c r="B761" s="62"/>
    </row>
    <row r="762" spans="1:2" ht="14.4" x14ac:dyDescent="0.3">
      <c r="A762" s="62"/>
      <c r="B762" s="62"/>
    </row>
    <row r="763" spans="1:2" ht="14.4" x14ac:dyDescent="0.3">
      <c r="A763" s="62"/>
      <c r="B763" s="62"/>
    </row>
    <row r="764" spans="1:2" ht="14.4" x14ac:dyDescent="0.3">
      <c r="A764" s="62"/>
      <c r="B764" s="62"/>
    </row>
    <row r="765" spans="1:2" ht="14.4" x14ac:dyDescent="0.3">
      <c r="A765" s="62"/>
      <c r="B765" s="62"/>
    </row>
    <row r="766" spans="1:2" ht="14.4" x14ac:dyDescent="0.3">
      <c r="A766" s="62"/>
      <c r="B766" s="62"/>
    </row>
    <row r="767" spans="1:2" ht="14.4" x14ac:dyDescent="0.3">
      <c r="A767" s="62"/>
      <c r="B767" s="62"/>
    </row>
    <row r="768" spans="1:2" ht="14.4" x14ac:dyDescent="0.3">
      <c r="A768" s="62"/>
      <c r="B768" s="62"/>
    </row>
    <row r="769" spans="1:2" ht="14.4" x14ac:dyDescent="0.3">
      <c r="A769" s="62"/>
      <c r="B769" s="62"/>
    </row>
    <row r="770" spans="1:2" ht="14.4" x14ac:dyDescent="0.3">
      <c r="A770" s="62"/>
      <c r="B770" s="62"/>
    </row>
    <row r="771" spans="1:2" ht="14.4" x14ac:dyDescent="0.3">
      <c r="A771" s="62"/>
      <c r="B771" s="62"/>
    </row>
    <row r="772" spans="1:2" ht="14.4" x14ac:dyDescent="0.3">
      <c r="A772" s="62"/>
      <c r="B772" s="62"/>
    </row>
    <row r="773" spans="1:2" ht="14.4" x14ac:dyDescent="0.3">
      <c r="A773" s="62"/>
      <c r="B773" s="62"/>
    </row>
    <row r="774" spans="1:2" ht="14.4" x14ac:dyDescent="0.3">
      <c r="A774" s="62"/>
      <c r="B774" s="62"/>
    </row>
    <row r="775" spans="1:2" ht="14.4" x14ac:dyDescent="0.3">
      <c r="A775" s="62"/>
      <c r="B775" s="62"/>
    </row>
    <row r="776" spans="1:2" ht="14.4" x14ac:dyDescent="0.3">
      <c r="A776" s="62"/>
      <c r="B776" s="62"/>
    </row>
    <row r="777" spans="1:2" ht="14.4" x14ac:dyDescent="0.3">
      <c r="A777" s="62"/>
      <c r="B777" s="62"/>
    </row>
    <row r="778" spans="1:2" ht="14.4" x14ac:dyDescent="0.3">
      <c r="A778" s="62"/>
      <c r="B778" s="62"/>
    </row>
    <row r="779" spans="1:2" ht="14.4" x14ac:dyDescent="0.3">
      <c r="A779" s="62"/>
      <c r="B779" s="62"/>
    </row>
    <row r="780" spans="1:2" ht="14.4" x14ac:dyDescent="0.3">
      <c r="A780" s="62"/>
      <c r="B780" s="62"/>
    </row>
    <row r="781" spans="1:2" ht="14.4" x14ac:dyDescent="0.3">
      <c r="A781" s="62"/>
      <c r="B781" s="62"/>
    </row>
    <row r="782" spans="1:2" ht="14.4" x14ac:dyDescent="0.3">
      <c r="A782" s="62"/>
      <c r="B782" s="62"/>
    </row>
    <row r="783" spans="1:2" ht="14.4" x14ac:dyDescent="0.3">
      <c r="A783" s="62"/>
      <c r="B783" s="62"/>
    </row>
    <row r="784" spans="1:2" ht="14.4" x14ac:dyDescent="0.3">
      <c r="A784" s="62"/>
      <c r="B784" s="62"/>
    </row>
    <row r="785" spans="1:2" ht="14.4" x14ac:dyDescent="0.3">
      <c r="A785" s="62"/>
      <c r="B785" s="62"/>
    </row>
    <row r="786" spans="1:2" ht="14.4" x14ac:dyDescent="0.3">
      <c r="A786" s="62"/>
      <c r="B786" s="62"/>
    </row>
    <row r="787" spans="1:2" ht="14.4" x14ac:dyDescent="0.3">
      <c r="A787" s="62"/>
      <c r="B787" s="62"/>
    </row>
    <row r="788" spans="1:2" ht="14.4" x14ac:dyDescent="0.3">
      <c r="A788" s="62"/>
      <c r="B788" s="62"/>
    </row>
    <row r="789" spans="1:2" ht="14.4" x14ac:dyDescent="0.3">
      <c r="A789" s="62"/>
      <c r="B789" s="62"/>
    </row>
    <row r="790" spans="1:2" ht="14.4" x14ac:dyDescent="0.3">
      <c r="A790" s="62"/>
      <c r="B790" s="62"/>
    </row>
    <row r="791" spans="1:2" ht="14.4" x14ac:dyDescent="0.3">
      <c r="A791" s="62"/>
      <c r="B791" s="62"/>
    </row>
    <row r="792" spans="1:2" ht="14.4" x14ac:dyDescent="0.3">
      <c r="A792" s="62"/>
      <c r="B792" s="62"/>
    </row>
    <row r="793" spans="1:2" ht="14.4" x14ac:dyDescent="0.3">
      <c r="A793" s="62"/>
      <c r="B793" s="62"/>
    </row>
    <row r="794" spans="1:2" ht="14.4" x14ac:dyDescent="0.3">
      <c r="A794" s="62"/>
      <c r="B794" s="62"/>
    </row>
    <row r="795" spans="1:2" ht="14.4" x14ac:dyDescent="0.3">
      <c r="A795" s="62"/>
      <c r="B795" s="62"/>
    </row>
    <row r="796" spans="1:2" ht="14.4" x14ac:dyDescent="0.3">
      <c r="A796" s="62"/>
      <c r="B796" s="62"/>
    </row>
    <row r="797" spans="1:2" ht="14.4" x14ac:dyDescent="0.3">
      <c r="A797" s="62"/>
      <c r="B797" s="62"/>
    </row>
    <row r="798" spans="1:2" ht="14.4" x14ac:dyDescent="0.3">
      <c r="A798" s="62"/>
      <c r="B798" s="62"/>
    </row>
    <row r="799" spans="1:2" ht="14.4" x14ac:dyDescent="0.3">
      <c r="A799" s="62"/>
      <c r="B799" s="62"/>
    </row>
    <row r="800" spans="1:2" ht="14.4" x14ac:dyDescent="0.3">
      <c r="A800" s="62"/>
      <c r="B800" s="62"/>
    </row>
    <row r="801" spans="1:2" ht="14.4" x14ac:dyDescent="0.3">
      <c r="A801" s="62"/>
      <c r="B801" s="62"/>
    </row>
    <row r="802" spans="1:2" ht="14.4" x14ac:dyDescent="0.3">
      <c r="A802" s="62"/>
      <c r="B802" s="62"/>
    </row>
    <row r="803" spans="1:2" ht="14.4" x14ac:dyDescent="0.3">
      <c r="A803" s="62"/>
      <c r="B803" s="62"/>
    </row>
    <row r="804" spans="1:2" ht="14.4" x14ac:dyDescent="0.3">
      <c r="A804" s="62"/>
      <c r="B804" s="62"/>
    </row>
    <row r="805" spans="1:2" ht="14.4" x14ac:dyDescent="0.3">
      <c r="A805" s="62"/>
      <c r="B805" s="62"/>
    </row>
    <row r="806" spans="1:2" ht="14.4" x14ac:dyDescent="0.3">
      <c r="A806" s="62"/>
      <c r="B806" s="62"/>
    </row>
    <row r="807" spans="1:2" ht="14.4" x14ac:dyDescent="0.3">
      <c r="A807" s="62"/>
      <c r="B807" s="62"/>
    </row>
    <row r="808" spans="1:2" ht="14.4" x14ac:dyDescent="0.3">
      <c r="A808" s="62"/>
      <c r="B808" s="62"/>
    </row>
    <row r="809" spans="1:2" ht="14.4" x14ac:dyDescent="0.3">
      <c r="A809" s="62"/>
      <c r="B809" s="62"/>
    </row>
    <row r="810" spans="1:2" ht="14.4" x14ac:dyDescent="0.3">
      <c r="A810" s="62"/>
      <c r="B810" s="62"/>
    </row>
    <row r="811" spans="1:2" ht="14.4" x14ac:dyDescent="0.3">
      <c r="A811" s="62"/>
      <c r="B811" s="62"/>
    </row>
    <row r="812" spans="1:2" ht="14.4" x14ac:dyDescent="0.3">
      <c r="A812" s="62"/>
      <c r="B812" s="62"/>
    </row>
    <row r="813" spans="1:2" ht="14.4" x14ac:dyDescent="0.3">
      <c r="A813" s="62"/>
      <c r="B813" s="62"/>
    </row>
    <row r="814" spans="1:2" ht="14.4" x14ac:dyDescent="0.3">
      <c r="A814" s="62"/>
      <c r="B814" s="62"/>
    </row>
    <row r="815" spans="1:2" ht="14.4" x14ac:dyDescent="0.3">
      <c r="A815" s="62"/>
      <c r="B815" s="62"/>
    </row>
    <row r="816" spans="1:2" ht="14.4" x14ac:dyDescent="0.3">
      <c r="A816" s="62"/>
      <c r="B816" s="62"/>
    </row>
    <row r="817" spans="1:2" ht="14.4" x14ac:dyDescent="0.3">
      <c r="A817" s="62"/>
      <c r="B817" s="62"/>
    </row>
    <row r="818" spans="1:2" ht="14.4" x14ac:dyDescent="0.3">
      <c r="A818" s="62"/>
      <c r="B818" s="62"/>
    </row>
    <row r="819" spans="1:2" ht="14.4" x14ac:dyDescent="0.3">
      <c r="A819" s="62"/>
      <c r="B819" s="62"/>
    </row>
    <row r="820" spans="1:2" ht="14.4" x14ac:dyDescent="0.3">
      <c r="A820" s="62"/>
      <c r="B820" s="62"/>
    </row>
    <row r="821" spans="1:2" ht="14.4" x14ac:dyDescent="0.3">
      <c r="A821" s="62"/>
      <c r="B821" s="62"/>
    </row>
    <row r="822" spans="1:2" ht="14.4" x14ac:dyDescent="0.3">
      <c r="A822" s="62"/>
      <c r="B822" s="62"/>
    </row>
    <row r="823" spans="1:2" ht="14.4" x14ac:dyDescent="0.3">
      <c r="A823" s="62"/>
      <c r="B823" s="62"/>
    </row>
    <row r="824" spans="1:2" ht="14.4" x14ac:dyDescent="0.3">
      <c r="A824" s="62"/>
      <c r="B824" s="62"/>
    </row>
    <row r="825" spans="1:2" ht="14.4" x14ac:dyDescent="0.3">
      <c r="A825" s="62"/>
      <c r="B825" s="62"/>
    </row>
    <row r="826" spans="1:2" ht="14.4" x14ac:dyDescent="0.3">
      <c r="A826" s="62"/>
      <c r="B826" s="62"/>
    </row>
    <row r="827" spans="1:2" ht="14.4" x14ac:dyDescent="0.3">
      <c r="A827" s="62"/>
      <c r="B827" s="62"/>
    </row>
    <row r="828" spans="1:2" ht="14.4" x14ac:dyDescent="0.3">
      <c r="A828" s="62"/>
      <c r="B828" s="62"/>
    </row>
    <row r="829" spans="1:2" ht="14.4" x14ac:dyDescent="0.3">
      <c r="A829" s="62"/>
      <c r="B829" s="62"/>
    </row>
    <row r="830" spans="1:2" ht="14.4" x14ac:dyDescent="0.3">
      <c r="A830" s="62"/>
      <c r="B830" s="62"/>
    </row>
    <row r="831" spans="1:2" ht="14.4" x14ac:dyDescent="0.3">
      <c r="A831" s="62"/>
      <c r="B831" s="62"/>
    </row>
    <row r="832" spans="1:2" ht="14.4" x14ac:dyDescent="0.3">
      <c r="A832" s="62"/>
      <c r="B832" s="62"/>
    </row>
    <row r="833" spans="1:2" ht="14.4" x14ac:dyDescent="0.3">
      <c r="A833" s="62"/>
      <c r="B833" s="62"/>
    </row>
    <row r="834" spans="1:2" ht="14.4" x14ac:dyDescent="0.3">
      <c r="A834" s="62"/>
      <c r="B834" s="62"/>
    </row>
    <row r="835" spans="1:2" ht="14.4" x14ac:dyDescent="0.3">
      <c r="A835" s="62"/>
      <c r="B835" s="62"/>
    </row>
    <row r="836" spans="1:2" ht="14.4" x14ac:dyDescent="0.3">
      <c r="A836" s="62"/>
      <c r="B836" s="62"/>
    </row>
    <row r="837" spans="1:2" ht="14.4" x14ac:dyDescent="0.3">
      <c r="A837" s="62"/>
      <c r="B837" s="62"/>
    </row>
    <row r="838" spans="1:2" ht="14.4" x14ac:dyDescent="0.3">
      <c r="A838" s="62"/>
      <c r="B838" s="62"/>
    </row>
    <row r="839" spans="1:2" ht="14.4" x14ac:dyDescent="0.3">
      <c r="A839" s="62"/>
      <c r="B839" s="62"/>
    </row>
    <row r="840" spans="1:2" ht="14.4" x14ac:dyDescent="0.3">
      <c r="A840" s="62"/>
      <c r="B840" s="62"/>
    </row>
    <row r="841" spans="1:2" ht="14.4" x14ac:dyDescent="0.3">
      <c r="A841" s="62"/>
      <c r="B841" s="62"/>
    </row>
    <row r="842" spans="1:2" ht="14.4" x14ac:dyDescent="0.3">
      <c r="A842" s="62"/>
      <c r="B842" s="62"/>
    </row>
    <row r="843" spans="1:2" ht="14.4" x14ac:dyDescent="0.3">
      <c r="A843" s="62"/>
      <c r="B843" s="62"/>
    </row>
    <row r="844" spans="1:2" ht="14.4" x14ac:dyDescent="0.3">
      <c r="A844" s="62"/>
      <c r="B844" s="62"/>
    </row>
    <row r="845" spans="1:2" ht="14.4" x14ac:dyDescent="0.3">
      <c r="A845" s="62"/>
      <c r="B845" s="62"/>
    </row>
    <row r="846" spans="1:2" ht="14.4" x14ac:dyDescent="0.3">
      <c r="A846" s="62"/>
      <c r="B846" s="62"/>
    </row>
    <row r="847" spans="1:2" ht="14.4" x14ac:dyDescent="0.3">
      <c r="A847" s="62"/>
      <c r="B847" s="62"/>
    </row>
    <row r="848" spans="1:2" ht="14.4" x14ac:dyDescent="0.3">
      <c r="A848" s="62"/>
      <c r="B848" s="62"/>
    </row>
    <row r="849" spans="1:2" ht="14.4" x14ac:dyDescent="0.3">
      <c r="A849" s="62"/>
      <c r="B849" s="62"/>
    </row>
    <row r="850" spans="1:2" ht="14.4" x14ac:dyDescent="0.3">
      <c r="A850" s="62"/>
      <c r="B850" s="62"/>
    </row>
    <row r="851" spans="1:2" ht="14.4" x14ac:dyDescent="0.3">
      <c r="A851" s="62"/>
      <c r="B851" s="62"/>
    </row>
    <row r="852" spans="1:2" ht="14.4" x14ac:dyDescent="0.3">
      <c r="A852" s="62"/>
      <c r="B852" s="62"/>
    </row>
    <row r="853" spans="1:2" ht="14.4" x14ac:dyDescent="0.3">
      <c r="A853" s="62"/>
      <c r="B853" s="62"/>
    </row>
    <row r="854" spans="1:2" ht="14.4" x14ac:dyDescent="0.3">
      <c r="A854" s="62"/>
      <c r="B854" s="62"/>
    </row>
    <row r="855" spans="1:2" ht="14.4" x14ac:dyDescent="0.3">
      <c r="A855" s="62"/>
      <c r="B855" s="62"/>
    </row>
    <row r="856" spans="1:2" ht="14.4" x14ac:dyDescent="0.3">
      <c r="A856" s="62"/>
      <c r="B856" s="62"/>
    </row>
    <row r="857" spans="1:2" ht="14.4" x14ac:dyDescent="0.3">
      <c r="A857" s="62"/>
      <c r="B857" s="62"/>
    </row>
    <row r="858" spans="1:2" ht="14.4" x14ac:dyDescent="0.3">
      <c r="A858" s="62"/>
      <c r="B858" s="62"/>
    </row>
    <row r="859" spans="1:2" ht="14.4" x14ac:dyDescent="0.3">
      <c r="A859" s="62"/>
      <c r="B859" s="62"/>
    </row>
    <row r="860" spans="1:2" ht="14.4" x14ac:dyDescent="0.3">
      <c r="A860" s="62"/>
      <c r="B860" s="62"/>
    </row>
    <row r="861" spans="1:2" ht="14.4" x14ac:dyDescent="0.3">
      <c r="A861" s="62"/>
      <c r="B861" s="62"/>
    </row>
    <row r="862" spans="1:2" ht="14.4" x14ac:dyDescent="0.3">
      <c r="A862" s="62"/>
      <c r="B862" s="62"/>
    </row>
    <row r="863" spans="1:2" ht="14.4" x14ac:dyDescent="0.3">
      <c r="A863" s="62"/>
      <c r="B863" s="62"/>
    </row>
    <row r="864" spans="1:2" ht="14.4" x14ac:dyDescent="0.3">
      <c r="A864" s="62"/>
      <c r="B864" s="62"/>
    </row>
    <row r="865" spans="1:2" ht="14.4" x14ac:dyDescent="0.3">
      <c r="A865" s="62"/>
      <c r="B865" s="62"/>
    </row>
    <row r="866" spans="1:2" ht="14.4" x14ac:dyDescent="0.3">
      <c r="A866" s="62"/>
      <c r="B866" s="62"/>
    </row>
    <row r="867" spans="1:2" ht="14.4" x14ac:dyDescent="0.3">
      <c r="A867" s="62"/>
      <c r="B867" s="62"/>
    </row>
    <row r="868" spans="1:2" ht="14.4" x14ac:dyDescent="0.3">
      <c r="A868" s="62"/>
      <c r="B868" s="62"/>
    </row>
    <row r="869" spans="1:2" ht="14.4" x14ac:dyDescent="0.3">
      <c r="A869" s="62"/>
      <c r="B869" s="62"/>
    </row>
    <row r="870" spans="1:2" ht="14.4" x14ac:dyDescent="0.3">
      <c r="A870" s="62"/>
      <c r="B870" s="62"/>
    </row>
    <row r="871" spans="1:2" ht="14.4" x14ac:dyDescent="0.3">
      <c r="A871" s="62"/>
      <c r="B871" s="62"/>
    </row>
    <row r="872" spans="1:2" ht="14.4" x14ac:dyDescent="0.3">
      <c r="A872" s="62"/>
      <c r="B872" s="62"/>
    </row>
    <row r="873" spans="1:2" ht="14.4" x14ac:dyDescent="0.3">
      <c r="A873" s="62"/>
      <c r="B873" s="62"/>
    </row>
    <row r="874" spans="1:2" ht="14.4" x14ac:dyDescent="0.3">
      <c r="A874" s="62"/>
      <c r="B874" s="62"/>
    </row>
    <row r="875" spans="1:2" ht="14.4" x14ac:dyDescent="0.3">
      <c r="A875" s="62"/>
      <c r="B875" s="62"/>
    </row>
    <row r="876" spans="1:2" ht="14.4" x14ac:dyDescent="0.3">
      <c r="A876" s="62"/>
      <c r="B876" s="62"/>
    </row>
    <row r="877" spans="1:2" ht="14.4" x14ac:dyDescent="0.3">
      <c r="A877" s="62"/>
      <c r="B877" s="62"/>
    </row>
    <row r="878" spans="1:2" ht="14.4" x14ac:dyDescent="0.3">
      <c r="A878" s="62"/>
      <c r="B878" s="62"/>
    </row>
    <row r="879" spans="1:2" ht="14.4" x14ac:dyDescent="0.3">
      <c r="A879" s="62"/>
      <c r="B879" s="62"/>
    </row>
    <row r="880" spans="1:2" ht="14.4" x14ac:dyDescent="0.3">
      <c r="A880" s="62"/>
      <c r="B880" s="62"/>
    </row>
    <row r="881" spans="1:2" ht="14.4" x14ac:dyDescent="0.3">
      <c r="A881" s="62"/>
      <c r="B881" s="62"/>
    </row>
    <row r="882" spans="1:2" ht="14.4" x14ac:dyDescent="0.3">
      <c r="A882" s="62"/>
      <c r="B882" s="62"/>
    </row>
    <row r="883" spans="1:2" ht="14.4" x14ac:dyDescent="0.3">
      <c r="A883" s="62"/>
      <c r="B883" s="62"/>
    </row>
    <row r="884" spans="1:2" ht="14.4" x14ac:dyDescent="0.3">
      <c r="A884" s="62"/>
      <c r="B884" s="62"/>
    </row>
    <row r="885" spans="1:2" ht="14.4" x14ac:dyDescent="0.3">
      <c r="A885" s="62"/>
      <c r="B885" s="62"/>
    </row>
    <row r="886" spans="1:2" ht="14.4" x14ac:dyDescent="0.3">
      <c r="A886" s="62"/>
      <c r="B886" s="62"/>
    </row>
    <row r="887" spans="1:2" ht="14.4" x14ac:dyDescent="0.3">
      <c r="A887" s="62"/>
      <c r="B887" s="62"/>
    </row>
    <row r="888" spans="1:2" ht="14.4" x14ac:dyDescent="0.3">
      <c r="A888" s="62"/>
      <c r="B888" s="62"/>
    </row>
    <row r="889" spans="1:2" ht="14.4" x14ac:dyDescent="0.3">
      <c r="A889" s="62"/>
      <c r="B889" s="62"/>
    </row>
    <row r="890" spans="1:2" ht="14.4" x14ac:dyDescent="0.3">
      <c r="A890" s="62"/>
      <c r="B890" s="62"/>
    </row>
    <row r="891" spans="1:2" ht="14.4" x14ac:dyDescent="0.3">
      <c r="A891" s="62"/>
      <c r="B891" s="62"/>
    </row>
    <row r="892" spans="1:2" ht="14.4" x14ac:dyDescent="0.3">
      <c r="A892" s="62"/>
      <c r="B892" s="62"/>
    </row>
    <row r="893" spans="1:2" ht="14.4" x14ac:dyDescent="0.3">
      <c r="A893" s="62"/>
      <c r="B893" s="62"/>
    </row>
    <row r="894" spans="1:2" ht="14.4" x14ac:dyDescent="0.3">
      <c r="A894" s="62"/>
      <c r="B894" s="62"/>
    </row>
    <row r="895" spans="1:2" ht="14.4" x14ac:dyDescent="0.3">
      <c r="A895" s="62"/>
      <c r="B895" s="62"/>
    </row>
    <row r="896" spans="1:2" ht="14.4" x14ac:dyDescent="0.3">
      <c r="A896" s="62"/>
      <c r="B896" s="62"/>
    </row>
    <row r="897" spans="1:2" ht="14.4" x14ac:dyDescent="0.3">
      <c r="A897" s="62"/>
      <c r="B897" s="62"/>
    </row>
    <row r="898" spans="1:2" ht="14.4" x14ac:dyDescent="0.3">
      <c r="A898" s="62"/>
      <c r="B898" s="62"/>
    </row>
    <row r="899" spans="1:2" ht="14.4" x14ac:dyDescent="0.3">
      <c r="A899" s="62"/>
      <c r="B899" s="62"/>
    </row>
    <row r="900" spans="1:2" ht="14.4" x14ac:dyDescent="0.3">
      <c r="A900" s="62"/>
      <c r="B900" s="62"/>
    </row>
    <row r="901" spans="1:2" ht="14.4" x14ac:dyDescent="0.3">
      <c r="A901" s="62"/>
      <c r="B901" s="62"/>
    </row>
    <row r="902" spans="1:2" ht="14.4" x14ac:dyDescent="0.3">
      <c r="A902" s="62"/>
      <c r="B902" s="62"/>
    </row>
    <row r="903" spans="1:2" ht="14.4" x14ac:dyDescent="0.3">
      <c r="A903" s="62"/>
      <c r="B903" s="62"/>
    </row>
    <row r="904" spans="1:2" ht="14.4" x14ac:dyDescent="0.3">
      <c r="A904" s="62"/>
      <c r="B904" s="62"/>
    </row>
    <row r="905" spans="1:2" ht="14.4" x14ac:dyDescent="0.3">
      <c r="A905" s="62"/>
      <c r="B905" s="62"/>
    </row>
    <row r="906" spans="1:2" ht="14.4" x14ac:dyDescent="0.3">
      <c r="A906" s="62"/>
      <c r="B906" s="62"/>
    </row>
    <row r="907" spans="1:2" ht="14.4" x14ac:dyDescent="0.3">
      <c r="A907" s="62"/>
      <c r="B907" s="62"/>
    </row>
    <row r="908" spans="1:2" ht="14.4" x14ac:dyDescent="0.3">
      <c r="A908" s="62"/>
      <c r="B908" s="62"/>
    </row>
    <row r="909" spans="1:2" ht="14.4" x14ac:dyDescent="0.3">
      <c r="A909" s="62"/>
      <c r="B909" s="62"/>
    </row>
    <row r="910" spans="1:2" ht="14.4" x14ac:dyDescent="0.3">
      <c r="A910" s="62"/>
      <c r="B910" s="62"/>
    </row>
    <row r="911" spans="1:2" ht="14.4" x14ac:dyDescent="0.3">
      <c r="A911" s="62"/>
      <c r="B911" s="62"/>
    </row>
    <row r="912" spans="1:2" ht="14.4" x14ac:dyDescent="0.3">
      <c r="A912" s="62"/>
      <c r="B912" s="62"/>
    </row>
    <row r="913" spans="1:2" ht="14.4" x14ac:dyDescent="0.3">
      <c r="A913" s="62"/>
      <c r="B913" s="62"/>
    </row>
    <row r="914" spans="1:2" ht="14.4" x14ac:dyDescent="0.3">
      <c r="A914" s="62"/>
      <c r="B914" s="62"/>
    </row>
    <row r="915" spans="1:2" ht="14.4" x14ac:dyDescent="0.3">
      <c r="A915" s="62"/>
      <c r="B915" s="62"/>
    </row>
    <row r="916" spans="1:2" ht="14.4" x14ac:dyDescent="0.3">
      <c r="A916" s="62"/>
      <c r="B916" s="62"/>
    </row>
    <row r="917" spans="1:2" ht="14.4" x14ac:dyDescent="0.3">
      <c r="A917" s="62"/>
      <c r="B917" s="62"/>
    </row>
    <row r="918" spans="1:2" ht="14.4" x14ac:dyDescent="0.3">
      <c r="A918" s="62"/>
      <c r="B918" s="62"/>
    </row>
    <row r="919" spans="1:2" ht="14.4" x14ac:dyDescent="0.3">
      <c r="A919" s="62"/>
      <c r="B919" s="62"/>
    </row>
    <row r="920" spans="1:2" ht="14.4" x14ac:dyDescent="0.3">
      <c r="A920" s="62"/>
      <c r="B920" s="62"/>
    </row>
    <row r="921" spans="1:2" ht="14.4" x14ac:dyDescent="0.3">
      <c r="A921" s="62"/>
      <c r="B921" s="62"/>
    </row>
    <row r="922" spans="1:2" ht="14.4" x14ac:dyDescent="0.3">
      <c r="A922" s="62"/>
      <c r="B922" s="62"/>
    </row>
    <row r="923" spans="1:2" ht="14.4" x14ac:dyDescent="0.3">
      <c r="A923" s="62"/>
      <c r="B923" s="62"/>
    </row>
    <row r="924" spans="1:2" ht="14.4" x14ac:dyDescent="0.3">
      <c r="A924" s="62"/>
      <c r="B924" s="62"/>
    </row>
    <row r="925" spans="1:2" ht="14.4" x14ac:dyDescent="0.3">
      <c r="A925" s="62"/>
      <c r="B925" s="62"/>
    </row>
    <row r="926" spans="1:2" ht="14.4" x14ac:dyDescent="0.3">
      <c r="A926" s="62"/>
      <c r="B926" s="62"/>
    </row>
    <row r="927" spans="1:2" ht="14.4" x14ac:dyDescent="0.3">
      <c r="A927" s="62"/>
      <c r="B927" s="62"/>
    </row>
    <row r="928" spans="1:2" ht="14.4" x14ac:dyDescent="0.3">
      <c r="A928" s="62"/>
      <c r="B928" s="62"/>
    </row>
    <row r="929" spans="1:2" ht="14.4" x14ac:dyDescent="0.3">
      <c r="A929" s="62"/>
      <c r="B929" s="62"/>
    </row>
    <row r="930" spans="1:2" ht="14.4" x14ac:dyDescent="0.3">
      <c r="A930" s="62"/>
      <c r="B930" s="62"/>
    </row>
    <row r="931" spans="1:2" ht="14.4" x14ac:dyDescent="0.3">
      <c r="A931" s="62"/>
      <c r="B931" s="62"/>
    </row>
    <row r="932" spans="1:2" ht="14.4" x14ac:dyDescent="0.3">
      <c r="A932" s="62"/>
      <c r="B932" s="62"/>
    </row>
    <row r="933" spans="1:2" ht="14.4" x14ac:dyDescent="0.3">
      <c r="A933" s="62"/>
      <c r="B933" s="62"/>
    </row>
    <row r="934" spans="1:2" ht="14.4" x14ac:dyDescent="0.3">
      <c r="A934" s="62"/>
      <c r="B934" s="62"/>
    </row>
    <row r="935" spans="1:2" ht="14.4" x14ac:dyDescent="0.3">
      <c r="A935" s="62"/>
      <c r="B935" s="62"/>
    </row>
    <row r="936" spans="1:2" ht="14.4" x14ac:dyDescent="0.3">
      <c r="A936" s="62"/>
      <c r="B936" s="62"/>
    </row>
    <row r="937" spans="1:2" ht="14.4" x14ac:dyDescent="0.3">
      <c r="A937" s="62"/>
      <c r="B937" s="62"/>
    </row>
    <row r="938" spans="1:2" ht="14.4" x14ac:dyDescent="0.3">
      <c r="A938" s="62"/>
      <c r="B938" s="62"/>
    </row>
    <row r="939" spans="1:2" ht="14.4" x14ac:dyDescent="0.3">
      <c r="A939" s="62"/>
      <c r="B939" s="62"/>
    </row>
    <row r="940" spans="1:2" ht="14.4" x14ac:dyDescent="0.3">
      <c r="A940" s="62"/>
      <c r="B940" s="62"/>
    </row>
    <row r="941" spans="1:2" ht="14.4" x14ac:dyDescent="0.3">
      <c r="A941" s="62"/>
      <c r="B941" s="62"/>
    </row>
    <row r="942" spans="1:2" ht="14.4" x14ac:dyDescent="0.3">
      <c r="A942" s="62"/>
      <c r="B942" s="62"/>
    </row>
    <row r="943" spans="1:2" ht="14.4" x14ac:dyDescent="0.3">
      <c r="A943" s="62"/>
      <c r="B943" s="62"/>
    </row>
    <row r="944" spans="1:2" ht="14.4" x14ac:dyDescent="0.3">
      <c r="A944" s="62"/>
      <c r="B944" s="62"/>
    </row>
    <row r="945" spans="1:2" ht="14.4" x14ac:dyDescent="0.3">
      <c r="A945" s="62"/>
      <c r="B945" s="62"/>
    </row>
    <row r="946" spans="1:2" ht="14.4" x14ac:dyDescent="0.3">
      <c r="A946" s="62"/>
      <c r="B946" s="62"/>
    </row>
    <row r="947" spans="1:2" ht="14.4" x14ac:dyDescent="0.3">
      <c r="A947" s="62"/>
      <c r="B947" s="62"/>
    </row>
    <row r="948" spans="1:2" ht="14.4" x14ac:dyDescent="0.3">
      <c r="A948" s="62"/>
      <c r="B948" s="62"/>
    </row>
    <row r="949" spans="1:2" ht="14.4" x14ac:dyDescent="0.3">
      <c r="A949" s="62"/>
      <c r="B949" s="62"/>
    </row>
    <row r="950" spans="1:2" ht="14.4" x14ac:dyDescent="0.3">
      <c r="A950" s="62"/>
      <c r="B950" s="62"/>
    </row>
    <row r="951" spans="1:2" ht="14.4" x14ac:dyDescent="0.3">
      <c r="A951" s="62"/>
      <c r="B951" s="62"/>
    </row>
    <row r="952" spans="1:2" ht="14.4" x14ac:dyDescent="0.3">
      <c r="A952" s="62"/>
      <c r="B952" s="62"/>
    </row>
    <row r="953" spans="1:2" ht="14.4" x14ac:dyDescent="0.3">
      <c r="A953" s="62"/>
      <c r="B953" s="62"/>
    </row>
    <row r="954" spans="1:2" ht="14.4" x14ac:dyDescent="0.3">
      <c r="A954" s="62"/>
      <c r="B954" s="62"/>
    </row>
    <row r="955" spans="1:2" ht="14.4" x14ac:dyDescent="0.3">
      <c r="A955" s="62"/>
      <c r="B955" s="62"/>
    </row>
    <row r="956" spans="1:2" ht="14.4" x14ac:dyDescent="0.3">
      <c r="A956" s="62"/>
      <c r="B956" s="62"/>
    </row>
    <row r="957" spans="1:2" ht="14.4" x14ac:dyDescent="0.3">
      <c r="A957" s="62"/>
      <c r="B957" s="62"/>
    </row>
    <row r="958" spans="1:2" ht="14.4" x14ac:dyDescent="0.3">
      <c r="A958" s="62"/>
      <c r="B958" s="62"/>
    </row>
    <row r="959" spans="1:2" ht="14.4" x14ac:dyDescent="0.3">
      <c r="A959" s="62"/>
      <c r="B959" s="62"/>
    </row>
    <row r="960" spans="1:2" ht="14.4" x14ac:dyDescent="0.3">
      <c r="A960" s="62"/>
      <c r="B960" s="62"/>
    </row>
    <row r="961" spans="1:2" ht="14.4" x14ac:dyDescent="0.3">
      <c r="A961" s="62"/>
      <c r="B961" s="62"/>
    </row>
    <row r="962" spans="1:2" ht="14.4" x14ac:dyDescent="0.3">
      <c r="A962" s="62"/>
      <c r="B962" s="62"/>
    </row>
    <row r="963" spans="1:2" ht="14.4" x14ac:dyDescent="0.3">
      <c r="A963" s="62"/>
      <c r="B963" s="62"/>
    </row>
    <row r="964" spans="1:2" ht="14.4" x14ac:dyDescent="0.3">
      <c r="A964" s="62"/>
      <c r="B964" s="62"/>
    </row>
    <row r="965" spans="1:2" ht="14.4" x14ac:dyDescent="0.3">
      <c r="A965" s="62"/>
      <c r="B965" s="62"/>
    </row>
    <row r="966" spans="1:2" ht="14.4" x14ac:dyDescent="0.3">
      <c r="A966" s="62"/>
      <c r="B966" s="62"/>
    </row>
    <row r="967" spans="1:2" ht="14.4" x14ac:dyDescent="0.3">
      <c r="A967" s="62"/>
      <c r="B967" s="62"/>
    </row>
    <row r="968" spans="1:2" ht="14.4" x14ac:dyDescent="0.3">
      <c r="A968" s="62"/>
      <c r="B968" s="62"/>
    </row>
    <row r="969" spans="1:2" ht="14.4" x14ac:dyDescent="0.3">
      <c r="A969" s="62"/>
      <c r="B969" s="62"/>
    </row>
    <row r="970" spans="1:2" ht="14.4" x14ac:dyDescent="0.3">
      <c r="A970" s="62"/>
      <c r="B970" s="62"/>
    </row>
    <row r="971" spans="1:2" ht="14.4" x14ac:dyDescent="0.3">
      <c r="A971" s="62"/>
      <c r="B971" s="62"/>
    </row>
    <row r="972" spans="1:2" ht="14.4" x14ac:dyDescent="0.3">
      <c r="A972" s="62"/>
      <c r="B972" s="62"/>
    </row>
    <row r="973" spans="1:2" ht="14.4" x14ac:dyDescent="0.3">
      <c r="A973" s="62"/>
      <c r="B973" s="62"/>
    </row>
    <row r="974" spans="1:2" ht="14.4" x14ac:dyDescent="0.3">
      <c r="A974" s="62"/>
      <c r="B974" s="62"/>
    </row>
    <row r="975" spans="1:2" ht="14.4" x14ac:dyDescent="0.3">
      <c r="A975" s="62"/>
      <c r="B975" s="62"/>
    </row>
    <row r="976" spans="1:2" ht="14.4" x14ac:dyDescent="0.3">
      <c r="A976" s="62"/>
      <c r="B976" s="62"/>
    </row>
    <row r="977" spans="1:2" ht="14.4" x14ac:dyDescent="0.3">
      <c r="A977" s="62"/>
      <c r="B977" s="62"/>
    </row>
    <row r="978" spans="1:2" ht="14.4" x14ac:dyDescent="0.3">
      <c r="A978" s="62"/>
      <c r="B978" s="62"/>
    </row>
    <row r="979" spans="1:2" ht="14.4" x14ac:dyDescent="0.3">
      <c r="A979" s="62"/>
      <c r="B979" s="62"/>
    </row>
    <row r="980" spans="1:2" ht="14.4" x14ac:dyDescent="0.3">
      <c r="A980" s="62"/>
      <c r="B980" s="62"/>
    </row>
    <row r="981" spans="1:2" ht="14.4" x14ac:dyDescent="0.3">
      <c r="A981" s="62"/>
      <c r="B981" s="62"/>
    </row>
    <row r="982" spans="1:2" ht="14.4" x14ac:dyDescent="0.3">
      <c r="A982" s="62"/>
      <c r="B982" s="62"/>
    </row>
    <row r="983" spans="1:2" ht="14.4" x14ac:dyDescent="0.3">
      <c r="A983" s="62"/>
      <c r="B983" s="62"/>
    </row>
    <row r="984" spans="1:2" ht="14.4" x14ac:dyDescent="0.3">
      <c r="A984" s="62"/>
      <c r="B984" s="62"/>
    </row>
    <row r="985" spans="1:2" ht="14.4" x14ac:dyDescent="0.3">
      <c r="A985" s="62"/>
      <c r="B985" s="62"/>
    </row>
    <row r="986" spans="1:2" ht="14.4" x14ac:dyDescent="0.3">
      <c r="A986" s="62"/>
      <c r="B986" s="62"/>
    </row>
    <row r="987" spans="1:2" ht="14.4" x14ac:dyDescent="0.3">
      <c r="A987" s="62"/>
      <c r="B987" s="62"/>
    </row>
    <row r="988" spans="1:2" ht="14.4" x14ac:dyDescent="0.3">
      <c r="A988" s="62"/>
      <c r="B988" s="62"/>
    </row>
    <row r="989" spans="1:2" ht="14.4" x14ac:dyDescent="0.3">
      <c r="A989" s="62"/>
      <c r="B989" s="62"/>
    </row>
    <row r="990" spans="1:2" ht="14.4" x14ac:dyDescent="0.3">
      <c r="A990" s="62"/>
      <c r="B990" s="62"/>
    </row>
    <row r="991" spans="1:2" ht="14.4" x14ac:dyDescent="0.3">
      <c r="A991" s="62"/>
      <c r="B991" s="62"/>
    </row>
    <row r="992" spans="1:2" ht="14.4" x14ac:dyDescent="0.3">
      <c r="A992" s="62"/>
      <c r="B992" s="62"/>
    </row>
    <row r="993" spans="1:2" ht="14.4" x14ac:dyDescent="0.3">
      <c r="A993" s="62"/>
      <c r="B993" s="62"/>
    </row>
    <row r="994" spans="1:2" ht="14.4" x14ac:dyDescent="0.3">
      <c r="A994" s="62"/>
      <c r="B994" s="62"/>
    </row>
    <row r="995" spans="1:2" ht="14.4" x14ac:dyDescent="0.3">
      <c r="A995" s="62"/>
      <c r="B995" s="62"/>
    </row>
    <row r="996" spans="1:2" ht="14.4" x14ac:dyDescent="0.3">
      <c r="A996" s="62"/>
      <c r="B996" s="62"/>
    </row>
    <row r="997" spans="1:2" ht="14.4" x14ac:dyDescent="0.3">
      <c r="A997" s="62"/>
      <c r="B997" s="62"/>
    </row>
    <row r="998" spans="1:2" ht="14.4" x14ac:dyDescent="0.3">
      <c r="A998" s="62"/>
      <c r="B998" s="62"/>
    </row>
    <row r="999" spans="1:2" ht="14.4" x14ac:dyDescent="0.3">
      <c r="A999" s="62"/>
      <c r="B999" s="62"/>
    </row>
    <row r="1000" spans="1:2" ht="14.4" x14ac:dyDescent="0.3">
      <c r="A1000" s="62"/>
      <c r="B1000" s="62"/>
    </row>
  </sheetData>
  <autoFilter ref="A1:D34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D344"/>
  <sheetViews>
    <sheetView workbookViewId="0"/>
  </sheetViews>
  <sheetFormatPr baseColWidth="10" defaultColWidth="12.6640625" defaultRowHeight="15" customHeight="1" x14ac:dyDescent="0.25"/>
  <sheetData>
    <row r="1" spans="1:4" x14ac:dyDescent="0.25">
      <c r="A1" s="81" t="s">
        <v>714</v>
      </c>
      <c r="B1" s="81" t="s">
        <v>1</v>
      </c>
      <c r="C1" s="109" t="s">
        <v>864</v>
      </c>
      <c r="D1" s="109" t="s">
        <v>865</v>
      </c>
    </row>
    <row r="2" spans="1:4" ht="15" customHeight="1" x14ac:dyDescent="0.3">
      <c r="A2" s="137">
        <v>10101</v>
      </c>
      <c r="B2" s="138" t="s">
        <v>34</v>
      </c>
      <c r="C2" s="140">
        <v>312676.53892423376</v>
      </c>
      <c r="D2" s="140">
        <v>372204.63420835178</v>
      </c>
    </row>
    <row r="3" spans="1:4" ht="15" customHeight="1" x14ac:dyDescent="0.3">
      <c r="A3" s="137">
        <v>10102</v>
      </c>
      <c r="B3" s="138" t="s">
        <v>50</v>
      </c>
      <c r="C3" s="140">
        <v>116.00811161834616</v>
      </c>
      <c r="D3" s="140">
        <v>682.72304689772704</v>
      </c>
    </row>
    <row r="4" spans="1:4" ht="15" customHeight="1" x14ac:dyDescent="0.3">
      <c r="A4" s="137">
        <v>10103</v>
      </c>
      <c r="B4" s="138" t="s">
        <v>29</v>
      </c>
      <c r="C4" s="140">
        <v>19.918008011914772</v>
      </c>
      <c r="D4" s="140">
        <v>15.230188217709998</v>
      </c>
    </row>
    <row r="5" spans="1:4" ht="15" customHeight="1" x14ac:dyDescent="0.3">
      <c r="A5" s="137">
        <v>10201</v>
      </c>
      <c r="B5" s="138" t="s">
        <v>739</v>
      </c>
      <c r="C5" s="140">
        <v>54.58813940087834</v>
      </c>
      <c r="D5" s="140">
        <v>40.523117886224568</v>
      </c>
    </row>
    <row r="6" spans="1:4" ht="15" customHeight="1" x14ac:dyDescent="0.3">
      <c r="A6" s="137">
        <v>10202</v>
      </c>
      <c r="B6" s="138" t="s">
        <v>743</v>
      </c>
      <c r="C6" s="140">
        <v>4.079713466458065</v>
      </c>
      <c r="D6" s="140">
        <v>4.618310228760695</v>
      </c>
    </row>
    <row r="7" spans="1:4" ht="15" customHeight="1" x14ac:dyDescent="0.3">
      <c r="A7" s="137">
        <v>10301</v>
      </c>
      <c r="B7" s="138" t="s">
        <v>744</v>
      </c>
      <c r="C7" s="140">
        <v>18.875998711369125</v>
      </c>
      <c r="D7" s="140">
        <v>3225.8561404030402</v>
      </c>
    </row>
    <row r="8" spans="1:4" ht="15" customHeight="1" x14ac:dyDescent="0.3">
      <c r="A8" s="137">
        <v>10302</v>
      </c>
      <c r="B8" s="138" t="s">
        <v>745</v>
      </c>
      <c r="C8" s="140">
        <v>0</v>
      </c>
      <c r="D8" s="140">
        <v>0</v>
      </c>
    </row>
    <row r="9" spans="1:4" ht="15" customHeight="1" x14ac:dyDescent="0.3">
      <c r="A9" s="137">
        <v>10303</v>
      </c>
      <c r="B9" s="138" t="s">
        <v>746</v>
      </c>
      <c r="C9" s="140">
        <v>41.831710889196316</v>
      </c>
      <c r="D9" s="140">
        <v>258.4279646867999</v>
      </c>
    </row>
    <row r="10" spans="1:4" ht="15" customHeight="1" x14ac:dyDescent="0.3">
      <c r="A10" s="137">
        <v>10304</v>
      </c>
      <c r="B10" s="138" t="s">
        <v>747</v>
      </c>
      <c r="C10" s="140">
        <v>20.915855444598158</v>
      </c>
      <c r="D10" s="140">
        <v>4.618310228760695</v>
      </c>
    </row>
    <row r="11" spans="1:4" ht="15" customHeight="1" x14ac:dyDescent="0.3">
      <c r="A11" s="137">
        <v>10401</v>
      </c>
      <c r="B11" s="138" t="s">
        <v>27</v>
      </c>
      <c r="C11" s="140">
        <v>51.411175563093082</v>
      </c>
      <c r="D11" s="140">
        <v>1218.6962551058925</v>
      </c>
    </row>
    <row r="12" spans="1:4" ht="15" customHeight="1" x14ac:dyDescent="0.3">
      <c r="A12" s="137">
        <v>10402</v>
      </c>
      <c r="B12" s="138" t="s">
        <v>748</v>
      </c>
      <c r="C12" s="140">
        <v>58.667852867336407</v>
      </c>
      <c r="D12" s="140">
        <v>1229.2878333874878</v>
      </c>
    </row>
    <row r="13" spans="1:4" ht="15" customHeight="1" x14ac:dyDescent="0.3">
      <c r="A13" s="137">
        <v>10403</v>
      </c>
      <c r="B13" s="138" t="s">
        <v>33</v>
      </c>
      <c r="C13" s="140">
        <v>15.634985114397782</v>
      </c>
      <c r="D13" s="140">
        <v>428.72126803595506</v>
      </c>
    </row>
    <row r="14" spans="1:4" ht="15" customHeight="1" x14ac:dyDescent="0.3">
      <c r="A14" s="137">
        <v>10404</v>
      </c>
      <c r="B14" s="138" t="s">
        <v>10</v>
      </c>
      <c r="C14" s="140">
        <v>0</v>
      </c>
      <c r="D14" s="140">
        <v>0</v>
      </c>
    </row>
    <row r="15" spans="1:4" ht="15" customHeight="1" x14ac:dyDescent="0.3">
      <c r="A15" s="137">
        <v>10405</v>
      </c>
      <c r="B15" s="138" t="s">
        <v>23</v>
      </c>
      <c r="C15" s="140">
        <v>4.5290968434383885</v>
      </c>
      <c r="D15" s="140">
        <v>4.2279049870716463</v>
      </c>
    </row>
    <row r="16" spans="1:4" ht="15" customHeight="1" x14ac:dyDescent="0.3">
      <c r="A16" s="137">
        <v>10501</v>
      </c>
      <c r="B16" s="138" t="s">
        <v>750</v>
      </c>
      <c r="C16" s="140">
        <v>6926.5325320085376</v>
      </c>
      <c r="D16" s="140">
        <v>10127.536661467715</v>
      </c>
    </row>
    <row r="17" spans="1:4" ht="15" customHeight="1" x14ac:dyDescent="0.3">
      <c r="A17" s="137">
        <v>10502</v>
      </c>
      <c r="B17" s="138" t="s">
        <v>751</v>
      </c>
      <c r="C17" s="140">
        <v>8.15942693291613</v>
      </c>
      <c r="D17" s="140">
        <v>9.2366204575213899</v>
      </c>
    </row>
    <row r="18" spans="1:4" ht="15" customHeight="1" x14ac:dyDescent="0.3">
      <c r="A18" s="137">
        <v>10601</v>
      </c>
      <c r="B18" s="138" t="s">
        <v>38</v>
      </c>
      <c r="C18" s="140">
        <v>165.75902578045788</v>
      </c>
      <c r="D18" s="140">
        <v>107.36786636952726</v>
      </c>
    </row>
    <row r="19" spans="1:4" ht="15" customHeight="1" x14ac:dyDescent="0.3">
      <c r="A19" s="137">
        <v>10602</v>
      </c>
      <c r="B19" s="138" t="s">
        <v>49</v>
      </c>
      <c r="C19" s="140">
        <v>383.38843332298723</v>
      </c>
      <c r="D19" s="140">
        <v>1201.4001254636937</v>
      </c>
    </row>
    <row r="20" spans="1:4" ht="15" customHeight="1" x14ac:dyDescent="0.3">
      <c r="A20" s="137">
        <v>10701</v>
      </c>
      <c r="B20" s="138" t="s">
        <v>13</v>
      </c>
      <c r="C20" s="140">
        <v>674.63240218208921</v>
      </c>
      <c r="D20" s="140">
        <v>1223.8851231980682</v>
      </c>
    </row>
    <row r="21" spans="1:4" ht="15" customHeight="1" x14ac:dyDescent="0.3">
      <c r="A21" s="137">
        <v>10702</v>
      </c>
      <c r="B21" s="138" t="s">
        <v>30</v>
      </c>
      <c r="C21" s="140">
        <v>245.5267205262069</v>
      </c>
      <c r="D21" s="140">
        <v>625.25058405554341</v>
      </c>
    </row>
    <row r="22" spans="1:4" ht="15" customHeight="1" x14ac:dyDescent="0.3">
      <c r="A22" s="137">
        <v>10703</v>
      </c>
      <c r="B22" s="138" t="s">
        <v>24</v>
      </c>
      <c r="C22" s="140">
        <v>203.88547977168147</v>
      </c>
      <c r="D22" s="140">
        <v>148.70474976788663</v>
      </c>
    </row>
    <row r="23" spans="1:4" ht="15" customHeight="1" x14ac:dyDescent="0.3">
      <c r="A23" s="137">
        <v>10704</v>
      </c>
      <c r="B23" s="138" t="s">
        <v>752</v>
      </c>
      <c r="C23" s="140">
        <v>0</v>
      </c>
      <c r="D23" s="140">
        <v>0</v>
      </c>
    </row>
    <row r="24" spans="1:4" ht="15" customHeight="1" x14ac:dyDescent="0.3">
      <c r="A24" s="137">
        <v>10801</v>
      </c>
      <c r="B24" s="138" t="s">
        <v>45</v>
      </c>
      <c r="C24" s="140">
        <v>241.42798877521383</v>
      </c>
      <c r="D24" s="140">
        <v>953.46161143777908</v>
      </c>
    </row>
    <row r="25" spans="1:4" ht="15" customHeight="1" x14ac:dyDescent="0.3">
      <c r="A25" s="137">
        <v>10901</v>
      </c>
      <c r="B25" s="138" t="s">
        <v>753</v>
      </c>
      <c r="C25" s="140">
        <v>18.875998711369125</v>
      </c>
      <c r="D25" s="140">
        <v>14.277424333534972</v>
      </c>
    </row>
    <row r="26" spans="1:4" ht="15" customHeight="1" x14ac:dyDescent="0.3">
      <c r="A26" s="137">
        <v>10902</v>
      </c>
      <c r="B26" s="138" t="s">
        <v>22</v>
      </c>
      <c r="C26" s="140">
        <v>569.5984467248785</v>
      </c>
      <c r="D26" s="140">
        <v>510.36425953799386</v>
      </c>
    </row>
    <row r="27" spans="1:4" ht="15" customHeight="1" x14ac:dyDescent="0.3">
      <c r="A27" s="137">
        <v>10903</v>
      </c>
      <c r="B27" s="138" t="s">
        <v>25</v>
      </c>
      <c r="C27" s="140">
        <v>88.349105870779383</v>
      </c>
      <c r="D27" s="140">
        <v>65.131241143589818</v>
      </c>
    </row>
    <row r="28" spans="1:4" ht="14.4" x14ac:dyDescent="0.3">
      <c r="A28" s="137">
        <v>11001</v>
      </c>
      <c r="B28" s="138" t="s">
        <v>754</v>
      </c>
      <c r="C28" s="140">
        <v>45.911424355654376</v>
      </c>
      <c r="D28" s="140">
        <v>37.79146912459133</v>
      </c>
    </row>
    <row r="29" spans="1:4" ht="14.4" x14ac:dyDescent="0.3">
      <c r="A29" s="137">
        <v>11002</v>
      </c>
      <c r="B29" s="138" t="s">
        <v>755</v>
      </c>
      <c r="C29" s="140">
        <v>0</v>
      </c>
      <c r="D29" s="140">
        <v>0</v>
      </c>
    </row>
    <row r="30" spans="1:4" ht="14.4" x14ac:dyDescent="0.3">
      <c r="A30" s="137">
        <v>11003</v>
      </c>
      <c r="B30" s="138" t="s">
        <v>26</v>
      </c>
      <c r="C30" s="140">
        <v>59.548907143805714</v>
      </c>
      <c r="D30" s="140">
        <v>40.731723415448236</v>
      </c>
    </row>
    <row r="31" spans="1:4" ht="14.4" x14ac:dyDescent="0.3">
      <c r="A31" s="137">
        <v>20101</v>
      </c>
      <c r="B31" s="138" t="s">
        <v>756</v>
      </c>
      <c r="C31" s="140">
        <v>1267300.4486619204</v>
      </c>
      <c r="D31" s="140">
        <v>1337652.778784296</v>
      </c>
    </row>
    <row r="32" spans="1:4" ht="14.4" x14ac:dyDescent="0.3">
      <c r="A32" s="137">
        <v>20102</v>
      </c>
      <c r="B32" s="138" t="s">
        <v>89</v>
      </c>
      <c r="C32" s="140">
        <v>240.69458511004854</v>
      </c>
      <c r="D32" s="140">
        <v>13436.65815913808</v>
      </c>
    </row>
    <row r="33" spans="1:4" ht="14.4" x14ac:dyDescent="0.3">
      <c r="A33" s="137">
        <v>20103</v>
      </c>
      <c r="B33" s="138" t="s">
        <v>87</v>
      </c>
      <c r="C33" s="140">
        <v>579.54101503424863</v>
      </c>
      <c r="D33" s="140">
        <v>5411.7145350272294</v>
      </c>
    </row>
    <row r="34" spans="1:4" ht="14.4" x14ac:dyDescent="0.3">
      <c r="A34" s="137">
        <v>20104</v>
      </c>
      <c r="B34" s="138" t="s">
        <v>54</v>
      </c>
      <c r="C34" s="140">
        <v>13694.039847657205</v>
      </c>
      <c r="D34" s="140">
        <v>244834.24071821588</v>
      </c>
    </row>
    <row r="35" spans="1:4" ht="14.4" x14ac:dyDescent="0.3">
      <c r="A35" s="137">
        <v>20105</v>
      </c>
      <c r="B35" s="138" t="s">
        <v>74</v>
      </c>
      <c r="C35" s="140">
        <v>681419.916839357</v>
      </c>
      <c r="D35" s="140">
        <v>768090.15870991023</v>
      </c>
    </row>
    <row r="36" spans="1:4" ht="14.4" x14ac:dyDescent="0.3">
      <c r="A36" s="137">
        <v>20201</v>
      </c>
      <c r="B36" s="138" t="s">
        <v>52</v>
      </c>
      <c r="C36" s="140">
        <v>962.25626170069734</v>
      </c>
      <c r="D36" s="140">
        <v>13961.117015477708</v>
      </c>
    </row>
    <row r="37" spans="1:4" ht="14.4" x14ac:dyDescent="0.3">
      <c r="A37" s="137">
        <v>20202</v>
      </c>
      <c r="B37" s="138" t="s">
        <v>757</v>
      </c>
      <c r="C37" s="140">
        <v>0</v>
      </c>
      <c r="D37" s="140">
        <v>8738.661384127623</v>
      </c>
    </row>
    <row r="38" spans="1:4" ht="14.4" x14ac:dyDescent="0.3">
      <c r="A38" s="137">
        <v>20203</v>
      </c>
      <c r="B38" s="138" t="s">
        <v>319</v>
      </c>
      <c r="C38" s="140">
        <v>0</v>
      </c>
      <c r="D38" s="140">
        <v>3937.9338920802256</v>
      </c>
    </row>
    <row r="39" spans="1:4" ht="14.4" x14ac:dyDescent="0.3">
      <c r="A39" s="137">
        <v>20204</v>
      </c>
      <c r="B39" s="138" t="s">
        <v>79</v>
      </c>
      <c r="C39" s="140">
        <v>0</v>
      </c>
      <c r="D39" s="140">
        <v>19929.031159627233</v>
      </c>
    </row>
    <row r="40" spans="1:4" ht="14.4" x14ac:dyDescent="0.3">
      <c r="A40" s="137">
        <v>20205</v>
      </c>
      <c r="B40" s="138" t="s">
        <v>96</v>
      </c>
      <c r="C40" s="140">
        <v>0</v>
      </c>
      <c r="D40" s="140">
        <v>22078.549904255971</v>
      </c>
    </row>
    <row r="41" spans="1:4" ht="14.4" x14ac:dyDescent="0.3">
      <c r="A41" s="137">
        <v>20206</v>
      </c>
      <c r="B41" s="138" t="s">
        <v>80</v>
      </c>
      <c r="C41" s="140">
        <v>0</v>
      </c>
      <c r="D41" s="140">
        <v>16442.217163533853</v>
      </c>
    </row>
    <row r="42" spans="1:4" ht="14.4" x14ac:dyDescent="0.3">
      <c r="A42" s="137">
        <v>20301</v>
      </c>
      <c r="B42" s="138" t="s">
        <v>758</v>
      </c>
      <c r="C42" s="140">
        <v>20.662586767494762</v>
      </c>
      <c r="D42" s="140">
        <v>1586.4480802251489</v>
      </c>
    </row>
    <row r="43" spans="1:4" ht="14.4" x14ac:dyDescent="0.3">
      <c r="A43" s="137">
        <v>20302</v>
      </c>
      <c r="B43" s="138" t="s">
        <v>62</v>
      </c>
      <c r="C43" s="140">
        <v>34.966508567208798</v>
      </c>
      <c r="D43" s="140">
        <v>36.0305331837151</v>
      </c>
    </row>
    <row r="44" spans="1:4" ht="14.4" x14ac:dyDescent="0.3">
      <c r="A44" s="137">
        <v>20303</v>
      </c>
      <c r="B44" s="138" t="s">
        <v>60</v>
      </c>
      <c r="C44" s="140">
        <v>55.396134900004462</v>
      </c>
      <c r="D44" s="140">
        <v>944.72871105154809</v>
      </c>
    </row>
    <row r="45" spans="1:4" ht="14.4" x14ac:dyDescent="0.3">
      <c r="A45" s="137">
        <v>20304</v>
      </c>
      <c r="B45" s="138" t="s">
        <v>759</v>
      </c>
      <c r="C45" s="140">
        <v>0</v>
      </c>
      <c r="D45" s="140">
        <v>0</v>
      </c>
    </row>
    <row r="46" spans="1:4" ht="14.4" x14ac:dyDescent="0.3">
      <c r="A46" s="137">
        <v>20305</v>
      </c>
      <c r="B46" s="138" t="s">
        <v>64</v>
      </c>
      <c r="C46" s="140">
        <v>18.106450686786722</v>
      </c>
      <c r="D46" s="140">
        <v>1498.7790243179879</v>
      </c>
    </row>
    <row r="47" spans="1:4" ht="14.4" x14ac:dyDescent="0.3">
      <c r="A47" s="137">
        <v>20306</v>
      </c>
      <c r="B47" s="138" t="s">
        <v>760</v>
      </c>
      <c r="C47" s="140">
        <v>0</v>
      </c>
      <c r="D47" s="140">
        <v>1043.4847480469043</v>
      </c>
    </row>
    <row r="48" spans="1:4" ht="14.4" x14ac:dyDescent="0.3">
      <c r="A48" s="137">
        <v>20307</v>
      </c>
      <c r="B48" s="138" t="s">
        <v>761</v>
      </c>
      <c r="C48" s="140">
        <v>0</v>
      </c>
      <c r="D48" s="140">
        <v>0</v>
      </c>
    </row>
    <row r="49" spans="1:4" ht="14.4" x14ac:dyDescent="0.3">
      <c r="A49" s="137">
        <v>20308</v>
      </c>
      <c r="B49" s="138" t="s">
        <v>388</v>
      </c>
      <c r="C49" s="140">
        <v>0</v>
      </c>
      <c r="D49" s="140">
        <v>126.01491944720318</v>
      </c>
    </row>
    <row r="50" spans="1:4" ht="14.4" x14ac:dyDescent="0.3">
      <c r="A50" s="137">
        <v>20401</v>
      </c>
      <c r="B50" s="138" t="s">
        <v>93</v>
      </c>
      <c r="C50" s="140">
        <v>78.463598133972397</v>
      </c>
      <c r="D50" s="140">
        <v>15171.872928321049</v>
      </c>
    </row>
    <row r="51" spans="1:4" ht="14.4" x14ac:dyDescent="0.3">
      <c r="A51" s="137">
        <v>20402</v>
      </c>
      <c r="B51" s="138" t="s">
        <v>762</v>
      </c>
      <c r="C51" s="140">
        <v>23.60538045410993</v>
      </c>
      <c r="D51" s="140">
        <v>445.58649014067112</v>
      </c>
    </row>
    <row r="52" spans="1:4" ht="14.4" x14ac:dyDescent="0.3">
      <c r="A52" s="137">
        <v>20403</v>
      </c>
      <c r="B52" s="138" t="s">
        <v>763</v>
      </c>
      <c r="C52" s="140">
        <v>0</v>
      </c>
      <c r="D52" s="140">
        <v>6411.0067138833201</v>
      </c>
    </row>
    <row r="53" spans="1:4" ht="14.4" x14ac:dyDescent="0.3">
      <c r="A53" s="137">
        <v>20404</v>
      </c>
      <c r="B53" s="138" t="s">
        <v>346</v>
      </c>
      <c r="C53" s="140">
        <v>0</v>
      </c>
      <c r="D53" s="140">
        <v>2217.3759019049235</v>
      </c>
    </row>
    <row r="54" spans="1:4" ht="14.4" x14ac:dyDescent="0.3">
      <c r="A54" s="137">
        <v>20405</v>
      </c>
      <c r="B54" s="138" t="s">
        <v>339</v>
      </c>
      <c r="C54" s="140">
        <v>0</v>
      </c>
      <c r="D54" s="140">
        <v>1095.7223415937365</v>
      </c>
    </row>
    <row r="55" spans="1:4" ht="14.4" x14ac:dyDescent="0.3">
      <c r="A55" s="137">
        <v>20501</v>
      </c>
      <c r="B55" s="138" t="s">
        <v>66</v>
      </c>
      <c r="C55" s="140">
        <v>8.1577937741700666</v>
      </c>
      <c r="D55" s="140">
        <v>7.8044942882701021</v>
      </c>
    </row>
    <row r="56" spans="1:4" ht="14.4" x14ac:dyDescent="0.3">
      <c r="A56" s="137">
        <v>20502</v>
      </c>
      <c r="B56" s="138" t="s">
        <v>57</v>
      </c>
      <c r="C56" s="140">
        <v>0</v>
      </c>
      <c r="D56" s="140">
        <v>0</v>
      </c>
    </row>
    <row r="57" spans="1:4" ht="14.4" x14ac:dyDescent="0.3">
      <c r="A57" s="137">
        <v>20503</v>
      </c>
      <c r="B57" s="138" t="s">
        <v>764</v>
      </c>
      <c r="C57" s="140">
        <v>0</v>
      </c>
      <c r="D57" s="140">
        <v>0</v>
      </c>
    </row>
    <row r="58" spans="1:4" ht="14.4" x14ac:dyDescent="0.3">
      <c r="A58" s="137">
        <v>20601</v>
      </c>
      <c r="B58" s="138" t="s">
        <v>99</v>
      </c>
      <c r="C58" s="140">
        <v>91.224781742188284</v>
      </c>
      <c r="D58" s="140">
        <v>2939.3534949080604</v>
      </c>
    </row>
    <row r="59" spans="1:4" ht="14.4" x14ac:dyDescent="0.3">
      <c r="A59" s="137">
        <v>20602</v>
      </c>
      <c r="B59" s="138" t="s">
        <v>77</v>
      </c>
      <c r="C59" s="140">
        <v>67.926784674174115</v>
      </c>
      <c r="D59" s="140">
        <v>3415.7959906741826</v>
      </c>
    </row>
    <row r="60" spans="1:4" ht="14.4" x14ac:dyDescent="0.3">
      <c r="A60" s="137">
        <v>20603</v>
      </c>
      <c r="B60" s="138" t="s">
        <v>100</v>
      </c>
      <c r="C60" s="140">
        <v>0</v>
      </c>
      <c r="D60" s="140">
        <v>0</v>
      </c>
    </row>
    <row r="61" spans="1:4" ht="14.4" x14ac:dyDescent="0.3">
      <c r="A61" s="137">
        <v>20604</v>
      </c>
      <c r="B61" s="138" t="s">
        <v>765</v>
      </c>
      <c r="C61" s="140">
        <v>0</v>
      </c>
      <c r="D61" s="140">
        <v>0</v>
      </c>
    </row>
    <row r="62" spans="1:4" ht="14.4" x14ac:dyDescent="0.3">
      <c r="A62" s="137">
        <v>20605</v>
      </c>
      <c r="B62" s="138" t="s">
        <v>328</v>
      </c>
      <c r="C62" s="140">
        <v>0</v>
      </c>
      <c r="D62" s="140">
        <v>1055.5540992350316</v>
      </c>
    </row>
    <row r="63" spans="1:4" ht="14.4" x14ac:dyDescent="0.3">
      <c r="A63" s="137">
        <v>20606</v>
      </c>
      <c r="B63" s="138" t="s">
        <v>766</v>
      </c>
      <c r="C63" s="140">
        <v>0</v>
      </c>
      <c r="D63" s="140">
        <v>0</v>
      </c>
    </row>
    <row r="64" spans="1:4" ht="14.4" x14ac:dyDescent="0.3">
      <c r="A64" s="137">
        <v>20607</v>
      </c>
      <c r="B64" s="138" t="s">
        <v>767</v>
      </c>
      <c r="C64" s="140">
        <v>0</v>
      </c>
      <c r="D64" s="140">
        <v>0</v>
      </c>
    </row>
    <row r="65" spans="1:4" ht="14.4" x14ac:dyDescent="0.3">
      <c r="A65" s="137">
        <v>20608</v>
      </c>
      <c r="B65" s="138" t="s">
        <v>768</v>
      </c>
      <c r="C65" s="140">
        <v>0</v>
      </c>
      <c r="D65" s="140">
        <v>0</v>
      </c>
    </row>
    <row r="66" spans="1:4" ht="14.4" x14ac:dyDescent="0.3">
      <c r="A66" s="137">
        <v>20701</v>
      </c>
      <c r="B66" s="138" t="s">
        <v>299</v>
      </c>
      <c r="C66" s="140">
        <v>0</v>
      </c>
      <c r="D66" s="140">
        <v>145.11298521590442</v>
      </c>
    </row>
    <row r="67" spans="1:4" ht="14.4" x14ac:dyDescent="0.3">
      <c r="A67" s="137">
        <v>20702</v>
      </c>
      <c r="B67" s="138" t="s">
        <v>373</v>
      </c>
      <c r="C67" s="140">
        <v>0</v>
      </c>
      <c r="D67" s="140">
        <v>1100.8357338600858</v>
      </c>
    </row>
    <row r="68" spans="1:4" ht="14.4" x14ac:dyDescent="0.3">
      <c r="A68" s="137">
        <v>20801</v>
      </c>
      <c r="B68" s="138" t="s">
        <v>104</v>
      </c>
      <c r="C68" s="140">
        <v>50017.878791758325</v>
      </c>
      <c r="D68" s="140">
        <v>92577.787453559606</v>
      </c>
    </row>
    <row r="69" spans="1:4" ht="14.4" x14ac:dyDescent="0.3">
      <c r="A69" s="137">
        <v>20802</v>
      </c>
      <c r="B69" s="138" t="s">
        <v>769</v>
      </c>
      <c r="C69" s="140">
        <v>44.267967221604692</v>
      </c>
      <c r="D69" s="140">
        <v>7498.9120575342804</v>
      </c>
    </row>
    <row r="70" spans="1:4" ht="14.4" x14ac:dyDescent="0.3">
      <c r="A70" s="137">
        <v>20803</v>
      </c>
      <c r="B70" s="138" t="s">
        <v>770</v>
      </c>
      <c r="C70" s="140">
        <v>2.9427936866151692</v>
      </c>
      <c r="D70" s="140">
        <v>2319.4100530193659</v>
      </c>
    </row>
    <row r="71" spans="1:4" ht="14.4" x14ac:dyDescent="0.3">
      <c r="A71" s="137">
        <v>20804</v>
      </c>
      <c r="B71" s="138" t="s">
        <v>73</v>
      </c>
      <c r="C71" s="140">
        <v>46.503669467786857</v>
      </c>
      <c r="D71" s="140">
        <v>28696.120619271664</v>
      </c>
    </row>
    <row r="72" spans="1:4" ht="14.4" x14ac:dyDescent="0.3">
      <c r="A72" s="137">
        <v>20805</v>
      </c>
      <c r="B72" s="138" t="s">
        <v>771</v>
      </c>
      <c r="C72" s="140">
        <v>0</v>
      </c>
      <c r="D72" s="140">
        <v>692.20793363447365</v>
      </c>
    </row>
    <row r="73" spans="1:4" ht="14.4" x14ac:dyDescent="0.3">
      <c r="A73" s="137">
        <v>20806</v>
      </c>
      <c r="B73" s="138" t="s">
        <v>772</v>
      </c>
      <c r="C73" s="140">
        <v>269.52759322370866</v>
      </c>
      <c r="D73" s="140">
        <v>300.51618863040557</v>
      </c>
    </row>
    <row r="74" spans="1:4" ht="14.4" x14ac:dyDescent="0.3">
      <c r="A74" s="137">
        <v>20807</v>
      </c>
      <c r="B74" s="138" t="s">
        <v>101</v>
      </c>
      <c r="C74" s="140">
        <v>0</v>
      </c>
      <c r="D74" s="140">
        <v>14388.512303394436</v>
      </c>
    </row>
    <row r="75" spans="1:4" ht="14.4" x14ac:dyDescent="0.3">
      <c r="A75" s="137">
        <v>20901</v>
      </c>
      <c r="B75" s="138" t="s">
        <v>86</v>
      </c>
      <c r="C75" s="140">
        <v>351.28168943005051</v>
      </c>
      <c r="D75" s="140">
        <v>261.42164664906198</v>
      </c>
    </row>
    <row r="76" spans="1:4" ht="14.4" x14ac:dyDescent="0.3">
      <c r="A76" s="137">
        <v>20902</v>
      </c>
      <c r="B76" s="138" t="s">
        <v>97</v>
      </c>
      <c r="C76" s="140">
        <v>21.304491743016158</v>
      </c>
      <c r="D76" s="140">
        <v>7762.9854536754092</v>
      </c>
    </row>
    <row r="77" spans="1:4" ht="14.4" x14ac:dyDescent="0.3">
      <c r="A77" s="137">
        <v>20903</v>
      </c>
      <c r="B77" s="138" t="s">
        <v>407</v>
      </c>
      <c r="C77" s="140">
        <v>0</v>
      </c>
      <c r="D77" s="140">
        <v>122.8330742129495</v>
      </c>
    </row>
    <row r="78" spans="1:4" ht="14.4" x14ac:dyDescent="0.3">
      <c r="A78" s="137">
        <v>20904</v>
      </c>
      <c r="B78" s="138" t="s">
        <v>773</v>
      </c>
      <c r="C78" s="140">
        <v>0</v>
      </c>
      <c r="D78" s="140">
        <v>0</v>
      </c>
    </row>
    <row r="79" spans="1:4" ht="14.4" x14ac:dyDescent="0.3">
      <c r="A79" s="137">
        <v>20905</v>
      </c>
      <c r="B79" s="138" t="s">
        <v>304</v>
      </c>
      <c r="C79" s="140">
        <v>0</v>
      </c>
      <c r="D79" s="140">
        <v>179.02545651766167</v>
      </c>
    </row>
    <row r="80" spans="1:4" ht="14.4" x14ac:dyDescent="0.3">
      <c r="A80" s="137">
        <v>21001</v>
      </c>
      <c r="B80" s="138" t="s">
        <v>81</v>
      </c>
      <c r="C80" s="140">
        <v>0</v>
      </c>
      <c r="D80" s="140">
        <v>22258.600984258544</v>
      </c>
    </row>
    <row r="81" spans="1:4" ht="14.4" x14ac:dyDescent="0.3">
      <c r="A81" s="137">
        <v>21002</v>
      </c>
      <c r="B81" s="138" t="s">
        <v>95</v>
      </c>
      <c r="C81" s="140">
        <v>25.405502354719587</v>
      </c>
      <c r="D81" s="140">
        <v>5986.0753214898632</v>
      </c>
    </row>
    <row r="82" spans="1:4" ht="14.4" x14ac:dyDescent="0.3">
      <c r="A82" s="137">
        <v>21003</v>
      </c>
      <c r="B82" s="138" t="s">
        <v>307</v>
      </c>
      <c r="C82" s="140">
        <v>0</v>
      </c>
      <c r="D82" s="140">
        <v>155.34427136091401</v>
      </c>
    </row>
    <row r="83" spans="1:4" ht="14.4" x14ac:dyDescent="0.3">
      <c r="A83" s="137">
        <v>21004</v>
      </c>
      <c r="B83" s="138" t="s">
        <v>69</v>
      </c>
      <c r="C83" s="140">
        <v>38.202874249850922</v>
      </c>
      <c r="D83" s="140">
        <v>1596.0304438103256</v>
      </c>
    </row>
    <row r="84" spans="1:4" ht="14.4" x14ac:dyDescent="0.3">
      <c r="A84" s="137">
        <v>21005</v>
      </c>
      <c r="B84" s="138" t="s">
        <v>774</v>
      </c>
      <c r="C84" s="140">
        <v>0</v>
      </c>
      <c r="D84" s="140">
        <v>0</v>
      </c>
    </row>
    <row r="85" spans="1:4" ht="14.4" x14ac:dyDescent="0.3">
      <c r="A85" s="137">
        <v>21006</v>
      </c>
      <c r="B85" s="138" t="s">
        <v>775</v>
      </c>
      <c r="C85" s="140">
        <v>0</v>
      </c>
      <c r="D85" s="140">
        <v>0</v>
      </c>
    </row>
    <row r="86" spans="1:4" ht="14.4" x14ac:dyDescent="0.3">
      <c r="A86" s="137">
        <v>21101</v>
      </c>
      <c r="B86" s="138" t="s">
        <v>65</v>
      </c>
      <c r="C86" s="140">
        <v>178.59866683896558</v>
      </c>
      <c r="D86" s="140">
        <v>2494.4781830624247</v>
      </c>
    </row>
    <row r="87" spans="1:4" ht="14.4" x14ac:dyDescent="0.3">
      <c r="A87" s="137">
        <v>21102</v>
      </c>
      <c r="B87" s="138" t="s">
        <v>82</v>
      </c>
      <c r="C87" s="140">
        <v>1968.9841645718302</v>
      </c>
      <c r="D87" s="140">
        <v>1667.2313680565476</v>
      </c>
    </row>
    <row r="88" spans="1:4" ht="14.4" x14ac:dyDescent="0.3">
      <c r="A88" s="137">
        <v>21103</v>
      </c>
      <c r="B88" s="138" t="s">
        <v>776</v>
      </c>
      <c r="C88" s="140">
        <v>0</v>
      </c>
      <c r="D88" s="140">
        <v>0</v>
      </c>
    </row>
    <row r="89" spans="1:4" ht="14.4" x14ac:dyDescent="0.3">
      <c r="A89" s="137">
        <v>21104</v>
      </c>
      <c r="B89" s="138" t="s">
        <v>90</v>
      </c>
      <c r="C89" s="140">
        <v>1336.6846868959778</v>
      </c>
      <c r="D89" s="140">
        <v>1063.7921817624022</v>
      </c>
    </row>
    <row r="90" spans="1:4" ht="14.4" x14ac:dyDescent="0.3">
      <c r="A90" s="137">
        <v>21105</v>
      </c>
      <c r="B90" s="138" t="s">
        <v>354</v>
      </c>
      <c r="C90" s="140">
        <v>0</v>
      </c>
      <c r="D90" s="140">
        <v>309.18436352642328</v>
      </c>
    </row>
    <row r="91" spans="1:4" ht="14.4" x14ac:dyDescent="0.3">
      <c r="A91" s="137">
        <v>21201</v>
      </c>
      <c r="B91" s="138" t="s">
        <v>92</v>
      </c>
      <c r="C91" s="140">
        <v>409.37725037097061</v>
      </c>
      <c r="D91" s="140">
        <v>12643.205268861644</v>
      </c>
    </row>
    <row r="92" spans="1:4" ht="14.4" x14ac:dyDescent="0.3">
      <c r="A92" s="137">
        <v>21202</v>
      </c>
      <c r="B92" s="138" t="s">
        <v>85</v>
      </c>
      <c r="C92" s="140">
        <v>117.75551135889371</v>
      </c>
      <c r="D92" s="140">
        <v>43921.917515921981</v>
      </c>
    </row>
    <row r="93" spans="1:4" ht="14.4" x14ac:dyDescent="0.3">
      <c r="A93" s="137">
        <v>21203</v>
      </c>
      <c r="B93" s="138" t="s">
        <v>59</v>
      </c>
      <c r="C93" s="140">
        <v>45.367021983054002</v>
      </c>
      <c r="D93" s="140">
        <v>4922.1981401388675</v>
      </c>
    </row>
    <row r="94" spans="1:4" ht="14.4" x14ac:dyDescent="0.3">
      <c r="A94" s="137">
        <v>21204</v>
      </c>
      <c r="B94" s="138" t="s">
        <v>777</v>
      </c>
      <c r="C94" s="140">
        <v>0</v>
      </c>
      <c r="D94" s="140">
        <v>2240.1021644811663</v>
      </c>
    </row>
    <row r="95" spans="1:4" ht="14.4" x14ac:dyDescent="0.3">
      <c r="A95" s="137">
        <v>21301</v>
      </c>
      <c r="B95" s="138" t="s">
        <v>778</v>
      </c>
      <c r="C95" s="140">
        <v>203.55701206595529</v>
      </c>
      <c r="D95" s="140">
        <v>28026.76576544232</v>
      </c>
    </row>
    <row r="96" spans="1:4" ht="14.4" x14ac:dyDescent="0.3">
      <c r="A96" s="137">
        <v>21302</v>
      </c>
      <c r="B96" s="138" t="s">
        <v>103</v>
      </c>
      <c r="C96" s="140">
        <v>43.828782627266506</v>
      </c>
      <c r="D96" s="140">
        <v>1351.5863653175229</v>
      </c>
    </row>
    <row r="97" spans="1:4" ht="14.4" x14ac:dyDescent="0.3">
      <c r="A97" s="137">
        <v>21303</v>
      </c>
      <c r="B97" s="138" t="s">
        <v>58</v>
      </c>
      <c r="C97" s="140">
        <v>17.483254283604399</v>
      </c>
      <c r="D97" s="140">
        <v>18401.99607738321</v>
      </c>
    </row>
    <row r="98" spans="1:4" ht="14.4" x14ac:dyDescent="0.3">
      <c r="A98" s="137">
        <v>21304</v>
      </c>
      <c r="B98" s="138" t="s">
        <v>61</v>
      </c>
      <c r="C98" s="140">
        <v>12589.220727159383</v>
      </c>
      <c r="D98" s="140">
        <v>90721.584817142153</v>
      </c>
    </row>
    <row r="99" spans="1:4" ht="14.4" x14ac:dyDescent="0.3">
      <c r="A99" s="137">
        <v>21305</v>
      </c>
      <c r="B99" s="138" t="s">
        <v>91</v>
      </c>
      <c r="C99" s="140">
        <v>2989.8033565138212</v>
      </c>
      <c r="D99" s="140">
        <v>31027.365774028138</v>
      </c>
    </row>
    <row r="100" spans="1:4" ht="14.4" x14ac:dyDescent="0.3">
      <c r="A100" s="137">
        <v>21306</v>
      </c>
      <c r="B100" s="138" t="s">
        <v>68</v>
      </c>
      <c r="C100" s="140">
        <v>53.072959253995521</v>
      </c>
      <c r="D100" s="140">
        <v>3729.0957040540543</v>
      </c>
    </row>
    <row r="101" spans="1:4" ht="14.4" x14ac:dyDescent="0.3">
      <c r="A101" s="137">
        <v>21307</v>
      </c>
      <c r="B101" s="138" t="s">
        <v>67</v>
      </c>
      <c r="C101" s="140">
        <v>1462.0916504639549</v>
      </c>
      <c r="D101" s="140">
        <v>4792.9959439098993</v>
      </c>
    </row>
    <row r="102" spans="1:4" ht="14.4" x14ac:dyDescent="0.3">
      <c r="A102" s="137">
        <v>21401</v>
      </c>
      <c r="B102" s="138" t="s">
        <v>72</v>
      </c>
      <c r="C102" s="140">
        <v>313.54892547840325</v>
      </c>
      <c r="D102" s="140">
        <v>243.49452720968159</v>
      </c>
    </row>
    <row r="103" spans="1:4" ht="14.4" x14ac:dyDescent="0.3">
      <c r="A103" s="137">
        <v>21402</v>
      </c>
      <c r="B103" s="138" t="s">
        <v>334</v>
      </c>
      <c r="C103" s="140">
        <v>0</v>
      </c>
      <c r="D103" s="140">
        <v>202.44256897937782</v>
      </c>
    </row>
    <row r="104" spans="1:4" ht="14.4" x14ac:dyDescent="0.3">
      <c r="A104" s="137">
        <v>21501</v>
      </c>
      <c r="B104" s="138" t="s">
        <v>353</v>
      </c>
      <c r="C104" s="140">
        <v>0</v>
      </c>
      <c r="D104" s="140">
        <v>340.33716030139919</v>
      </c>
    </row>
    <row r="105" spans="1:4" ht="14.4" x14ac:dyDescent="0.3">
      <c r="A105" s="137">
        <v>21502</v>
      </c>
      <c r="B105" s="138" t="s">
        <v>384</v>
      </c>
      <c r="C105" s="140">
        <v>0</v>
      </c>
      <c r="D105" s="140">
        <v>953.68732106752202</v>
      </c>
    </row>
    <row r="106" spans="1:4" ht="14.4" x14ac:dyDescent="0.3">
      <c r="A106" s="137">
        <v>21601</v>
      </c>
      <c r="B106" s="138" t="s">
        <v>779</v>
      </c>
      <c r="C106" s="140">
        <v>0</v>
      </c>
      <c r="D106" s="140">
        <v>314.01900630876941</v>
      </c>
    </row>
    <row r="107" spans="1:4" ht="14.4" x14ac:dyDescent="0.3">
      <c r="A107" s="137">
        <v>21602</v>
      </c>
      <c r="B107" s="138" t="s">
        <v>780</v>
      </c>
      <c r="C107" s="140">
        <v>0</v>
      </c>
      <c r="D107" s="140">
        <v>0</v>
      </c>
    </row>
    <row r="108" spans="1:4" ht="14.4" x14ac:dyDescent="0.3">
      <c r="A108" s="137">
        <v>21701</v>
      </c>
      <c r="B108" s="138" t="s">
        <v>70</v>
      </c>
      <c r="C108" s="140">
        <v>8.1577937741700666</v>
      </c>
      <c r="D108" s="140">
        <v>1424.3279944494732</v>
      </c>
    </row>
    <row r="109" spans="1:4" ht="14.4" x14ac:dyDescent="0.3">
      <c r="A109" s="137">
        <v>21702</v>
      </c>
      <c r="B109" s="138" t="s">
        <v>386</v>
      </c>
      <c r="C109" s="140">
        <v>0</v>
      </c>
      <c r="D109" s="140">
        <v>4082.4277877095142</v>
      </c>
    </row>
    <row r="110" spans="1:4" ht="14.4" x14ac:dyDescent="0.3">
      <c r="A110" s="137">
        <v>21703</v>
      </c>
      <c r="B110" s="138" t="s">
        <v>400</v>
      </c>
      <c r="C110" s="140">
        <v>0</v>
      </c>
      <c r="D110" s="140">
        <v>388.96584036195748</v>
      </c>
    </row>
    <row r="111" spans="1:4" ht="14.4" x14ac:dyDescent="0.3">
      <c r="A111" s="137">
        <v>21801</v>
      </c>
      <c r="B111" s="138" t="s">
        <v>781</v>
      </c>
      <c r="C111" s="140">
        <v>0</v>
      </c>
      <c r="D111" s="140">
        <v>0</v>
      </c>
    </row>
    <row r="112" spans="1:4" ht="14.4" x14ac:dyDescent="0.3">
      <c r="A112" s="137">
        <v>21802</v>
      </c>
      <c r="B112" s="138" t="s">
        <v>369</v>
      </c>
      <c r="C112" s="140">
        <v>0</v>
      </c>
      <c r="D112" s="140">
        <v>36360.189040972189</v>
      </c>
    </row>
    <row r="113" spans="1:4" ht="14.4" x14ac:dyDescent="0.3">
      <c r="A113" s="137">
        <v>21803</v>
      </c>
      <c r="B113" s="138" t="s">
        <v>782</v>
      </c>
      <c r="C113" s="140">
        <v>0</v>
      </c>
      <c r="D113" s="140">
        <v>0</v>
      </c>
    </row>
    <row r="114" spans="1:4" ht="14.4" x14ac:dyDescent="0.3">
      <c r="A114" s="137">
        <v>21901</v>
      </c>
      <c r="B114" s="138" t="s">
        <v>783</v>
      </c>
      <c r="C114" s="140">
        <v>0</v>
      </c>
      <c r="D114" s="140">
        <v>0</v>
      </c>
    </row>
    <row r="115" spans="1:4" ht="14.4" x14ac:dyDescent="0.3">
      <c r="A115" s="137">
        <v>21902</v>
      </c>
      <c r="B115" s="138" t="s">
        <v>784</v>
      </c>
      <c r="C115" s="140">
        <v>0</v>
      </c>
      <c r="D115" s="140">
        <v>0</v>
      </c>
    </row>
    <row r="116" spans="1:4" ht="14.4" x14ac:dyDescent="0.3">
      <c r="A116" s="137">
        <v>22001</v>
      </c>
      <c r="B116" s="138" t="s">
        <v>63</v>
      </c>
      <c r="C116" s="140">
        <v>11839.968752431925</v>
      </c>
      <c r="D116" s="140">
        <v>15674.027980595045</v>
      </c>
    </row>
    <row r="117" spans="1:4" ht="14.4" x14ac:dyDescent="0.3">
      <c r="A117" s="137">
        <v>22002</v>
      </c>
      <c r="B117" s="138" t="s">
        <v>56</v>
      </c>
      <c r="C117" s="140">
        <v>1284.7866167739157</v>
      </c>
      <c r="D117" s="140">
        <v>1946.9773001835499</v>
      </c>
    </row>
    <row r="118" spans="1:4" ht="14.4" x14ac:dyDescent="0.3">
      <c r="A118" s="137">
        <v>30101</v>
      </c>
      <c r="B118" s="138" t="s">
        <v>105</v>
      </c>
      <c r="C118" s="140">
        <v>881059.09403952758</v>
      </c>
      <c r="D118" s="140">
        <v>1052035.3923914102</v>
      </c>
    </row>
    <row r="119" spans="1:4" ht="14.4" x14ac:dyDescent="0.3">
      <c r="A119" s="137">
        <v>30201</v>
      </c>
      <c r="B119" s="138" t="s">
        <v>106</v>
      </c>
      <c r="C119" s="140">
        <v>282.4180499810376</v>
      </c>
      <c r="D119" s="140">
        <v>293.9533387065768</v>
      </c>
    </row>
    <row r="120" spans="1:4" ht="14.4" x14ac:dyDescent="0.3">
      <c r="A120" s="137">
        <v>30202</v>
      </c>
      <c r="B120" s="138" t="s">
        <v>125</v>
      </c>
      <c r="C120" s="140">
        <v>4.9718159100441799</v>
      </c>
      <c r="D120" s="140">
        <v>4.6233917787843595</v>
      </c>
    </row>
    <row r="121" spans="1:4" ht="14.4" x14ac:dyDescent="0.3">
      <c r="A121" s="137">
        <v>30203</v>
      </c>
      <c r="B121" s="138" t="s">
        <v>124</v>
      </c>
      <c r="C121" s="140">
        <v>52.892947268688168</v>
      </c>
      <c r="D121" s="140">
        <v>564.38463850254243</v>
      </c>
    </row>
    <row r="122" spans="1:4" ht="14.4" x14ac:dyDescent="0.3">
      <c r="A122" s="137">
        <v>30301</v>
      </c>
      <c r="B122" s="138" t="s">
        <v>785</v>
      </c>
      <c r="C122" s="140">
        <v>0</v>
      </c>
      <c r="D122" s="140">
        <v>0</v>
      </c>
    </row>
    <row r="123" spans="1:4" ht="14.4" x14ac:dyDescent="0.3">
      <c r="A123" s="137">
        <v>30302</v>
      </c>
      <c r="B123" s="138" t="s">
        <v>123</v>
      </c>
      <c r="C123" s="140">
        <v>109.24402640580344</v>
      </c>
      <c r="D123" s="140">
        <v>460.20052963123652</v>
      </c>
    </row>
    <row r="124" spans="1:4" ht="14.4" x14ac:dyDescent="0.3">
      <c r="A124" s="137">
        <v>30303</v>
      </c>
      <c r="B124" s="138" t="s">
        <v>117</v>
      </c>
      <c r="C124" s="140">
        <v>1532.6649390560831</v>
      </c>
      <c r="D124" s="140">
        <v>3612.6875139976305</v>
      </c>
    </row>
    <row r="125" spans="1:4" ht="14.4" x14ac:dyDescent="0.3">
      <c r="A125" s="137">
        <v>30401</v>
      </c>
      <c r="B125" s="138" t="s">
        <v>139</v>
      </c>
      <c r="C125" s="140">
        <v>2211.4014719367538</v>
      </c>
      <c r="D125" s="140">
        <v>3156.3448197216258</v>
      </c>
    </row>
    <row r="126" spans="1:4" ht="14.4" x14ac:dyDescent="0.3">
      <c r="A126" s="137">
        <v>30402</v>
      </c>
      <c r="B126" s="138" t="s">
        <v>108</v>
      </c>
      <c r="C126" s="140">
        <v>1.8039838862166171</v>
      </c>
      <c r="D126" s="140">
        <v>776.81008918210739</v>
      </c>
    </row>
    <row r="127" spans="1:4" ht="14.4" x14ac:dyDescent="0.3">
      <c r="A127" s="137">
        <v>30403</v>
      </c>
      <c r="B127" s="138" t="s">
        <v>110</v>
      </c>
      <c r="C127" s="140">
        <v>1077.6337061769054</v>
      </c>
      <c r="D127" s="140">
        <v>12832.080110698778</v>
      </c>
    </row>
    <row r="128" spans="1:4" ht="14.4" x14ac:dyDescent="0.3">
      <c r="A128" s="137">
        <v>30404</v>
      </c>
      <c r="B128" s="138" t="s">
        <v>132</v>
      </c>
      <c r="C128" s="140">
        <v>36.681612257553553</v>
      </c>
      <c r="D128" s="140">
        <v>34.235896689415519</v>
      </c>
    </row>
    <row r="129" spans="1:4" ht="14.4" x14ac:dyDescent="0.3">
      <c r="A129" s="137">
        <v>30501</v>
      </c>
      <c r="B129" s="138" t="s">
        <v>109</v>
      </c>
      <c r="C129" s="140">
        <v>392.70912169379494</v>
      </c>
      <c r="D129" s="140">
        <v>2169.5941944303245</v>
      </c>
    </row>
    <row r="130" spans="1:4" ht="14.4" x14ac:dyDescent="0.3">
      <c r="A130" s="137">
        <v>30502</v>
      </c>
      <c r="B130" s="138" t="s">
        <v>145</v>
      </c>
      <c r="C130" s="140">
        <v>213.07688264156954</v>
      </c>
      <c r="D130" s="140">
        <v>797.14550837635989</v>
      </c>
    </row>
    <row r="131" spans="1:4" ht="14.4" x14ac:dyDescent="0.3">
      <c r="A131" s="137">
        <v>30601</v>
      </c>
      <c r="B131" s="138" t="s">
        <v>111</v>
      </c>
      <c r="C131" s="140">
        <v>23.665671503613357</v>
      </c>
      <c r="D131" s="140">
        <v>848.62693567579083</v>
      </c>
    </row>
    <row r="132" spans="1:4" ht="14.4" x14ac:dyDescent="0.3">
      <c r="A132" s="137">
        <v>30602</v>
      </c>
      <c r="B132" s="138" t="s">
        <v>137</v>
      </c>
      <c r="C132" s="140">
        <v>32.635359372969425</v>
      </c>
      <c r="D132" s="140">
        <v>1359.8533177382938</v>
      </c>
    </row>
    <row r="133" spans="1:4" ht="14.4" x14ac:dyDescent="0.3">
      <c r="A133" s="137">
        <v>30701</v>
      </c>
      <c r="B133" s="138" t="s">
        <v>113</v>
      </c>
      <c r="C133" s="140">
        <v>6491.0780140341622</v>
      </c>
      <c r="D133" s="140">
        <v>14208.886766890077</v>
      </c>
    </row>
    <row r="134" spans="1:4" ht="14.4" x14ac:dyDescent="0.3">
      <c r="A134" s="137">
        <v>30702</v>
      </c>
      <c r="B134" s="138" t="s">
        <v>134</v>
      </c>
      <c r="C134" s="140">
        <v>313.40611278217835</v>
      </c>
      <c r="D134" s="140">
        <v>1770.8133970882229</v>
      </c>
    </row>
    <row r="135" spans="1:4" ht="14.4" x14ac:dyDescent="0.3">
      <c r="A135" s="137">
        <v>30703</v>
      </c>
      <c r="B135" s="138" t="s">
        <v>786</v>
      </c>
      <c r="C135" s="140">
        <v>0</v>
      </c>
      <c r="D135" s="140">
        <v>0</v>
      </c>
    </row>
    <row r="136" spans="1:4" ht="14.4" x14ac:dyDescent="0.3">
      <c r="A136" s="137">
        <v>30801</v>
      </c>
      <c r="B136" s="138" t="s">
        <v>116</v>
      </c>
      <c r="C136" s="140">
        <v>12040.090254106317</v>
      </c>
      <c r="D136" s="140">
        <v>21730.381305803236</v>
      </c>
    </row>
    <row r="137" spans="1:4" ht="14.4" x14ac:dyDescent="0.3">
      <c r="A137" s="137">
        <v>30802</v>
      </c>
      <c r="B137" s="138" t="s">
        <v>142</v>
      </c>
      <c r="C137" s="140">
        <v>105.02656910663627</v>
      </c>
      <c r="D137" s="140">
        <v>509.46369218256524</v>
      </c>
    </row>
    <row r="138" spans="1:4" ht="14.4" x14ac:dyDescent="0.3">
      <c r="A138" s="137">
        <v>30803</v>
      </c>
      <c r="B138" s="138" t="s">
        <v>143</v>
      </c>
      <c r="C138" s="140">
        <v>210.28923291935945</v>
      </c>
      <c r="D138" s="140">
        <v>1505.9997666221361</v>
      </c>
    </row>
    <row r="139" spans="1:4" ht="14.4" x14ac:dyDescent="0.3">
      <c r="A139" s="137">
        <v>30901</v>
      </c>
      <c r="B139" s="138" t="s">
        <v>130</v>
      </c>
      <c r="C139" s="140">
        <v>417362.38690078835</v>
      </c>
      <c r="D139" s="140">
        <v>371795.13835299527</v>
      </c>
    </row>
    <row r="140" spans="1:4" ht="14.4" x14ac:dyDescent="0.3">
      <c r="A140" s="137">
        <v>30902</v>
      </c>
      <c r="B140" s="138" t="s">
        <v>787</v>
      </c>
      <c r="C140" s="140">
        <v>0</v>
      </c>
      <c r="D140" s="140">
        <v>0</v>
      </c>
    </row>
    <row r="141" spans="1:4" ht="14.4" x14ac:dyDescent="0.3">
      <c r="A141" s="137">
        <v>30903</v>
      </c>
      <c r="B141" s="138" t="s">
        <v>140</v>
      </c>
      <c r="C141" s="140">
        <v>19096.653791738325</v>
      </c>
      <c r="D141" s="140">
        <v>73896.745170522074</v>
      </c>
    </row>
    <row r="142" spans="1:4" ht="14.4" x14ac:dyDescent="0.3">
      <c r="A142" s="137">
        <v>30904</v>
      </c>
      <c r="B142" s="138" t="s">
        <v>150</v>
      </c>
      <c r="C142" s="140">
        <v>26100.665611224624</v>
      </c>
      <c r="D142" s="140">
        <v>103751.55916010222</v>
      </c>
    </row>
    <row r="143" spans="1:4" ht="14.4" x14ac:dyDescent="0.3">
      <c r="A143" s="137">
        <v>30905</v>
      </c>
      <c r="B143" s="138" t="s">
        <v>118</v>
      </c>
      <c r="C143" s="140">
        <v>49122.676364383056</v>
      </c>
      <c r="D143" s="140">
        <v>69084.662840569843</v>
      </c>
    </row>
    <row r="144" spans="1:4" ht="14.4" x14ac:dyDescent="0.3">
      <c r="A144" s="137">
        <v>31001</v>
      </c>
      <c r="B144" s="138" t="s">
        <v>131</v>
      </c>
      <c r="C144" s="140">
        <v>224671.13175240462</v>
      </c>
      <c r="D144" s="140">
        <v>269768.40376898809</v>
      </c>
    </row>
    <row r="145" spans="1:4" ht="14.4" x14ac:dyDescent="0.3">
      <c r="A145" s="137">
        <v>31002</v>
      </c>
      <c r="B145" s="138" t="s">
        <v>119</v>
      </c>
      <c r="C145" s="140">
        <v>4421.1593307645571</v>
      </c>
      <c r="D145" s="140">
        <v>6090.0736804673234</v>
      </c>
    </row>
    <row r="146" spans="1:4" ht="14.4" x14ac:dyDescent="0.3">
      <c r="A146" s="137">
        <v>31003</v>
      </c>
      <c r="B146" s="138" t="s">
        <v>149</v>
      </c>
      <c r="C146" s="140">
        <v>20604.650608888063</v>
      </c>
      <c r="D146" s="140">
        <v>21841.139503439557</v>
      </c>
    </row>
    <row r="147" spans="1:4" ht="14.4" x14ac:dyDescent="0.3">
      <c r="A147" s="137">
        <v>31101</v>
      </c>
      <c r="B147" s="138" t="s">
        <v>138</v>
      </c>
      <c r="C147" s="140">
        <v>59.41863133868334</v>
      </c>
      <c r="D147" s="140">
        <v>1434.4013961723897</v>
      </c>
    </row>
    <row r="148" spans="1:4" ht="14.4" x14ac:dyDescent="0.3">
      <c r="A148" s="137">
        <v>31201</v>
      </c>
      <c r="B148" s="138" t="s">
        <v>144</v>
      </c>
      <c r="C148" s="140">
        <v>612.79279200271515</v>
      </c>
      <c r="D148" s="140">
        <v>1269.4968525515449</v>
      </c>
    </row>
    <row r="149" spans="1:4" ht="14.4" x14ac:dyDescent="0.3">
      <c r="A149" s="137">
        <v>31202</v>
      </c>
      <c r="B149" s="138" t="s">
        <v>127</v>
      </c>
      <c r="C149" s="140">
        <v>245.2287225686093</v>
      </c>
      <c r="D149" s="140">
        <v>344.69890298502463</v>
      </c>
    </row>
    <row r="150" spans="1:4" ht="14.4" x14ac:dyDescent="0.3">
      <c r="A150" s="137">
        <v>31203</v>
      </c>
      <c r="B150" s="138" t="s">
        <v>126</v>
      </c>
      <c r="C150" s="140">
        <v>896.78987624014951</v>
      </c>
      <c r="D150" s="140">
        <v>620.45304291331252</v>
      </c>
    </row>
    <row r="151" spans="1:4" ht="14.4" x14ac:dyDescent="0.3">
      <c r="A151" s="137">
        <v>31204</v>
      </c>
      <c r="B151" s="138" t="s">
        <v>114</v>
      </c>
      <c r="C151" s="140">
        <v>4913.0997202196631</v>
      </c>
      <c r="D151" s="140">
        <v>9404.8019254705105</v>
      </c>
    </row>
    <row r="152" spans="1:4" ht="14.4" x14ac:dyDescent="0.3">
      <c r="A152" s="137">
        <v>31205</v>
      </c>
      <c r="B152" s="138" t="s">
        <v>128</v>
      </c>
      <c r="C152" s="140">
        <v>12829.690842003976</v>
      </c>
      <c r="D152" s="140">
        <v>40195.31079997497</v>
      </c>
    </row>
    <row r="153" spans="1:4" ht="14.4" x14ac:dyDescent="0.3">
      <c r="A153" s="137">
        <v>31206</v>
      </c>
      <c r="B153" s="138" t="s">
        <v>120</v>
      </c>
      <c r="C153" s="140">
        <v>8184.2479565898739</v>
      </c>
      <c r="D153" s="140">
        <v>13866.571198618469</v>
      </c>
    </row>
    <row r="154" spans="1:4" ht="14.4" x14ac:dyDescent="0.3">
      <c r="A154" s="137">
        <v>31301</v>
      </c>
      <c r="B154" s="138" t="s">
        <v>122</v>
      </c>
      <c r="C154" s="140">
        <v>868.60174392881004</v>
      </c>
      <c r="D154" s="140">
        <v>1387.1115928042163</v>
      </c>
    </row>
    <row r="155" spans="1:4" ht="14.4" x14ac:dyDescent="0.3">
      <c r="A155" s="137">
        <v>31302</v>
      </c>
      <c r="B155" s="138" t="s">
        <v>146</v>
      </c>
      <c r="C155" s="140">
        <v>1.8039838862166171</v>
      </c>
      <c r="D155" s="140">
        <v>1.9057139239665164</v>
      </c>
    </row>
    <row r="156" spans="1:4" ht="14.4" x14ac:dyDescent="0.3">
      <c r="A156" s="137">
        <v>31303</v>
      </c>
      <c r="B156" s="138" t="s">
        <v>107</v>
      </c>
      <c r="C156" s="140">
        <v>3.6079677724332342</v>
      </c>
      <c r="D156" s="140">
        <v>3.8114278479330328</v>
      </c>
    </row>
    <row r="157" spans="1:4" ht="14.4" x14ac:dyDescent="0.3">
      <c r="A157" s="137">
        <v>31304</v>
      </c>
      <c r="B157" s="138" t="s">
        <v>788</v>
      </c>
      <c r="C157" s="140">
        <v>0</v>
      </c>
      <c r="D157" s="140">
        <v>0</v>
      </c>
    </row>
    <row r="158" spans="1:4" ht="14.4" x14ac:dyDescent="0.3">
      <c r="A158" s="137">
        <v>31401</v>
      </c>
      <c r="B158" s="138" t="s">
        <v>129</v>
      </c>
      <c r="C158" s="140">
        <v>27572.951950644525</v>
      </c>
      <c r="D158" s="140">
        <v>35170.525332585967</v>
      </c>
    </row>
    <row r="159" spans="1:4" ht="14.4" x14ac:dyDescent="0.3">
      <c r="A159" s="137">
        <v>31402</v>
      </c>
      <c r="B159" s="138" t="s">
        <v>147</v>
      </c>
      <c r="C159" s="140">
        <v>923.48557887351149</v>
      </c>
      <c r="D159" s="140">
        <v>1761.7659854576164</v>
      </c>
    </row>
    <row r="160" spans="1:4" ht="14.4" x14ac:dyDescent="0.3">
      <c r="A160" s="137">
        <v>31403</v>
      </c>
      <c r="B160" s="138" t="s">
        <v>133</v>
      </c>
      <c r="C160" s="140">
        <v>632.78992202773452</v>
      </c>
      <c r="D160" s="140">
        <v>7600.0727269113886</v>
      </c>
    </row>
    <row r="161" spans="1:4" ht="14.4" x14ac:dyDescent="0.3">
      <c r="A161" s="137">
        <v>31404</v>
      </c>
      <c r="B161" s="138" t="s">
        <v>789</v>
      </c>
      <c r="C161" s="140">
        <v>0</v>
      </c>
      <c r="D161" s="140">
        <v>0</v>
      </c>
    </row>
    <row r="162" spans="1:4" ht="14.4" x14ac:dyDescent="0.3">
      <c r="A162" s="137">
        <v>31405</v>
      </c>
      <c r="B162" s="138" t="s">
        <v>790</v>
      </c>
      <c r="C162" s="140">
        <v>0</v>
      </c>
      <c r="D162" s="140">
        <v>0</v>
      </c>
    </row>
    <row r="163" spans="1:4" ht="14.4" x14ac:dyDescent="0.3">
      <c r="A163" s="137">
        <v>31501</v>
      </c>
      <c r="B163" s="138" t="s">
        <v>112</v>
      </c>
      <c r="C163" s="140">
        <v>38.48107931498177</v>
      </c>
      <c r="D163" s="140">
        <v>19.236786445188702</v>
      </c>
    </row>
    <row r="164" spans="1:4" ht="14.4" x14ac:dyDescent="0.3">
      <c r="A164" s="137">
        <v>31601</v>
      </c>
      <c r="B164" s="138" t="s">
        <v>141</v>
      </c>
      <c r="C164" s="140">
        <v>2941.868032876529</v>
      </c>
      <c r="D164" s="140">
        <v>17530.698834373405</v>
      </c>
    </row>
    <row r="165" spans="1:4" ht="14.4" x14ac:dyDescent="0.3">
      <c r="A165" s="137">
        <v>31602</v>
      </c>
      <c r="B165" s="138" t="s">
        <v>135</v>
      </c>
      <c r="C165" s="140">
        <v>2559.5251002720806</v>
      </c>
      <c r="D165" s="140">
        <v>8958.0236045057809</v>
      </c>
    </row>
    <row r="166" spans="1:4" ht="14.4" x14ac:dyDescent="0.3">
      <c r="A166" s="137">
        <v>40101</v>
      </c>
      <c r="B166" s="138" t="s">
        <v>151</v>
      </c>
      <c r="C166" s="140">
        <v>527299.2451830206</v>
      </c>
      <c r="D166" s="140">
        <v>567443.95059844642</v>
      </c>
    </row>
    <row r="167" spans="1:4" ht="14.4" x14ac:dyDescent="0.3">
      <c r="A167" s="137">
        <v>40102</v>
      </c>
      <c r="B167" s="138" t="s">
        <v>154</v>
      </c>
      <c r="C167" s="140">
        <v>281.53526940964571</v>
      </c>
      <c r="D167" s="140">
        <v>7078.3291453060338</v>
      </c>
    </row>
    <row r="168" spans="1:4" ht="14.4" x14ac:dyDescent="0.3">
      <c r="A168" s="137">
        <v>40103</v>
      </c>
      <c r="B168" s="138" t="s">
        <v>499</v>
      </c>
      <c r="C168" s="140">
        <v>0</v>
      </c>
      <c r="D168" s="140">
        <v>7541.9177019384033</v>
      </c>
    </row>
    <row r="169" spans="1:4" ht="14.4" x14ac:dyDescent="0.3">
      <c r="A169" s="137">
        <v>40104</v>
      </c>
      <c r="B169" s="138" t="s">
        <v>791</v>
      </c>
      <c r="C169" s="140">
        <v>66.652816139953046</v>
      </c>
      <c r="D169" s="140">
        <v>14557.035550272611</v>
      </c>
    </row>
    <row r="170" spans="1:4" ht="14.4" x14ac:dyDescent="0.3">
      <c r="A170" s="137">
        <v>40201</v>
      </c>
      <c r="B170" s="138" t="s">
        <v>156</v>
      </c>
      <c r="C170" s="140">
        <v>17251.042961107571</v>
      </c>
      <c r="D170" s="140">
        <v>18242.466880742864</v>
      </c>
    </row>
    <row r="171" spans="1:4" ht="14.4" x14ac:dyDescent="0.3">
      <c r="A171" s="137">
        <v>40202</v>
      </c>
      <c r="B171" s="138" t="s">
        <v>792</v>
      </c>
      <c r="C171" s="140">
        <v>0</v>
      </c>
      <c r="D171" s="140">
        <v>914.66556736320922</v>
      </c>
    </row>
    <row r="172" spans="1:4" ht="14.4" x14ac:dyDescent="0.3">
      <c r="A172" s="137">
        <v>40301</v>
      </c>
      <c r="B172" s="138" t="s">
        <v>159</v>
      </c>
      <c r="C172" s="140">
        <v>4.4533989558949933</v>
      </c>
      <c r="D172" s="140">
        <v>2595.5570141065691</v>
      </c>
    </row>
    <row r="173" spans="1:4" ht="14.4" x14ac:dyDescent="0.3">
      <c r="A173" s="137">
        <v>40302</v>
      </c>
      <c r="B173" s="138" t="s">
        <v>793</v>
      </c>
      <c r="C173" s="140">
        <v>0</v>
      </c>
      <c r="D173" s="140">
        <v>1319.8995068835648</v>
      </c>
    </row>
    <row r="174" spans="1:4" ht="14.4" x14ac:dyDescent="0.3">
      <c r="A174" s="137">
        <v>40401</v>
      </c>
      <c r="B174" s="138" t="s">
        <v>161</v>
      </c>
      <c r="C174" s="140">
        <v>19.5523698548166</v>
      </c>
      <c r="D174" s="140">
        <v>219.4840305548598</v>
      </c>
    </row>
    <row r="175" spans="1:4" ht="14.4" x14ac:dyDescent="0.3">
      <c r="A175" s="137">
        <v>40402</v>
      </c>
      <c r="B175" s="138" t="s">
        <v>181</v>
      </c>
      <c r="C175" s="140">
        <v>0</v>
      </c>
      <c r="D175" s="140">
        <v>2922.1297454599844</v>
      </c>
    </row>
    <row r="176" spans="1:4" ht="14.4" x14ac:dyDescent="0.3">
      <c r="A176" s="137">
        <v>40501</v>
      </c>
      <c r="B176" s="138" t="s">
        <v>166</v>
      </c>
      <c r="C176" s="140">
        <v>299.69206506605536</v>
      </c>
      <c r="D176" s="140">
        <v>3220.4966457329729</v>
      </c>
    </row>
    <row r="177" spans="1:4" ht="14.4" x14ac:dyDescent="0.3">
      <c r="A177" s="137">
        <v>40502</v>
      </c>
      <c r="B177" s="138" t="s">
        <v>162</v>
      </c>
      <c r="C177" s="140">
        <v>12.016750948510852</v>
      </c>
      <c r="D177" s="140">
        <v>19320.989750631525</v>
      </c>
    </row>
    <row r="178" spans="1:4" ht="14.4" x14ac:dyDescent="0.3">
      <c r="A178" s="137">
        <v>40503</v>
      </c>
      <c r="B178" s="138" t="s">
        <v>794</v>
      </c>
      <c r="C178" s="140">
        <v>0</v>
      </c>
      <c r="D178" s="140">
        <v>8952.948630553361</v>
      </c>
    </row>
    <row r="179" spans="1:4" ht="14.4" x14ac:dyDescent="0.3">
      <c r="A179" s="137">
        <v>40504</v>
      </c>
      <c r="B179" s="138" t="s">
        <v>795</v>
      </c>
      <c r="C179" s="140">
        <v>0</v>
      </c>
      <c r="D179" s="140">
        <v>2130.8384396304009</v>
      </c>
    </row>
    <row r="180" spans="1:4" ht="14.4" x14ac:dyDescent="0.3">
      <c r="A180" s="137">
        <v>40505</v>
      </c>
      <c r="B180" s="138" t="s">
        <v>163</v>
      </c>
      <c r="C180" s="140">
        <v>5708.7121049341986</v>
      </c>
      <c r="D180" s="140">
        <v>10354.752919095155</v>
      </c>
    </row>
    <row r="181" spans="1:4" ht="14.4" x14ac:dyDescent="0.3">
      <c r="A181" s="137">
        <v>40601</v>
      </c>
      <c r="B181" s="138" t="s">
        <v>796</v>
      </c>
      <c r="C181" s="140">
        <v>45.170175474681393</v>
      </c>
      <c r="D181" s="140">
        <v>4829.9369794341419</v>
      </c>
    </row>
    <row r="182" spans="1:4" ht="14.4" x14ac:dyDescent="0.3">
      <c r="A182" s="137">
        <v>40602</v>
      </c>
      <c r="B182" s="138" t="s">
        <v>170</v>
      </c>
      <c r="C182" s="140">
        <v>17.952266224766262</v>
      </c>
      <c r="D182" s="140">
        <v>423.7201477281352</v>
      </c>
    </row>
    <row r="183" spans="1:4" ht="14.4" x14ac:dyDescent="0.3">
      <c r="A183" s="137">
        <v>40603</v>
      </c>
      <c r="B183" s="138" t="s">
        <v>480</v>
      </c>
      <c r="C183" s="140">
        <v>0</v>
      </c>
      <c r="D183" s="140">
        <v>3837.3960024793787</v>
      </c>
    </row>
    <row r="184" spans="1:4" ht="14.4" x14ac:dyDescent="0.3">
      <c r="A184" s="137">
        <v>40701</v>
      </c>
      <c r="B184" s="138" t="s">
        <v>797</v>
      </c>
      <c r="C184" s="140">
        <v>502.02581466128225</v>
      </c>
      <c r="D184" s="140">
        <v>7012.7139766704131</v>
      </c>
    </row>
    <row r="185" spans="1:4" ht="14.4" x14ac:dyDescent="0.3">
      <c r="A185" s="137">
        <v>40702</v>
      </c>
      <c r="B185" s="138" t="s">
        <v>168</v>
      </c>
      <c r="C185" s="140">
        <v>105.21570354532436</v>
      </c>
      <c r="D185" s="140">
        <v>713.8714951158845</v>
      </c>
    </row>
    <row r="186" spans="1:4" ht="14.4" x14ac:dyDescent="0.3">
      <c r="A186" s="137">
        <v>40801</v>
      </c>
      <c r="B186" s="138" t="s">
        <v>798</v>
      </c>
      <c r="C186" s="140">
        <v>90.340350949362787</v>
      </c>
      <c r="D186" s="140">
        <v>4295.4246071438738</v>
      </c>
    </row>
    <row r="187" spans="1:4" ht="14.4" x14ac:dyDescent="0.3">
      <c r="A187" s="137">
        <v>40802</v>
      </c>
      <c r="B187" s="138" t="s">
        <v>169</v>
      </c>
      <c r="C187" s="140">
        <v>19.5523698548166</v>
      </c>
      <c r="D187" s="140">
        <v>598.57354261772241</v>
      </c>
    </row>
    <row r="188" spans="1:4" ht="14.4" x14ac:dyDescent="0.3">
      <c r="A188" s="137">
        <v>40901</v>
      </c>
      <c r="B188" s="138" t="s">
        <v>173</v>
      </c>
      <c r="C188" s="140">
        <v>1249.5451095458448</v>
      </c>
      <c r="D188" s="140">
        <v>6640.9297559946972</v>
      </c>
    </row>
    <row r="189" spans="1:4" ht="14.4" x14ac:dyDescent="0.3">
      <c r="A189" s="137">
        <v>40902</v>
      </c>
      <c r="B189" s="138" t="s">
        <v>158</v>
      </c>
      <c r="C189" s="140">
        <v>0</v>
      </c>
      <c r="D189" s="140">
        <v>16411.164026280334</v>
      </c>
    </row>
    <row r="190" spans="1:4" ht="14.4" x14ac:dyDescent="0.3">
      <c r="A190" s="137">
        <v>40903</v>
      </c>
      <c r="B190" s="138" t="s">
        <v>799</v>
      </c>
      <c r="C190" s="140">
        <v>21.031142033502313</v>
      </c>
      <c r="D190" s="140">
        <v>18.475105072898195</v>
      </c>
    </row>
    <row r="191" spans="1:4" ht="14.4" x14ac:dyDescent="0.3">
      <c r="A191" s="137">
        <v>41001</v>
      </c>
      <c r="B191" s="138" t="s">
        <v>180</v>
      </c>
      <c r="C191" s="140">
        <v>117.19602095582567</v>
      </c>
      <c r="D191" s="140">
        <v>513.76493979057773</v>
      </c>
    </row>
    <row r="192" spans="1:4" ht="14.4" x14ac:dyDescent="0.3">
      <c r="A192" s="137">
        <v>41101</v>
      </c>
      <c r="B192" s="138" t="s">
        <v>164</v>
      </c>
      <c r="C192" s="140">
        <v>85.054154228202165</v>
      </c>
      <c r="D192" s="140">
        <v>1041.9516899624439</v>
      </c>
    </row>
    <row r="193" spans="1:4" ht="14.4" x14ac:dyDescent="0.3">
      <c r="A193" s="137">
        <v>41201</v>
      </c>
      <c r="B193" s="138" t="s">
        <v>152</v>
      </c>
      <c r="C193" s="140">
        <v>4.5227341564881396</v>
      </c>
      <c r="D193" s="140">
        <v>6024.6312903615062</v>
      </c>
    </row>
    <row r="194" spans="1:4" ht="14.4" x14ac:dyDescent="0.3">
      <c r="A194" s="137">
        <v>41202</v>
      </c>
      <c r="B194" s="138" t="s">
        <v>153</v>
      </c>
      <c r="C194" s="140">
        <v>0</v>
      </c>
      <c r="D194" s="140">
        <v>266.76631774552334</v>
      </c>
    </row>
    <row r="195" spans="1:4" ht="14.4" x14ac:dyDescent="0.3">
      <c r="A195" s="137">
        <v>41301</v>
      </c>
      <c r="B195" s="138" t="s">
        <v>144</v>
      </c>
      <c r="C195" s="140">
        <v>24.13903344117908</v>
      </c>
      <c r="D195" s="140">
        <v>22.048327288742477</v>
      </c>
    </row>
    <row r="196" spans="1:4" ht="14.4" x14ac:dyDescent="0.3">
      <c r="A196" s="137">
        <v>41401</v>
      </c>
      <c r="B196" s="138" t="s">
        <v>178</v>
      </c>
      <c r="C196" s="140">
        <v>145.21190702967183</v>
      </c>
      <c r="D196" s="140">
        <v>884.57196984128757</v>
      </c>
    </row>
    <row r="197" spans="1:4" ht="14.4" x14ac:dyDescent="0.3">
      <c r="A197" s="137">
        <v>41501</v>
      </c>
      <c r="B197" s="138" t="s">
        <v>800</v>
      </c>
      <c r="C197" s="140">
        <v>0</v>
      </c>
      <c r="D197" s="140">
        <v>13621.153442344023</v>
      </c>
    </row>
    <row r="198" spans="1:4" ht="14.4" x14ac:dyDescent="0.3">
      <c r="A198" s="137">
        <v>41502</v>
      </c>
      <c r="B198" s="138" t="s">
        <v>530</v>
      </c>
      <c r="C198" s="140">
        <v>0</v>
      </c>
      <c r="D198" s="140">
        <v>2488.8736228648318</v>
      </c>
    </row>
    <row r="199" spans="1:4" ht="14.4" x14ac:dyDescent="0.3">
      <c r="A199" s="137">
        <v>41503</v>
      </c>
      <c r="B199" s="138" t="s">
        <v>155</v>
      </c>
      <c r="C199" s="140">
        <v>732.48164564088017</v>
      </c>
      <c r="D199" s="140">
        <v>13527.799831511813</v>
      </c>
    </row>
    <row r="200" spans="1:4" ht="14.4" x14ac:dyDescent="0.3">
      <c r="A200" s="137">
        <v>41601</v>
      </c>
      <c r="B200" s="138" t="s">
        <v>801</v>
      </c>
      <c r="C200" s="140">
        <v>3.1078914076767679</v>
      </c>
      <c r="D200" s="140">
        <v>3.5732222158442806</v>
      </c>
    </row>
    <row r="201" spans="1:4" ht="14.4" x14ac:dyDescent="0.3">
      <c r="A201" s="137">
        <v>50101</v>
      </c>
      <c r="B201" s="138" t="s">
        <v>183</v>
      </c>
      <c r="C201" s="140">
        <v>368552.42824585404</v>
      </c>
      <c r="D201" s="140">
        <v>432788.04122499912</v>
      </c>
    </row>
    <row r="202" spans="1:4" ht="14.4" x14ac:dyDescent="0.3">
      <c r="A202" s="137">
        <v>50102</v>
      </c>
      <c r="B202" s="138" t="s">
        <v>802</v>
      </c>
      <c r="C202" s="140">
        <v>0</v>
      </c>
      <c r="D202" s="140">
        <v>0</v>
      </c>
    </row>
    <row r="203" spans="1:4" ht="14.4" x14ac:dyDescent="0.3">
      <c r="A203" s="137">
        <v>50103</v>
      </c>
      <c r="B203" s="138" t="s">
        <v>212</v>
      </c>
      <c r="C203" s="140">
        <v>125.43345640905497</v>
      </c>
      <c r="D203" s="140">
        <v>427.58733807732881</v>
      </c>
    </row>
    <row r="204" spans="1:4" ht="14.4" x14ac:dyDescent="0.3">
      <c r="A204" s="137">
        <v>50104</v>
      </c>
      <c r="B204" s="138" t="s">
        <v>803</v>
      </c>
      <c r="C204" s="140">
        <v>0</v>
      </c>
      <c r="D204" s="140">
        <v>0</v>
      </c>
    </row>
    <row r="205" spans="1:4" ht="14.4" x14ac:dyDescent="0.3">
      <c r="A205" s="137">
        <v>50201</v>
      </c>
      <c r="B205" s="138" t="s">
        <v>208</v>
      </c>
      <c r="C205" s="140">
        <v>3405.8863261496476</v>
      </c>
      <c r="D205" s="140">
        <v>3228.4101431863019</v>
      </c>
    </row>
    <row r="206" spans="1:4" ht="14.4" x14ac:dyDescent="0.3">
      <c r="A206" s="137">
        <v>50202</v>
      </c>
      <c r="B206" s="138" t="s">
        <v>191</v>
      </c>
      <c r="C206" s="140">
        <v>223.00126465033998</v>
      </c>
      <c r="D206" s="140">
        <v>189.49730940063139</v>
      </c>
    </row>
    <row r="207" spans="1:4" ht="14.4" x14ac:dyDescent="0.3">
      <c r="A207" s="137">
        <v>50203</v>
      </c>
      <c r="B207" s="138" t="s">
        <v>195</v>
      </c>
      <c r="C207" s="140">
        <v>12291.570547125089</v>
      </c>
      <c r="D207" s="140">
        <v>19197.186030367306</v>
      </c>
    </row>
    <row r="208" spans="1:4" ht="14.4" x14ac:dyDescent="0.3">
      <c r="A208" s="137">
        <v>50204</v>
      </c>
      <c r="B208" s="138" t="s">
        <v>804</v>
      </c>
      <c r="C208" s="140">
        <v>0</v>
      </c>
      <c r="D208" s="140">
        <v>0</v>
      </c>
    </row>
    <row r="209" spans="1:4" ht="14.4" x14ac:dyDescent="0.3">
      <c r="A209" s="137">
        <v>50301</v>
      </c>
      <c r="B209" s="138" t="s">
        <v>187</v>
      </c>
      <c r="C209" s="140">
        <v>1403.5458429478729</v>
      </c>
      <c r="D209" s="140">
        <v>2270.9151444002273</v>
      </c>
    </row>
    <row r="210" spans="1:4" ht="14.4" x14ac:dyDescent="0.3">
      <c r="A210" s="137">
        <v>50302</v>
      </c>
      <c r="B210" s="138" t="s">
        <v>805</v>
      </c>
      <c r="C210" s="140">
        <v>96.700515943459536</v>
      </c>
      <c r="D210" s="140">
        <v>208.55994680658469</v>
      </c>
    </row>
    <row r="211" spans="1:4" ht="14.4" x14ac:dyDescent="0.3">
      <c r="A211" s="137">
        <v>50303</v>
      </c>
      <c r="B211" s="138" t="s">
        <v>806</v>
      </c>
      <c r="C211" s="140">
        <v>0</v>
      </c>
      <c r="D211" s="140">
        <v>0</v>
      </c>
    </row>
    <row r="212" spans="1:4" ht="14.4" x14ac:dyDescent="0.3">
      <c r="A212" s="137">
        <v>50401</v>
      </c>
      <c r="B212" s="138" t="s">
        <v>193</v>
      </c>
      <c r="C212" s="140">
        <v>44.357075324150351</v>
      </c>
      <c r="D212" s="140">
        <v>36.799783085859097</v>
      </c>
    </row>
    <row r="213" spans="1:4" ht="14.4" x14ac:dyDescent="0.3">
      <c r="A213" s="137">
        <v>50402</v>
      </c>
      <c r="B213" s="138" t="s">
        <v>201</v>
      </c>
      <c r="C213" s="140">
        <v>27.391018495891743</v>
      </c>
      <c r="D213" s="140">
        <v>23.11127709494524</v>
      </c>
    </row>
    <row r="214" spans="1:4" ht="14.4" x14ac:dyDescent="0.3">
      <c r="A214" s="137">
        <v>50403</v>
      </c>
      <c r="B214" s="138" t="s">
        <v>198</v>
      </c>
      <c r="C214" s="140">
        <v>117.0537353339565</v>
      </c>
      <c r="D214" s="140">
        <v>57.453850452654535</v>
      </c>
    </row>
    <row r="215" spans="1:4" ht="14.4" x14ac:dyDescent="0.3">
      <c r="A215" s="137">
        <v>50404</v>
      </c>
      <c r="B215" s="138" t="s">
        <v>807</v>
      </c>
      <c r="C215" s="140">
        <v>4.0525917304770376</v>
      </c>
      <c r="D215" s="140">
        <v>11.33301830085346</v>
      </c>
    </row>
    <row r="216" spans="1:4" ht="14.4" x14ac:dyDescent="0.3">
      <c r="A216" s="137">
        <v>50405</v>
      </c>
      <c r="B216" s="138" t="s">
        <v>563</v>
      </c>
      <c r="C216" s="140">
        <v>0</v>
      </c>
      <c r="D216" s="140">
        <v>84.785360373839367</v>
      </c>
    </row>
    <row r="217" spans="1:4" ht="14.4" x14ac:dyDescent="0.3">
      <c r="A217" s="137">
        <v>50501</v>
      </c>
      <c r="B217" s="138" t="s">
        <v>265</v>
      </c>
      <c r="C217" s="140">
        <v>26.061003454106064</v>
      </c>
      <c r="D217" s="140">
        <v>1354.896348084254</v>
      </c>
    </row>
    <row r="218" spans="1:4" ht="14.4" x14ac:dyDescent="0.3">
      <c r="A218" s="137">
        <v>50502</v>
      </c>
      <c r="B218" s="138" t="s">
        <v>564</v>
      </c>
      <c r="C218" s="140">
        <v>0</v>
      </c>
      <c r="D218" s="140">
        <v>304.83454262609177</v>
      </c>
    </row>
    <row r="219" spans="1:4" ht="14.4" x14ac:dyDescent="0.3">
      <c r="A219" s="137">
        <v>50601</v>
      </c>
      <c r="B219" s="138" t="s">
        <v>194</v>
      </c>
      <c r="C219" s="140">
        <v>931.1558408344348</v>
      </c>
      <c r="D219" s="140">
        <v>2790.2266882892627</v>
      </c>
    </row>
    <row r="220" spans="1:4" ht="14.4" x14ac:dyDescent="0.3">
      <c r="A220" s="137">
        <v>50602</v>
      </c>
      <c r="B220" s="138" t="s">
        <v>211</v>
      </c>
      <c r="C220" s="140">
        <v>161.45218267377143</v>
      </c>
      <c r="D220" s="140">
        <v>96.90261044090245</v>
      </c>
    </row>
    <row r="221" spans="1:4" ht="14.4" x14ac:dyDescent="0.3">
      <c r="A221" s="137">
        <v>50701</v>
      </c>
      <c r="B221" s="138" t="s">
        <v>808</v>
      </c>
      <c r="C221" s="140">
        <v>0</v>
      </c>
      <c r="D221" s="140">
        <v>0</v>
      </c>
    </row>
    <row r="222" spans="1:4" ht="14.4" x14ac:dyDescent="0.3">
      <c r="A222" s="137">
        <v>50702</v>
      </c>
      <c r="B222" s="138" t="s">
        <v>189</v>
      </c>
      <c r="C222" s="140">
        <v>9.5012233772621553</v>
      </c>
      <c r="D222" s="140">
        <v>8.6590552712869524</v>
      </c>
    </row>
    <row r="223" spans="1:4" ht="14.4" x14ac:dyDescent="0.3">
      <c r="A223" s="137">
        <v>50801</v>
      </c>
      <c r="B223" s="138" t="s">
        <v>207</v>
      </c>
      <c r="C223" s="140">
        <v>24989.780129811497</v>
      </c>
      <c r="D223" s="140">
        <v>34103.637953308229</v>
      </c>
    </row>
    <row r="224" spans="1:4" ht="14.4" x14ac:dyDescent="0.3">
      <c r="A224" s="137">
        <v>50802</v>
      </c>
      <c r="B224" s="138" t="s">
        <v>185</v>
      </c>
      <c r="C224" s="140">
        <v>605.37226399244639</v>
      </c>
      <c r="D224" s="140">
        <v>1385.7879014692642</v>
      </c>
    </row>
    <row r="225" spans="1:4" ht="14.4" x14ac:dyDescent="0.3">
      <c r="A225" s="137">
        <v>50901</v>
      </c>
      <c r="B225" s="138" t="s">
        <v>809</v>
      </c>
      <c r="C225" s="140">
        <v>2171.5750476983053</v>
      </c>
      <c r="D225" s="140">
        <v>11881.364600029807</v>
      </c>
    </row>
    <row r="226" spans="1:4" ht="14.4" x14ac:dyDescent="0.3">
      <c r="A226" s="137">
        <v>50902</v>
      </c>
      <c r="B226" s="138" t="s">
        <v>810</v>
      </c>
      <c r="C226" s="140">
        <v>0</v>
      </c>
      <c r="D226" s="140">
        <v>0</v>
      </c>
    </row>
    <row r="227" spans="1:4" ht="14.4" x14ac:dyDescent="0.3">
      <c r="A227" s="137">
        <v>51001</v>
      </c>
      <c r="B227" s="138" t="s">
        <v>811</v>
      </c>
      <c r="C227" s="140">
        <v>0</v>
      </c>
      <c r="D227" s="140">
        <v>0</v>
      </c>
    </row>
    <row r="228" spans="1:4" ht="14.4" x14ac:dyDescent="0.3">
      <c r="A228" s="137">
        <v>51002</v>
      </c>
      <c r="B228" s="138" t="s">
        <v>812</v>
      </c>
      <c r="C228" s="140">
        <v>0</v>
      </c>
      <c r="D228" s="140">
        <v>0</v>
      </c>
    </row>
    <row r="229" spans="1:4" ht="14.4" x14ac:dyDescent="0.3">
      <c r="A229" s="137">
        <v>51003</v>
      </c>
      <c r="B229" s="138" t="s">
        <v>202</v>
      </c>
      <c r="C229" s="140">
        <v>27.620553744957117</v>
      </c>
      <c r="D229" s="140">
        <v>23.27606074644811</v>
      </c>
    </row>
    <row r="230" spans="1:4" ht="14.4" x14ac:dyDescent="0.3">
      <c r="A230" s="137">
        <v>51101</v>
      </c>
      <c r="B230" s="138" t="s">
        <v>200</v>
      </c>
      <c r="C230" s="140">
        <v>901.56418490602277</v>
      </c>
      <c r="D230" s="140">
        <v>907.15627515978599</v>
      </c>
    </row>
    <row r="231" spans="1:4" ht="14.4" x14ac:dyDescent="0.3">
      <c r="A231" s="137">
        <v>51102</v>
      </c>
      <c r="B231" s="138" t="s">
        <v>813</v>
      </c>
      <c r="C231" s="140">
        <v>90.340785553749313</v>
      </c>
      <c r="D231" s="140">
        <v>111.47433495192325</v>
      </c>
    </row>
    <row r="232" spans="1:4" ht="14.4" x14ac:dyDescent="0.3">
      <c r="A232" s="137">
        <v>51103</v>
      </c>
      <c r="B232" s="138" t="s">
        <v>544</v>
      </c>
      <c r="C232" s="140">
        <v>0</v>
      </c>
      <c r="D232" s="140">
        <v>38.852853948353584</v>
      </c>
    </row>
    <row r="233" spans="1:4" ht="14.4" x14ac:dyDescent="0.3">
      <c r="A233" s="137">
        <v>51201</v>
      </c>
      <c r="B233" s="138" t="s">
        <v>209</v>
      </c>
      <c r="C233" s="140">
        <v>23110.844138200267</v>
      </c>
      <c r="D233" s="140">
        <v>29610.494117537655</v>
      </c>
    </row>
    <row r="234" spans="1:4" ht="14.4" x14ac:dyDescent="0.3">
      <c r="A234" s="137">
        <v>51202</v>
      </c>
      <c r="B234" s="138" t="s">
        <v>206</v>
      </c>
      <c r="C234" s="140">
        <v>22.178537662075176</v>
      </c>
      <c r="D234" s="140">
        <v>18.399891542929549</v>
      </c>
    </row>
    <row r="235" spans="1:4" ht="14.4" x14ac:dyDescent="0.3">
      <c r="A235" s="137">
        <v>51203</v>
      </c>
      <c r="B235" s="138" t="s">
        <v>199</v>
      </c>
      <c r="C235" s="140">
        <v>2703.6458176961032</v>
      </c>
      <c r="D235" s="140">
        <v>6940.1278422727</v>
      </c>
    </row>
    <row r="236" spans="1:4" ht="14.4" x14ac:dyDescent="0.3">
      <c r="A236" s="137">
        <v>51204</v>
      </c>
      <c r="B236" s="138" t="s">
        <v>814</v>
      </c>
      <c r="C236" s="140">
        <v>0</v>
      </c>
      <c r="D236" s="140">
        <v>0</v>
      </c>
    </row>
    <row r="237" spans="1:4" ht="14.4" x14ac:dyDescent="0.3">
      <c r="A237" s="137">
        <v>51301</v>
      </c>
      <c r="B237" s="138" t="s">
        <v>815</v>
      </c>
      <c r="C237" s="140">
        <v>0</v>
      </c>
      <c r="D237" s="140">
        <v>0</v>
      </c>
    </row>
    <row r="238" spans="1:4" ht="14.4" x14ac:dyDescent="0.3">
      <c r="A238" s="137">
        <v>51302</v>
      </c>
      <c r="B238" s="138" t="s">
        <v>184</v>
      </c>
      <c r="C238" s="140">
        <v>0</v>
      </c>
      <c r="D238" s="140">
        <v>0</v>
      </c>
    </row>
    <row r="239" spans="1:4" ht="14.4" x14ac:dyDescent="0.3">
      <c r="A239" s="137">
        <v>51401</v>
      </c>
      <c r="B239" s="138" t="s">
        <v>196</v>
      </c>
      <c r="C239" s="140">
        <v>214.96163612484162</v>
      </c>
      <c r="D239" s="140">
        <v>165.50872337220255</v>
      </c>
    </row>
    <row r="240" spans="1:4" ht="14.4" x14ac:dyDescent="0.3">
      <c r="A240" s="137">
        <v>51402</v>
      </c>
      <c r="B240" s="138" t="s">
        <v>204</v>
      </c>
      <c r="C240" s="140">
        <v>0</v>
      </c>
      <c r="D240" s="140">
        <v>0</v>
      </c>
    </row>
    <row r="241" spans="1:4" ht="14.4" x14ac:dyDescent="0.3">
      <c r="A241" s="137">
        <v>51501</v>
      </c>
      <c r="B241" s="138" t="s">
        <v>210</v>
      </c>
      <c r="C241" s="140">
        <v>20094.651242480584</v>
      </c>
      <c r="D241" s="140">
        <v>28385.017037716669</v>
      </c>
    </row>
    <row r="242" spans="1:4" ht="14.4" x14ac:dyDescent="0.3">
      <c r="A242" s="137">
        <v>51601</v>
      </c>
      <c r="B242" s="138" t="s">
        <v>816</v>
      </c>
      <c r="C242" s="140">
        <v>0</v>
      </c>
      <c r="D242" s="140">
        <v>0</v>
      </c>
    </row>
    <row r="243" spans="1:4" ht="14.4" x14ac:dyDescent="0.3">
      <c r="A243" s="137">
        <v>60101</v>
      </c>
      <c r="B243" s="138" t="s">
        <v>213</v>
      </c>
      <c r="C243" s="140">
        <v>384337.8315013083</v>
      </c>
      <c r="D243" s="140">
        <v>376414.03960527061</v>
      </c>
    </row>
    <row r="244" spans="1:4" ht="14.4" x14ac:dyDescent="0.3">
      <c r="A244" s="137">
        <v>60201</v>
      </c>
      <c r="B244" s="138" t="s">
        <v>218</v>
      </c>
      <c r="C244" s="140">
        <v>1425.1352857600211</v>
      </c>
      <c r="D244" s="140">
        <v>3027.341909059613</v>
      </c>
    </row>
    <row r="245" spans="1:4" ht="14.4" x14ac:dyDescent="0.3">
      <c r="A245" s="137">
        <v>60202</v>
      </c>
      <c r="B245" s="138" t="s">
        <v>214</v>
      </c>
      <c r="C245" s="140">
        <v>30260.28213911792</v>
      </c>
      <c r="D245" s="140">
        <v>33811.171139035272</v>
      </c>
    </row>
    <row r="246" spans="1:4" ht="14.4" x14ac:dyDescent="0.3">
      <c r="A246" s="137">
        <v>60301</v>
      </c>
      <c r="B246" s="138" t="s">
        <v>222</v>
      </c>
      <c r="C246" s="140">
        <v>89358.705193671325</v>
      </c>
      <c r="D246" s="140">
        <v>86392.943258258034</v>
      </c>
    </row>
    <row r="247" spans="1:4" ht="14.4" x14ac:dyDescent="0.3">
      <c r="A247" s="137">
        <v>60302</v>
      </c>
      <c r="B247" s="138" t="s">
        <v>215</v>
      </c>
      <c r="C247" s="140">
        <v>4886.69872814072</v>
      </c>
      <c r="D247" s="140">
        <v>6005.5242367287356</v>
      </c>
    </row>
    <row r="248" spans="1:4" ht="14.4" x14ac:dyDescent="0.3">
      <c r="A248" s="137">
        <v>60303</v>
      </c>
      <c r="B248" s="138" t="s">
        <v>817</v>
      </c>
      <c r="C248" s="140">
        <v>29878.423466862172</v>
      </c>
      <c r="D248" s="140">
        <v>34356.882145356336</v>
      </c>
    </row>
    <row r="249" spans="1:4" ht="14.4" x14ac:dyDescent="0.3">
      <c r="A249" s="137">
        <v>60401</v>
      </c>
      <c r="B249" s="138" t="s">
        <v>818</v>
      </c>
      <c r="C249" s="140">
        <v>1790.575017929443</v>
      </c>
      <c r="D249" s="140">
        <v>53607.383732744835</v>
      </c>
    </row>
    <row r="250" spans="1:4" ht="14.4" x14ac:dyDescent="0.3">
      <c r="A250" s="137">
        <v>60402</v>
      </c>
      <c r="B250" s="138" t="s">
        <v>223</v>
      </c>
      <c r="C250" s="140">
        <v>104.40283369617683</v>
      </c>
      <c r="D250" s="140">
        <v>859.45277753464381</v>
      </c>
    </row>
    <row r="251" spans="1:4" ht="14.4" x14ac:dyDescent="0.3">
      <c r="A251" s="137">
        <v>60501</v>
      </c>
      <c r="B251" s="138" t="s">
        <v>219</v>
      </c>
      <c r="C251" s="140">
        <v>2368.2142064190971</v>
      </c>
      <c r="D251" s="140">
        <v>39633.733992463094</v>
      </c>
    </row>
    <row r="252" spans="1:4" ht="14.4" x14ac:dyDescent="0.3">
      <c r="A252" s="137">
        <v>60502</v>
      </c>
      <c r="B252" s="138" t="s">
        <v>819</v>
      </c>
      <c r="C252" s="140">
        <v>1276.5250316604906</v>
      </c>
      <c r="D252" s="140">
        <v>3650.8249567241487</v>
      </c>
    </row>
    <row r="253" spans="1:4" ht="14.4" x14ac:dyDescent="0.3">
      <c r="A253" s="137">
        <v>60601</v>
      </c>
      <c r="B253" s="138" t="s">
        <v>120</v>
      </c>
      <c r="C253" s="140">
        <v>1161.3587522157559</v>
      </c>
      <c r="D253" s="140">
        <v>1443.4869301104995</v>
      </c>
    </row>
    <row r="254" spans="1:4" ht="14.4" x14ac:dyDescent="0.3">
      <c r="A254" s="137">
        <v>70101</v>
      </c>
      <c r="B254" s="138" t="s">
        <v>267</v>
      </c>
      <c r="C254" s="140">
        <v>2345424.76679433</v>
      </c>
      <c r="D254" s="140">
        <v>2176431.2238989747</v>
      </c>
    </row>
    <row r="255" spans="1:4" ht="14.4" x14ac:dyDescent="0.3">
      <c r="A255" s="137">
        <v>70102</v>
      </c>
      <c r="B255" s="138" t="s">
        <v>234</v>
      </c>
      <c r="C255" s="140">
        <v>47596.207600498157</v>
      </c>
      <c r="D255" s="140">
        <v>96634.673341588772</v>
      </c>
    </row>
    <row r="256" spans="1:4" ht="14.4" x14ac:dyDescent="0.3">
      <c r="A256" s="137">
        <v>70103</v>
      </c>
      <c r="B256" s="138" t="s">
        <v>820</v>
      </c>
      <c r="C256" s="140">
        <v>1593.0275601625526</v>
      </c>
      <c r="D256" s="140">
        <v>259604.18962668357</v>
      </c>
    </row>
    <row r="257" spans="1:4" ht="14.4" x14ac:dyDescent="0.3">
      <c r="A257" s="137">
        <v>70104</v>
      </c>
      <c r="B257" s="138" t="s">
        <v>241</v>
      </c>
      <c r="C257" s="140">
        <v>70520.321987293311</v>
      </c>
      <c r="D257" s="140">
        <v>222604.93743380773</v>
      </c>
    </row>
    <row r="258" spans="1:4" ht="14.4" x14ac:dyDescent="0.3">
      <c r="A258" s="137">
        <v>70105</v>
      </c>
      <c r="B258" s="138" t="s">
        <v>237</v>
      </c>
      <c r="C258" s="140">
        <v>34479.216149261316</v>
      </c>
      <c r="D258" s="140">
        <v>202822.93411405978</v>
      </c>
    </row>
    <row r="259" spans="1:4" ht="14.4" x14ac:dyDescent="0.3">
      <c r="A259" s="137">
        <v>70201</v>
      </c>
      <c r="B259" s="138" t="s">
        <v>272</v>
      </c>
      <c r="C259" s="140">
        <v>450800.12860632781</v>
      </c>
      <c r="D259" s="140">
        <v>411450.6483433859</v>
      </c>
    </row>
    <row r="260" spans="1:4" ht="14.4" x14ac:dyDescent="0.3">
      <c r="A260" s="137">
        <v>70202</v>
      </c>
      <c r="B260" s="138" t="s">
        <v>821</v>
      </c>
      <c r="C260" s="140">
        <v>7097.5530084585153</v>
      </c>
      <c r="D260" s="140">
        <v>29209.728442678494</v>
      </c>
    </row>
    <row r="261" spans="1:4" ht="14.4" x14ac:dyDescent="0.3">
      <c r="A261" s="137">
        <v>70301</v>
      </c>
      <c r="B261" s="138" t="s">
        <v>822</v>
      </c>
      <c r="C261" s="140">
        <v>4185.0079935039912</v>
      </c>
      <c r="D261" s="140">
        <v>6679.2153111505004</v>
      </c>
    </row>
    <row r="262" spans="1:4" ht="14.4" x14ac:dyDescent="0.3">
      <c r="A262" s="137">
        <v>70302</v>
      </c>
      <c r="B262" s="138" t="s">
        <v>264</v>
      </c>
      <c r="C262" s="140">
        <v>8.1186734058439232</v>
      </c>
      <c r="D262" s="140">
        <v>180.61090213615452</v>
      </c>
    </row>
    <row r="263" spans="1:4" ht="14.4" x14ac:dyDescent="0.3">
      <c r="A263" s="137">
        <v>70303</v>
      </c>
      <c r="B263" s="138" t="s">
        <v>823</v>
      </c>
      <c r="C263" s="140">
        <v>0</v>
      </c>
      <c r="D263" s="140">
        <v>0</v>
      </c>
    </row>
    <row r="264" spans="1:4" ht="14.4" x14ac:dyDescent="0.3">
      <c r="A264" s="137">
        <v>70401</v>
      </c>
      <c r="B264" s="138" t="s">
        <v>227</v>
      </c>
      <c r="C264" s="140">
        <v>1101.8713458780796</v>
      </c>
      <c r="D264" s="140">
        <v>2072.2058120207548</v>
      </c>
    </row>
    <row r="265" spans="1:4" ht="14.4" x14ac:dyDescent="0.3">
      <c r="A265" s="137">
        <v>70402</v>
      </c>
      <c r="B265" s="138" t="s">
        <v>257</v>
      </c>
      <c r="C265" s="140">
        <v>1995.4234028861663</v>
      </c>
      <c r="D265" s="140">
        <v>12800.218726169202</v>
      </c>
    </row>
    <row r="266" spans="1:4" ht="14.4" x14ac:dyDescent="0.3">
      <c r="A266" s="137">
        <v>70403</v>
      </c>
      <c r="B266" s="138" t="s">
        <v>273</v>
      </c>
      <c r="C266" s="140">
        <v>21621.99265377759</v>
      </c>
      <c r="D266" s="140">
        <v>36791.76779076297</v>
      </c>
    </row>
    <row r="267" spans="1:4" ht="14.4" x14ac:dyDescent="0.3">
      <c r="A267" s="137">
        <v>70404</v>
      </c>
      <c r="B267" s="138" t="s">
        <v>261</v>
      </c>
      <c r="C267" s="140">
        <v>6326.2341602879678</v>
      </c>
      <c r="D267" s="140">
        <v>6126.2173905647169</v>
      </c>
    </row>
    <row r="268" spans="1:4" ht="14.4" x14ac:dyDescent="0.3">
      <c r="A268" s="137">
        <v>70501</v>
      </c>
      <c r="B268" s="138" t="s">
        <v>260</v>
      </c>
      <c r="C268" s="140">
        <v>2343.4647418043746</v>
      </c>
      <c r="D268" s="140">
        <v>5404.1624436896418</v>
      </c>
    </row>
    <row r="269" spans="1:4" ht="14.4" x14ac:dyDescent="0.3">
      <c r="A269" s="137">
        <v>70502</v>
      </c>
      <c r="B269" s="138" t="s">
        <v>248</v>
      </c>
      <c r="C269" s="140">
        <v>5721.0453744432871</v>
      </c>
      <c r="D269" s="140">
        <v>14577.887869677756</v>
      </c>
    </row>
    <row r="270" spans="1:4" ht="14.4" x14ac:dyDescent="0.3">
      <c r="A270" s="137">
        <v>70503</v>
      </c>
      <c r="B270" s="138" t="s">
        <v>254</v>
      </c>
      <c r="C270" s="140">
        <v>27.109478595929584</v>
      </c>
      <c r="D270" s="140">
        <v>17.011682042854058</v>
      </c>
    </row>
    <row r="271" spans="1:4" ht="14.4" x14ac:dyDescent="0.3">
      <c r="A271" s="137">
        <v>70601</v>
      </c>
      <c r="B271" s="138" t="s">
        <v>251</v>
      </c>
      <c r="C271" s="140">
        <v>33898.790609605385</v>
      </c>
      <c r="D271" s="140">
        <v>58541.596115422195</v>
      </c>
    </row>
    <row r="272" spans="1:4" ht="14.4" x14ac:dyDescent="0.3">
      <c r="A272" s="137">
        <v>70602</v>
      </c>
      <c r="B272" s="138" t="s">
        <v>824</v>
      </c>
      <c r="C272" s="140">
        <v>146.40035967281571</v>
      </c>
      <c r="D272" s="140">
        <v>909.99984715753033</v>
      </c>
    </row>
    <row r="273" spans="1:4" ht="14.4" x14ac:dyDescent="0.3">
      <c r="A273" s="137">
        <v>70603</v>
      </c>
      <c r="B273" s="138" t="s">
        <v>231</v>
      </c>
      <c r="C273" s="140">
        <v>1101.3054786468026</v>
      </c>
      <c r="D273" s="140">
        <v>208220.79040643049</v>
      </c>
    </row>
    <row r="274" spans="1:4" ht="14.4" x14ac:dyDescent="0.3">
      <c r="A274" s="137">
        <v>70701</v>
      </c>
      <c r="B274" s="138" t="s">
        <v>242</v>
      </c>
      <c r="C274" s="140">
        <v>8.1186734058439232</v>
      </c>
      <c r="D274" s="140">
        <v>2753.4647541508925</v>
      </c>
    </row>
    <row r="275" spans="1:4" ht="14.4" x14ac:dyDescent="0.3">
      <c r="A275" s="137">
        <v>70702</v>
      </c>
      <c r="B275" s="138" t="s">
        <v>825</v>
      </c>
      <c r="C275" s="140">
        <v>638.16757072769587</v>
      </c>
      <c r="D275" s="140">
        <v>2961.3590900714412</v>
      </c>
    </row>
    <row r="276" spans="1:4" ht="14.4" x14ac:dyDescent="0.3">
      <c r="A276" s="137">
        <v>70703</v>
      </c>
      <c r="B276" s="138" t="s">
        <v>228</v>
      </c>
      <c r="C276" s="140">
        <v>2373.1839602057653</v>
      </c>
      <c r="D276" s="140">
        <v>13098.958763929591</v>
      </c>
    </row>
    <row r="277" spans="1:4" ht="14.4" x14ac:dyDescent="0.3">
      <c r="A277" s="137">
        <v>70704</v>
      </c>
      <c r="B277" s="138" t="s">
        <v>236</v>
      </c>
      <c r="C277" s="140">
        <v>7.0823760307528856</v>
      </c>
      <c r="D277" s="140">
        <v>1453.2233653641367</v>
      </c>
    </row>
    <row r="278" spans="1:4" ht="14.4" x14ac:dyDescent="0.3">
      <c r="A278" s="137">
        <v>70705</v>
      </c>
      <c r="B278" s="138" t="s">
        <v>826</v>
      </c>
      <c r="C278" s="140">
        <v>2.7030275147720015</v>
      </c>
      <c r="D278" s="140">
        <v>2.210183944737274</v>
      </c>
    </row>
    <row r="279" spans="1:4" ht="14.4" x14ac:dyDescent="0.3">
      <c r="A279" s="137">
        <v>70706</v>
      </c>
      <c r="B279" s="138" t="s">
        <v>229</v>
      </c>
      <c r="C279" s="140">
        <v>30827.07663508664</v>
      </c>
      <c r="D279" s="140">
        <v>25321.148531456871</v>
      </c>
    </row>
    <row r="280" spans="1:4" ht="14.4" x14ac:dyDescent="0.3">
      <c r="A280" s="137">
        <v>70707</v>
      </c>
      <c r="B280" s="138" t="s">
        <v>226</v>
      </c>
      <c r="C280" s="140">
        <v>0</v>
      </c>
      <c r="D280" s="140">
        <v>173.83257088221706</v>
      </c>
    </row>
    <row r="281" spans="1:4" ht="14.4" x14ac:dyDescent="0.3">
      <c r="A281" s="137">
        <v>70801</v>
      </c>
      <c r="B281" s="138" t="s">
        <v>271</v>
      </c>
      <c r="C281" s="140">
        <v>19884.546382215714</v>
      </c>
      <c r="D281" s="140">
        <v>13846.483144366885</v>
      </c>
    </row>
    <row r="282" spans="1:4" ht="14.4" x14ac:dyDescent="0.3">
      <c r="A282" s="137">
        <v>70802</v>
      </c>
      <c r="B282" s="138" t="s">
        <v>269</v>
      </c>
      <c r="C282" s="140">
        <v>2.7070448175225046</v>
      </c>
      <c r="D282" s="140">
        <v>113.21038950321527</v>
      </c>
    </row>
    <row r="283" spans="1:4" ht="14.4" x14ac:dyDescent="0.3">
      <c r="A283" s="137">
        <v>70803</v>
      </c>
      <c r="B283" s="138" t="s">
        <v>246</v>
      </c>
      <c r="C283" s="140">
        <v>238.75449277167903</v>
      </c>
      <c r="D283" s="140">
        <v>1350.1344130311691</v>
      </c>
    </row>
    <row r="284" spans="1:4" ht="14.4" x14ac:dyDescent="0.3">
      <c r="A284" s="137">
        <v>70804</v>
      </c>
      <c r="B284" s="138" t="s">
        <v>827</v>
      </c>
      <c r="C284" s="140">
        <v>0</v>
      </c>
      <c r="D284" s="140">
        <v>0</v>
      </c>
    </row>
    <row r="285" spans="1:4" ht="14.4" x14ac:dyDescent="0.3">
      <c r="A285" s="137">
        <v>70805</v>
      </c>
      <c r="B285" s="138" t="s">
        <v>828</v>
      </c>
      <c r="C285" s="140">
        <v>0</v>
      </c>
      <c r="D285" s="140">
        <v>0</v>
      </c>
    </row>
    <row r="286" spans="1:4" ht="14.4" x14ac:dyDescent="0.3">
      <c r="A286" s="137">
        <v>70901</v>
      </c>
      <c r="B286" s="138" t="s">
        <v>256</v>
      </c>
      <c r="C286" s="140">
        <v>568.5452421903932</v>
      </c>
      <c r="D286" s="140">
        <v>390.3609671584868</v>
      </c>
    </row>
    <row r="287" spans="1:4" ht="14.4" x14ac:dyDescent="0.3">
      <c r="A287" s="137">
        <v>70902</v>
      </c>
      <c r="B287" s="138" t="s">
        <v>829</v>
      </c>
      <c r="C287" s="140">
        <v>70.480618676489058</v>
      </c>
      <c r="D287" s="140">
        <v>885.84721272830507</v>
      </c>
    </row>
    <row r="288" spans="1:4" ht="14.4" x14ac:dyDescent="0.3">
      <c r="A288" s="137">
        <v>70903</v>
      </c>
      <c r="B288" s="138" t="s">
        <v>243</v>
      </c>
      <c r="C288" s="140">
        <v>823.02245737859846</v>
      </c>
      <c r="D288" s="140">
        <v>3118.2184777057</v>
      </c>
    </row>
    <row r="289" spans="1:4" ht="14.4" x14ac:dyDescent="0.3">
      <c r="A289" s="137">
        <v>70904</v>
      </c>
      <c r="B289" s="138" t="s">
        <v>830</v>
      </c>
      <c r="C289" s="140">
        <v>0</v>
      </c>
      <c r="D289" s="140">
        <v>0</v>
      </c>
    </row>
    <row r="290" spans="1:4" ht="14.4" x14ac:dyDescent="0.3">
      <c r="A290" s="137">
        <v>71001</v>
      </c>
      <c r="B290" s="138" t="s">
        <v>245</v>
      </c>
      <c r="C290" s="140">
        <v>385986.53356445173</v>
      </c>
      <c r="D290" s="140">
        <v>423402.45428374643</v>
      </c>
    </row>
    <row r="291" spans="1:4" ht="14.4" x14ac:dyDescent="0.3">
      <c r="A291" s="137">
        <v>71002</v>
      </c>
      <c r="B291" s="138" t="s">
        <v>831</v>
      </c>
      <c r="C291" s="140">
        <v>11344.696450139145</v>
      </c>
      <c r="D291" s="140">
        <v>55969.968911233067</v>
      </c>
    </row>
    <row r="292" spans="1:4" ht="14.4" x14ac:dyDescent="0.3">
      <c r="A292" s="137">
        <v>71003</v>
      </c>
      <c r="B292" s="138" t="s">
        <v>244</v>
      </c>
      <c r="C292" s="140">
        <v>16304.622471187356</v>
      </c>
      <c r="D292" s="140">
        <v>24005.461211140406</v>
      </c>
    </row>
    <row r="293" spans="1:4" ht="14.4" x14ac:dyDescent="0.3">
      <c r="A293" s="137">
        <v>71004</v>
      </c>
      <c r="B293" s="138" t="s">
        <v>238</v>
      </c>
      <c r="C293" s="140">
        <v>5887.7020829384346</v>
      </c>
      <c r="D293" s="140">
        <v>32859.994188176592</v>
      </c>
    </row>
    <row r="294" spans="1:4" ht="14.4" x14ac:dyDescent="0.3">
      <c r="A294" s="137">
        <v>71005</v>
      </c>
      <c r="B294" s="138" t="s">
        <v>265</v>
      </c>
      <c r="C294" s="140">
        <v>3336.12730220003</v>
      </c>
      <c r="D294" s="140">
        <v>5866.5917452544672</v>
      </c>
    </row>
    <row r="295" spans="1:4" ht="14.4" x14ac:dyDescent="0.3">
      <c r="A295" s="137">
        <v>71101</v>
      </c>
      <c r="B295" s="138" t="s">
        <v>233</v>
      </c>
      <c r="C295" s="140">
        <v>839.95650843986118</v>
      </c>
      <c r="D295" s="140">
        <v>3553.6230952620676</v>
      </c>
    </row>
    <row r="296" spans="1:4" ht="14.4" x14ac:dyDescent="0.3">
      <c r="A296" s="137">
        <v>71102</v>
      </c>
      <c r="B296" s="138" t="s">
        <v>832</v>
      </c>
      <c r="C296" s="140">
        <v>868.71738928284958</v>
      </c>
      <c r="D296" s="140">
        <v>2493.2360234730763</v>
      </c>
    </row>
    <row r="297" spans="1:4" ht="14.4" x14ac:dyDescent="0.3">
      <c r="A297" s="137">
        <v>71103</v>
      </c>
      <c r="B297" s="138" t="s">
        <v>266</v>
      </c>
      <c r="C297" s="140">
        <v>278.92238790684155</v>
      </c>
      <c r="D297" s="140">
        <v>883.24235427772078</v>
      </c>
    </row>
    <row r="298" spans="1:4" ht="14.4" x14ac:dyDescent="0.3">
      <c r="A298" s="137">
        <v>71104</v>
      </c>
      <c r="B298" s="138" t="s">
        <v>262</v>
      </c>
      <c r="C298" s="140">
        <v>20484.866087705734</v>
      </c>
      <c r="D298" s="140">
        <v>28494.306014872203</v>
      </c>
    </row>
    <row r="299" spans="1:4" ht="14.4" x14ac:dyDescent="0.3">
      <c r="A299" s="137">
        <v>71105</v>
      </c>
      <c r="B299" s="138" t="s">
        <v>833</v>
      </c>
      <c r="C299" s="140">
        <v>0</v>
      </c>
      <c r="D299" s="140">
        <v>0</v>
      </c>
    </row>
    <row r="300" spans="1:4" ht="14.4" x14ac:dyDescent="0.3">
      <c r="A300" s="137">
        <v>71106</v>
      </c>
      <c r="B300" s="138" t="s">
        <v>235</v>
      </c>
      <c r="C300" s="140">
        <v>6169.569580401354</v>
      </c>
      <c r="D300" s="140">
        <v>16578.88948710994</v>
      </c>
    </row>
    <row r="301" spans="1:4" ht="14.4" x14ac:dyDescent="0.3">
      <c r="A301" s="137">
        <v>71201</v>
      </c>
      <c r="B301" s="138" t="s">
        <v>263</v>
      </c>
      <c r="C301" s="140">
        <v>8.1186734058439232</v>
      </c>
      <c r="D301" s="140">
        <v>6.5570510201756882</v>
      </c>
    </row>
    <row r="302" spans="1:4" ht="14.4" x14ac:dyDescent="0.3">
      <c r="A302" s="137">
        <v>71301</v>
      </c>
      <c r="B302" s="138" t="s">
        <v>232</v>
      </c>
      <c r="C302" s="140">
        <v>4230.5683211777832</v>
      </c>
      <c r="D302" s="140">
        <v>5007.0696445965641</v>
      </c>
    </row>
    <row r="303" spans="1:4" ht="14.4" x14ac:dyDescent="0.3">
      <c r="A303" s="137">
        <v>71302</v>
      </c>
      <c r="B303" s="138" t="s">
        <v>255</v>
      </c>
      <c r="C303" s="140">
        <v>1153.3962912978805</v>
      </c>
      <c r="D303" s="140">
        <v>461.42806020651761</v>
      </c>
    </row>
    <row r="304" spans="1:4" ht="14.4" x14ac:dyDescent="0.3">
      <c r="A304" s="137">
        <v>71401</v>
      </c>
      <c r="B304" s="138" t="s">
        <v>253</v>
      </c>
      <c r="C304" s="140">
        <v>1969.6050507734406</v>
      </c>
      <c r="D304" s="140">
        <v>1853.8244170047574</v>
      </c>
    </row>
    <row r="305" spans="1:4" ht="14.4" x14ac:dyDescent="0.3">
      <c r="A305" s="137">
        <v>71402</v>
      </c>
      <c r="B305" s="138" t="s">
        <v>252</v>
      </c>
      <c r="C305" s="140">
        <v>7376.9986196928039</v>
      </c>
      <c r="D305" s="140">
        <v>6950.8798048608778</v>
      </c>
    </row>
    <row r="306" spans="1:4" ht="14.4" x14ac:dyDescent="0.3">
      <c r="A306" s="137">
        <v>71403</v>
      </c>
      <c r="B306" s="138" t="s">
        <v>834</v>
      </c>
      <c r="C306" s="140">
        <v>0</v>
      </c>
      <c r="D306" s="140">
        <v>0</v>
      </c>
    </row>
    <row r="307" spans="1:4" ht="14.4" x14ac:dyDescent="0.3">
      <c r="A307" s="137">
        <v>71501</v>
      </c>
      <c r="B307" s="138" t="s">
        <v>835</v>
      </c>
      <c r="C307" s="140">
        <v>2594.2756021245814</v>
      </c>
      <c r="D307" s="140">
        <v>5516.016301540516</v>
      </c>
    </row>
    <row r="308" spans="1:4" ht="14.4" x14ac:dyDescent="0.3">
      <c r="A308" s="137">
        <v>71502</v>
      </c>
      <c r="B308" s="138" t="s">
        <v>270</v>
      </c>
      <c r="C308" s="140">
        <v>2.7070448175225046</v>
      </c>
      <c r="D308" s="140">
        <v>2.2137054570758274</v>
      </c>
    </row>
    <row r="309" spans="1:4" ht="14.4" x14ac:dyDescent="0.3">
      <c r="A309" s="137">
        <v>71503</v>
      </c>
      <c r="B309" s="138" t="s">
        <v>819</v>
      </c>
      <c r="C309" s="140">
        <v>0</v>
      </c>
      <c r="D309" s="140">
        <v>0</v>
      </c>
    </row>
    <row r="310" spans="1:4" ht="14.4" x14ac:dyDescent="0.3">
      <c r="A310" s="137">
        <v>80101</v>
      </c>
      <c r="B310" s="138" t="s">
        <v>283</v>
      </c>
      <c r="C310" s="140">
        <v>300769.7215106666</v>
      </c>
      <c r="D310" s="140">
        <v>267464.31942671002</v>
      </c>
    </row>
    <row r="311" spans="1:4" ht="14.4" x14ac:dyDescent="0.3">
      <c r="A311" s="137">
        <v>80102</v>
      </c>
      <c r="B311" s="138" t="s">
        <v>832</v>
      </c>
      <c r="C311" s="140">
        <v>4.0370887511152826</v>
      </c>
      <c r="D311" s="140">
        <v>1390.3241146883688</v>
      </c>
    </row>
    <row r="312" spans="1:4" ht="14.4" x14ac:dyDescent="0.3">
      <c r="A312" s="137">
        <v>80201</v>
      </c>
      <c r="B312" s="138" t="s">
        <v>277</v>
      </c>
      <c r="C312" s="140">
        <v>22379.274055905244</v>
      </c>
      <c r="D312" s="140">
        <v>33468.07275703815</v>
      </c>
    </row>
    <row r="313" spans="1:4" ht="14.4" x14ac:dyDescent="0.3">
      <c r="A313" s="137">
        <v>80202</v>
      </c>
      <c r="B313" s="138" t="s">
        <v>836</v>
      </c>
      <c r="C313" s="140">
        <v>476.04603568528921</v>
      </c>
      <c r="D313" s="140">
        <v>241.69179474529801</v>
      </c>
    </row>
    <row r="314" spans="1:4" ht="14.4" x14ac:dyDescent="0.3">
      <c r="A314" s="137">
        <v>80301</v>
      </c>
      <c r="B314" s="138" t="s">
        <v>837</v>
      </c>
      <c r="C314" s="140">
        <v>0</v>
      </c>
      <c r="D314" s="140">
        <v>0</v>
      </c>
    </row>
    <row r="315" spans="1:4" ht="14.4" x14ac:dyDescent="0.3">
      <c r="A315" s="137">
        <v>80302</v>
      </c>
      <c r="B315" s="138" t="s">
        <v>278</v>
      </c>
      <c r="C315" s="140">
        <v>2270.53889957617</v>
      </c>
      <c r="D315" s="140">
        <v>3107.5035715249724</v>
      </c>
    </row>
    <row r="316" spans="1:4" ht="14.4" x14ac:dyDescent="0.3">
      <c r="A316" s="137">
        <v>80303</v>
      </c>
      <c r="B316" s="138" t="s">
        <v>824</v>
      </c>
      <c r="C316" s="140">
        <v>0</v>
      </c>
      <c r="D316" s="140">
        <v>0</v>
      </c>
    </row>
    <row r="317" spans="1:4" ht="14.4" x14ac:dyDescent="0.3">
      <c r="A317" s="137">
        <v>80304</v>
      </c>
      <c r="B317" s="138" t="s">
        <v>838</v>
      </c>
      <c r="C317" s="140">
        <v>2489.0654586576384</v>
      </c>
      <c r="D317" s="140">
        <v>4975.6132739278009</v>
      </c>
    </row>
    <row r="318" spans="1:4" ht="14.4" x14ac:dyDescent="0.3">
      <c r="A318" s="137">
        <v>80401</v>
      </c>
      <c r="B318" s="138" t="s">
        <v>839</v>
      </c>
      <c r="C318" s="140">
        <v>377.30257975612187</v>
      </c>
      <c r="D318" s="140">
        <v>3676.7886590926364</v>
      </c>
    </row>
    <row r="319" spans="1:4" ht="14.4" x14ac:dyDescent="0.3">
      <c r="A319" s="137">
        <v>80402</v>
      </c>
      <c r="B319" s="138" t="s">
        <v>840</v>
      </c>
      <c r="C319" s="140">
        <v>0</v>
      </c>
      <c r="D319" s="140">
        <v>0</v>
      </c>
    </row>
    <row r="320" spans="1:4" ht="14.4" x14ac:dyDescent="0.3">
      <c r="A320" s="137">
        <v>80501</v>
      </c>
      <c r="B320" s="138" t="s">
        <v>822</v>
      </c>
      <c r="C320" s="140">
        <v>4.0370887511152826</v>
      </c>
      <c r="D320" s="140">
        <v>3.6667319675490613</v>
      </c>
    </row>
    <row r="321" spans="1:4" ht="14.4" x14ac:dyDescent="0.3">
      <c r="A321" s="137">
        <v>80601</v>
      </c>
      <c r="B321" s="138" t="s">
        <v>841</v>
      </c>
      <c r="C321" s="140">
        <v>0</v>
      </c>
      <c r="D321" s="140">
        <v>0</v>
      </c>
    </row>
    <row r="322" spans="1:4" ht="14.4" x14ac:dyDescent="0.3">
      <c r="A322" s="137">
        <v>80602</v>
      </c>
      <c r="B322" s="138" t="s">
        <v>693</v>
      </c>
      <c r="C322" s="140">
        <v>0</v>
      </c>
      <c r="D322" s="140">
        <v>3206.5913674165026</v>
      </c>
    </row>
    <row r="323" spans="1:4" ht="14.4" x14ac:dyDescent="0.3">
      <c r="A323" s="137">
        <v>80701</v>
      </c>
      <c r="B323" s="138" t="s">
        <v>281</v>
      </c>
      <c r="C323" s="140">
        <v>107.03391883885197</v>
      </c>
      <c r="D323" s="140">
        <v>54.19663490536157</v>
      </c>
    </row>
    <row r="324" spans="1:4" ht="14.4" x14ac:dyDescent="0.3">
      <c r="A324" s="137">
        <v>80702</v>
      </c>
      <c r="B324" s="138" t="s">
        <v>266</v>
      </c>
      <c r="C324" s="140">
        <v>28.866874383134405</v>
      </c>
      <c r="D324" s="140">
        <v>15.797229903372633</v>
      </c>
    </row>
    <row r="325" spans="1:4" ht="14.4" x14ac:dyDescent="0.3">
      <c r="A325" s="137">
        <v>80703</v>
      </c>
      <c r="B325" s="138" t="s">
        <v>842</v>
      </c>
      <c r="C325" s="140">
        <v>0</v>
      </c>
      <c r="D325" s="140">
        <v>0</v>
      </c>
    </row>
    <row r="326" spans="1:4" ht="14.4" x14ac:dyDescent="0.3">
      <c r="A326" s="137">
        <v>80801</v>
      </c>
      <c r="B326" s="138" t="s">
        <v>843</v>
      </c>
      <c r="C326" s="140">
        <v>0</v>
      </c>
      <c r="D326" s="140">
        <v>0</v>
      </c>
    </row>
    <row r="327" spans="1:4" ht="14.4" x14ac:dyDescent="0.3">
      <c r="A327" s="137">
        <v>80802</v>
      </c>
      <c r="B327" s="138" t="s">
        <v>844</v>
      </c>
      <c r="C327" s="140">
        <v>0</v>
      </c>
      <c r="D327" s="140">
        <v>0</v>
      </c>
    </row>
    <row r="328" spans="1:4" ht="14.4" x14ac:dyDescent="0.3">
      <c r="A328" s="137">
        <v>80803</v>
      </c>
      <c r="B328" s="138" t="s">
        <v>845</v>
      </c>
      <c r="C328" s="140">
        <v>0</v>
      </c>
      <c r="D328" s="140">
        <v>0</v>
      </c>
    </row>
    <row r="329" spans="1:4" ht="14.4" x14ac:dyDescent="0.3">
      <c r="A329" s="137">
        <v>80901</v>
      </c>
      <c r="B329" s="138" t="s">
        <v>846</v>
      </c>
      <c r="C329" s="140">
        <v>0</v>
      </c>
      <c r="D329" s="140">
        <v>0</v>
      </c>
    </row>
    <row r="330" spans="1:4" ht="14.4" x14ac:dyDescent="0.3">
      <c r="A330" s="137">
        <v>90101</v>
      </c>
      <c r="B330" s="138" t="s">
        <v>285</v>
      </c>
      <c r="C330" s="140">
        <v>68711.115821147556</v>
      </c>
      <c r="D330" s="140">
        <v>75343.229768115576</v>
      </c>
    </row>
    <row r="331" spans="1:4" ht="14.4" x14ac:dyDescent="0.3">
      <c r="A331" s="137">
        <v>90102</v>
      </c>
      <c r="B331" s="138" t="s">
        <v>702</v>
      </c>
      <c r="C331" s="140">
        <v>0</v>
      </c>
      <c r="D331" s="140">
        <v>1474.4425988894232</v>
      </c>
    </row>
    <row r="332" spans="1:4" ht="14.4" x14ac:dyDescent="0.3">
      <c r="A332" s="137">
        <v>90103</v>
      </c>
      <c r="B332" s="138" t="s">
        <v>847</v>
      </c>
      <c r="C332" s="140">
        <v>0</v>
      </c>
      <c r="D332" s="140">
        <v>0</v>
      </c>
    </row>
    <row r="333" spans="1:4" ht="14.4" x14ac:dyDescent="0.3">
      <c r="A333" s="137">
        <v>90104</v>
      </c>
      <c r="B333" s="138" t="s">
        <v>848</v>
      </c>
      <c r="C333" s="140">
        <v>0</v>
      </c>
      <c r="D333" s="140">
        <v>0</v>
      </c>
    </row>
    <row r="334" spans="1:4" ht="14.4" x14ac:dyDescent="0.3">
      <c r="A334" s="137">
        <v>90201</v>
      </c>
      <c r="B334" s="138" t="s">
        <v>849</v>
      </c>
      <c r="C334" s="140">
        <v>0</v>
      </c>
      <c r="D334" s="140">
        <v>0</v>
      </c>
    </row>
    <row r="335" spans="1:4" ht="14.4" x14ac:dyDescent="0.3">
      <c r="A335" s="137">
        <v>90202</v>
      </c>
      <c r="B335" s="138" t="s">
        <v>265</v>
      </c>
      <c r="C335" s="140">
        <v>0</v>
      </c>
      <c r="D335" s="140">
        <v>0</v>
      </c>
    </row>
    <row r="336" spans="1:4" ht="14.4" x14ac:dyDescent="0.3">
      <c r="A336" s="137">
        <v>90203</v>
      </c>
      <c r="B336" s="138" t="s">
        <v>850</v>
      </c>
      <c r="C336" s="140">
        <v>0</v>
      </c>
      <c r="D336" s="140">
        <v>0</v>
      </c>
    </row>
    <row r="337" spans="1:4" ht="14.4" x14ac:dyDescent="0.3">
      <c r="A337" s="137">
        <v>90301</v>
      </c>
      <c r="B337" s="138" t="s">
        <v>851</v>
      </c>
      <c r="C337" s="140">
        <v>0</v>
      </c>
      <c r="D337" s="140">
        <v>0</v>
      </c>
    </row>
    <row r="338" spans="1:4" ht="14.4" x14ac:dyDescent="0.3">
      <c r="A338" s="137">
        <v>90302</v>
      </c>
      <c r="B338" s="138" t="s">
        <v>219</v>
      </c>
      <c r="C338" s="140">
        <v>0</v>
      </c>
      <c r="D338" s="140">
        <v>0</v>
      </c>
    </row>
    <row r="339" spans="1:4" ht="14.4" x14ac:dyDescent="0.3">
      <c r="A339" s="137">
        <v>90303</v>
      </c>
      <c r="B339" s="138" t="s">
        <v>852</v>
      </c>
      <c r="C339" s="140">
        <v>0</v>
      </c>
      <c r="D339" s="140">
        <v>0</v>
      </c>
    </row>
    <row r="340" spans="1:4" ht="14.4" x14ac:dyDescent="0.3">
      <c r="A340" s="137">
        <v>90401</v>
      </c>
      <c r="B340" s="138" t="s">
        <v>824</v>
      </c>
      <c r="C340" s="140">
        <v>0</v>
      </c>
      <c r="D340" s="140">
        <v>0</v>
      </c>
    </row>
    <row r="341" spans="1:4" ht="14.4" x14ac:dyDescent="0.3">
      <c r="A341" s="137">
        <v>90402</v>
      </c>
      <c r="B341" s="138" t="s">
        <v>853</v>
      </c>
      <c r="C341" s="140">
        <v>0</v>
      </c>
      <c r="D341" s="140">
        <v>0</v>
      </c>
    </row>
    <row r="342" spans="1:4" ht="14.4" x14ac:dyDescent="0.3">
      <c r="A342" s="137">
        <v>90501</v>
      </c>
      <c r="B342" s="138" t="s">
        <v>854</v>
      </c>
      <c r="C342" s="140">
        <v>0</v>
      </c>
      <c r="D342" s="140">
        <v>0</v>
      </c>
    </row>
    <row r="343" spans="1:4" ht="14.4" x14ac:dyDescent="0.3">
      <c r="A343" s="137">
        <v>90502</v>
      </c>
      <c r="B343" s="138" t="s">
        <v>855</v>
      </c>
      <c r="C343" s="140">
        <v>0</v>
      </c>
      <c r="D343" s="140">
        <v>0</v>
      </c>
    </row>
    <row r="344" spans="1:4" ht="14.4" x14ac:dyDescent="0.3">
      <c r="A344" s="137">
        <v>90503</v>
      </c>
      <c r="B344" s="138" t="s">
        <v>856</v>
      </c>
      <c r="C344" s="140">
        <v>0</v>
      </c>
      <c r="D344" s="14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Z12"/>
  <sheetViews>
    <sheetView workbookViewId="0"/>
  </sheetViews>
  <sheetFormatPr baseColWidth="10" defaultColWidth="12.6640625" defaultRowHeight="15" customHeight="1" x14ac:dyDescent="0.25"/>
  <sheetData>
    <row r="1" spans="1:26" x14ac:dyDescent="0.25">
      <c r="A1" s="109" t="s">
        <v>714</v>
      </c>
      <c r="B1" s="109" t="s">
        <v>0</v>
      </c>
      <c r="C1" s="109" t="s">
        <v>862</v>
      </c>
      <c r="D1" s="109" t="s">
        <v>863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x14ac:dyDescent="0.25">
      <c r="A2" s="111">
        <v>1</v>
      </c>
      <c r="B2" s="111" t="s">
        <v>9</v>
      </c>
      <c r="C2" s="139">
        <v>0.54958301268270449</v>
      </c>
      <c r="D2" s="139">
        <v>0.65076754667397652</v>
      </c>
    </row>
    <row r="3" spans="1:26" x14ac:dyDescent="0.25">
      <c r="A3" s="111">
        <v>2</v>
      </c>
      <c r="B3" s="111" t="s">
        <v>51</v>
      </c>
      <c r="C3" s="139">
        <v>0.73296428815126802</v>
      </c>
      <c r="D3" s="139">
        <v>0.98577253947839338</v>
      </c>
    </row>
    <row r="4" spans="1:26" x14ac:dyDescent="0.25">
      <c r="A4" s="111">
        <v>3</v>
      </c>
      <c r="B4" s="111" t="s">
        <v>105</v>
      </c>
      <c r="C4" s="139">
        <v>0.94781097607620302</v>
      </c>
      <c r="D4" s="139">
        <v>1.0784142323039776</v>
      </c>
    </row>
    <row r="5" spans="1:26" x14ac:dyDescent="0.25">
      <c r="A5" s="111">
        <v>4</v>
      </c>
      <c r="B5" s="111" t="s">
        <v>151</v>
      </c>
      <c r="C5" s="139">
        <v>1.0784290031268233</v>
      </c>
      <c r="D5" s="139">
        <v>1.312389959279092</v>
      </c>
    </row>
    <row r="6" spans="1:26" x14ac:dyDescent="0.25">
      <c r="A6" s="111">
        <v>5</v>
      </c>
      <c r="B6" s="111" t="s">
        <v>183</v>
      </c>
      <c r="C6" s="139">
        <v>0.5525829866631623</v>
      </c>
      <c r="D6" s="139">
        <v>0.66951776779920569</v>
      </c>
    </row>
    <row r="7" spans="1:26" x14ac:dyDescent="0.25">
      <c r="A7" s="111">
        <v>6</v>
      </c>
      <c r="B7" s="111" t="s">
        <v>213</v>
      </c>
      <c r="C7" s="139">
        <v>1.1020920414856001</v>
      </c>
      <c r="D7" s="139">
        <v>1.1965384112676398</v>
      </c>
    </row>
    <row r="8" spans="1:26" x14ac:dyDescent="0.25">
      <c r="A8" s="111">
        <v>7</v>
      </c>
      <c r="B8" s="111" t="s">
        <v>224</v>
      </c>
      <c r="C8" s="139">
        <v>1.2834552026106978</v>
      </c>
      <c r="D8" s="139">
        <v>1.4188327462685573</v>
      </c>
    </row>
    <row r="9" spans="1:26" x14ac:dyDescent="0.25">
      <c r="A9" s="111">
        <v>8</v>
      </c>
      <c r="B9" s="111" t="s">
        <v>274</v>
      </c>
      <c r="C9" s="139">
        <v>0.74994909264627907</v>
      </c>
      <c r="D9" s="139">
        <v>0.65048245926743942</v>
      </c>
    </row>
    <row r="10" spans="1:26" x14ac:dyDescent="0.25">
      <c r="A10" s="111">
        <v>9</v>
      </c>
      <c r="B10" s="111" t="s">
        <v>284</v>
      </c>
      <c r="C10" s="139">
        <v>0.5904259558167102</v>
      </c>
      <c r="D10" s="139">
        <v>0.5724374589549831</v>
      </c>
    </row>
    <row r="11" spans="1:26" x14ac:dyDescent="0.25">
      <c r="A11" s="111">
        <v>10</v>
      </c>
      <c r="B11" s="111" t="s">
        <v>749</v>
      </c>
      <c r="C11" s="139">
        <v>0.82515698831423223</v>
      </c>
      <c r="D11" s="139">
        <v>0.79588199241726387</v>
      </c>
    </row>
    <row r="12" spans="1:26" x14ac:dyDescent="0.25">
      <c r="A12" s="111">
        <v>11</v>
      </c>
      <c r="B12" s="111" t="s">
        <v>7</v>
      </c>
      <c r="C12" s="139">
        <v>0.92671171570205624</v>
      </c>
      <c r="D12" s="139">
        <v>1.0864061693756628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outlinePr summaryBelow="0" summaryRight="0"/>
  </sheetPr>
  <dimension ref="A1:D12"/>
  <sheetViews>
    <sheetView workbookViewId="0"/>
  </sheetViews>
  <sheetFormatPr baseColWidth="10" defaultColWidth="12.6640625" defaultRowHeight="15" customHeight="1" x14ac:dyDescent="0.25"/>
  <sheetData>
    <row r="1" spans="1:4" x14ac:dyDescent="0.25">
      <c r="A1" s="109" t="s">
        <v>714</v>
      </c>
      <c r="B1" s="109" t="s">
        <v>0</v>
      </c>
      <c r="C1" s="109" t="s">
        <v>864</v>
      </c>
      <c r="D1" s="109" t="s">
        <v>865</v>
      </c>
    </row>
    <row r="2" spans="1:4" x14ac:dyDescent="0.25">
      <c r="A2" s="111">
        <v>1</v>
      </c>
      <c r="B2" s="111" t="s">
        <v>9</v>
      </c>
      <c r="C2" s="140">
        <v>322714.59546427144</v>
      </c>
      <c r="D2" s="140">
        <v>394382.70400818996</v>
      </c>
    </row>
    <row r="3" spans="1:4" x14ac:dyDescent="0.25">
      <c r="A3" s="111">
        <v>2</v>
      </c>
      <c r="B3" s="111" t="s">
        <v>51</v>
      </c>
      <c r="C3" s="140">
        <v>2050275.0097364609</v>
      </c>
      <c r="D3" s="140">
        <v>2987794.7480382337</v>
      </c>
    </row>
    <row r="4" spans="1:4" x14ac:dyDescent="0.25">
      <c r="A4" s="111">
        <v>3</v>
      </c>
      <c r="B4" s="111" t="s">
        <v>105</v>
      </c>
      <c r="C4" s="140">
        <v>1730854.4920713191</v>
      </c>
      <c r="D4" s="140">
        <v>2174468.0862057516</v>
      </c>
    </row>
    <row r="5" spans="1:4" x14ac:dyDescent="0.25">
      <c r="A5" s="111">
        <v>4</v>
      </c>
      <c r="B5" s="111" t="s">
        <v>151</v>
      </c>
      <c r="C5" s="140">
        <v>554105.44923858671</v>
      </c>
      <c r="D5" s="140">
        <v>749992.80241918203</v>
      </c>
    </row>
    <row r="6" spans="1:4" x14ac:dyDescent="0.25">
      <c r="A6" s="111">
        <v>5</v>
      </c>
      <c r="B6" s="111" t="s">
        <v>183</v>
      </c>
      <c r="C6" s="140">
        <v>462352.12520817446</v>
      </c>
      <c r="D6" s="140">
        <v>576650.29726331355</v>
      </c>
    </row>
    <row r="7" spans="1:4" x14ac:dyDescent="0.25">
      <c r="A7" s="111">
        <v>6</v>
      </c>
      <c r="B7" s="111" t="s">
        <v>213</v>
      </c>
      <c r="C7" s="140">
        <v>546848.15215678141</v>
      </c>
      <c r="D7" s="140">
        <v>639202.78468328598</v>
      </c>
    </row>
    <row r="8" spans="1:4" x14ac:dyDescent="0.25">
      <c r="A8" s="111">
        <v>7</v>
      </c>
      <c r="B8" s="111" t="s">
        <v>224</v>
      </c>
      <c r="C8" s="140">
        <v>3560269.7578878039</v>
      </c>
      <c r="D8" s="140">
        <v>4430454.2276619282</v>
      </c>
    </row>
    <row r="9" spans="1:4" x14ac:dyDescent="0.25">
      <c r="A9" s="111">
        <v>8</v>
      </c>
      <c r="B9" s="111" t="s">
        <v>274</v>
      </c>
      <c r="C9" s="140">
        <v>328905.9235109713</v>
      </c>
      <c r="D9" s="140">
        <v>317604.56556192</v>
      </c>
    </row>
    <row r="10" spans="1:4" x14ac:dyDescent="0.25">
      <c r="A10" s="111">
        <v>9</v>
      </c>
      <c r="B10" s="111" t="s">
        <v>284</v>
      </c>
      <c r="C10" s="140">
        <v>68711.115821147556</v>
      </c>
      <c r="D10" s="140">
        <v>76817.672367004998</v>
      </c>
    </row>
    <row r="11" spans="1:4" x14ac:dyDescent="0.25">
      <c r="A11" s="111">
        <v>10</v>
      </c>
      <c r="B11" s="111" t="s">
        <v>749</v>
      </c>
      <c r="C11" s="140">
        <v>124123.82738867422</v>
      </c>
      <c r="D11" s="140">
        <v>126755.34964034311</v>
      </c>
    </row>
    <row r="12" spans="1:4" x14ac:dyDescent="0.25">
      <c r="A12" s="111">
        <v>11</v>
      </c>
      <c r="B12" s="111" t="s">
        <v>7</v>
      </c>
      <c r="C12" s="140">
        <v>9625036.6210955177</v>
      </c>
      <c r="D12" s="140">
        <v>12347367.888208808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outlinePr summaryBelow="0" summaryRight="0"/>
  </sheetPr>
  <dimension ref="A1:J2"/>
  <sheetViews>
    <sheetView tabSelected="1" workbookViewId="0">
      <selection activeCell="F7" sqref="F7"/>
    </sheetView>
  </sheetViews>
  <sheetFormatPr baseColWidth="10" defaultColWidth="12.6640625" defaultRowHeight="15" customHeight="1" x14ac:dyDescent="0.25"/>
  <sheetData>
    <row r="1" spans="1:10" ht="15" customHeight="1" x14ac:dyDescent="0.3">
      <c r="A1" s="141" t="s">
        <v>866</v>
      </c>
      <c r="B1" s="141" t="s">
        <v>867</v>
      </c>
      <c r="C1" s="142" t="s">
        <v>868</v>
      </c>
      <c r="D1" s="142" t="s">
        <v>869</v>
      </c>
      <c r="E1" s="143" t="s">
        <v>870</v>
      </c>
      <c r="F1" s="143" t="s">
        <v>871</v>
      </c>
      <c r="G1" s="144" t="s">
        <v>872</v>
      </c>
      <c r="H1" s="144" t="s">
        <v>873</v>
      </c>
      <c r="I1" s="145" t="s">
        <v>874</v>
      </c>
      <c r="J1" s="145" t="s">
        <v>875</v>
      </c>
    </row>
    <row r="2" spans="1:10" ht="15" customHeight="1" x14ac:dyDescent="0.3">
      <c r="A2" s="146">
        <v>13</v>
      </c>
      <c r="B2" s="147" t="s">
        <v>876</v>
      </c>
      <c r="C2" s="146">
        <v>0</v>
      </c>
      <c r="D2" s="146">
        <v>0</v>
      </c>
      <c r="E2" s="146">
        <v>9.9999999999999995E-8</v>
      </c>
      <c r="F2" s="146">
        <v>0.2</v>
      </c>
      <c r="G2" s="146">
        <v>0.2</v>
      </c>
      <c r="H2" s="146">
        <v>0.7</v>
      </c>
      <c r="I2" s="146">
        <v>0.7</v>
      </c>
      <c r="J2" s="14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Datos_originales_2015</vt:lpstr>
      <vt:lpstr>Datos_originales_2024</vt:lpstr>
      <vt:lpstr>Datos_emisiones_2024</vt:lpstr>
      <vt:lpstr>Datos_procesados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2026-06-15T17:25:51Z</dcterms:modified>
</cp:coreProperties>
</file>